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RteIf\Quality_Assurance\Peer_Review\"/>
    </mc:Choice>
  </mc:AlternateContent>
  <xr:revisionPtr revIDLastSave="0" documentId="13_ncr:1_{227EB3D2-C335-41BD-A2FA-BF3A7C7B2736}" xr6:coauthVersionLast="47" xr6:coauthVersionMax="47" xr10:uidLastSave="{00000000-0000-0000-0000-000000000000}"/>
  <bookViews>
    <workbookView xWindow="-120" yWindow="-120" windowWidth="29040" windowHeight="15840" activeTab="22" xr2:uid="{B0383260-1E77-40E6-B64B-898DA6CDFBCE}"/>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UTSR checklist" sheetId="248" r:id="rId25"/>
    <sheet name="ITSR checklist" sheetId="247"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Review!$A$4:$M$203</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5">'ITSR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4">'UTSR checklist'!$A$5:$A$38</definedName>
    <definedName name="Review.ratings" localSheetId="12">'CMP checklist'!$C$5:$C$34</definedName>
    <definedName name="Review.ratings" localSheetId="23">'CODE checklist'!#REF!</definedName>
    <definedName name="Review.ratings" localSheetId="14">'ITP checklist'!$C$5:$C$26</definedName>
    <definedName name="Review.ratings" localSheetId="25">'ITSR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4">'UTSR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5">'ITSR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4">'UTSR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5">'ITSR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4">'UTSR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5">'ITSR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4">'UTSR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5">'ITSR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4">'UTSR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5">'ITSR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4">'UTSR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5">[1]!Table1[[#Headers],[Actions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4">[1]!Table1[[#Headers],[Actions
(description)]]</definedName>
    <definedName name="Title.Checklist.Guide.HowToRate" localSheetId="12">'CMP checklist'!$F$3</definedName>
    <definedName name="Title.Checklist.Guide.HowToRate" localSheetId="23">'CODE checklist'!$L$3</definedName>
    <definedName name="Title.Checklist.Guide.HowToRate" localSheetId="14">'ITP checklist'!$F$3</definedName>
    <definedName name="Title.Checklist.Guide.HowToRate" localSheetId="25">'ITSR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4">'UTSR checklist'!$H$3</definedName>
    <definedName name="Title.Checklist.Guide.WhatToCheck" localSheetId="12">'CMP checklist'!$E$3</definedName>
    <definedName name="Title.Checklist.Guide.WhatToCheck" localSheetId="23">'CODE checklist'!$K$3</definedName>
    <definedName name="Title.Checklist.Guide.WhatToCheck" localSheetId="14">'ITP checklist'!$E$3</definedName>
    <definedName name="Title.Checklist.Guide.WhatToCheck" localSheetId="25">'ITSR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4">'UTSR checklist'!$G$3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5">'ITSR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4">'UTSR checklist'!$B$36</definedName>
    <definedName name="Title.Checklist.NoteForAuditor" localSheetId="12">'CMP checklist'!$E$2</definedName>
    <definedName name="Title.Checklist.NoteForAuditor" localSheetId="23">'CODE checklist'!$K$2</definedName>
    <definedName name="Title.Checklist.NoteForAuditor" localSheetId="14">'ITP checklist'!$E$2</definedName>
    <definedName name="Title.Checklist.NoteForAuditor" localSheetId="25">'ITSR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4">'UTSR checklist'!$G$2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5">'ITSR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4">'UTSR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5">'ITSR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4">'UTSR checklist'!$A$2</definedName>
    <definedName name="Title.Checklist.Rate" localSheetId="12">'CMP checklist'!$C$2</definedName>
    <definedName name="Title.Checklist.Rate" localSheetId="23">'CODE checklist'!#REF!</definedName>
    <definedName name="Title.Checklist.Rate" localSheetId="14">'ITP checklist'!$C$2</definedName>
    <definedName name="Title.Checklist.Rate" localSheetId="25">'ITSR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4">'UTSR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5">'ITSR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4">'UTSR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14" i="42"/>
  <c r="E3" i="248"/>
  <c r="C3" i="245"/>
  <c r="I3" i="246"/>
  <c r="E12" i="42"/>
  <c r="E11" i="42"/>
  <c r="E10" i="42"/>
  <c r="H3" i="246"/>
  <c r="G3" i="246"/>
  <c r="D3" i="248"/>
  <c r="E9" i="42"/>
  <c r="C3" i="248"/>
  <c r="E8" i="42"/>
  <c r="E7" i="42"/>
  <c r="E7" i="38"/>
  <c r="AB7" i="38"/>
  <c r="AB5" i="38"/>
  <c r="W7" i="38"/>
  <c r="W5" i="38"/>
  <c r="F10" i="38"/>
  <c r="A7" i="38"/>
  <c r="A5" i="38"/>
  <c r="E4" i="42" l="1"/>
  <c r="E5" i="42"/>
  <c r="E6" i="42"/>
  <c r="F3" i="246"/>
  <c r="E3" i="246"/>
  <c r="C3" i="247"/>
  <c r="D3" i="246"/>
  <c r="C3" i="246"/>
  <c r="X27" i="16"/>
  <c r="W27" i="16"/>
  <c r="V27" i="16"/>
  <c r="U27" i="16"/>
  <c r="T27" i="16"/>
  <c r="S27" i="16"/>
  <c r="R27" i="16"/>
  <c r="Q27" i="16"/>
  <c r="P27" i="16"/>
  <c r="O27" i="16"/>
  <c r="N27" i="16"/>
  <c r="M27" i="16"/>
  <c r="L27" i="16"/>
  <c r="K27" i="16"/>
  <c r="J27" i="16"/>
  <c r="I27" i="16"/>
  <c r="H27" i="16"/>
  <c r="G27" i="16"/>
  <c r="F27" i="16"/>
  <c r="E27" i="16"/>
  <c r="E44" i="16"/>
  <c r="E37" i="16"/>
  <c r="A23" i="38" l="1"/>
  <c r="E3" i="42"/>
  <c r="C3" i="251" l="1"/>
  <c r="C3" i="250"/>
  <c r="C3" i="249"/>
  <c r="E3" i="245"/>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DBE20C6-1366-4307-8AA5-566077CBC4A4}">
      <text>
        <r>
          <rPr>
            <b/>
            <sz val="9"/>
            <color indexed="81"/>
            <rFont val="Tahoma"/>
            <family val="2"/>
          </rPr>
          <t>Overview :</t>
        </r>
        <r>
          <rPr>
            <sz val="9"/>
            <color indexed="81"/>
            <rFont val="Tahoma"/>
            <family val="2"/>
          </rPr>
          <t xml:space="preserve">
Pourcentage of "yes" answers out of applicable answers</t>
        </r>
      </text>
    </comment>
    <comment ref="D3" authorId="0" shapeId="0" xr:uid="{36F127F3-50D2-485C-B4DE-47AAF9AA6ED4}">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5993538F-204D-48A4-AF1E-C6BD41D2C706}">
      <text>
        <r>
          <rPr>
            <b/>
            <sz val="9"/>
            <color indexed="81"/>
            <rFont val="Tahoma"/>
            <family val="2"/>
          </rPr>
          <t>This cell must be blank</t>
        </r>
      </text>
    </comment>
    <comment ref="D35" authorId="0" shapeId="0" xr:uid="{E16A68E1-B534-4052-A7BC-1FBF4931CFB1}">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4E17E4-77BD-4045-9FFE-B8B2E8E5AD23}">
      <text>
        <r>
          <rPr>
            <b/>
            <sz val="9"/>
            <color indexed="81"/>
            <rFont val="Tahoma"/>
            <family val="2"/>
          </rPr>
          <t>Overview :</t>
        </r>
        <r>
          <rPr>
            <sz val="9"/>
            <color indexed="81"/>
            <rFont val="Tahoma"/>
            <family val="2"/>
          </rPr>
          <t xml:space="preserve">
Pourcentage of "yes" answers out of applicable answers</t>
        </r>
      </text>
    </comment>
    <comment ref="D3" authorId="0" shapeId="0" xr:uid="{6C307CFE-716F-43BB-BEA4-F67A03C4B25C}">
      <text>
        <r>
          <rPr>
            <b/>
            <sz val="9"/>
            <color indexed="81"/>
            <rFont val="Tahoma"/>
            <family val="2"/>
          </rPr>
          <t>Overview :</t>
        </r>
        <r>
          <rPr>
            <sz val="9"/>
            <color indexed="81"/>
            <rFont val="Tahoma"/>
            <family val="2"/>
          </rPr>
          <t xml:space="preserve">
Pourcentage of "yes" answers out of applicable answers</t>
        </r>
      </text>
    </comment>
    <comment ref="E3" authorId="0" shapeId="0" xr:uid="{F3DEC1D0-E109-44F2-808E-56102C974A08}">
      <text>
        <r>
          <rPr>
            <b/>
            <sz val="9"/>
            <color indexed="81"/>
            <rFont val="Tahoma"/>
            <family val="2"/>
          </rPr>
          <t>Overview :</t>
        </r>
        <r>
          <rPr>
            <sz val="9"/>
            <color indexed="81"/>
            <rFont val="Tahoma"/>
            <family val="2"/>
          </rPr>
          <t xml:space="preserve">
Pourcentage of "yes" answers out of applicable answers</t>
        </r>
      </text>
    </comment>
    <comment ref="F3" authorId="0" shapeId="0" xr:uid="{F62BE904-C3C1-448F-ACD9-E3694D93B32C}">
      <text>
        <r>
          <rPr>
            <b/>
            <sz val="9"/>
            <color indexed="81"/>
            <rFont val="Tahoma"/>
            <family val="2"/>
          </rPr>
          <t>Overview :</t>
        </r>
        <r>
          <rPr>
            <sz val="9"/>
            <color indexed="81"/>
            <rFont val="Tahoma"/>
            <family val="2"/>
          </rPr>
          <t xml:space="preserve">
Pourcentage of "yes" answers out of applicable answers</t>
        </r>
      </text>
    </comment>
    <comment ref="G3" authorId="0" shapeId="0" xr:uid="{B3A5AA55-B7BF-4D6B-A76E-3CD0EF6B2D6F}">
      <text>
        <r>
          <rPr>
            <b/>
            <sz val="9"/>
            <color indexed="81"/>
            <rFont val="Tahoma"/>
            <family val="2"/>
          </rPr>
          <t>Overview :</t>
        </r>
        <r>
          <rPr>
            <sz val="9"/>
            <color indexed="81"/>
            <rFont val="Tahoma"/>
            <family val="2"/>
          </rPr>
          <t xml:space="preserve">
Pourcentage of "yes" answers out of applicable answers</t>
        </r>
      </text>
    </comment>
    <comment ref="H3" authorId="0" shapeId="0" xr:uid="{EA513F33-B7D7-4359-A682-C342120C95BE}">
      <text>
        <r>
          <rPr>
            <b/>
            <sz val="9"/>
            <color indexed="81"/>
            <rFont val="Tahoma"/>
            <family val="2"/>
          </rPr>
          <t>Overview :</t>
        </r>
        <r>
          <rPr>
            <sz val="9"/>
            <color indexed="81"/>
            <rFont val="Tahoma"/>
            <family val="2"/>
          </rPr>
          <t xml:space="preserve">
Pourcentage of "yes" answers out of applicable answers</t>
        </r>
      </text>
    </comment>
    <comment ref="I3" authorId="0" shapeId="0" xr:uid="{8AA8A0F2-9E77-4A7D-8868-08D4EFDAD6EE}">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42027D3C-39F8-4B2B-AADC-B4F564B962BF}">
      <text>
        <r>
          <rPr>
            <b/>
            <sz val="9"/>
            <color indexed="81"/>
            <rFont val="Tahoma"/>
            <family val="2"/>
          </rPr>
          <t>This cell must be blank</t>
        </r>
      </text>
    </comment>
    <comment ref="D36" authorId="0" shapeId="0" xr:uid="{F81F3B68-8A47-426C-89A2-BD38324300EE}">
      <text>
        <r>
          <rPr>
            <b/>
            <sz val="9"/>
            <color indexed="81"/>
            <rFont val="Tahoma"/>
            <family val="2"/>
          </rPr>
          <t>This cell must be blank</t>
        </r>
      </text>
    </comment>
    <comment ref="E36" authorId="0" shapeId="0" xr:uid="{83A61751-DB12-4E28-A5A5-54726F2E60E5}">
      <text>
        <r>
          <rPr>
            <b/>
            <sz val="9"/>
            <color indexed="81"/>
            <rFont val="Tahoma"/>
            <family val="2"/>
          </rPr>
          <t>This cell must be blank</t>
        </r>
      </text>
    </comment>
    <comment ref="F36" authorId="0" shapeId="0" xr:uid="{7AF506BC-374F-4B4F-B1DF-59CDEB70AAA3}">
      <text>
        <r>
          <rPr>
            <b/>
            <sz val="9"/>
            <color indexed="81"/>
            <rFont val="Tahoma"/>
            <family val="2"/>
          </rPr>
          <t>This cell must be blank</t>
        </r>
      </text>
    </comment>
    <comment ref="G36" authorId="0" shapeId="0" xr:uid="{B9437118-378F-4848-AE7E-49D02AC589D5}">
      <text>
        <r>
          <rPr>
            <b/>
            <sz val="9"/>
            <color indexed="81"/>
            <rFont val="Tahoma"/>
            <family val="2"/>
          </rPr>
          <t>This cell must be blank</t>
        </r>
      </text>
    </comment>
    <comment ref="H36" authorId="0" shapeId="0" xr:uid="{2393ABC7-565D-4E78-B6B9-91C9972F1D4F}">
      <text>
        <r>
          <rPr>
            <b/>
            <sz val="9"/>
            <color indexed="81"/>
            <rFont val="Tahoma"/>
            <family val="2"/>
          </rPr>
          <t>This cell must be blank</t>
        </r>
      </text>
    </comment>
    <comment ref="I36" authorId="0" shapeId="0" xr:uid="{13CA13B4-B849-49FB-A159-CF72C10189B2}">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8CDE736D-16BE-4AF9-9EE1-F61BC3A9D227}">
      <text>
        <r>
          <rPr>
            <b/>
            <sz val="9"/>
            <color indexed="81"/>
            <rFont val="Tahoma"/>
            <family val="2"/>
          </rPr>
          <t>Overview :</t>
        </r>
        <r>
          <rPr>
            <sz val="9"/>
            <color indexed="81"/>
            <rFont val="Tahoma"/>
            <family val="2"/>
          </rPr>
          <t xml:space="preserve">
Pourcentage of "yes" answers out of applicable answers</t>
        </r>
      </text>
    </comment>
    <comment ref="D3" authorId="0" shapeId="0" xr:uid="{3E4702EC-0323-406B-9694-30EB1E6C4C40}">
      <text>
        <r>
          <rPr>
            <b/>
            <sz val="9"/>
            <color indexed="81"/>
            <rFont val="Tahoma"/>
            <family val="2"/>
          </rPr>
          <t>Overview :</t>
        </r>
        <r>
          <rPr>
            <sz val="9"/>
            <color indexed="81"/>
            <rFont val="Tahoma"/>
            <family val="2"/>
          </rPr>
          <t xml:space="preserve">
Pourcentage of "yes" answers out of applicable answers</t>
        </r>
      </text>
    </comment>
    <comment ref="E3" authorId="0" shapeId="0" xr:uid="{986A1191-D34B-467C-9605-D1A445AE39E5}">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E9C72C53-1495-45FB-ABB2-DE9E0B41B485}">
      <text>
        <r>
          <rPr>
            <b/>
            <sz val="9"/>
            <color indexed="81"/>
            <rFont val="Tahoma"/>
            <family val="2"/>
          </rPr>
          <t>This cell must be blank</t>
        </r>
      </text>
    </comment>
    <comment ref="D38" authorId="0" shapeId="0" xr:uid="{6C95B34F-7861-4A24-B197-3122276B483B}">
      <text>
        <r>
          <rPr>
            <b/>
            <sz val="9"/>
            <color indexed="81"/>
            <rFont val="Tahoma"/>
            <family val="2"/>
          </rPr>
          <t>This cell must be blank</t>
        </r>
      </text>
    </comment>
    <comment ref="E38" authorId="0" shapeId="0" xr:uid="{EE3E19A3-59A3-47D4-B0C4-978725772C7F}">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<sst xmlns="http://schemas.openxmlformats.org/spreadsheetml/2006/main" count="2280" uniqueCount="926">
  <si>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</si>
  <si>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</si>
  <si>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</si>
  <si>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</si>
  <si>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</si>
  <si>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</si>
  <si>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</si>
  <si>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</si>
  <si>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</si>
  <si>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</si>
  <si>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</si>
  <si>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</si>
  <si>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</si>
  <si>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</si>
  <si>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</si>
  <si>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</si>
  <si>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</si>
  <si>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</si>
  <si>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</si>
  <si>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</si>
  <si>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</si>
  <si>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</si>
  <si>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</si>
  <si>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</si>
  <si>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</si>
  <si>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</si>
  <si>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</si>
  <si>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</si>
  <si>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</si>
  <si>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</si>
  <si>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</si>
  <si>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</si>
  <si>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</si>
  <si>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</si>
  <si>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</si>
  <si>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</si>
  <si>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</si>
  <si>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</si>
  <si>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</si>
  <si>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</si>
  <si>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</si>
  <si>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</si>
  <si>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</si>
  <si>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</si>
  <si>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</si>
  <si>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</si>
  <si>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</si>
  <si>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</si>
  <si>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</si>
  <si>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</si>
  <si>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</si>
  <si>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</si>
  <si>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</si>
  <si>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</si>
  <si>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</si>
  <si>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</si>
  <si>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</si>
  <si>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</si>
  <si>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</si>
  <si>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</si>
  <si>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</si>
  <si>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</si>
  <si>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</si>
  <si>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</si>
  <si>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</si>
  <si>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</si>
  <si>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</si>
  <si>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</si>
  <si>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</si>
  <si>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</si>
  <si>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</si>
  <si>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</si>
  <si>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</si>
  <si>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</si>
  <si>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</si>
  <si>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</si>
  <si>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</si>
  <si>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</si>
  <si>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</si>
  <si>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</si>
  <si>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</si>
  <si>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</si>
  <si>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</si>
  <si>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</si>
  <si>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</si>
  <si>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</si>
  <si>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</si>
  <si>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</si>
  <si>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</si>
  <si>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</si>
  <si>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</si>
  <si>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</si>
  <si>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</si>
  <si>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</si>
  <si>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</si>
  <si>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</si>
  <si>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</si>
  <si>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</si>
  <si>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</si>
  <si>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</si>
  <si>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</si>
  <si>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</si>
  <si>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</si>
  <si>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</si>
  <si>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</si>
  <si>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</si>
  <si>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</si>
  <si>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</si>
  <si>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</si>
  <si>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</si>
  <si>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</si>
  <si>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</si>
  <si>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</si>
  <si>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</si>
  <si>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</si>
  <si>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</si>
  <si>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</si>
  <si>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</si>
  <si>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</si>
  <si>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</si>
  <si>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</si>
  <si>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</si>
  <si>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</si>
  <si>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</si>
  <si>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</si>
  <si>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</si>
  <si>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</si>
  <si>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</si>
  <si>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</si>
  <si>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</si>
  <si>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</si>
  <si>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</si>
  <si>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</si>
  <si>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</si>
  <si>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</si>
  <si>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</si>
  <si>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</si>
  <si>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</si>
  <si>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</si>
  <si>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</si>
  <si>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</si>
  <si>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</si>
  <si>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</si>
  <si>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</si>
  <si>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</si>
  <si>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</si>
  <si>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</si>
  <si>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</si>
  <si>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</si>
  <si>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</si>
  <si>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</si>
  <si>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</si>
  <si>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</si>
  <si>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</si>
  <si>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</si>
  <si>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</si>
  <si>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</si>
  <si>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</si>
  <si>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</si>
  <si>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</si>
  <si>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</si>
  <si>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</si>
  <si>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</si>
  <si>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</si>
  <si>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</si>
  <si>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</si>
  <si>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</si>
  <si>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</si>
  <si>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</si>
  <si>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</si>
  <si>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</si>
  <si>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</si>
  <si>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</si>
  <si>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</si>
  <si>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</si>
  <si>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</si>
  <si>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</si>
  <si>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</si>
  <si>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</si>
  <si>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</si>
  <si>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</si>
  <si>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</si>
  <si>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</si>
  <si>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</si>
  <si>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</si>
  <si>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</si>
  <si>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</si>
  <si>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</si>
  <si>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</si>
  <si>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</si>
  <si>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</si>
  <si>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</si>
  <si>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</si>
  <si>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</si>
  <si>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</si>
  <si>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</si>
  <si>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</si>
  <si>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</si>
  <si>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</si>
  <si>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</si>
  <si>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</si>
  <si>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</si>
  <si>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</si>
  <si>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</si>
  <si>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</si>
  <si>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</si>
  <si>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</si>
  <si>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</si>
  <si>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</si>
  <si>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</si>
  <si>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</si>
  <si>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</si>
  <si>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</si>
  <si>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</si>
  <si>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</si>
  <si>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</si>
  <si>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</si>
  <si>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</si>
  <si>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</si>
  <si>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</si>
  <si>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</si>
  <si>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</si>
  <si>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</si>
  <si>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</si>
  <si>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</si>
  <si>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</si>
  <si>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</si>
  <si>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</si>
  <si>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</si>
  <si>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</si>
  <si>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</si>
  <si>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</si>
  <si>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</si>
  <si>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</si>
  <si>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</si>
  <si>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</si>
  <si>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</si>
  <si>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</si>
  <si>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</si>
  <si>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</si>
  <si>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</si>
  <si>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</si>
  <si>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</si>
  <si>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</si>
  <si>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</si>
  <si>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</si>
  <si>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</si>
  <si>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</si>
  <si>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</si>
  <si>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</si>
  <si>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</si>
  <si>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</si>
  <si>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</si>
  <si>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</si>
  <si>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</si>
  <si>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</si>
  <si>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</si>
  <si>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</si>
  <si>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</si>
  <si>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</si>
  <si>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</si>
  <si>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</si>
  <si>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</si>
  <si>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</si>
  <si>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</si>
  <si>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</si>
  <si>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</si>
  <si>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</si>
  <si>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</si>
  <si>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</si>
  <si>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</si>
  <si>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</si>
  <si>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</si>
  <si>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</si>
  <si>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</si>
  <si>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</si>
  <si>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</si>
  <si>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</si>
  <si>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</si>
  <si>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</si>
  <si>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</si>
  <si>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</si>
  <si>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</si>
  <si>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</si>
  <si>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</si>
  <si>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</si>
  <si>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</si>
  <si>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</si>
  <si>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</si>
  <si>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</si>
  <si>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</si>
  <si>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</si>
  <si>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</si>
  <si>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</si>
  <si>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</si>
  <si>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</si>
  <si>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</si>
  <si>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</si>
  <si>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</si>
  <si>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</si>
  <si>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</si>
  <si>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</si>
  <si>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</si>
  <si>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</si>
  <si>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</si>
  <si>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</si>
  <si>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</si>
  <si>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</si>
  <si>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</si>
  <si>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</si>
  <si>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</si>
  <si>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</si>
  <si>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</si>
  <si>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</si>
  <si>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</si>
  <si>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</si>
  <si>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</si>
  <si>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</si>
  <si>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</si>
  <si>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</si>
  <si>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</si>
  <si>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</si>
  <si>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</si>
  <si>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</si>
  <si>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</si>
  <si>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</si>
  <si>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</si>
  <si>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</si>
  <si>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</si>
  <si>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</si>
  <si>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</si>
  <si>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</si>
  <si>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</si>
  <si>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</si>
  <si>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</si>
  <si>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</si>
  <si>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</si>
  <si>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</si>
  <si>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</si>
  <si>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</si>
  <si>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</si>
  <si>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</si>
  <si>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</si>
  <si>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</si>
  <si>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</si>
  <si>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</si>
  <si>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</si>
  <si>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</si>
  <si>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</si>
  <si>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</si>
  <si>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</si>
  <si>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</si>
  <si>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</si>
  <si>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</si>
  <si>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</si>
  <si>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</si>
  <si>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</si>
  <si>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</si>
  <si>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</si>
  <si>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</si>
  <si>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</si>
  <si>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</si>
  <si>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</si>
  <si>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</si>
  <si>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</si>
  <si>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</si>
  <si>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</si>
  <si>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</si>
  <si>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</si>
  <si>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</si>
  <si>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</si>
  <si>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</si>
  <si>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</si>
  <si>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</si>
  <si>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</si>
  <si>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</si>
  <si>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</si>
  <si>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</si>
  <si>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</si>
  <si>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</si>
  <si>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</si>
  <si>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</si>
  <si>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</si>
  <si>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</si>
  <si>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</si>
  <si>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</si>
  <si>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</si>
  <si>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</si>
  <si>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</si>
  <si>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</si>
  <si>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</si>
  <si>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</si>
  <si>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</si>
  <si>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</si>
  <si>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</si>
  <si>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</si>
  <si>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</si>
  <si>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</si>
  <si>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</si>
  <si>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</si>
  <si>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</si>
  <si>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</si>
  <si>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</si>
  <si>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</si>
  <si>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</si>
  <si>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</si>
  <si>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</si>
  <si>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</si>
  <si>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</si>
  <si>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</si>
  <si>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</si>
  <si>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</si>
  <si>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</si>
  <si>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</si>
  <si>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</si>
  <si>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</si>
  <si>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</si>
  <si>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</si>
  <si>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</si>
  <si>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</si>
  <si>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</si>
  <si>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</si>
  <si>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</si>
  <si>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</si>
  <si>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</si>
  <si>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</si>
  <si>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</si>
  <si>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</si>
  <si>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</si>
  <si>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</si>
  <si>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</si>
  <si>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</si>
  <si>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</si>
  <si>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</si>
  <si>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</si>
  <si>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</si>
  <si>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</si>
  <si>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</si>
  <si>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</si>
  <si>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</si>
  <si>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</si>
  <si>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</si>
  <si>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</si>
  <si>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</si>
  <si>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</si>
  <si>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</si>
  <si>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</si>
  <si>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</si>
  <si>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</si>
  <si>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</si>
  <si>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</si>
  <si>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</si>
  <si>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</si>
  <si>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</si>
  <si>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</si>
  <si>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</si>
  <si>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</si>
  <si>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</si>
  <si>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</si>
  <si>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</si>
  <si>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</si>
  <si>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</si>
  <si>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</si>
  <si>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</si>
  <si>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</si>
  <si>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</si>
  <si>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</si>
  <si>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</si>
  <si>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</si>
  <si>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</si>
  <si>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</si>
  <si>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</si>
  <si>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</si>
  <si>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</si>
  <si>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</si>
  <si>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</si>
  <si>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</si>
  <si>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</si>
  <si>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</si>
  <si>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</si>
  <si>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</si>
  <si>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</si>
  <si>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</si>
  <si>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</si>
  <si>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</si>
  <si>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</si>
  <si>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</si>
  <si>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</si>
  <si>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</si>
  <si>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</si>
  <si>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</si>
  <si>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</si>
  <si>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</si>
  <si>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</si>
  <si>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</si>
  <si>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</si>
  <si>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</si>
  <si>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</si>
  <si>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</si>
  <si>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</si>
  <si>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</si>
  <si>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</si>
  <si>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</si>
  <si>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</si>
  <si>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</si>
  <si>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</si>
  <si>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</si>
  <si>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</si>
  <si>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</si>
  <si>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</si>
  <si>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</si>
  <si>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</si>
  <si>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</si>
  <si>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</si>
  <si>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</si>
  <si>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</si>
  <si>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</si>
  <si>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</si>
  <si>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</si>
  <si>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</si>
  <si>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</si>
  <si>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</si>
  <si>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</si>
  <si>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</si>
  <si>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</si>
  <si>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</si>
  <si>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</si>
  <si>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</si>
  <si>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</si>
  <si>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</si>
  <si>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</si>
  <si>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</si>
  <si>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</si>
  <si>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</si>
  <si>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</si>
  <si>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</si>
  <si>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</si>
  <si>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</si>
  <si>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</si>
  <si>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</si>
  <si>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</si>
  <si>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</si>
  <si>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</si>
  <si>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</si>
  <si>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</si>
  <si>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</si>
  <si>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</si>
  <si>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</si>
  <si>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</si>
  <si>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</si>
  <si>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</si>
  <si>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</si>
  <si>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</si>
  <si>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</si>
  <si>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</si>
  <si>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</si>
  <si>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</si>
  <si>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</si>
  <si>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</si>
  <si>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</si>
  <si>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</si>
  <si>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</si>
  <si>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</si>
  <si>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</si>
  <si>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</si>
  <si>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</si>
  <si>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</si>
  <si>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</si>
  <si>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</si>
  <si>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</si>
  <si>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</si>
  <si>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</si>
  <si>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</si>
  <si>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</si>
  <si>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</si>
  <si>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</si>
  <si>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</si>
  <si>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</si>
  <si>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</si>
  <si>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</si>
  <si>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</si>
  <si>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</si>
  <si>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</si>
  <si>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</si>
  <si>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</si>
  <si>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</si>
  <si>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</si>
  <si>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</si>
  <si>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</si>
  <si>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</si>
  <si>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</si>
  <si>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</si>
  <si>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</si>
  <si>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</si>
  <si>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</si>
  <si>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</si>
  <si>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</si>
  <si>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</si>
  <si>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</si>
  <si>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</si>
  <si>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</si>
  <si>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</si>
  <si>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</si>
  <si>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</si>
  <si>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</si>
  <si>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</si>
  <si>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</si>
  <si>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</si>
  <si>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</si>
  <si>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</si>
  <si>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</si>
  <si>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</si>
  <si>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</si>
  <si>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</si>
  <si>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</si>
  <si>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</si>
  <si>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</si>
  <si>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</si>
  <si>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</si>
  <si>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</si>
  <si>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</si>
  <si>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</si>
  <si>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</si>
  <si>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</si>
  <si>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</si>
  <si>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</si>
  <si>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</si>
  <si>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</si>
  <si>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</si>
  <si>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</si>
  <si>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</si>
  <si>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</si>
  <si>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</si>
  <si>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</si>
  <si>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</si>
  <si>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</si>
  <si>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</si>
  <si>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</si>
  <si>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</si>
  <si>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</si>
  <si>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</si>
  <si>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</si>
  <si>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</si>
  <si>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</si>
  <si>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</si>
  <si>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</si>
  <si>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</si>
  <si>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</si>
  <si>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</si>
  <si>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</si>
  <si>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</si>
  <si>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</si>
  <si>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</si>
  <si>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</si>
  <si>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</si>
  <si>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</si>
  <si>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</si>
  <si>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</si>
  <si>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</si>
  <si>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</si>
  <si>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</si>
  <si>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</si>
  <si>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</si>
  <si>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</si>
  <si>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</si>
  <si>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</si>
  <si>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</si>
  <si>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</si>
  <si>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</si>
  <si>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</si>
  <si>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</si>
  <si>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</si>
  <si>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</si>
  <si>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</si>
  <si>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</si>
  <si>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</si>
  <si>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</si>
  <si>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</si>
  <si>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</si>
  <si>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</si>
  <si>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</si>
  <si>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</si>
  <si>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</si>
  <si>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</si>
  <si>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</si>
  <si>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</si>
  <si>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</si>
  <si>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</si>
  <si>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</si>
  <si>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</si>
  <si>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</si>
  <si>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</si>
  <si>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</si>
  <si>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</si>
  <si>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</si>
  <si>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</si>
  <si>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</si>
  <si>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</si>
  <si>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</si>
  <si>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</si>
  <si>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</si>
  <si>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</si>
  <si>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</si>
  <si>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</si>
  <si>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</si>
  <si>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</si>
  <si>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</si>
  <si>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</si>
  <si>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</si>
  <si>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</si>
  <si>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</si>
  <si>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</si>
  <si>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</si>
  <si>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</si>
  <si>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</si>
  <si>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</si>
  <si>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</si>
  <si>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</si>
  <si>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</si>
  <si>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</si>
  <si>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</si>
  <si>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</si>
  <si>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</si>
  <si>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</si>
  <si>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</si>
  <si>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</si>
  <si>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</si>
  <si>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</si>
  <si>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</si>
  <si>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</si>
  <si>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</si>
  <si>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</si>
  <si>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</si>
  <si>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</si>
  <si>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</si>
  <si>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</si>
  <si>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</si>
  <si>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</si>
  <si>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</si>
  <si>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</si>
  <si>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</si>
  <si>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</si>
  <si>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</si>
  <si>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</si>
  <si>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</si>
  <si>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</si>
  <si>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</si>
  <si>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</si>
  <si>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</si>
  <si>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</si>
  <si>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</si>
  <si>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</si>
  <si>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</si>
  <si>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</si>
  <si>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</si>
  <si>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</si>
  <si>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</si>
  <si>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</si>
  <si>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</si>
  <si>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</si>
  <si>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</si>
  <si>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</si>
  <si>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</si>
  <si>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</si>
  <si>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</si>
  <si>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</si>
  <si>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</si>
  <si>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</si>
  <si>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</si>
  <si>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</si>
  <si>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</si>
  <si>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</si>
  <si>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</si>
  <si>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</si>
  <si>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</si>
  <si>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</si>
  <si>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</si>
  <si>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</si>
  <si>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</si>
  <si>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</si>
  <si>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</si>
  <si>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</si>
  <si>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</si>
  <si>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</si>
  <si>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</si>
  <si>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</si>
  <si>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</si>
  <si>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</si>
  <si>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</si>
  <si>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</si>
  <si>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</si>
  <si>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</si>
  <si>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</si>
  <si>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</si>
  <si>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</si>
  <si>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</si>
  <si>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</si>
  <si>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</si>
  <si>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</si>
  <si>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</si>
  <si>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</si>
  <si>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</si>
  <si>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</si>
  <si>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</si>
  <si>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</si>
  <si>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</si>
  <si>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</si>
  <si>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</si>
  <si>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</si>
  <si>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</si>
  <si>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</si>
  <si>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</si>
  <si>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</si>
  <si>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</si>
  <si>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</si>
  <si>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</si>
  <si>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</si>
  <si>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</si>
  <si>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</si>
  <si>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</si>
  <si>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</si>
  <si>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</si>
  <si>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</si>
  <si>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</si>
  <si>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</si>
  <si>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</si>
  <si>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</si>
  <si>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</si>
  <si>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</si>
  <si>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</si>
  <si>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</si>
  <si>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</si>
  <si>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</si>
  <si>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</si>
  <si>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</si>
  <si>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</si>
  <si>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</si>
  <si>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</si>
  <si>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</si>
  <si>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</si>
  <si>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</si>
  <si>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</si>
  <si>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</si>
  <si>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</si>
  <si>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</si>
  <si>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</si>
  <si>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</si>
  <si>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</si>
  <si>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</si>
  <si>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</si>
  <si>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</si>
  <si>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</si>
  <si>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</si>
  <si>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</si>
  <si>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</si>
  <si>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</si>
  <si>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</si>
  <si>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</si>
  <si>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Lucian Ardeleanu</t>
  </si>
  <si>
    <t>Gabriel Brasoveanu</t>
  </si>
  <si>
    <t>PRWB</t>
  </si>
  <si>
    <t>1.1.8.4</t>
  </si>
  <si>
    <t>Vlad Chioveanu</t>
  </si>
  <si>
    <t>Ciprian Galbau</t>
  </si>
  <si>
    <t>Dan Dustinta</t>
  </si>
  <si>
    <t>Ciptian Galbau</t>
  </si>
  <si>
    <t>David Puscasu</t>
  </si>
  <si>
    <t>RteIf - Peer Review Workbook.xlsm</t>
  </si>
  <si>
    <t>RteIf.h</t>
  </si>
  <si>
    <t>Remove wrong memory sections.</t>
  </si>
  <si>
    <t>RteIf.c</t>
  </si>
  <si>
    <t>Add memory sections.</t>
  </si>
  <si>
    <t>RteIf.h - v1.1</t>
  </si>
  <si>
    <t>RteIf.c - v1.2</t>
  </si>
  <si>
    <t>14.02.2023</t>
  </si>
  <si>
    <t>RteIf.c - v 1.2</t>
  </si>
  <si>
    <t>r</t>
  </si>
  <si>
    <t>Review covered by 1.2 version</t>
  </si>
  <si>
    <t>Ioan Repede</t>
  </si>
  <si>
    <t>Memory sections removed.</t>
  </si>
  <si>
    <t>Memory sections added.</t>
  </si>
  <si>
    <t>No findings.</t>
  </si>
  <si>
    <t>RteIf.h - v1.2</t>
  </si>
  <si>
    <t>RteIf.c - v1.3</t>
  </si>
  <si>
    <t>24.02.2023</t>
  </si>
  <si>
    <t>Template not updated according with process</t>
  </si>
  <si>
    <t>The document was full scope checked</t>
  </si>
  <si>
    <t>Author name not completed</t>
  </si>
  <si>
    <t>Project number and name and the other fields from header not completed</t>
  </si>
  <si>
    <t>RteIf_SW_DetailedDesign.docx</t>
  </si>
  <si>
    <t>Add Overview and Treaceability descriptions</t>
  </si>
  <si>
    <t>RteIf_SW_DetailedDesign.docx - v1.1</t>
  </si>
  <si>
    <t>Open project no.1047503</t>
  </si>
  <si>
    <t>No additional questions</t>
  </si>
  <si>
    <t>eCS_MCC.RteIf.tmb</t>
  </si>
  <si>
    <t>Robert Hadadea</t>
  </si>
  <si>
    <t>eCS_MCC.RteIf.tmb - v1.1</t>
  </si>
  <si>
    <t>22.03.2023</t>
  </si>
  <si>
    <t>NA: no additional comments</t>
  </si>
  <si>
    <t>NA: only specification review</t>
  </si>
  <si>
    <t xml:space="preserve">NA: No HIL </t>
  </si>
  <si>
    <t>ecS_MCC.RteIf.tmb - v1.2</t>
  </si>
  <si>
    <t>10.04.2023</t>
  </si>
  <si>
    <t>eCS_MCC.RteIf.tmb - v1.2</t>
  </si>
  <si>
    <t>Code review between 1.3 and 1.7 is covered by this version</t>
  </si>
  <si>
    <t>RteIf.h - v1.3</t>
  </si>
  <si>
    <t>RteIf.c - v1.7</t>
  </si>
  <si>
    <t>27.06.2023</t>
  </si>
  <si>
    <t>RteIf.c - v1.8</t>
  </si>
  <si>
    <t>21.07.2023</t>
  </si>
  <si>
    <t>eCS_SW_Arhitecture.eapx - v1.3.1.1.1.24</t>
  </si>
  <si>
    <t>25.07.2023</t>
  </si>
  <si>
    <t>1.3.1.1.1.24</t>
  </si>
  <si>
    <t>eCS_SW_Arhitecture.eapx</t>
  </si>
  <si>
    <t>No findings</t>
  </si>
  <si>
    <t>Mihai Motoc</t>
  </si>
  <si>
    <t>eCS_MCC.RteIf.tmb - v1.3</t>
  </si>
  <si>
    <t>26.07.2023</t>
  </si>
  <si>
    <t>ecS_MCC.RteIf.tmb - v1.3</t>
  </si>
  <si>
    <t xml:space="preserve"> Alexandru Nastase</t>
  </si>
  <si>
    <t>Nastase Alexandru</t>
  </si>
  <si>
    <t>Adina Macaveiu</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</si>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</sst>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37">
    <xf numFmtId="0" fontId="0" fillId="0" borderId="0"/>
    <xf numFmtId="0" fontId="64" fillId="6" borderId="14" applyNumberFormat="0" applyAlignment="0" applyProtection="0"/>
    <xf numFmtId="0" fontId="65" fillId="0" borderId="0" applyNumberFormat="0" applyFill="0" applyBorder="0" applyAlignment="0" applyProtection="0"/>
    <xf numFmtId="0" fontId="32" fillId="0" borderId="0"/>
    <xf numFmtId="0" fontId="59" fillId="0" borderId="0"/>
    <xf numFmtId="0" fontId="63" fillId="0" borderId="0"/>
    <xf numFmtId="0" fontId="32" fillId="0" borderId="0"/>
    <xf numFmtId="0" fontId="39" fillId="0" borderId="0"/>
    <xf numFmtId="0" fontId="66" fillId="6" borderId="15" applyNumberFormat="0" applyAlignment="0" applyProtection="0"/>
    <xf numFmtId="0" fontId="31" fillId="0" borderId="0"/>
    <xf numFmtId="0" fontId="30" fillId="0" borderId="0"/>
    <xf numFmtId="0" fontId="29" fillId="0" borderId="0"/>
    <xf numFmtId="0" fontId="93" fillId="25" borderId="14" applyNumberFormat="0" applyAlignment="0" applyProtection="0"/>
    <xf numFmtId="0" fontId="94" fillId="26" borderId="0" applyNumberFormat="0" applyBorder="0" applyAlignment="0" applyProtection="0"/>
    <xf numFmtId="0" fontId="28" fillId="27" borderId="0" applyNumberFormat="0" applyBorder="0" applyAlignment="0" applyProtection="0"/>
    <xf numFmtId="0" fontId="32" fillId="0" borderId="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0" borderId="0"/>
    <xf numFmtId="0" fontId="94" fillId="33"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15" fillId="0" borderId="0" applyNumberFormat="0" applyFill="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cellStyleXfs>
  <cellXfs count="372">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3" fillId="3" borderId="12" xfId="0" applyFont="1" applyFill="1" applyBorder="1" applyAlignment="1">
      <alignment horizontal="center" wrapText="1"/>
    </xf>
    <xf numFmtId="0" fontId="0" fillId="2" borderId="0" xfId="0" applyFill="1" applyAlignment="1">
      <alignment horizontal="center"/>
    </xf>
    <xf numFmtId="0" fontId="3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2" fillId="0" borderId="1" xfId="0" applyFont="1" applyBorder="1" applyAlignment="1">
      <alignment vertical="center" wrapText="1"/>
    </xf>
    <xf numFmtId="0" fontId="32" fillId="3" borderId="1" xfId="0" applyFont="1" applyFill="1" applyBorder="1" applyAlignment="1">
      <alignment horizontal="center" vertical="center" wrapText="1"/>
    </xf>
    <xf numFmtId="0" fontId="32" fillId="2" borderId="0" xfId="0" applyFont="1" applyFill="1" applyBorder="1" applyAlignment="1">
      <alignment wrapText="1"/>
    </xf>
    <xf numFmtId="0" fontId="67" fillId="7" borderId="0" xfId="0" applyFont="1" applyFill="1" applyBorder="1" applyAlignment="1">
      <alignment horizontal="center" vertical="center" wrapText="1"/>
    </xf>
    <xf numFmtId="0" fontId="67" fillId="0" borderId="0" xfId="0" applyFont="1" applyFill="1" applyBorder="1" applyAlignment="1">
      <alignment horizontal="center" vertical="center" wrapText="1"/>
    </xf>
    <xf numFmtId="0" fontId="67" fillId="0" borderId="0" xfId="0" applyFont="1" applyFill="1" applyAlignment="1">
      <alignment vertical="center"/>
    </xf>
    <xf numFmtId="0" fontId="67" fillId="0" borderId="0" xfId="0" applyFont="1" applyFill="1" applyBorder="1" applyAlignment="1">
      <alignment vertical="center" wrapText="1"/>
    </xf>
    <xf numFmtId="0" fontId="54" fillId="2" borderId="2" xfId="0" applyFont="1" applyFill="1" applyBorder="1"/>
    <xf numFmtId="0" fontId="32" fillId="2" borderId="0" xfId="0" applyFont="1" applyFill="1" applyAlignment="1">
      <alignment horizontal="center"/>
    </xf>
    <xf numFmtId="0" fontId="0" fillId="8" borderId="0" xfId="0" applyFill="1" applyAlignment="1">
      <alignment horizontal="center"/>
    </xf>
    <xf numFmtId="0" fontId="32" fillId="2" borderId="1" xfId="0" applyFont="1" applyFill="1" applyBorder="1" applyAlignment="1">
      <alignment horizontal="center" wrapText="1"/>
    </xf>
    <xf numFmtId="0" fontId="32" fillId="2" borderId="1"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0" fillId="2" borderId="5" xfId="0" applyFill="1" applyBorder="1" applyAlignment="1">
      <alignment wrapText="1"/>
    </xf>
    <xf numFmtId="0" fontId="32" fillId="2" borderId="0" xfId="0" applyFont="1" applyFill="1" applyBorder="1"/>
    <xf numFmtId="0" fontId="33" fillId="9" borderId="1" xfId="0" applyFont="1" applyFill="1" applyBorder="1" applyAlignment="1">
      <alignment horizontal="center" vertical="center" wrapText="1"/>
    </xf>
    <xf numFmtId="0" fontId="32" fillId="2" borderId="10" xfId="0" applyFont="1" applyFill="1" applyBorder="1"/>
    <xf numFmtId="0" fontId="67"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2" fillId="8" borderId="0" xfId="0" applyFont="1" applyFill="1" applyBorder="1" applyAlignment="1">
      <alignment horizontal="center" vertical="center"/>
    </xf>
    <xf numFmtId="0" fontId="32" fillId="8" borderId="1" xfId="0" applyFont="1" applyFill="1" applyBorder="1" applyAlignment="1">
      <alignment horizontal="center" vertical="center"/>
    </xf>
    <xf numFmtId="0" fontId="32" fillId="13" borderId="1" xfId="0" applyFont="1" applyFill="1" applyBorder="1" applyAlignment="1">
      <alignment horizontal="center" vertical="center" wrapText="1"/>
    </xf>
    <xf numFmtId="0" fontId="32"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7" fillId="8" borderId="0" xfId="0" applyFont="1" applyFill="1" applyBorder="1" applyAlignment="1">
      <alignment horizontal="center" vertical="center" wrapText="1"/>
    </xf>
    <xf numFmtId="0" fontId="67" fillId="8" borderId="0" xfId="0" applyFont="1" applyFill="1" applyAlignment="1">
      <alignment horizontal="center" vertical="center" wrapText="1"/>
    </xf>
    <xf numFmtId="0" fontId="67"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5" fillId="14" borderId="1" xfId="0" applyFont="1" applyFill="1" applyBorder="1" applyAlignment="1">
      <alignment horizontal="center" vertical="center" wrapText="1"/>
    </xf>
    <xf numFmtId="0" fontId="67"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8" fillId="13" borderId="1" xfId="0" applyFont="1" applyFill="1" applyBorder="1" applyAlignment="1">
      <alignment horizontal="center" vertical="center" wrapText="1"/>
    </xf>
    <xf numFmtId="0" fontId="0" fillId="0" borderId="0" xfId="0" applyFill="1" applyBorder="1" applyAlignment="1">
      <alignment horizontal="center"/>
    </xf>
    <xf numFmtId="0" fontId="32" fillId="13" borderId="1" xfId="0" applyFont="1" applyFill="1" applyBorder="1" applyAlignment="1">
      <alignment horizontal="center" vertical="center"/>
    </xf>
    <xf numFmtId="0" fontId="0" fillId="13" borderId="1" xfId="0" applyFill="1" applyBorder="1" applyAlignment="1">
      <alignment horizontal="center" vertical="center"/>
    </xf>
    <xf numFmtId="0" fontId="32" fillId="2" borderId="5" xfId="0" applyFont="1" applyFill="1" applyBorder="1" applyAlignment="1">
      <alignment wrapText="1"/>
    </xf>
    <xf numFmtId="0" fontId="32" fillId="10" borderId="0" xfId="0" applyFont="1" applyFill="1" applyBorder="1" applyAlignment="1">
      <alignment horizontal="left" vertical="center"/>
    </xf>
    <xf numFmtId="0" fontId="32" fillId="12" borderId="0" xfId="0" applyFont="1" applyFill="1" applyBorder="1" applyAlignment="1">
      <alignment horizontal="left" vertical="center"/>
    </xf>
    <xf numFmtId="0" fontId="32" fillId="15" borderId="0" xfId="0" applyFont="1" applyFill="1" applyBorder="1" applyAlignment="1">
      <alignment horizontal="left" vertical="center"/>
    </xf>
    <xf numFmtId="0" fontId="32" fillId="13" borderId="0" xfId="0" applyFont="1" applyFill="1" applyBorder="1" applyAlignment="1">
      <alignment horizontal="left" vertical="center"/>
    </xf>
    <xf numFmtId="0" fontId="32" fillId="2" borderId="1" xfId="0" applyFont="1" applyFill="1" applyBorder="1"/>
    <xf numFmtId="0" fontId="32" fillId="0" borderId="1" xfId="0" applyFont="1" applyBorder="1" applyAlignment="1">
      <alignment horizontal="center" vertical="center"/>
    </xf>
    <xf numFmtId="0" fontId="0" fillId="2" borderId="0" xfId="0" applyFill="1" applyAlignment="1">
      <alignment horizontal="center" wrapText="1"/>
    </xf>
    <xf numFmtId="0" fontId="32" fillId="3" borderId="12" xfId="0" applyFont="1" applyFill="1" applyBorder="1" applyAlignment="1">
      <alignment horizontal="center" vertical="center" wrapText="1"/>
    </xf>
    <xf numFmtId="0" fontId="64" fillId="6" borderId="1" xfId="1" applyFont="1" applyBorder="1" applyAlignment="1">
      <alignment horizontal="center"/>
    </xf>
    <xf numFmtId="0" fontId="68" fillId="6" borderId="15" xfId="8" applyFont="1" applyAlignment="1">
      <alignment horizontal="center"/>
    </xf>
    <xf numFmtId="0" fontId="68" fillId="6" borderId="17" xfId="8" applyFont="1" applyBorder="1" applyAlignment="1">
      <alignment horizontal="center"/>
    </xf>
    <xf numFmtId="0" fontId="64" fillId="6" borderId="1" xfId="1" applyBorder="1" applyAlignment="1">
      <alignment horizontal="center" vertical="center"/>
    </xf>
    <xf numFmtId="0" fontId="32" fillId="2" borderId="1" xfId="0" applyFont="1" applyFill="1" applyBorder="1" applyAlignment="1">
      <alignment horizontal="center"/>
    </xf>
    <xf numFmtId="0" fontId="32"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2" fillId="2" borderId="8" xfId="0" applyFont="1" applyFill="1" applyBorder="1" applyAlignment="1">
      <alignment wrapText="1" shrinkToFit="1"/>
    </xf>
    <xf numFmtId="0" fontId="32" fillId="2" borderId="0" xfId="0" applyFont="1" applyFill="1"/>
    <xf numFmtId="0" fontId="32" fillId="2" borderId="0" xfId="0" applyFont="1" applyFill="1" applyAlignment="1">
      <alignment vertical="top"/>
    </xf>
    <xf numFmtId="0" fontId="32" fillId="0" borderId="0" xfId="3" applyAlignment="1">
      <alignment vertical="center"/>
    </xf>
    <xf numFmtId="0" fontId="36" fillId="0" borderId="0" xfId="3" applyFont="1" applyAlignment="1">
      <alignment vertical="center" wrapText="1"/>
    </xf>
    <xf numFmtId="164" fontId="36" fillId="0" borderId="0" xfId="3" applyNumberFormat="1" applyFont="1" applyAlignment="1">
      <alignment horizontal="center" vertical="center" wrapText="1"/>
    </xf>
    <xf numFmtId="20" fontId="36" fillId="0" borderId="0" xfId="3" applyNumberFormat="1" applyFont="1" applyAlignment="1">
      <alignment vertical="center" wrapText="1"/>
    </xf>
    <xf numFmtId="0" fontId="36" fillId="0" borderId="0" xfId="3" applyFont="1" applyAlignment="1">
      <alignment horizontal="left" vertical="center" wrapText="1"/>
    </xf>
    <xf numFmtId="0" fontId="69" fillId="0" borderId="0" xfId="3" quotePrefix="1" applyFont="1" applyAlignment="1">
      <alignment horizontal="right" vertical="center"/>
    </xf>
    <xf numFmtId="0" fontId="37" fillId="0" borderId="0" xfId="3" applyFont="1" applyAlignment="1">
      <alignment horizontal="left" vertical="center" wrapText="1"/>
    </xf>
    <xf numFmtId="0" fontId="32" fillId="0" borderId="0" xfId="3" applyAlignment="1">
      <alignment vertical="center" shrinkToFit="1"/>
    </xf>
    <xf numFmtId="0" fontId="71" fillId="0" borderId="0" xfId="3" applyFont="1" applyAlignment="1">
      <alignment horizontal="left" vertical="center" shrinkToFit="1"/>
    </xf>
    <xf numFmtId="0" fontId="33" fillId="0" borderId="0" xfId="3" applyFont="1" applyAlignment="1">
      <alignment horizontal="left" vertical="center" shrinkToFit="1"/>
    </xf>
    <xf numFmtId="0" fontId="32" fillId="0" borderId="0" xfId="3" applyAlignment="1" applyProtection="1">
      <alignment vertical="center"/>
      <protection locked="0"/>
    </xf>
    <xf numFmtId="0" fontId="32" fillId="0" borderId="0" xfId="3" applyAlignment="1" applyProtection="1">
      <alignment vertical="center" shrinkToFit="1"/>
      <protection locked="0"/>
    </xf>
    <xf numFmtId="0" fontId="76" fillId="0" borderId="2" xfId="3" applyFont="1" applyBorder="1" applyAlignment="1" applyProtection="1">
      <alignment horizontal="left" vertical="center" wrapText="1" shrinkToFit="1"/>
      <protection locked="0"/>
    </xf>
    <xf numFmtId="0" fontId="77" fillId="0" borderId="0" xfId="3" applyFont="1" applyAlignment="1" applyProtection="1">
      <alignment horizontal="left" vertical="center" shrinkToFit="1"/>
      <protection locked="0"/>
    </xf>
    <xf numFmtId="0" fontId="76" fillId="0" borderId="0" xfId="3" applyFont="1" applyAlignment="1" applyProtection="1">
      <alignment horizontal="left" vertical="center" wrapText="1" shrinkToFit="1"/>
      <protection locked="0"/>
    </xf>
    <xf numFmtId="0" fontId="77" fillId="0" borderId="3" xfId="3" applyFont="1" applyBorder="1" applyAlignment="1" applyProtection="1">
      <alignment horizontal="left" vertical="center" shrinkToFit="1"/>
      <protection locked="0"/>
    </xf>
    <xf numFmtId="0" fontId="80" fillId="0" borderId="0" xfId="3" applyFont="1" applyAlignment="1" applyProtection="1">
      <alignment vertical="center"/>
      <protection locked="0"/>
    </xf>
    <xf numFmtId="0" fontId="81" fillId="0" borderId="0" xfId="3" applyFont="1" applyAlignment="1" applyProtection="1">
      <alignment horizontal="center" vertical="center"/>
      <protection locked="0"/>
    </xf>
    <xf numFmtId="0" fontId="31" fillId="8" borderId="0" xfId="9" applyFill="1"/>
    <xf numFmtId="0" fontId="82" fillId="0" borderId="0" xfId="3" applyFont="1" applyAlignment="1">
      <alignment horizontal="right" vertical="center"/>
    </xf>
    <xf numFmtId="0" fontId="83" fillId="0" borderId="18" xfId="3" applyFont="1" applyBorder="1" applyAlignment="1" applyProtection="1">
      <alignment vertical="center"/>
      <protection locked="0"/>
    </xf>
    <xf numFmtId="0" fontId="32" fillId="0" borderId="18" xfId="3" applyBorder="1" applyAlignment="1" applyProtection="1">
      <alignment vertical="center"/>
      <protection locked="0"/>
    </xf>
    <xf numFmtId="0" fontId="84" fillId="0" borderId="0" xfId="3" applyFont="1" applyAlignment="1" applyProtection="1">
      <alignment horizontal="left" vertical="center"/>
      <protection locked="0"/>
    </xf>
    <xf numFmtId="0" fontId="41" fillId="0" borderId="0" xfId="3" applyFont="1" applyAlignment="1" applyProtection="1">
      <alignment horizontal="left" vertical="center"/>
      <protection locked="0"/>
    </xf>
    <xf numFmtId="0" fontId="62" fillId="0" borderId="0" xfId="3" applyFont="1" applyAlignment="1" applyProtection="1">
      <alignment vertical="center"/>
      <protection locked="0"/>
    </xf>
    <xf numFmtId="0" fontId="33" fillId="0" borderId="0" xfId="3" applyFont="1" applyAlignment="1" applyProtection="1">
      <alignment vertical="center"/>
      <protection locked="0"/>
    </xf>
    <xf numFmtId="49" fontId="85" fillId="0" borderId="0" xfId="3" applyNumberFormat="1" applyFont="1" applyAlignment="1" applyProtection="1">
      <alignment horizontal="left" vertical="center"/>
      <protection locked="0"/>
    </xf>
    <xf numFmtId="49" fontId="32" fillId="0" borderId="0" xfId="3" applyNumberFormat="1" applyAlignment="1">
      <alignment horizontal="center" vertical="center" wrapText="1"/>
    </xf>
    <xf numFmtId="49" fontId="32" fillId="0" borderId="0" xfId="3" applyNumberFormat="1" applyAlignment="1" applyProtection="1">
      <alignment horizontal="left" vertical="center" wrapText="1"/>
      <protection locked="0"/>
    </xf>
    <xf numFmtId="49" fontId="32" fillId="0" borderId="0" xfId="3" applyNumberFormat="1" applyAlignment="1">
      <alignment horizontal="left" vertical="center" wrapText="1"/>
    </xf>
    <xf numFmtId="14" fontId="32" fillId="0" borderId="0" xfId="3" applyNumberFormat="1" applyAlignment="1" applyProtection="1">
      <alignment vertical="center"/>
      <protection locked="0"/>
    </xf>
    <xf numFmtId="0" fontId="86" fillId="0" borderId="0" xfId="3" applyFont="1" applyAlignment="1" applyProtection="1">
      <alignment horizontal="left" vertical="center"/>
      <protection locked="0"/>
    </xf>
    <xf numFmtId="0" fontId="32" fillId="0" borderId="0" xfId="3" applyAlignment="1">
      <alignment horizontal="left" vertical="center" wrapText="1"/>
    </xf>
    <xf numFmtId="0" fontId="83" fillId="0" borderId="5" xfId="3" applyFont="1" applyBorder="1" applyAlignment="1" applyProtection="1">
      <alignment vertical="center"/>
      <protection locked="0"/>
    </xf>
    <xf numFmtId="49" fontId="32" fillId="0" borderId="5" xfId="3" applyNumberFormat="1" applyBorder="1" applyAlignment="1" applyProtection="1">
      <alignment horizontal="left" vertical="center" wrapText="1"/>
      <protection locked="0"/>
    </xf>
    <xf numFmtId="0" fontId="32" fillId="0" borderId="5" xfId="3" applyBorder="1" applyAlignment="1">
      <alignment horizontal="left" vertical="center" wrapText="1"/>
    </xf>
    <xf numFmtId="0" fontId="83" fillId="0" borderId="0" xfId="3" applyFont="1" applyAlignment="1" applyProtection="1">
      <alignment vertical="center"/>
      <protection locked="0"/>
    </xf>
    <xf numFmtId="49" fontId="32" fillId="0" borderId="0" xfId="3" applyNumberFormat="1" applyAlignment="1" applyProtection="1">
      <alignment horizontal="left" vertical="center"/>
      <protection locked="0"/>
    </xf>
    <xf numFmtId="0" fontId="32" fillId="0" borderId="0" xfId="3" applyAlignment="1">
      <alignment horizontal="left" vertical="center"/>
    </xf>
    <xf numFmtId="0" fontId="33" fillId="2" borderId="1" xfId="0" applyNumberFormat="1" applyFont="1" applyFill="1" applyBorder="1" applyAlignment="1">
      <alignment horizontal="center" vertical="center"/>
    </xf>
    <xf numFmtId="0" fontId="32" fillId="21" borderId="0" xfId="0" applyFont="1" applyFill="1" applyBorder="1" applyAlignment="1">
      <alignment horizontal="left" vertical="top" wrapText="1"/>
    </xf>
    <xf numFmtId="0" fontId="32" fillId="21" borderId="0" xfId="0" applyFont="1" applyFill="1" applyBorder="1" applyAlignment="1">
      <alignment wrapText="1"/>
    </xf>
    <xf numFmtId="0" fontId="0" fillId="21" borderId="0" xfId="0" applyFill="1" applyBorder="1" applyAlignment="1">
      <alignment wrapText="1"/>
    </xf>
    <xf numFmtId="0" fontId="32" fillId="9" borderId="0" xfId="0" applyFont="1" applyFill="1" applyBorder="1" applyAlignment="1">
      <alignment wrapText="1"/>
    </xf>
    <xf numFmtId="0" fontId="0" fillId="9" borderId="0" xfId="0" applyFill="1" applyBorder="1" applyAlignment="1">
      <alignment wrapText="1"/>
    </xf>
    <xf numFmtId="0" fontId="32" fillId="2" borderId="2" xfId="0" applyFont="1" applyFill="1" applyBorder="1" applyAlignment="1">
      <alignment horizontal="right"/>
    </xf>
    <xf numFmtId="0" fontId="0" fillId="2" borderId="4" xfId="0" applyFill="1" applyBorder="1" applyAlignment="1">
      <alignment horizontal="right"/>
    </xf>
    <xf numFmtId="0" fontId="29" fillId="0" borderId="0" xfId="11"/>
    <xf numFmtId="0" fontId="35" fillId="10" borderId="1" xfId="0" applyFont="1" applyFill="1" applyBorder="1" applyAlignment="1">
      <alignment horizontal="center" vertical="center" wrapText="1"/>
    </xf>
    <xf numFmtId="0" fontId="95" fillId="12" borderId="1" xfId="0" applyFont="1" applyFill="1" applyBorder="1" applyAlignment="1">
      <alignment horizontal="center" vertical="center" wrapText="1"/>
    </xf>
    <xf numFmtId="0" fontId="35" fillId="11" borderId="1" xfId="0" applyFont="1" applyFill="1" applyBorder="1" applyAlignment="1">
      <alignment horizontal="center" vertical="center" wrapText="1"/>
    </xf>
    <xf numFmtId="14" fontId="35" fillId="11" borderId="1" xfId="0" applyNumberFormat="1" applyFont="1" applyFill="1" applyBorder="1" applyAlignment="1">
      <alignment horizontal="center" vertical="center" wrapText="1"/>
    </xf>
    <xf numFmtId="0" fontId="56" fillId="8" borderId="0" xfId="0" applyFont="1" applyFill="1" applyAlignment="1">
      <alignment horizontal="center" vertical="center"/>
    </xf>
    <xf numFmtId="0" fontId="56" fillId="8" borderId="0" xfId="0" applyFont="1" applyFill="1" applyAlignment="1">
      <alignment vertical="center"/>
    </xf>
    <xf numFmtId="0" fontId="56" fillId="0" borderId="0" xfId="0" applyFont="1" applyAlignment="1">
      <alignment vertical="center"/>
    </xf>
    <xf numFmtId="0" fontId="35" fillId="0" borderId="0" xfId="0" applyFont="1" applyFill="1" applyAlignment="1">
      <alignment vertical="center"/>
    </xf>
    <xf numFmtId="0" fontId="97" fillId="29" borderId="20" xfId="14" applyFont="1" applyFill="1" applyBorder="1" applyAlignment="1" applyProtection="1">
      <alignment horizontal="center" vertical="center" wrapText="1"/>
      <protection locked="0"/>
    </xf>
    <xf numFmtId="0" fontId="98" fillId="13" borderId="20" xfId="14" applyFont="1" applyFill="1" applyBorder="1" applyAlignment="1" applyProtection="1">
      <alignment horizontal="center" vertical="center" wrapText="1"/>
    </xf>
    <xf numFmtId="0" fontId="97" fillId="7" borderId="1" xfId="14" applyFont="1" applyFill="1" applyBorder="1" applyAlignment="1">
      <alignment horizontal="left" vertical="center"/>
    </xf>
    <xf numFmtId="0" fontId="93" fillId="25" borderId="14" xfId="12" applyAlignment="1">
      <alignment horizontal="center" vertical="center"/>
    </xf>
    <xf numFmtId="0" fontId="97" fillId="7" borderId="1" xfId="14" applyFont="1" applyFill="1" applyBorder="1" applyAlignment="1">
      <alignment horizontal="center" vertical="center"/>
    </xf>
    <xf numFmtId="0" fontId="32" fillId="5" borderId="0" xfId="15" applyFill="1" applyAlignment="1">
      <alignment vertical="center"/>
    </xf>
    <xf numFmtId="0" fontId="32" fillId="5" borderId="0" xfId="15" applyFill="1" applyAlignment="1">
      <alignment vertical="center" wrapText="1"/>
    </xf>
    <xf numFmtId="0" fontId="32" fillId="0" borderId="1" xfId="3" applyBorder="1" applyAlignment="1">
      <alignment vertical="center"/>
    </xf>
    <xf numFmtId="0" fontId="34" fillId="5" borderId="0" xfId="15" applyFont="1" applyFill="1" applyAlignment="1">
      <alignment vertical="center"/>
    </xf>
    <xf numFmtId="0" fontId="72" fillId="30" borderId="10" xfId="15" applyFont="1" applyFill="1" applyBorder="1" applyAlignment="1">
      <alignment vertical="center"/>
    </xf>
    <xf numFmtId="0" fontId="103" fillId="30" borderId="19" xfId="15" applyFont="1" applyFill="1" applyBorder="1" applyAlignment="1">
      <alignment vertical="center" wrapText="1"/>
    </xf>
    <xf numFmtId="0" fontId="32" fillId="5" borderId="1" xfId="15" applyFill="1" applyBorder="1" applyAlignment="1">
      <alignment vertical="center"/>
    </xf>
    <xf numFmtId="0" fontId="104" fillId="5" borderId="1" xfId="15" applyFont="1" applyFill="1" applyBorder="1" applyAlignment="1">
      <alignment horizontal="center" vertical="center"/>
    </xf>
    <xf numFmtId="0" fontId="32" fillId="5" borderId="1" xfId="15" applyFill="1" applyBorder="1" applyAlignment="1">
      <alignment vertical="center" wrapText="1"/>
    </xf>
    <xf numFmtId="0" fontId="72" fillId="31" borderId="10" xfId="15" applyFont="1" applyFill="1" applyBorder="1" applyAlignment="1">
      <alignment vertical="center"/>
    </xf>
    <xf numFmtId="0" fontId="42" fillId="31" borderId="8" xfId="15" applyFont="1" applyFill="1" applyBorder="1" applyAlignment="1">
      <alignment horizontal="center" vertical="center" wrapText="1"/>
    </xf>
    <xf numFmtId="0" fontId="103" fillId="31" borderId="19" xfId="15" applyFont="1" applyFill="1" applyBorder="1" applyAlignment="1">
      <alignment vertical="center" wrapText="1"/>
    </xf>
    <xf numFmtId="0" fontId="103" fillId="31" borderId="11" xfId="15" applyFont="1" applyFill="1" applyBorder="1" applyAlignment="1">
      <alignment vertical="center" wrapText="1"/>
    </xf>
    <xf numFmtId="0" fontId="42" fillId="30" borderId="19" xfId="15" applyFont="1" applyFill="1" applyBorder="1" applyAlignment="1">
      <alignment vertical="center" wrapText="1"/>
    </xf>
    <xf numFmtId="0" fontId="0" fillId="0" borderId="0" xfId="0" applyAlignment="1" applyProtection="1">
      <alignment vertical="center"/>
      <protection locked="0"/>
    </xf>
    <xf numFmtId="0" fontId="84" fillId="0" borderId="0" xfId="0" applyFont="1" applyAlignment="1" applyProtection="1">
      <alignment horizontal="left" vertical="center"/>
      <protection locked="0"/>
    </xf>
    <xf numFmtId="0" fontId="32" fillId="0" borderId="1" xfId="15" applyBorder="1" applyAlignment="1">
      <alignment vertical="center" wrapText="1"/>
    </xf>
    <xf numFmtId="0" fontId="111" fillId="32" borderId="21" xfId="3" applyFont="1" applyFill="1" applyBorder="1" applyAlignment="1" applyProtection="1">
      <alignment horizontal="center" vertical="center" textRotation="45" wrapText="1"/>
      <protection locked="0"/>
    </xf>
    <xf numFmtId="0" fontId="32" fillId="0" borderId="0" xfId="3"/>
    <xf numFmtId="0" fontId="32" fillId="0" borderId="1" xfId="3" applyBorder="1" applyAlignment="1" applyProtection="1">
      <alignment horizontal="center" vertical="center"/>
      <protection locked="0"/>
    </xf>
    <xf numFmtId="0" fontId="32" fillId="0" borderId="1" xfId="3" applyBorder="1" applyAlignment="1">
      <alignment vertical="center" wrapText="1"/>
    </xf>
    <xf numFmtId="0" fontId="32" fillId="0" borderId="20" xfId="3" applyBorder="1" applyAlignment="1" applyProtection="1">
      <alignment horizontal="center" vertical="center"/>
      <protection locked="0"/>
    </xf>
    <xf numFmtId="0" fontId="32" fillId="0" borderId="1" xfId="3" applyBorder="1" applyAlignment="1" applyProtection="1">
      <alignment wrapText="1"/>
      <protection locked="0"/>
    </xf>
    <xf numFmtId="0" fontId="32" fillId="0" borderId="1" xfId="3" applyBorder="1" applyAlignment="1" applyProtection="1">
      <alignment horizontal="center" vertical="center" wrapText="1"/>
      <protection locked="0"/>
    </xf>
    <xf numFmtId="0" fontId="32" fillId="0" borderId="0" xfId="3" applyAlignment="1" applyProtection="1">
      <alignment horizontal="center" vertical="center"/>
      <protection locked="0"/>
    </xf>
    <xf numFmtId="0" fontId="32" fillId="0" borderId="0" xfId="3" applyAlignment="1" applyProtection="1">
      <alignment wrapText="1"/>
      <protection locked="0"/>
    </xf>
    <xf numFmtId="0" fontId="32" fillId="0" borderId="0" xfId="3" applyAlignment="1" applyProtection="1">
      <alignment horizontal="center" vertical="center" wrapText="1"/>
      <protection locked="0"/>
    </xf>
    <xf numFmtId="0" fontId="110" fillId="0" borderId="0" xfId="3" applyFont="1" applyAlignment="1">
      <alignment textRotation="45"/>
    </xf>
    <xf numFmtId="0" fontId="32" fillId="0" borderId="28" xfId="3" applyBorder="1" applyAlignment="1">
      <alignment horizontal="center"/>
    </xf>
    <xf numFmtId="0" fontId="32" fillId="0" borderId="29" xfId="3" applyBorder="1"/>
    <xf numFmtId="0" fontId="32" fillId="0" borderId="29" xfId="3" applyBorder="1" applyAlignment="1">
      <alignment horizontal="center"/>
    </xf>
    <xf numFmtId="0" fontId="32" fillId="0" borderId="28" xfId="3" applyBorder="1"/>
    <xf numFmtId="0" fontId="32" fillId="0" borderId="0" xfId="3" applyAlignment="1">
      <alignment horizontal="center"/>
    </xf>
    <xf numFmtId="0" fontId="32" fillId="0" borderId="30" xfId="3" applyBorder="1"/>
    <xf numFmtId="0" fontId="94" fillId="33" borderId="26" xfId="28" applyBorder="1" applyAlignment="1">
      <alignment horizontal="center" vertical="center" textRotation="45" wrapText="1"/>
    </xf>
    <xf numFmtId="0" fontId="94" fillId="33" borderId="27" xfId="28" applyBorder="1" applyAlignment="1">
      <alignment horizontal="center" vertical="center" textRotation="45" wrapText="1"/>
    </xf>
    <xf numFmtId="0" fontId="94" fillId="33" borderId="21" xfId="28" applyBorder="1" applyAlignment="1" applyProtection="1">
      <alignment horizontal="center" vertical="center" textRotation="45" wrapText="1"/>
      <protection locked="0"/>
    </xf>
    <xf numFmtId="0" fontId="94" fillId="33" borderId="22" xfId="28" applyBorder="1" applyAlignment="1" applyProtection="1">
      <alignment horizontal="center" vertical="center" textRotation="45" wrapText="1"/>
      <protection locked="0"/>
    </xf>
    <xf numFmtId="0" fontId="94" fillId="33" borderId="1" xfId="28" applyBorder="1" applyAlignment="1" applyProtection="1">
      <alignment horizontal="center" vertical="center" textRotation="45" wrapText="1"/>
      <protection locked="0"/>
    </xf>
    <xf numFmtId="0" fontId="94" fillId="33" borderId="23" xfId="28" applyBorder="1" applyAlignment="1" applyProtection="1">
      <alignment horizontal="center" vertical="center" textRotation="45" wrapText="1"/>
      <protection locked="0"/>
    </xf>
    <xf numFmtId="0" fontId="94" fillId="33" borderId="24" xfId="28" applyBorder="1" applyAlignment="1" applyProtection="1">
      <alignment horizontal="center" vertical="center" textRotation="45" wrapText="1"/>
      <protection locked="0"/>
    </xf>
    <xf numFmtId="0" fontId="94" fillId="33" borderId="25" xfId="28" applyBorder="1" applyAlignment="1" applyProtection="1">
      <alignment horizontal="center" vertical="center" textRotation="45" wrapText="1"/>
      <protection locked="0"/>
    </xf>
    <xf numFmtId="0" fontId="94" fillId="33" borderId="1" xfId="28" applyBorder="1" applyAlignment="1">
      <alignment horizontal="center" vertical="center"/>
    </xf>
    <xf numFmtId="0" fontId="112" fillId="0" borderId="2" xfId="0" applyFont="1" applyBorder="1" applyAlignment="1">
      <alignment horizontal="right" vertical="center"/>
    </xf>
    <xf numFmtId="0" fontId="114" fillId="0" borderId="0" xfId="0" applyFont="1" applyBorder="1" applyAlignment="1">
      <alignment wrapText="1"/>
    </xf>
    <xf numFmtId="0" fontId="94" fillId="7" borderId="1" xfId="14" applyFont="1" applyFill="1" applyBorder="1" applyAlignment="1">
      <alignment horizontal="center" vertical="center"/>
    </xf>
    <xf numFmtId="0" fontId="115" fillId="8" borderId="0" xfId="31" applyFill="1" applyAlignment="1">
      <alignment horizontal="center" wrapText="1"/>
    </xf>
    <xf numFmtId="0" fontId="35" fillId="3" borderId="12" xfId="0" applyFont="1" applyFill="1" applyBorder="1" applyAlignment="1">
      <alignment horizontal="center" vertical="center" wrapText="1"/>
    </xf>
    <xf numFmtId="0" fontId="35" fillId="3" borderId="16" xfId="0" applyFont="1" applyFill="1" applyBorder="1" applyAlignment="1">
      <alignment horizontal="center" vertical="center" wrapText="1"/>
    </xf>
    <xf numFmtId="0" fontId="35" fillId="3" borderId="1" xfId="0" applyFont="1" applyFill="1" applyBorder="1" applyAlignment="1">
      <alignment horizontal="center" vertical="center" wrapText="1"/>
    </xf>
    <xf numFmtId="0" fontId="64" fillId="6" borderId="16" xfId="1" applyFont="1" applyBorder="1" applyAlignment="1">
      <alignment horizontal="center" vertical="center"/>
    </xf>
    <xf numFmtId="0" fontId="64" fillId="6" borderId="1" xfId="1" applyFont="1" applyBorder="1" applyAlignment="1">
      <alignment horizontal="center" vertical="center"/>
    </xf>
    <xf numFmtId="0" fontId="33" fillId="2" borderId="1" xfId="0" applyFont="1" applyFill="1" applyBorder="1" applyAlignment="1">
      <alignment horizontal="center"/>
    </xf>
    <xf numFmtId="0" fontId="72" fillId="35" borderId="12" xfId="15" applyFont="1" applyFill="1" applyBorder="1" applyAlignment="1">
      <alignment horizontal="center" vertical="center" textRotation="45" wrapText="1"/>
    </xf>
    <xf numFmtId="0" fontId="101" fillId="35" borderId="12" xfId="15" applyFont="1" applyFill="1" applyBorder="1" applyAlignment="1">
      <alignment horizontal="center" vertical="center" wrapText="1"/>
    </xf>
    <xf numFmtId="0" fontId="87" fillId="35" borderId="1" xfId="15" applyFont="1" applyFill="1" applyBorder="1" applyAlignment="1">
      <alignment horizontal="center" vertical="center" textRotation="45" wrapText="1"/>
    </xf>
    <xf numFmtId="0" fontId="87" fillId="35" borderId="1" xfId="15" applyFont="1" applyFill="1" applyBorder="1" applyAlignment="1">
      <alignment horizontal="center" vertical="center" wrapText="1"/>
    </xf>
    <xf numFmtId="0" fontId="72" fillId="35" borderId="13" xfId="15" applyFont="1" applyFill="1" applyBorder="1" applyAlignment="1">
      <alignment horizontal="center" vertical="center"/>
    </xf>
    <xf numFmtId="0" fontId="102" fillId="35" borderId="13" xfId="15" applyFont="1" applyFill="1" applyBorder="1" applyAlignment="1">
      <alignment horizontal="center" vertical="center" wrapText="1"/>
    </xf>
    <xf numFmtId="9" fontId="116" fillId="6" borderId="14" xfId="1" applyNumberFormat="1" applyFont="1" applyAlignment="1">
      <alignment horizontal="center" vertical="center" wrapText="1"/>
    </xf>
    <xf numFmtId="0" fontId="72" fillId="35" borderId="7" xfId="15" applyFont="1" applyFill="1" applyBorder="1" applyAlignment="1">
      <alignment horizontal="center" vertical="center"/>
    </xf>
    <xf numFmtId="0" fontId="105" fillId="35" borderId="8" xfId="15" applyFont="1" applyFill="1" applyBorder="1" applyAlignment="1">
      <alignment horizontal="center" vertical="center" wrapText="1"/>
    </xf>
    <xf numFmtId="0" fontId="102" fillId="35" borderId="8" xfId="15" applyFont="1" applyFill="1" applyBorder="1" applyAlignment="1">
      <alignment horizontal="center" vertical="center" wrapText="1"/>
    </xf>
    <xf numFmtId="0" fontId="102"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2" fillId="15" borderId="0" xfId="0" applyFont="1" applyFill="1" applyAlignment="1">
      <alignment horizontal="center" wrapText="1"/>
    </xf>
    <xf numFmtId="0" fontId="54" fillId="15" borderId="0" xfId="0" applyFont="1" applyFill="1" applyAlignment="1">
      <alignment horizontal="center" wrapText="1"/>
    </xf>
    <xf numFmtId="0" fontId="42" fillId="7" borderId="0" xfId="0" applyFont="1" applyFill="1" applyAlignment="1">
      <alignment horizontal="center" wrapText="1"/>
    </xf>
    <xf numFmtId="0" fontId="117" fillId="7" borderId="0" xfId="0" applyFont="1" applyFill="1" applyAlignment="1">
      <alignment horizontal="center" vertical="center" wrapText="1"/>
    </xf>
    <xf numFmtId="0" fontId="97" fillId="29" borderId="12" xfId="35" applyFont="1" applyFill="1" applyBorder="1" applyAlignment="1">
      <alignment horizontal="center" vertical="center" wrapText="1"/>
    </xf>
    <xf numFmtId="0" fontId="42" fillId="7" borderId="0" xfId="3" applyFont="1" applyFill="1" applyAlignment="1">
      <alignment horizontal="center" wrapText="1"/>
    </xf>
    <xf numFmtId="0" fontId="117" fillId="7" borderId="0" xfId="3" applyFont="1" applyFill="1" applyAlignment="1">
      <alignment horizontal="center" vertical="center" wrapText="1"/>
    </xf>
    <xf numFmtId="0" fontId="29" fillId="0" borderId="0" xfId="11" applyFill="1" applyBorder="1"/>
    <xf numFmtId="0" fontId="0" fillId="6" borderId="14" xfId="1" applyFont="1"/>
    <xf numFmtId="0" fontId="32" fillId="0" borderId="1" xfId="0" applyFont="1" applyBorder="1" applyAlignment="1">
      <alignment vertical="center"/>
    </xf>
    <xf numFmtId="0" fontId="32" fillId="0" borderId="0" xfId="0" applyFont="1" applyAlignment="1">
      <alignment vertical="center"/>
    </xf>
    <xf numFmtId="0" fontId="64" fillId="6" borderId="31" xfId="1" applyBorder="1"/>
    <xf numFmtId="0" fontId="9" fillId="0" borderId="0" xfId="11" applyFont="1" applyFill="1" applyBorder="1"/>
    <xf numFmtId="0" fontId="87" fillId="35" borderId="1" xfId="15" applyFont="1" applyFill="1" applyBorder="1" applyAlignment="1">
      <alignment horizontal="center" vertical="center" textRotation="45"/>
    </xf>
    <xf numFmtId="0" fontId="64" fillId="6" borderId="31" xfId="1" applyNumberFormat="1" applyBorder="1"/>
    <xf numFmtId="0" fontId="8" fillId="0" borderId="0" xfId="11" applyFont="1" applyFill="1" applyBorder="1"/>
    <xf numFmtId="0" fontId="7" fillId="0" borderId="0" xfId="11" applyFont="1"/>
    <xf numFmtId="0" fontId="6" fillId="0" borderId="0" xfId="11" applyFont="1"/>
    <xf numFmtId="0" fontId="32"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5" fillId="0" borderId="0" xfId="11" applyFont="1" applyFill="1" applyBorder="1"/>
    <xf numFmtId="14" fontId="5" fillId="0" borderId="0" xfId="11" applyNumberFormat="1" applyFont="1" applyFill="1" applyBorder="1" applyAlignment="1">
      <alignment horizontal="left"/>
    </xf>
    <xf numFmtId="0" fontId="4" fillId="0" borderId="0" xfId="11" applyFont="1" applyFill="1" applyBorder="1"/>
    <xf numFmtId="14" fontId="4" fillId="0" borderId="0" xfId="11" applyNumberFormat="1" applyFont="1" applyFill="1" applyBorder="1" applyAlignment="1">
      <alignment horizontal="left"/>
    </xf>
    <xf numFmtId="0" fontId="0" fillId="13" borderId="1" xfId="0" applyFill="1" applyBorder="1" applyAlignment="1">
      <alignment horizontal="center" vertical="center" wrapText="1"/>
    </xf>
    <xf numFmtId="0" fontId="32" fillId="13" borderId="0" xfId="0" applyFont="1" applyFill="1" applyAlignment="1">
      <alignment horizontal="center" vertical="center"/>
    </xf>
    <xf numFmtId="0" fontId="32" fillId="0" borderId="1" xfId="0" applyFont="1" applyFill="1" applyBorder="1" applyAlignment="1">
      <alignment horizontal="left" vertical="center" wrapText="1"/>
    </xf>
    <xf numFmtId="0" fontId="3" fillId="0" borderId="0" xfId="11" applyFont="1" applyFill="1" applyBorder="1"/>
    <xf numFmtId="0" fontId="3" fillId="0" borderId="0" xfId="11" applyFont="1"/>
    <xf numFmtId="0" fontId="2" fillId="0" borderId="0" xfId="11" applyFont="1" applyFill="1" applyBorder="1"/>
    <xf numFmtId="0" fontId="2" fillId="0" borderId="0" xfId="11" applyFont="1"/>
    <xf numFmtId="0" fontId="29" fillId="0" borderId="32" xfId="11" applyBorder="1"/>
    <xf numFmtId="0" fontId="29" fillId="0" borderId="33" xfId="11" applyBorder="1"/>
    <xf numFmtId="0" fontId="29" fillId="0" borderId="33" xfId="11" applyBorder="1" applyAlignment="1">
      <alignment horizontal="right"/>
    </xf>
    <xf numFmtId="0" fontId="32" fillId="37" borderId="1" xfId="0" applyFont="1" applyFill="1" applyBorder="1" applyAlignment="1">
      <alignment horizontal="center" vertical="center" wrapText="1"/>
    </xf>
    <xf numFmtId="0" fontId="32" fillId="37" borderId="11" xfId="0" applyFont="1" applyFill="1" applyBorder="1" applyAlignment="1">
      <alignment horizontal="center" vertical="center" wrapText="1"/>
    </xf>
    <xf numFmtId="0" fontId="32" fillId="37" borderId="11" xfId="0" applyFont="1" applyFill="1" applyBorder="1" applyAlignment="1">
      <alignment vertical="center" wrapText="1"/>
    </xf>
    <xf numFmtId="14" fontId="32" fillId="37" borderId="11" xfId="0" applyNumberFormat="1" applyFont="1" applyFill="1" applyBorder="1" applyAlignment="1">
      <alignment horizontal="center" vertical="center" wrapText="1"/>
    </xf>
    <xf numFmtId="0" fontId="32" fillId="37" borderId="11" xfId="0" applyFont="1" applyFill="1" applyBorder="1" applyAlignment="1">
      <alignment horizontal="center" vertical="center"/>
    </xf>
    <xf numFmtId="0" fontId="32" fillId="0" borderId="11" xfId="0" applyFont="1" applyBorder="1" applyAlignment="1">
      <alignment horizontal="center" vertical="center"/>
    </xf>
    <xf numFmtId="0" fontId="32" fillId="38" borderId="11" xfId="0" applyFont="1" applyFill="1" applyBorder="1" applyAlignment="1">
      <alignment horizontal="center" vertical="center"/>
    </xf>
    <xf numFmtId="0" fontId="1" fillId="0" borderId="0" xfId="11" applyFont="1"/>
    <xf numFmtId="0" fontId="1" fillId="0" borderId="0" xfId="11" applyFont="1" applyFill="1" applyBorder="1"/>
    <xf numFmtId="0" fontId="37" fillId="0" borderId="7" xfId="3" applyFont="1" applyBorder="1" applyAlignment="1">
      <alignment horizontal="left" vertical="center" shrinkToFit="1"/>
    </xf>
    <xf numFmtId="0" fontId="37" fillId="0" borderId="8" xfId="3" applyFont="1" applyBorder="1" applyAlignment="1">
      <alignment horizontal="left" vertical="center" shrinkToFit="1"/>
    </xf>
    <xf numFmtId="0" fontId="37" fillId="0" borderId="9" xfId="3" applyFont="1" applyBorder="1" applyAlignment="1">
      <alignment horizontal="left" vertical="center" shrinkToFit="1"/>
    </xf>
    <xf numFmtId="0" fontId="37" fillId="0" borderId="7" xfId="3" applyFont="1" applyBorder="1" applyAlignment="1">
      <alignment horizontal="left" vertical="center" wrapText="1"/>
    </xf>
    <xf numFmtId="0" fontId="37" fillId="0" borderId="8" xfId="3" applyFont="1" applyBorder="1" applyAlignment="1">
      <alignment horizontal="left" vertical="center" wrapText="1"/>
    </xf>
    <xf numFmtId="0" fontId="37" fillId="0" borderId="9" xfId="3" applyFont="1" applyBorder="1" applyAlignment="1">
      <alignment horizontal="left" vertical="center" wrapText="1"/>
    </xf>
    <xf numFmtId="0" fontId="70" fillId="0" borderId="4" xfId="0" applyFont="1" applyBorder="1" applyAlignment="1">
      <alignment horizontal="left" vertical="center" shrinkToFit="1"/>
    </xf>
    <xf numFmtId="0" fontId="70" fillId="0" borderId="5" xfId="0" applyFont="1" applyBorder="1" applyAlignment="1">
      <alignment horizontal="left" vertical="center" shrinkToFit="1"/>
    </xf>
    <xf numFmtId="0" fontId="70" fillId="0" borderId="6" xfId="0" applyFont="1" applyBorder="1" applyAlignment="1">
      <alignment horizontal="left" vertical="center" shrinkToFit="1"/>
    </xf>
    <xf numFmtId="0" fontId="70" fillId="0" borderId="4" xfId="3" applyFont="1" applyBorder="1" applyAlignment="1">
      <alignment horizontal="left" vertical="center" shrinkToFit="1"/>
    </xf>
    <xf numFmtId="0" fontId="70" fillId="0" borderId="5" xfId="3" applyFont="1" applyBorder="1" applyAlignment="1">
      <alignment horizontal="left" vertical="center" shrinkToFit="1"/>
    </xf>
    <xf numFmtId="0" fontId="70" fillId="0" borderId="6" xfId="3" applyFont="1" applyBorder="1" applyAlignment="1">
      <alignment horizontal="left" vertical="center" shrinkToFit="1"/>
    </xf>
    <xf numFmtId="0" fontId="81" fillId="0" borderId="0" xfId="3" applyFont="1" applyAlignment="1" applyProtection="1">
      <alignment horizontal="center" vertical="center" wrapText="1"/>
      <protection locked="0"/>
    </xf>
    <xf numFmtId="0" fontId="32" fillId="0" borderId="0" xfId="3" applyAlignment="1">
      <alignment vertical="center" wrapText="1"/>
    </xf>
    <xf numFmtId="0" fontId="72" fillId="16" borderId="2" xfId="3" applyFont="1" applyFill="1" applyBorder="1" applyAlignment="1" applyProtection="1">
      <alignment horizontal="center" vertical="center" shrinkToFit="1"/>
      <protection locked="0"/>
    </xf>
    <xf numFmtId="0" fontId="72" fillId="16" borderId="0" xfId="3" applyFont="1" applyFill="1" applyAlignment="1" applyProtection="1">
      <alignment horizontal="center" vertical="center" shrinkToFit="1"/>
      <protection locked="0"/>
    </xf>
    <xf numFmtId="0" fontId="72" fillId="16" borderId="3" xfId="3" applyFont="1" applyFill="1" applyBorder="1" applyAlignment="1" applyProtection="1">
      <alignment horizontal="center" vertical="center" shrinkToFit="1"/>
      <protection locked="0"/>
    </xf>
    <xf numFmtId="0" fontId="32" fillId="0" borderId="4" xfId="3" applyBorder="1" applyAlignment="1" applyProtection="1">
      <alignment horizontal="right" vertical="top" wrapText="1" shrinkToFit="1"/>
      <protection locked="0"/>
    </xf>
    <xf numFmtId="0" fontId="32" fillId="0" borderId="5" xfId="3" applyBorder="1" applyAlignment="1" applyProtection="1">
      <alignment horizontal="right" vertical="top" wrapText="1" shrinkToFit="1"/>
      <protection locked="0"/>
    </xf>
    <xf numFmtId="0" fontId="73" fillId="0" borderId="5" xfId="0" applyFont="1" applyBorder="1" applyAlignment="1" applyProtection="1">
      <alignment horizontal="left" vertical="top" wrapText="1" shrinkToFit="1"/>
      <protection locked="0"/>
    </xf>
    <xf numFmtId="0" fontId="73" fillId="0" borderId="6" xfId="0" applyFont="1" applyBorder="1" applyAlignment="1" applyProtection="1">
      <alignment horizontal="left" vertical="top" wrapText="1" shrinkToFit="1"/>
      <protection locked="0"/>
    </xf>
    <xf numFmtId="0" fontId="34" fillId="0" borderId="5" xfId="3" applyFont="1" applyBorder="1" applyAlignment="1" applyProtection="1">
      <alignment horizontal="left" vertical="top" wrapText="1" shrinkToFit="1"/>
      <protection locked="0"/>
    </xf>
    <xf numFmtId="0" fontId="75" fillId="0" borderId="5" xfId="3" applyFont="1" applyBorder="1" applyAlignment="1" applyProtection="1">
      <alignment horizontal="left" vertical="top" shrinkToFit="1"/>
      <protection locked="0"/>
    </xf>
    <xf numFmtId="0" fontId="75" fillId="0" borderId="6" xfId="3" applyFont="1" applyBorder="1" applyAlignment="1" applyProtection="1">
      <alignment horizontal="left" vertical="top" shrinkToFit="1"/>
      <protection locked="0"/>
    </xf>
    <xf numFmtId="0" fontId="72" fillId="16" borderId="7" xfId="3" applyFont="1" applyFill="1" applyBorder="1" applyAlignment="1" applyProtection="1">
      <alignment horizontal="center" vertical="center" shrinkToFit="1"/>
      <protection locked="0"/>
    </xf>
    <xf numFmtId="0" fontId="72" fillId="16" borderId="8" xfId="3" applyFont="1" applyFill="1" applyBorder="1" applyAlignment="1" applyProtection="1">
      <alignment horizontal="center" vertical="center" shrinkToFit="1"/>
      <protection locked="0"/>
    </xf>
    <xf numFmtId="0" fontId="72" fillId="16" borderId="9" xfId="3" applyFont="1" applyFill="1" applyBorder="1" applyAlignment="1" applyProtection="1">
      <alignment horizontal="center" vertical="center" shrinkToFit="1"/>
      <protection locked="0"/>
    </xf>
    <xf numFmtId="0" fontId="32" fillId="0" borderId="4" xfId="3" applyBorder="1" applyAlignment="1" applyProtection="1">
      <alignment horizontal="center" vertical="top" wrapText="1" shrinkToFit="1"/>
      <protection locked="0"/>
    </xf>
    <xf numFmtId="0" fontId="32" fillId="0" borderId="5" xfId="3" applyBorder="1" applyAlignment="1" applyProtection="1">
      <alignment horizontal="center" vertical="top" wrapText="1" shrinkToFit="1"/>
      <protection locked="0"/>
    </xf>
    <xf numFmtId="0" fontId="32" fillId="0" borderId="6" xfId="3" applyBorder="1" applyAlignment="1" applyProtection="1">
      <alignment horizontal="center" vertical="top" wrapText="1" shrinkToFit="1"/>
      <protection locked="0"/>
    </xf>
    <xf numFmtId="0" fontId="72" fillId="16" borderId="8" xfId="3" applyFont="1" applyFill="1" applyBorder="1" applyAlignment="1" applyProtection="1">
      <alignment horizontal="center" vertical="center" wrapText="1"/>
      <protection locked="0"/>
    </xf>
    <xf numFmtId="0" fontId="72" fillId="16" borderId="0" xfId="3" applyFont="1" applyFill="1" applyAlignment="1" applyProtection="1">
      <alignment horizontal="center" vertical="center" wrapText="1"/>
      <protection locked="0"/>
    </xf>
    <xf numFmtId="0" fontId="32" fillId="0" borderId="7" xfId="3" applyBorder="1" applyAlignment="1" applyProtection="1">
      <alignment horizontal="left" vertical="top"/>
      <protection locked="0"/>
    </xf>
    <xf numFmtId="0" fontId="32" fillId="0" borderId="8" xfId="3" applyBorder="1" applyAlignment="1" applyProtection="1">
      <alignment horizontal="left" vertical="top"/>
      <protection locked="0"/>
    </xf>
    <xf numFmtId="0" fontId="32" fillId="0" borderId="9" xfId="3" applyBorder="1" applyAlignment="1" applyProtection="1">
      <alignment horizontal="left" vertical="top"/>
      <protection locked="0"/>
    </xf>
    <xf numFmtId="0" fontId="32" fillId="0" borderId="4" xfId="3" applyBorder="1" applyAlignment="1" applyProtection="1">
      <alignment horizontal="left" vertical="top"/>
      <protection locked="0"/>
    </xf>
    <xf numFmtId="0" fontId="32" fillId="0" borderId="5" xfId="3" applyBorder="1" applyAlignment="1" applyProtection="1">
      <alignment horizontal="left" vertical="top"/>
      <protection locked="0"/>
    </xf>
    <xf numFmtId="0" fontId="32" fillId="0" borderId="6" xfId="3" applyBorder="1" applyAlignment="1" applyProtection="1">
      <alignment horizontal="left" vertical="top"/>
      <protection locked="0"/>
    </xf>
    <xf numFmtId="0" fontId="72" fillId="16" borderId="2" xfId="3" applyFont="1" applyFill="1" applyBorder="1" applyAlignment="1" applyProtection="1">
      <alignment horizontal="center" vertical="center" wrapText="1" shrinkToFit="1"/>
      <protection locked="0"/>
    </xf>
    <xf numFmtId="0" fontId="72" fillId="16" borderId="0" xfId="3" applyFont="1" applyFill="1" applyAlignment="1" applyProtection="1">
      <alignment horizontal="center" vertical="center" wrapText="1" shrinkToFit="1"/>
      <protection locked="0"/>
    </xf>
    <xf numFmtId="0" fontId="93" fillId="25" borderId="14" xfId="12" applyAlignment="1" applyProtection="1">
      <alignment horizontal="center" vertical="center"/>
      <protection locked="0"/>
    </xf>
    <xf numFmtId="14" fontId="32" fillId="0" borderId="10" xfId="3" applyNumberFormat="1" applyBorder="1" applyAlignment="1" applyProtection="1">
      <alignment horizontal="left" vertical="center" wrapText="1"/>
      <protection locked="0"/>
    </xf>
    <xf numFmtId="14" fontId="32" fillId="0" borderId="19" xfId="3" applyNumberFormat="1" applyBorder="1" applyAlignment="1" applyProtection="1">
      <alignment horizontal="left" vertical="center" wrapText="1"/>
      <protection locked="0"/>
    </xf>
    <xf numFmtId="14" fontId="32" fillId="0" borderId="11" xfId="3" applyNumberFormat="1" applyBorder="1" applyAlignment="1" applyProtection="1">
      <alignment horizontal="left" vertical="center" wrapText="1"/>
      <protection locked="0"/>
    </xf>
    <xf numFmtId="49" fontId="32" fillId="0" borderId="1" xfId="3" applyNumberFormat="1" applyBorder="1" applyAlignment="1" applyProtection="1">
      <alignment horizontal="left" vertical="center" wrapText="1"/>
      <protection locked="0"/>
    </xf>
    <xf numFmtId="49" fontId="32" fillId="0" borderId="1" xfId="3" applyNumberFormat="1" applyBorder="1" applyAlignment="1">
      <alignment horizontal="left" vertical="center" wrapText="1"/>
    </xf>
    <xf numFmtId="49" fontId="32" fillId="0" borderId="1" xfId="3" applyNumberFormat="1" applyBorder="1" applyAlignment="1" applyProtection="1">
      <alignment horizontal="center" vertical="center" wrapText="1"/>
      <protection locked="0"/>
    </xf>
    <xf numFmtId="49" fontId="32" fillId="0" borderId="1" xfId="3" applyNumberFormat="1" applyBorder="1" applyAlignment="1">
      <alignment horizontal="center" vertical="center" wrapText="1"/>
    </xf>
    <xf numFmtId="0" fontId="107" fillId="2" borderId="10" xfId="7" applyFont="1" applyFill="1" applyBorder="1" applyAlignment="1">
      <alignment horizontal="center" vertical="center"/>
    </xf>
    <xf numFmtId="0" fontId="107" fillId="2" borderId="19" xfId="7" applyFont="1" applyFill="1" applyBorder="1" applyAlignment="1">
      <alignment horizontal="center" vertical="center"/>
    </xf>
    <xf numFmtId="0" fontId="107" fillId="2" borderId="11" xfId="7" applyFont="1" applyFill="1" applyBorder="1" applyAlignment="1">
      <alignment horizontal="center" vertical="center"/>
    </xf>
    <xf numFmtId="0" fontId="39" fillId="2" borderId="10" xfId="7" applyFill="1" applyBorder="1" applyAlignment="1">
      <alignment horizontal="justify" vertical="center" wrapText="1"/>
    </xf>
    <xf numFmtId="0" fontId="39" fillId="2" borderId="19" xfId="7" applyFill="1" applyBorder="1" applyAlignment="1">
      <alignment horizontal="justify" vertical="center" wrapText="1"/>
    </xf>
    <xf numFmtId="0" fontId="39" fillId="2" borderId="11" xfId="7" applyFill="1" applyBorder="1" applyAlignment="1">
      <alignment horizontal="justify" vertical="center" wrapText="1"/>
    </xf>
    <xf numFmtId="0" fontId="51" fillId="18" borderId="1" xfId="3" applyFont="1" applyFill="1" applyBorder="1" applyAlignment="1" applyProtection="1">
      <alignment horizontal="center" vertical="center" wrapText="1"/>
      <protection locked="0"/>
    </xf>
    <xf numFmtId="0" fontId="32" fillId="0" borderId="1" xfId="3" applyBorder="1" applyAlignment="1">
      <alignment horizontal="center" vertical="center" wrapText="1"/>
    </xf>
    <xf numFmtId="49" fontId="32" fillId="0" borderId="1" xfId="3" applyNumberFormat="1" applyBorder="1" applyAlignment="1" applyProtection="1">
      <alignment vertical="center" wrapText="1"/>
      <protection locked="0"/>
    </xf>
    <xf numFmtId="0" fontId="32" fillId="0" borderId="1" xfId="3" applyBorder="1" applyAlignment="1">
      <alignment horizontal="left" vertical="center" wrapText="1"/>
    </xf>
    <xf numFmtId="49" fontId="32" fillId="0" borderId="10" xfId="3" applyNumberFormat="1" applyBorder="1" applyAlignment="1" applyProtection="1">
      <alignment horizontal="center" vertical="center" wrapText="1"/>
      <protection locked="0"/>
    </xf>
    <xf numFmtId="49" fontId="32" fillId="0" borderId="19" xfId="3" applyNumberFormat="1" applyBorder="1" applyAlignment="1" applyProtection="1">
      <alignment horizontal="center" vertical="center" wrapText="1"/>
      <protection locked="0"/>
    </xf>
    <xf numFmtId="49" fontId="32" fillId="0" borderId="11" xfId="3" applyNumberFormat="1" applyBorder="1" applyAlignment="1" applyProtection="1">
      <alignment horizontal="center" vertical="center" wrapText="1"/>
      <protection locked="0"/>
    </xf>
    <xf numFmtId="49" fontId="32" fillId="23" borderId="1" xfId="3" applyNumberFormat="1" applyFill="1" applyBorder="1" applyAlignment="1" applyProtection="1">
      <alignment horizontal="center" vertical="center" wrapText="1"/>
      <protection locked="0"/>
    </xf>
    <xf numFmtId="49" fontId="32" fillId="34" borderId="1" xfId="3" applyNumberFormat="1" applyFont="1" applyFill="1" applyBorder="1" applyAlignment="1" applyProtection="1">
      <alignment horizontal="center" vertical="center" wrapText="1"/>
      <protection locked="0"/>
    </xf>
    <xf numFmtId="0" fontId="37" fillId="17" borderId="7" xfId="3" applyFont="1" applyFill="1" applyBorder="1" applyAlignment="1">
      <alignment horizontal="left" vertical="center" wrapText="1"/>
    </xf>
    <xf numFmtId="0" fontId="37" fillId="17" borderId="8" xfId="3" applyFont="1" applyFill="1" applyBorder="1" applyAlignment="1">
      <alignment horizontal="left" vertical="center" wrapText="1"/>
    </xf>
    <xf numFmtId="0" fontId="37" fillId="17" borderId="9" xfId="3" applyFont="1" applyFill="1" applyBorder="1" applyAlignment="1">
      <alignment horizontal="left" vertical="center" wrapTex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0" fontId="37" fillId="17" borderId="7" xfId="3" applyFont="1" applyFill="1" applyBorder="1" applyAlignment="1">
      <alignment horizontal="left" vertical="center" shrinkToFit="1"/>
    </xf>
    <xf numFmtId="0" fontId="37" fillId="17" borderId="8" xfId="3" applyFont="1" applyFill="1" applyBorder="1" applyAlignment="1">
      <alignment horizontal="left" vertical="center" shrinkToFit="1"/>
    </xf>
    <xf numFmtId="0" fontId="37" fillId="17" borderId="9" xfId="3" applyFont="1" applyFill="1" applyBorder="1" applyAlignment="1">
      <alignment horizontal="left" vertical="center" shrinkToFit="1"/>
    </xf>
    <xf numFmtId="0" fontId="71" fillId="17" borderId="4" xfId="3" applyFont="1" applyFill="1" applyBorder="1" applyAlignment="1">
      <alignment horizontal="left" vertical="center" shrinkToFit="1"/>
    </xf>
    <xf numFmtId="0" fontId="71" fillId="17" borderId="5" xfId="3" applyFont="1" applyFill="1" applyBorder="1" applyAlignment="1">
      <alignment horizontal="left" vertical="center" shrinkToFit="1"/>
    </xf>
    <xf numFmtId="0" fontId="71" fillId="17" borderId="6" xfId="3" applyFont="1" applyFill="1" applyBorder="1" applyAlignment="1">
      <alignment horizontal="left" vertical="center" shrinkToFit="1"/>
    </xf>
    <xf numFmtId="0" fontId="32" fillId="18" borderId="1" xfId="3" applyFill="1" applyBorder="1" applyAlignment="1" applyProtection="1">
      <alignment horizontal="center" vertical="center" wrapText="1"/>
      <protection locked="0"/>
    </xf>
    <xf numFmtId="49" fontId="32" fillId="19" borderId="1" xfId="3" applyNumberFormat="1" applyFill="1" applyBorder="1" applyAlignment="1" applyProtection="1">
      <alignment horizontal="center" vertical="center" wrapText="1"/>
      <protection locked="0"/>
    </xf>
    <xf numFmtId="49" fontId="32" fillId="22" borderId="1" xfId="3" applyNumberFormat="1" applyFill="1" applyBorder="1" applyAlignment="1" applyProtection="1">
      <alignment horizontal="center" vertical="center" wrapText="1"/>
      <protection locked="0"/>
    </xf>
    <xf numFmtId="49" fontId="67" fillId="24" borderId="1" xfId="3" applyNumberFormat="1" applyFont="1" applyFill="1" applyBorder="1" applyAlignment="1" applyProtection="1">
      <alignment horizontal="center" vertical="center" wrapText="1"/>
      <protection locked="0"/>
    </xf>
    <xf numFmtId="0" fontId="87" fillId="20" borderId="1" xfId="3" applyFont="1" applyFill="1" applyBorder="1" applyAlignment="1">
      <alignment horizontal="center" vertical="center" wrapText="1"/>
    </xf>
    <xf numFmtId="0" fontId="32" fillId="0" borderId="10" xfId="3" applyBorder="1" applyAlignment="1">
      <alignment horizontal="left" vertical="center" wrapText="1"/>
    </xf>
    <xf numFmtId="0" fontId="32" fillId="0" borderId="19" xfId="3" applyBorder="1" applyAlignment="1">
      <alignment horizontal="left" vertical="center" wrapText="1"/>
    </xf>
    <xf numFmtId="0" fontId="32" fillId="0" borderId="11" xfId="3" applyBorder="1" applyAlignment="1">
      <alignment horizontal="left" vertical="center" wrapText="1"/>
    </xf>
    <xf numFmtId="0" fontId="65" fillId="0" borderId="10" xfId="2" applyBorder="1" applyAlignment="1">
      <alignment horizontal="left" vertical="center" wrapText="1"/>
    </xf>
    <xf numFmtId="0" fontId="33" fillId="21" borderId="2" xfId="0" applyFont="1" applyFill="1" applyBorder="1" applyAlignment="1">
      <alignment horizontal="center" vertical="top" textRotation="45"/>
    </xf>
    <xf numFmtId="0" fontId="33" fillId="9" borderId="2" xfId="0" applyFont="1" applyFill="1" applyBorder="1" applyAlignment="1">
      <alignment horizontal="center" vertical="center" textRotation="45"/>
    </xf>
    <xf numFmtId="0" fontId="40" fillId="3" borderId="7" xfId="7" applyFont="1" applyFill="1" applyBorder="1" applyAlignment="1">
      <alignment horizontal="center" vertical="distributed"/>
    </xf>
    <xf numFmtId="0" fontId="40" fillId="3" borderId="8" xfId="7" applyFont="1" applyFill="1" applyBorder="1" applyAlignment="1">
      <alignment horizontal="center" vertical="distributed"/>
    </xf>
    <xf numFmtId="0" fontId="40" fillId="3" borderId="9" xfId="7" applyFont="1" applyFill="1" applyBorder="1" applyAlignment="1">
      <alignment horizontal="center" vertical="distributed"/>
    </xf>
    <xf numFmtId="0" fontId="33" fillId="3" borderId="7" xfId="0" applyFont="1" applyFill="1" applyBorder="1" applyAlignment="1">
      <alignment horizontal="center" wrapText="1"/>
    </xf>
    <xf numFmtId="0" fontId="33" fillId="3" borderId="8" xfId="0" applyFont="1" applyFill="1" applyBorder="1" applyAlignment="1">
      <alignment horizontal="center" wrapText="1"/>
    </xf>
    <xf numFmtId="0" fontId="33" fillId="3" borderId="9" xfId="0" applyFont="1" applyFill="1" applyBorder="1" applyAlignment="1">
      <alignment horizontal="center" wrapText="1"/>
    </xf>
    <xf numFmtId="0" fontId="32" fillId="2" borderId="10" xfId="0" applyFont="1" applyFill="1" applyBorder="1" applyAlignment="1">
      <alignment horizontal="left" vertical="center" wrapText="1" shrinkToFit="1"/>
    </xf>
    <xf numFmtId="0" fontId="32" fillId="2" borderId="11" xfId="0" applyFont="1" applyFill="1" applyBorder="1" applyAlignment="1">
      <alignment horizontal="left" vertical="center" wrapText="1" shrinkToFit="1"/>
    </xf>
    <xf numFmtId="0" fontId="96" fillId="28" borderId="4" xfId="13" applyFont="1" applyFill="1" applyBorder="1" applyAlignment="1" applyProtection="1">
      <alignment horizontal="center" vertical="center" wrapText="1"/>
      <protection locked="0"/>
    </xf>
    <xf numFmtId="0" fontId="96" fillId="28" borderId="5" xfId="13" applyFont="1" applyFill="1" applyBorder="1" applyAlignment="1" applyProtection="1">
      <alignment horizontal="center" vertical="center" wrapText="1"/>
      <protection locked="0"/>
    </xf>
    <xf numFmtId="0" fontId="96" fillId="28" borderId="6" xfId="13" applyFont="1" applyFill="1" applyBorder="1" applyAlignment="1" applyProtection="1">
      <alignment horizontal="center" vertical="center" wrapText="1"/>
      <protection locked="0"/>
    </xf>
    <xf numFmtId="0" fontId="96" fillId="16" borderId="4" xfId="13" applyFont="1" applyFill="1" applyBorder="1" applyAlignment="1" applyProtection="1">
      <alignment horizontal="center" vertical="center" wrapText="1"/>
    </xf>
    <xf numFmtId="0" fontId="96" fillId="16" borderId="5" xfId="13" applyFont="1" applyFill="1" applyBorder="1" applyAlignment="1" applyProtection="1">
      <alignment horizontal="center" vertical="center" wrapText="1"/>
    </xf>
    <xf numFmtId="0" fontId="93" fillId="25" borderId="14" xfId="12" applyAlignment="1">
      <alignment horizontal="left" vertical="center"/>
    </xf>
    <xf numFmtId="0" fontId="42" fillId="8" borderId="5" xfId="0" applyFont="1" applyFill="1" applyBorder="1" applyAlignment="1">
      <alignment horizontal="center" vertical="center"/>
    </xf>
    <xf numFmtId="0" fontId="42" fillId="8" borderId="6" xfId="0" applyFont="1" applyFill="1" applyBorder="1" applyAlignment="1">
      <alignment horizontal="center" vertical="center"/>
    </xf>
    <xf numFmtId="0" fontId="101" fillId="28" borderId="10" xfId="2" applyFont="1" applyFill="1" applyBorder="1" applyAlignment="1" applyProtection="1">
      <alignment horizontal="center" vertical="center" wrapText="1"/>
      <protection locked="0"/>
    </xf>
    <xf numFmtId="0" fontId="101" fillId="28" borderId="11" xfId="2" applyFont="1" applyFill="1" applyBorder="1" applyAlignment="1" applyProtection="1">
      <alignment horizontal="center" vertical="center" wrapText="1"/>
      <protection locked="0"/>
    </xf>
    <xf numFmtId="0" fontId="29" fillId="0" borderId="33" xfId="11" applyBorder="1" applyAlignment="1">
      <alignment horizontal="left"/>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8 2" xfId="36" xr:uid="{969B8D84-765D-4036-91A4-319A5FFB5619}"/>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836">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53</c:v>
                </c:pt>
                <c:pt idx="1">
                  <c:v>3</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17</c:v>
                </c:pt>
                <c:pt idx="3">
                  <c:v>2</c:v>
                </c:pt>
                <c:pt idx="4">
                  <c:v>38</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55</c:v>
                </c:pt>
                <c:pt idx="1">
                  <c:v>2</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0" totalsRowShown="0" headerRowDxfId="1835" headerRowBorderDxfId="1834" tableBorderDxfId="1833" headerRowCellStyle="40% - Accent5" dataCellStyle="Normal 4">
  <autoFilter ref="A2:O20"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1832" dataCellStyle="Calculation">
      <calculatedColumnFormula>SUM(F3:O3)</calculatedColumnFormula>
    </tableColumn>
    <tableColumn id="6" xr3:uid="{DD9655BE-E53F-4CA5-885B-7FC10F8D2395}" name="Lucian Ardeleanu" dataCellStyle="Normal 4"/>
    <tableColumn id="7" xr3:uid="{525D8884-0C8A-4478-BF05-7E1372CD45F9}" name="Gabriel Brasoveanu" dataCellStyle="Normal 4"/>
    <tableColumn id="8" xr3:uid="{967B83B5-4BDD-455D-9479-4517937966AE}" name="Vlad Chioveanu" dataCellStyle="Normal 4"/>
    <tableColumn id="9" xr3:uid="{B1B837F4-0787-4CAA-BD5D-A6B2F7E9368A}" name="Ciprian Galbau" dataCellStyle="Normal 4"/>
    <tableColumn id="10" xr3:uid="{4B029EAF-CE65-4128-A016-A786C51E5D01}" name="Dan Dustinta" dataCellStyle="Normal 4"/>
    <tableColumn id="11" xr3:uid="{5B3D026C-0D6F-4D5D-949A-921EED9750D8}" name="Ciptian Galbau" dataCellStyle="Normal 4"/>
    <tableColumn id="12" xr3:uid="{F47E4945-FC46-4596-99F8-6868803682F5}" name="David Puscasu" dataCellStyle="Normal 4"/>
    <tableColumn id="13" xr3:uid="{5139BD5E-7132-4168-905C-F6084CD7F3D0}" name=" Alexandru Nastase"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workbookViewId="0">
      <selection activeCell="F11" sqref="F11"/>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867</v>
      </c>
    </row>
    <row r="4" spans="1:37" s="95" customFormat="1" ht="11.1" customHeight="1">
      <c r="A4" s="267" t="s">
        <v>5</v>
      </c>
      <c r="B4" s="268"/>
      <c r="C4" s="268"/>
      <c r="D4" s="268"/>
      <c r="E4" s="268"/>
      <c r="F4" s="268"/>
      <c r="G4" s="268"/>
      <c r="H4" s="268"/>
      <c r="I4" s="268"/>
      <c r="J4" s="268"/>
      <c r="K4" s="268"/>
      <c r="L4" s="268"/>
      <c r="M4" s="268"/>
      <c r="N4" s="268"/>
      <c r="O4" s="268"/>
      <c r="P4" s="268"/>
      <c r="Q4" s="269"/>
      <c r="R4" s="270" t="s">
        <v>12</v>
      </c>
      <c r="S4" s="271"/>
      <c r="T4" s="271"/>
      <c r="U4" s="271"/>
      <c r="V4" s="272"/>
      <c r="W4" s="270" t="s">
        <v>6</v>
      </c>
      <c r="X4" s="271"/>
      <c r="Y4" s="271"/>
      <c r="Z4" s="271"/>
      <c r="AA4" s="272"/>
      <c r="AB4" s="267" t="s">
        <v>136</v>
      </c>
      <c r="AC4" s="268"/>
      <c r="AD4" s="268"/>
      <c r="AE4" s="268"/>
      <c r="AF4" s="268"/>
      <c r="AG4" s="269"/>
      <c r="AH4" s="101"/>
      <c r="AI4" s="101"/>
      <c r="AJ4" s="101"/>
    </row>
    <row r="5" spans="1:37" s="102" customFormat="1" ht="12.75" customHeight="1">
      <c r="A5" s="273" t="str">
        <f ca="1" xml:space="preserve"> IFERROR(IF([3]!alvDocProperty("MXAuthority")="","272502 VW VWA VN 41S1_NAR EL SB",[3]!alvDocProperty("MXAuthority")),"272502 VW VWA VN 41S1_NAR EL SB")</f>
        <v>272502 VW VWA VN 41S1_NAR EL SB</v>
      </c>
      <c r="B5" s="274"/>
      <c r="C5" s="274"/>
      <c r="D5" s="274"/>
      <c r="E5" s="274"/>
      <c r="F5" s="274"/>
      <c r="G5" s="274"/>
      <c r="H5" s="274"/>
      <c r="I5" s="274"/>
      <c r="J5" s="274"/>
      <c r="K5" s="274"/>
      <c r="L5" s="274"/>
      <c r="M5" s="274"/>
      <c r="N5" s="274"/>
      <c r="O5" s="274"/>
      <c r="P5" s="274"/>
      <c r="Q5" s="275"/>
      <c r="R5" s="273" t="s">
        <v>860</v>
      </c>
      <c r="S5" s="274"/>
      <c r="T5" s="274"/>
      <c r="U5" s="274"/>
      <c r="V5" s="275"/>
      <c r="W5" s="273" t="str">
        <f ca="1" xml:space="preserve"> IFERROR(IF([3]!alvDocProperty("MXCurrent.Localized")="","Template released",[3]!alvDocProperty("MXCurrent.Localized")),"Template released")</f>
        <v>Template released</v>
      </c>
      <c r="X5" s="274"/>
      <c r="Y5" s="274"/>
      <c r="Z5" s="274"/>
      <c r="AA5" s="275"/>
      <c r="AB5" s="273" t="str">
        <f ca="1" xml:space="preserve"> IFERROR(IF([3]!alvDocProperty("MXActual_state_Released")="","2022-09",[3]!alvDocProperty("MXActual_state_Released")),"2022-09")</f>
        <v>2022-09</v>
      </c>
      <c r="AC5" s="274"/>
      <c r="AD5" s="274"/>
      <c r="AE5" s="274"/>
      <c r="AF5" s="274"/>
      <c r="AG5" s="275"/>
    </row>
    <row r="6" spans="1:37" s="95" customFormat="1" ht="11.1" customHeight="1">
      <c r="A6" s="270" t="s">
        <v>7</v>
      </c>
      <c r="B6" s="271"/>
      <c r="C6" s="271"/>
      <c r="D6" s="272"/>
      <c r="E6" s="270" t="s">
        <v>8</v>
      </c>
      <c r="F6" s="271"/>
      <c r="G6" s="271"/>
      <c r="H6" s="271"/>
      <c r="I6" s="271"/>
      <c r="J6" s="271"/>
      <c r="K6" s="271"/>
      <c r="L6" s="271"/>
      <c r="M6" s="271"/>
      <c r="N6" s="271"/>
      <c r="O6" s="271"/>
      <c r="P6" s="271"/>
      <c r="Q6" s="271"/>
      <c r="R6" s="271"/>
      <c r="S6" s="271"/>
      <c r="T6" s="271"/>
      <c r="U6" s="271"/>
      <c r="V6" s="272"/>
      <c r="W6" s="267" t="s">
        <v>10</v>
      </c>
      <c r="X6" s="268"/>
      <c r="Y6" s="268"/>
      <c r="Z6" s="268"/>
      <c r="AA6" s="269"/>
      <c r="AB6" s="270" t="s">
        <v>34</v>
      </c>
      <c r="AC6" s="271"/>
      <c r="AD6" s="272"/>
      <c r="AE6" s="270" t="s">
        <v>9</v>
      </c>
      <c r="AF6" s="271"/>
      <c r="AG6" s="272"/>
    </row>
    <row r="7" spans="1:37" s="102" customFormat="1" ht="12.75" customHeight="1">
      <c r="A7" s="273" t="str">
        <f ca="1" xml:space="preserve"> IFERROR(IF([3]!alvDocProperty("MXName")="","TBD",[3]!alvDocProperty("MXName")),"TBD")</f>
        <v>TBD</v>
      </c>
      <c r="B7" s="274"/>
      <c r="C7" s="274"/>
      <c r="D7" s="275"/>
      <c r="E7" s="273" t="str">
        <f ca="1" xml:space="preserve"> IFERROR(IF([3]!alvDocProperty("MXTitle")="","RteIf - Peer Review Workbook (PRWB)",[3]!alvDocProperty("MXTitle")),"RteIf - Peer Review Workbook (PRWB)")</f>
        <v>RteIf - Peer Review Workbook (PRWB)</v>
      </c>
      <c r="F7" s="274"/>
      <c r="G7" s="274"/>
      <c r="H7" s="274"/>
      <c r="I7" s="274"/>
      <c r="J7" s="274"/>
      <c r="K7" s="274"/>
      <c r="L7" s="274"/>
      <c r="M7" s="274"/>
      <c r="N7" s="274"/>
      <c r="O7" s="274"/>
      <c r="P7" s="274"/>
      <c r="Q7" s="274"/>
      <c r="R7" s="274"/>
      <c r="S7" s="274"/>
      <c r="T7" s="274"/>
      <c r="U7" s="274"/>
      <c r="V7" s="275"/>
      <c r="W7" s="276" t="str">
        <f ca="1" xml:space="preserve"> IFERROR(IF([3]!alvDocProperty("MXDocTemplate_Name")="","AEF1007",[3]!alvDocProperty("MXDocTemplate_Name")),"AEF1007")</f>
        <v>AEF1007</v>
      </c>
      <c r="X7" s="277"/>
      <c r="Y7" s="277"/>
      <c r="Z7" s="277"/>
      <c r="AA7" s="278"/>
      <c r="AB7" s="273" t="str">
        <f ca="1" xml:space="preserve"> IFERROR(IF([3]!alvDocProperty("MXRevision")="","TBD",[3]!alvDocProperty("MXRevision")),"TBD")</f>
        <v>TBD</v>
      </c>
      <c r="AC7" s="274"/>
      <c r="AD7" s="275"/>
      <c r="AE7" s="273" t="s">
        <v>861</v>
      </c>
      <c r="AF7" s="274"/>
      <c r="AG7" s="275"/>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81" t="s">
        <v>60</v>
      </c>
      <c r="B9" s="282"/>
      <c r="C9" s="282"/>
      <c r="D9" s="282"/>
      <c r="E9" s="282"/>
      <c r="F9" s="282"/>
      <c r="G9" s="282"/>
      <c r="H9" s="282"/>
      <c r="I9" s="282"/>
      <c r="J9" s="282"/>
      <c r="K9" s="283"/>
      <c r="L9" s="281" t="s">
        <v>12</v>
      </c>
      <c r="M9" s="282"/>
      <c r="N9" s="282"/>
      <c r="O9" s="282"/>
      <c r="P9" s="282"/>
      <c r="Q9" s="282"/>
      <c r="R9" s="282"/>
      <c r="S9" s="282"/>
      <c r="T9" s="282"/>
      <c r="U9" s="282"/>
      <c r="V9" s="283"/>
      <c r="W9" s="281" t="s">
        <v>17</v>
      </c>
      <c r="X9" s="282"/>
      <c r="Y9" s="282"/>
      <c r="Z9" s="282"/>
      <c r="AA9" s="282"/>
      <c r="AB9" s="282"/>
      <c r="AC9" s="282"/>
      <c r="AD9" s="282"/>
      <c r="AE9" s="282"/>
      <c r="AF9" s="282"/>
      <c r="AG9" s="283"/>
    </row>
    <row r="10" spans="1:37" s="106" customFormat="1" ht="39" customHeight="1">
      <c r="A10" s="284" t="s">
        <v>137</v>
      </c>
      <c r="B10" s="285"/>
      <c r="C10" s="285"/>
      <c r="D10" s="285"/>
      <c r="E10" s="285"/>
      <c r="F10" s="286" t="str">
        <f ca="1" xml:space="preserve"> IFERROR(IF([3]!alvDocProperty("MXUser")="","TBD",[3]!alvDocProperty("MXUser")),"Puscasu David")</f>
        <v>Puscasu David</v>
      </c>
      <c r="G10" s="286"/>
      <c r="H10" s="286"/>
      <c r="I10" s="286"/>
      <c r="J10" s="286"/>
      <c r="K10" s="287"/>
      <c r="L10" s="288" t="s">
        <v>138</v>
      </c>
      <c r="M10" s="289"/>
      <c r="N10" s="289"/>
      <c r="O10" s="289"/>
      <c r="P10" s="289"/>
      <c r="Q10" s="289"/>
      <c r="R10" s="289"/>
      <c r="S10" s="289"/>
      <c r="T10" s="289"/>
      <c r="U10" s="289"/>
      <c r="V10" s="290"/>
      <c r="W10" s="288" t="s">
        <v>138</v>
      </c>
      <c r="X10" s="289"/>
      <c r="Y10" s="289"/>
      <c r="Z10" s="289"/>
      <c r="AA10" s="289"/>
      <c r="AB10" s="289"/>
      <c r="AC10" s="289"/>
      <c r="AD10" s="289"/>
      <c r="AE10" s="289"/>
      <c r="AF10" s="289"/>
      <c r="AG10" s="290"/>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91" t="s">
        <v>139</v>
      </c>
      <c r="B12" s="292"/>
      <c r="C12" s="292"/>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3"/>
    </row>
    <row r="13" spans="1:37" s="106" customFormat="1" ht="28.5" customHeight="1">
      <c r="A13" s="294" t="s">
        <v>140</v>
      </c>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6"/>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97" t="s">
        <v>141</v>
      </c>
      <c r="B15" s="297"/>
      <c r="C15" s="297"/>
      <c r="D15" s="297"/>
      <c r="E15" s="299"/>
      <c r="F15" s="300"/>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1"/>
    </row>
    <row r="16" spans="1:37" ht="37.5" customHeight="1">
      <c r="A16" s="298"/>
      <c r="B16" s="298"/>
      <c r="C16" s="298"/>
      <c r="D16" s="298"/>
      <c r="E16" s="302"/>
      <c r="F16" s="303"/>
      <c r="G16" s="303"/>
      <c r="H16" s="303"/>
      <c r="I16" s="303"/>
      <c r="J16" s="303"/>
      <c r="K16" s="303"/>
      <c r="L16" s="303"/>
      <c r="M16" s="303"/>
      <c r="N16" s="303"/>
      <c r="O16" s="303"/>
      <c r="P16" s="303"/>
      <c r="Q16" s="303"/>
      <c r="R16" s="303"/>
      <c r="S16" s="303"/>
      <c r="T16" s="303"/>
      <c r="U16" s="303"/>
      <c r="V16" s="303"/>
      <c r="W16" s="303"/>
      <c r="X16" s="303"/>
      <c r="Y16" s="303"/>
      <c r="Z16" s="303"/>
      <c r="AA16" s="303"/>
      <c r="AB16" s="303"/>
      <c r="AC16" s="303"/>
      <c r="AD16" s="303"/>
      <c r="AE16" s="303"/>
      <c r="AF16" s="303"/>
      <c r="AG16" s="304"/>
    </row>
    <row r="17" spans="1:33">
      <c r="A17" s="111"/>
    </row>
    <row r="18" spans="1:33" ht="26.25" customHeight="1">
      <c r="A18" s="305" t="s">
        <v>573</v>
      </c>
      <c r="B18" s="306"/>
      <c r="C18" s="306"/>
      <c r="D18" s="306"/>
      <c r="E18" s="307" t="s">
        <v>572</v>
      </c>
      <c r="F18" s="307"/>
      <c r="G18" s="307"/>
      <c r="H18" s="307"/>
      <c r="I18" s="307"/>
      <c r="J18" s="307"/>
      <c r="K18" s="307"/>
      <c r="L18" s="307"/>
      <c r="M18" s="307"/>
      <c r="N18" s="307"/>
      <c r="O18" s="307"/>
      <c r="P18" s="307"/>
    </row>
    <row r="19" spans="1:33"/>
    <row r="20" spans="1:33"/>
    <row r="21" spans="1:33" ht="15.75" customHeight="1">
      <c r="Q21" s="112"/>
    </row>
    <row r="22" spans="1:33" ht="12" customHeight="1">
      <c r="Q22" s="112"/>
    </row>
    <row r="23" spans="1:33" ht="60" customHeight="1">
      <c r="A23" s="279" t="str">
        <f ca="1">MXTitle</f>
        <v>RteIf - Peer Review Workbook (PRWB)</v>
      </c>
      <c r="B23" s="280"/>
      <c r="C23" s="280"/>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8" type="noConversion"/>
  <conditionalFormatting sqref="W5">
    <cfRule type="cellIs" dxfId="1831" priority="23" operator="equal">
      <formula>"draft"</formula>
    </cfRule>
  </conditionalFormatting>
  <conditionalFormatting sqref="W5:AA5">
    <cfRule type="cellIs" dxfId="1830" priority="1" operator="equal">
      <formula>"In-Work"</formula>
    </cfRule>
    <cfRule type="cellIs" dxfId="1829" priority="2" stopIfTrue="1" operator="equal">
      <formula>"draft"</formula>
    </cfRule>
    <cfRule type="cellIs" dxfId="1828" priority="3" operator="equal">
      <formula>"In-Work"</formula>
    </cfRule>
    <cfRule type="cellIs" dxfId="1827" priority="4" stopIfTrue="1" operator="equal">
      <formula>"draft"</formula>
    </cfRule>
    <cfRule type="cellIs" dxfId="1826" priority="5" operator="equal">
      <formula>"In-Work"</formula>
    </cfRule>
    <cfRule type="cellIs" dxfId="1825" priority="6" stopIfTrue="1" operator="equal">
      <formula>"draft"</formula>
    </cfRule>
    <cfRule type="cellIs" dxfId="1824" priority="7" operator="equal">
      <formula>"In-Work"</formula>
    </cfRule>
    <cfRule type="cellIs" dxfId="1823" priority="8" stopIfTrue="1" operator="equal">
      <formula>"draft"</formula>
    </cfRule>
    <cfRule type="cellIs" dxfId="1822" priority="9" operator="equal">
      <formula>"In-Work"</formula>
    </cfRule>
    <cfRule type="cellIs" dxfId="1821" priority="10" stopIfTrue="1" operator="equal">
      <formula>"draft"</formula>
    </cfRule>
    <cfRule type="cellIs" dxfId="1820" priority="11" operator="equal">
      <formula>"In-Work"</formula>
    </cfRule>
    <cfRule type="cellIs" dxfId="1819" priority="12" stopIfTrue="1" operator="equal">
      <formula>"draft"</formula>
    </cfRule>
    <cfRule type="cellIs" dxfId="1818" priority="13" operator="equal">
      <formula>"In-Work"</formula>
    </cfRule>
    <cfRule type="cellIs" dxfId="1817" priority="14" stopIfTrue="1" operator="equal">
      <formula>"draft"</formula>
    </cfRule>
    <cfRule type="cellIs" dxfId="1816" priority="15" operator="equal">
      <formula>"In-Work"</formula>
    </cfRule>
    <cfRule type="cellIs" dxfId="1815" priority="16" stopIfTrue="1" operator="equal">
      <formula>"draft"</formula>
    </cfRule>
    <cfRule type="cellIs" dxfId="1814" priority="17" operator="equal">
      <formula>"In-Work"</formula>
    </cfRule>
    <cfRule type="cellIs" dxfId="1813" priority="18" stopIfTrue="1" operator="equal">
      <formula>"draft"</formula>
    </cfRule>
    <cfRule type="cellIs" dxfId="1812" priority="19" operator="equal">
      <formula>"In-Work"</formula>
    </cfRule>
    <cfRule type="cellIs" dxfId="1811" priority="20" stopIfTrue="1" operator="equal">
      <formula>"draft"</formula>
    </cfRule>
    <cfRule type="cellIs" dxfId="1810" priority="21" operator="equal">
      <formula>"In-Work"</formula>
    </cfRule>
    <cfRule type="cellIs" dxfId="1809"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topLeftCell="A76"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RteIf - Peer Review Workbook.xlsm</v>
      </c>
      <c r="AE3" s="95"/>
      <c r="AF3" s="95"/>
      <c r="AG3" s="95"/>
      <c r="AH3" s="95"/>
    </row>
    <row r="4" spans="1:34">
      <c r="A4" s="267" t="s">
        <v>5</v>
      </c>
      <c r="B4" s="268"/>
      <c r="C4" s="268"/>
      <c r="D4" s="268"/>
      <c r="E4" s="268"/>
      <c r="F4" s="268"/>
      <c r="G4" s="268"/>
      <c r="H4" s="268"/>
      <c r="I4" s="268"/>
      <c r="J4" s="268"/>
      <c r="K4" s="268"/>
      <c r="L4" s="268"/>
      <c r="M4" s="268"/>
      <c r="N4" s="268"/>
      <c r="O4" s="268"/>
      <c r="P4" s="268"/>
      <c r="Q4" s="268"/>
      <c r="R4" s="268"/>
      <c r="S4" s="268"/>
      <c r="T4" s="268"/>
      <c r="U4" s="268"/>
      <c r="V4" s="269"/>
      <c r="W4" s="330" t="s">
        <v>6</v>
      </c>
      <c r="X4" s="331"/>
      <c r="Y4" s="331"/>
      <c r="Z4" s="331"/>
      <c r="AA4" s="332"/>
      <c r="AB4" s="267" t="s">
        <v>136</v>
      </c>
      <c r="AC4" s="268"/>
      <c r="AD4" s="268"/>
      <c r="AE4" s="268"/>
      <c r="AF4" s="268"/>
      <c r="AG4" s="269"/>
      <c r="AH4" s="101"/>
    </row>
    <row r="5" spans="1:34">
      <c r="A5" s="276" t="s">
        <v>202</v>
      </c>
      <c r="B5" s="277"/>
      <c r="C5" s="277"/>
      <c r="D5" s="277"/>
      <c r="E5" s="277"/>
      <c r="F5" s="277"/>
      <c r="G5" s="277"/>
      <c r="H5" s="277"/>
      <c r="I5" s="277"/>
      <c r="J5" s="277"/>
      <c r="K5" s="277"/>
      <c r="L5" s="277"/>
      <c r="M5" s="277"/>
      <c r="N5" s="277"/>
      <c r="O5" s="277"/>
      <c r="P5" s="277"/>
      <c r="Q5" s="277"/>
      <c r="R5" s="277"/>
      <c r="S5" s="277"/>
      <c r="T5" s="277"/>
      <c r="U5" s="277"/>
      <c r="V5" s="278"/>
      <c r="W5" s="333" t="s">
        <v>201</v>
      </c>
      <c r="X5" s="334"/>
      <c r="Y5" s="334"/>
      <c r="Z5" s="334"/>
      <c r="AA5" s="335"/>
      <c r="AB5" s="276" t="s">
        <v>200</v>
      </c>
      <c r="AC5" s="277"/>
      <c r="AD5" s="277"/>
      <c r="AE5" s="277"/>
      <c r="AF5" s="277"/>
      <c r="AG5" s="278"/>
      <c r="AH5" s="102"/>
    </row>
    <row r="6" spans="1:34">
      <c r="A6" s="336" t="s">
        <v>7</v>
      </c>
      <c r="B6" s="337"/>
      <c r="C6" s="337"/>
      <c r="D6" s="338"/>
      <c r="E6" s="336" t="s">
        <v>8</v>
      </c>
      <c r="F6" s="337"/>
      <c r="G6" s="337"/>
      <c r="H6" s="337"/>
      <c r="I6" s="337"/>
      <c r="J6" s="337"/>
      <c r="K6" s="337"/>
      <c r="L6" s="337"/>
      <c r="M6" s="337"/>
      <c r="N6" s="337"/>
      <c r="O6" s="337"/>
      <c r="P6" s="337"/>
      <c r="Q6" s="337"/>
      <c r="R6" s="337"/>
      <c r="S6" s="337"/>
      <c r="T6" s="337"/>
      <c r="U6" s="337"/>
      <c r="V6" s="338"/>
      <c r="W6" s="267" t="s">
        <v>10</v>
      </c>
      <c r="X6" s="268"/>
      <c r="Y6" s="268"/>
      <c r="Z6" s="268"/>
      <c r="AA6" s="269"/>
      <c r="AB6" s="330" t="s">
        <v>34</v>
      </c>
      <c r="AC6" s="331"/>
      <c r="AD6" s="332"/>
      <c r="AE6" s="330" t="s">
        <v>9</v>
      </c>
      <c r="AF6" s="331"/>
      <c r="AG6" s="332"/>
      <c r="AH6" s="95"/>
    </row>
    <row r="7" spans="1:34">
      <c r="A7" s="333" t="s">
        <v>199</v>
      </c>
      <c r="B7" s="334"/>
      <c r="C7" s="334"/>
      <c r="D7" s="335"/>
      <c r="E7" s="333" t="s">
        <v>204</v>
      </c>
      <c r="F7" s="334"/>
      <c r="G7" s="334"/>
      <c r="H7" s="334"/>
      <c r="I7" s="334"/>
      <c r="J7" s="334"/>
      <c r="K7" s="334"/>
      <c r="L7" s="334"/>
      <c r="M7" s="334"/>
      <c r="N7" s="334"/>
      <c r="O7" s="334"/>
      <c r="P7" s="334"/>
      <c r="Q7" s="334"/>
      <c r="R7" s="334"/>
      <c r="S7" s="334"/>
      <c r="T7" s="334"/>
      <c r="U7" s="334"/>
      <c r="V7" s="335"/>
      <c r="W7" s="333" t="str">
        <f ca="1">TemplateRef</f>
        <v>AEF1007</v>
      </c>
      <c r="X7" s="334"/>
      <c r="Y7" s="334"/>
      <c r="Z7" s="334"/>
      <c r="AA7" s="335"/>
      <c r="AB7" s="333" t="s">
        <v>203</v>
      </c>
      <c r="AC7" s="334"/>
      <c r="AD7" s="335"/>
      <c r="AE7" s="333" t="s">
        <v>203</v>
      </c>
      <c r="AF7" s="334"/>
      <c r="AG7" s="335"/>
      <c r="AH7" s="102"/>
    </row>
    <row r="8" spans="1:34">
      <c r="A8" s="336" t="s">
        <v>142</v>
      </c>
      <c r="B8" s="337"/>
      <c r="C8" s="337"/>
      <c r="D8" s="337"/>
      <c r="E8" s="337"/>
      <c r="F8" s="337"/>
      <c r="G8" s="337"/>
      <c r="H8" s="337"/>
      <c r="I8" s="337"/>
      <c r="J8" s="337"/>
      <c r="K8" s="337"/>
      <c r="L8" s="337"/>
      <c r="M8" s="337"/>
      <c r="N8" s="337"/>
      <c r="O8" s="337"/>
      <c r="P8" s="337"/>
      <c r="Q8" s="337"/>
      <c r="R8" s="337"/>
      <c r="S8" s="337"/>
      <c r="T8" s="337"/>
      <c r="U8" s="337"/>
      <c r="V8" s="337"/>
      <c r="W8" s="337"/>
      <c r="X8" s="337"/>
      <c r="Y8" s="337"/>
      <c r="Z8" s="337"/>
      <c r="AA8" s="337"/>
      <c r="AB8" s="337"/>
      <c r="AC8" s="337"/>
      <c r="AD8" s="337"/>
      <c r="AE8" s="337"/>
      <c r="AF8" s="337"/>
      <c r="AG8" s="338"/>
      <c r="AH8" s="105"/>
    </row>
    <row r="9" spans="1:34">
      <c r="A9" s="339" t="s">
        <v>143</v>
      </c>
      <c r="B9" s="340"/>
      <c r="C9" s="340"/>
      <c r="D9" s="340"/>
      <c r="E9" s="340"/>
      <c r="F9" s="340"/>
      <c r="G9" s="340"/>
      <c r="H9" s="340"/>
      <c r="I9" s="340"/>
      <c r="J9" s="340"/>
      <c r="K9" s="340"/>
      <c r="L9" s="340"/>
      <c r="M9" s="340"/>
      <c r="N9" s="340"/>
      <c r="O9" s="340"/>
      <c r="P9" s="340"/>
      <c r="Q9" s="340"/>
      <c r="R9" s="340"/>
      <c r="S9" s="340"/>
      <c r="T9" s="340"/>
      <c r="U9" s="340"/>
      <c r="V9" s="340"/>
      <c r="W9" s="340"/>
      <c r="X9" s="340"/>
      <c r="Y9" s="340"/>
      <c r="Z9" s="340"/>
      <c r="AA9" s="340"/>
      <c r="AB9" s="340"/>
      <c r="AC9" s="340"/>
      <c r="AD9" s="340"/>
      <c r="AE9" s="340"/>
      <c r="AF9" s="340"/>
      <c r="AG9" s="341"/>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321" t="s">
        <v>146</v>
      </c>
      <c r="C15" s="342"/>
      <c r="D15" s="342"/>
      <c r="E15" s="342"/>
      <c r="F15" s="342"/>
      <c r="G15" s="321" t="s">
        <v>147</v>
      </c>
      <c r="H15" s="321"/>
      <c r="I15" s="321"/>
      <c r="J15" s="321"/>
      <c r="K15" s="321"/>
      <c r="L15" s="321"/>
      <c r="M15" s="321"/>
      <c r="N15" s="321"/>
      <c r="O15" s="321"/>
      <c r="P15" s="321"/>
      <c r="Q15" s="321"/>
      <c r="R15" s="321"/>
      <c r="S15" s="321"/>
      <c r="T15" s="321"/>
      <c r="U15" s="321"/>
      <c r="V15" s="321"/>
      <c r="W15" s="321"/>
      <c r="X15" s="321"/>
      <c r="Y15" s="321"/>
      <c r="Z15" s="321"/>
      <c r="AA15" s="321"/>
      <c r="AB15" s="321"/>
      <c r="AC15" s="321"/>
      <c r="AD15" s="321"/>
      <c r="AE15" s="321"/>
      <c r="AF15" s="321"/>
      <c r="AG15" s="105"/>
      <c r="AH15" s="105"/>
    </row>
    <row r="16" spans="1:34" ht="55.5" customHeight="1">
      <c r="A16" s="105"/>
      <c r="B16" s="343" t="s">
        <v>148</v>
      </c>
      <c r="C16" s="343"/>
      <c r="D16" s="343"/>
      <c r="E16" s="343"/>
      <c r="F16" s="343"/>
      <c r="G16" s="311" t="s">
        <v>149</v>
      </c>
      <c r="H16" s="311"/>
      <c r="I16" s="311"/>
      <c r="J16" s="311"/>
      <c r="K16" s="311"/>
      <c r="L16" s="311"/>
      <c r="M16" s="311"/>
      <c r="N16" s="311"/>
      <c r="O16" s="311"/>
      <c r="P16" s="311"/>
      <c r="Q16" s="311"/>
      <c r="R16" s="311"/>
      <c r="S16" s="311"/>
      <c r="T16" s="311"/>
      <c r="U16" s="311"/>
      <c r="V16" s="311"/>
      <c r="W16" s="311"/>
      <c r="X16" s="311"/>
      <c r="Y16" s="311"/>
      <c r="Z16" s="311"/>
      <c r="AA16" s="311"/>
      <c r="AB16" s="311"/>
      <c r="AC16" s="311"/>
      <c r="AD16" s="311"/>
      <c r="AE16" s="311"/>
      <c r="AF16" s="311"/>
      <c r="AG16" s="105"/>
      <c r="AH16" s="105"/>
    </row>
    <row r="17" spans="1:34">
      <c r="A17" s="105"/>
      <c r="B17" s="343" t="s">
        <v>150</v>
      </c>
      <c r="C17" s="343"/>
      <c r="D17" s="343"/>
      <c r="E17" s="343"/>
      <c r="F17" s="343"/>
      <c r="G17" s="311" t="s">
        <v>151</v>
      </c>
      <c r="H17" s="311"/>
      <c r="I17" s="311"/>
      <c r="J17" s="311"/>
      <c r="K17" s="311"/>
      <c r="L17" s="311"/>
      <c r="M17" s="311"/>
      <c r="N17" s="311"/>
      <c r="O17" s="311"/>
      <c r="P17" s="311"/>
      <c r="Q17" s="311"/>
      <c r="R17" s="311"/>
      <c r="S17" s="311"/>
      <c r="T17" s="311"/>
      <c r="U17" s="311"/>
      <c r="V17" s="311"/>
      <c r="W17" s="311"/>
      <c r="X17" s="311"/>
      <c r="Y17" s="311"/>
      <c r="Z17" s="311"/>
      <c r="AA17" s="311"/>
      <c r="AB17" s="311"/>
      <c r="AC17" s="311"/>
      <c r="AD17" s="311"/>
      <c r="AE17" s="311"/>
      <c r="AF17" s="311"/>
      <c r="AG17" s="105"/>
      <c r="AH17" s="105"/>
    </row>
    <row r="18" spans="1:34" ht="15" customHeight="1">
      <c r="A18" s="105"/>
      <c r="B18" s="343" t="s">
        <v>15</v>
      </c>
      <c r="C18" s="343"/>
      <c r="D18" s="343"/>
      <c r="E18" s="343"/>
      <c r="F18" s="343"/>
      <c r="G18" s="311" t="s">
        <v>152</v>
      </c>
      <c r="H18" s="311"/>
      <c r="I18" s="311"/>
      <c r="J18" s="311"/>
      <c r="K18" s="311"/>
      <c r="L18" s="311"/>
      <c r="M18" s="311"/>
      <c r="N18" s="311"/>
      <c r="O18" s="311"/>
      <c r="P18" s="311"/>
      <c r="Q18" s="311"/>
      <c r="R18" s="311"/>
      <c r="S18" s="311"/>
      <c r="T18" s="311"/>
      <c r="U18" s="311"/>
      <c r="V18" s="311"/>
      <c r="W18" s="311"/>
      <c r="X18" s="311"/>
      <c r="Y18" s="311"/>
      <c r="Z18" s="311"/>
      <c r="AA18" s="311"/>
      <c r="AB18" s="311"/>
      <c r="AC18" s="311"/>
      <c r="AD18" s="311"/>
      <c r="AE18" s="311"/>
      <c r="AF18" s="311"/>
      <c r="AG18" s="105"/>
      <c r="AH18" s="105"/>
    </row>
    <row r="19" spans="1:34" ht="24" customHeight="1">
      <c r="A19" s="105"/>
      <c r="B19" s="344" t="s">
        <v>187</v>
      </c>
      <c r="C19" s="344"/>
      <c r="D19" s="344"/>
      <c r="E19" s="344"/>
      <c r="F19" s="344"/>
      <c r="G19" s="311" t="s">
        <v>152</v>
      </c>
      <c r="H19" s="311"/>
      <c r="I19" s="311"/>
      <c r="J19" s="311"/>
      <c r="K19" s="311"/>
      <c r="L19" s="311"/>
      <c r="M19" s="311"/>
      <c r="N19" s="311"/>
      <c r="O19" s="311"/>
      <c r="P19" s="311"/>
      <c r="Q19" s="311"/>
      <c r="R19" s="311"/>
      <c r="S19" s="311"/>
      <c r="T19" s="311"/>
      <c r="U19" s="311"/>
      <c r="V19" s="311"/>
      <c r="W19" s="311"/>
      <c r="X19" s="311"/>
      <c r="Y19" s="311"/>
      <c r="Z19" s="311"/>
      <c r="AA19" s="311"/>
      <c r="AB19" s="311"/>
      <c r="AC19" s="311"/>
      <c r="AD19" s="311"/>
      <c r="AE19" s="311"/>
      <c r="AF19" s="311"/>
      <c r="AG19" s="105"/>
      <c r="AH19" s="105"/>
    </row>
    <row r="20" spans="1:34">
      <c r="A20" s="105"/>
      <c r="B20" s="328" t="s">
        <v>188</v>
      </c>
      <c r="C20" s="328"/>
      <c r="D20" s="328"/>
      <c r="E20" s="328"/>
      <c r="F20" s="328"/>
      <c r="G20" s="311" t="s">
        <v>152</v>
      </c>
      <c r="H20" s="311"/>
      <c r="I20" s="311"/>
      <c r="J20" s="311"/>
      <c r="K20" s="311"/>
      <c r="L20" s="311"/>
      <c r="M20" s="311"/>
      <c r="N20" s="311"/>
      <c r="O20" s="311"/>
      <c r="P20" s="311"/>
      <c r="Q20" s="311"/>
      <c r="R20" s="311"/>
      <c r="S20" s="311"/>
      <c r="T20" s="311"/>
      <c r="U20" s="311"/>
      <c r="V20" s="311"/>
      <c r="W20" s="311"/>
      <c r="X20" s="311"/>
      <c r="Y20" s="311"/>
      <c r="Z20" s="311"/>
      <c r="AA20" s="311"/>
      <c r="AB20" s="311"/>
      <c r="AC20" s="311"/>
      <c r="AD20" s="311"/>
      <c r="AE20" s="311"/>
      <c r="AF20" s="311"/>
      <c r="AG20" s="105"/>
      <c r="AH20" s="105"/>
    </row>
    <row r="21" spans="1:34" ht="35.25" customHeight="1">
      <c r="A21" s="105"/>
      <c r="B21" s="329" t="s">
        <v>479</v>
      </c>
      <c r="C21" s="329"/>
      <c r="D21" s="329"/>
      <c r="E21" s="329"/>
      <c r="F21" s="329"/>
      <c r="G21" s="311" t="s">
        <v>480</v>
      </c>
      <c r="H21" s="311"/>
      <c r="I21" s="311"/>
      <c r="J21" s="311"/>
      <c r="K21" s="311"/>
      <c r="L21" s="311"/>
      <c r="M21" s="311"/>
      <c r="N21" s="311"/>
      <c r="O21" s="311"/>
      <c r="P21" s="311"/>
      <c r="Q21" s="311"/>
      <c r="R21" s="311"/>
      <c r="S21" s="311"/>
      <c r="T21" s="311"/>
      <c r="U21" s="311"/>
      <c r="V21" s="311"/>
      <c r="W21" s="311"/>
      <c r="X21" s="311"/>
      <c r="Y21" s="311"/>
      <c r="Z21" s="311"/>
      <c r="AA21" s="311"/>
      <c r="AB21" s="311"/>
      <c r="AC21" s="311"/>
      <c r="AD21" s="311"/>
      <c r="AE21" s="311"/>
      <c r="AF21" s="311"/>
      <c r="AG21" s="105"/>
      <c r="AH21" s="105"/>
    </row>
    <row r="22" spans="1:34" ht="28.5" customHeight="1">
      <c r="A22" s="105"/>
      <c r="B22" s="329" t="s">
        <v>481</v>
      </c>
      <c r="C22" s="329"/>
      <c r="D22" s="329"/>
      <c r="E22" s="329"/>
      <c r="F22" s="329"/>
      <c r="G22" s="311" t="s">
        <v>482</v>
      </c>
      <c r="H22" s="311"/>
      <c r="I22" s="311"/>
      <c r="J22" s="311"/>
      <c r="K22" s="311"/>
      <c r="L22" s="311"/>
      <c r="M22" s="311"/>
      <c r="N22" s="311"/>
      <c r="O22" s="311"/>
      <c r="P22" s="311"/>
      <c r="Q22" s="311"/>
      <c r="R22" s="311"/>
      <c r="S22" s="311"/>
      <c r="T22" s="311"/>
      <c r="U22" s="311"/>
      <c r="V22" s="311"/>
      <c r="W22" s="311"/>
      <c r="X22" s="311"/>
      <c r="Y22" s="311"/>
      <c r="Z22" s="311"/>
      <c r="AA22" s="311"/>
      <c r="AB22" s="311"/>
      <c r="AC22" s="311"/>
      <c r="AD22" s="311"/>
      <c r="AE22" s="311"/>
      <c r="AF22" s="311"/>
      <c r="AG22" s="105"/>
      <c r="AH22" s="105"/>
    </row>
    <row r="23" spans="1:34" ht="22.5" customHeight="1">
      <c r="A23" s="105"/>
      <c r="B23" s="329" t="s">
        <v>483</v>
      </c>
      <c r="C23" s="329"/>
      <c r="D23" s="329"/>
      <c r="E23" s="329"/>
      <c r="F23" s="329"/>
      <c r="G23" s="311" t="s">
        <v>484</v>
      </c>
      <c r="H23" s="311"/>
      <c r="I23" s="311"/>
      <c r="J23" s="311"/>
      <c r="K23" s="311"/>
      <c r="L23" s="311"/>
      <c r="M23" s="311"/>
      <c r="N23" s="311"/>
      <c r="O23" s="311"/>
      <c r="P23" s="311"/>
      <c r="Q23" s="311"/>
      <c r="R23" s="311"/>
      <c r="S23" s="311"/>
      <c r="T23" s="311"/>
      <c r="U23" s="311"/>
      <c r="V23" s="311"/>
      <c r="W23" s="311"/>
      <c r="X23" s="311"/>
      <c r="Y23" s="311"/>
      <c r="Z23" s="311"/>
      <c r="AA23" s="311"/>
      <c r="AB23" s="311"/>
      <c r="AC23" s="311"/>
      <c r="AD23" s="311"/>
      <c r="AE23" s="311"/>
      <c r="AF23" s="311"/>
      <c r="AG23" s="105"/>
      <c r="AH23" s="105"/>
    </row>
    <row r="24" spans="1:34" ht="45" customHeight="1">
      <c r="A24" s="105"/>
      <c r="B24" s="345" t="s">
        <v>189</v>
      </c>
      <c r="C24" s="345"/>
      <c r="D24" s="345"/>
      <c r="E24" s="345"/>
      <c r="F24" s="345"/>
      <c r="G24" s="311" t="s">
        <v>570</v>
      </c>
      <c r="H24" s="311"/>
      <c r="I24" s="311"/>
      <c r="J24" s="311"/>
      <c r="K24" s="311"/>
      <c r="L24" s="311"/>
      <c r="M24" s="311"/>
      <c r="N24" s="311"/>
      <c r="O24" s="311"/>
      <c r="P24" s="311"/>
      <c r="Q24" s="311"/>
      <c r="R24" s="311"/>
      <c r="S24" s="311"/>
      <c r="T24" s="311"/>
      <c r="U24" s="311"/>
      <c r="V24" s="311"/>
      <c r="W24" s="311"/>
      <c r="X24" s="311"/>
      <c r="Y24" s="311"/>
      <c r="Z24" s="311"/>
      <c r="AA24" s="311"/>
      <c r="AB24" s="311"/>
      <c r="AC24" s="311"/>
      <c r="AD24" s="311"/>
      <c r="AE24" s="311"/>
      <c r="AF24" s="311"/>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321" t="s">
        <v>34</v>
      </c>
      <c r="C27" s="322"/>
      <c r="D27" s="322"/>
      <c r="E27" s="321" t="s">
        <v>92</v>
      </c>
      <c r="F27" s="321"/>
      <c r="G27" s="321"/>
      <c r="H27" s="321"/>
      <c r="I27" s="321" t="s">
        <v>154</v>
      </c>
      <c r="J27" s="322"/>
      <c r="K27" s="322"/>
      <c r="L27" s="322"/>
      <c r="M27" s="322"/>
      <c r="N27" s="322"/>
      <c r="O27" s="322"/>
      <c r="P27" s="322"/>
      <c r="Q27" s="322"/>
      <c r="R27" s="321" t="s">
        <v>155</v>
      </c>
      <c r="S27" s="321"/>
      <c r="T27" s="321"/>
      <c r="U27" s="321"/>
      <c r="V27" s="321"/>
      <c r="W27" s="321"/>
      <c r="X27" s="321"/>
      <c r="Y27" s="321"/>
      <c r="Z27" s="321"/>
      <c r="AA27" s="321"/>
      <c r="AB27" s="321"/>
      <c r="AC27" s="321"/>
      <c r="AD27" s="321"/>
      <c r="AE27" s="321"/>
      <c r="AF27" s="321"/>
      <c r="AG27" s="105"/>
      <c r="AH27" s="105"/>
    </row>
    <row r="28" spans="1:34" ht="40.5" customHeight="1">
      <c r="A28" s="105"/>
      <c r="B28" s="325" t="s">
        <v>616</v>
      </c>
      <c r="C28" s="326" t="s">
        <v>3</v>
      </c>
      <c r="D28" s="327" t="s">
        <v>3</v>
      </c>
      <c r="E28" s="308"/>
      <c r="F28" s="309"/>
      <c r="G28" s="309"/>
      <c r="H28" s="310"/>
      <c r="I28" s="311"/>
      <c r="J28" s="312"/>
      <c r="K28" s="312"/>
      <c r="L28" s="312"/>
      <c r="M28" s="312"/>
      <c r="N28" s="312"/>
      <c r="O28" s="312"/>
      <c r="P28" s="312"/>
      <c r="Q28" s="312"/>
      <c r="R28" s="311" t="s">
        <v>14</v>
      </c>
      <c r="S28" s="311" t="s">
        <v>14</v>
      </c>
      <c r="T28" s="311" t="s">
        <v>14</v>
      </c>
      <c r="U28" s="311" t="s">
        <v>14</v>
      </c>
      <c r="V28" s="311" t="s">
        <v>14</v>
      </c>
      <c r="W28" s="311" t="s">
        <v>14</v>
      </c>
      <c r="X28" s="311" t="s">
        <v>14</v>
      </c>
      <c r="Y28" s="311" t="s">
        <v>14</v>
      </c>
      <c r="Z28" s="311" t="s">
        <v>14</v>
      </c>
      <c r="AA28" s="311" t="s">
        <v>14</v>
      </c>
      <c r="AB28" s="311" t="s">
        <v>14</v>
      </c>
      <c r="AC28" s="311" t="s">
        <v>14</v>
      </c>
      <c r="AD28" s="311" t="s">
        <v>14</v>
      </c>
      <c r="AE28" s="311" t="s">
        <v>14</v>
      </c>
      <c r="AF28" s="311" t="s">
        <v>14</v>
      </c>
      <c r="AG28" s="105"/>
      <c r="AH28" s="105"/>
    </row>
    <row r="29" spans="1:34" ht="60" customHeight="1">
      <c r="A29" s="105"/>
      <c r="B29" s="325" t="s">
        <v>18</v>
      </c>
      <c r="C29" s="326" t="s">
        <v>18</v>
      </c>
      <c r="D29" s="327" t="s">
        <v>18</v>
      </c>
      <c r="E29" s="308">
        <v>40591.490486111114</v>
      </c>
      <c r="F29" s="309">
        <v>40591.490486111114</v>
      </c>
      <c r="G29" s="309">
        <v>40591.490486111114</v>
      </c>
      <c r="H29" s="310">
        <v>40591.490486111114</v>
      </c>
      <c r="I29" s="311" t="s">
        <v>4</v>
      </c>
      <c r="J29" s="312" t="s">
        <v>4</v>
      </c>
      <c r="K29" s="312" t="s">
        <v>4</v>
      </c>
      <c r="L29" s="312" t="s">
        <v>4</v>
      </c>
      <c r="M29" s="312" t="s">
        <v>4</v>
      </c>
      <c r="N29" s="312" t="s">
        <v>4</v>
      </c>
      <c r="O29" s="312" t="s">
        <v>4</v>
      </c>
      <c r="P29" s="312" t="s">
        <v>4</v>
      </c>
      <c r="Q29" s="312" t="s">
        <v>4</v>
      </c>
      <c r="R29" s="311" t="s">
        <v>35</v>
      </c>
      <c r="S29" s="311" t="s">
        <v>35</v>
      </c>
      <c r="T29" s="311" t="s">
        <v>35</v>
      </c>
      <c r="U29" s="311" t="s">
        <v>35</v>
      </c>
      <c r="V29" s="311" t="s">
        <v>35</v>
      </c>
      <c r="W29" s="311" t="s">
        <v>35</v>
      </c>
      <c r="X29" s="311" t="s">
        <v>35</v>
      </c>
      <c r="Y29" s="311" t="s">
        <v>35</v>
      </c>
      <c r="Z29" s="311" t="s">
        <v>35</v>
      </c>
      <c r="AA29" s="311" t="s">
        <v>35</v>
      </c>
      <c r="AB29" s="311" t="s">
        <v>35</v>
      </c>
      <c r="AC29" s="311" t="s">
        <v>35</v>
      </c>
      <c r="AD29" s="311" t="s">
        <v>35</v>
      </c>
      <c r="AE29" s="311" t="s">
        <v>35</v>
      </c>
      <c r="AF29" s="311" t="s">
        <v>35</v>
      </c>
      <c r="AG29" s="105"/>
      <c r="AH29" s="105"/>
    </row>
    <row r="30" spans="1:34" ht="291" customHeight="1">
      <c r="A30" s="105"/>
      <c r="B30" s="325" t="s">
        <v>98</v>
      </c>
      <c r="C30" s="326" t="s">
        <v>98</v>
      </c>
      <c r="D30" s="327" t="s">
        <v>98</v>
      </c>
      <c r="E30" s="308">
        <v>41071.656145833331</v>
      </c>
      <c r="F30" s="309">
        <v>41071.656145833331</v>
      </c>
      <c r="G30" s="309">
        <v>41071.656145833331</v>
      </c>
      <c r="H30" s="310">
        <v>41071.656145833331</v>
      </c>
      <c r="I30" s="311" t="s">
        <v>4</v>
      </c>
      <c r="J30" s="312" t="s">
        <v>4</v>
      </c>
      <c r="K30" s="312" t="s">
        <v>4</v>
      </c>
      <c r="L30" s="312" t="s">
        <v>4</v>
      </c>
      <c r="M30" s="312" t="s">
        <v>4</v>
      </c>
      <c r="N30" s="312" t="s">
        <v>4</v>
      </c>
      <c r="O30" s="312" t="s">
        <v>4</v>
      </c>
      <c r="P30" s="312" t="s">
        <v>4</v>
      </c>
      <c r="Q30" s="312" t="s">
        <v>4</v>
      </c>
      <c r="R30" s="311" t="s">
        <v>129</v>
      </c>
      <c r="S30" s="311" t="s">
        <v>129</v>
      </c>
      <c r="T30" s="311" t="s">
        <v>129</v>
      </c>
      <c r="U30" s="311" t="s">
        <v>129</v>
      </c>
      <c r="V30" s="311" t="s">
        <v>129</v>
      </c>
      <c r="W30" s="311" t="s">
        <v>129</v>
      </c>
      <c r="X30" s="311" t="s">
        <v>129</v>
      </c>
      <c r="Y30" s="311" t="s">
        <v>129</v>
      </c>
      <c r="Z30" s="311" t="s">
        <v>129</v>
      </c>
      <c r="AA30" s="311" t="s">
        <v>129</v>
      </c>
      <c r="AB30" s="311" t="s">
        <v>129</v>
      </c>
      <c r="AC30" s="311" t="s">
        <v>129</v>
      </c>
      <c r="AD30" s="311" t="s">
        <v>129</v>
      </c>
      <c r="AE30" s="311" t="s">
        <v>129</v>
      </c>
      <c r="AF30" s="311" t="s">
        <v>129</v>
      </c>
      <c r="AG30" s="105"/>
      <c r="AH30" s="105"/>
    </row>
    <row r="31" spans="1:34" ht="40.5" customHeight="1">
      <c r="A31" s="105"/>
      <c r="B31" s="325" t="s">
        <v>86</v>
      </c>
      <c r="C31" s="326" t="s">
        <v>86</v>
      </c>
      <c r="D31" s="327" t="s">
        <v>86</v>
      </c>
      <c r="E31" s="308">
        <v>41071.656145833331</v>
      </c>
      <c r="F31" s="309">
        <v>41071.656145833331</v>
      </c>
      <c r="G31" s="309">
        <v>41071.656145833331</v>
      </c>
      <c r="H31" s="310">
        <v>41071.656145833331</v>
      </c>
      <c r="I31" s="311" t="s">
        <v>87</v>
      </c>
      <c r="J31" s="312" t="s">
        <v>87</v>
      </c>
      <c r="K31" s="312" t="s">
        <v>87</v>
      </c>
      <c r="L31" s="312" t="s">
        <v>87</v>
      </c>
      <c r="M31" s="312" t="s">
        <v>87</v>
      </c>
      <c r="N31" s="312" t="s">
        <v>87</v>
      </c>
      <c r="O31" s="312" t="s">
        <v>87</v>
      </c>
      <c r="P31" s="312" t="s">
        <v>87</v>
      </c>
      <c r="Q31" s="312" t="s">
        <v>87</v>
      </c>
      <c r="R31" s="311" t="s">
        <v>100</v>
      </c>
      <c r="S31" s="311" t="s">
        <v>100</v>
      </c>
      <c r="T31" s="311" t="s">
        <v>100</v>
      </c>
      <c r="U31" s="311" t="s">
        <v>100</v>
      </c>
      <c r="V31" s="311" t="s">
        <v>100</v>
      </c>
      <c r="W31" s="311" t="s">
        <v>100</v>
      </c>
      <c r="X31" s="311" t="s">
        <v>100</v>
      </c>
      <c r="Y31" s="311" t="s">
        <v>100</v>
      </c>
      <c r="Z31" s="311" t="s">
        <v>100</v>
      </c>
      <c r="AA31" s="311" t="s">
        <v>100</v>
      </c>
      <c r="AB31" s="311" t="s">
        <v>100</v>
      </c>
      <c r="AC31" s="311" t="s">
        <v>100</v>
      </c>
      <c r="AD31" s="311" t="s">
        <v>100</v>
      </c>
      <c r="AE31" s="311" t="s">
        <v>100</v>
      </c>
      <c r="AF31" s="311" t="s">
        <v>100</v>
      </c>
      <c r="AG31" s="105"/>
      <c r="AH31" s="105"/>
    </row>
    <row r="32" spans="1:34" ht="121.5" customHeight="1">
      <c r="A32" s="105"/>
      <c r="B32" s="325"/>
      <c r="C32" s="326"/>
      <c r="D32" s="327"/>
      <c r="E32" s="308">
        <v>42195</v>
      </c>
      <c r="F32" s="309">
        <v>42195</v>
      </c>
      <c r="G32" s="309">
        <v>42195</v>
      </c>
      <c r="H32" s="310">
        <v>42195</v>
      </c>
      <c r="I32" s="311" t="s">
        <v>99</v>
      </c>
      <c r="J32" s="312" t="s">
        <v>99</v>
      </c>
      <c r="K32" s="312" t="s">
        <v>99</v>
      </c>
      <c r="L32" s="312" t="s">
        <v>99</v>
      </c>
      <c r="M32" s="312" t="s">
        <v>99</v>
      </c>
      <c r="N32" s="312" t="s">
        <v>99</v>
      </c>
      <c r="O32" s="312" t="s">
        <v>99</v>
      </c>
      <c r="P32" s="312" t="s">
        <v>99</v>
      </c>
      <c r="Q32" s="312" t="s">
        <v>99</v>
      </c>
      <c r="R32" s="311" t="s">
        <v>102</v>
      </c>
      <c r="S32" s="311" t="s">
        <v>102</v>
      </c>
      <c r="T32" s="311" t="s">
        <v>102</v>
      </c>
      <c r="U32" s="311" t="s">
        <v>102</v>
      </c>
      <c r="V32" s="311" t="s">
        <v>102</v>
      </c>
      <c r="W32" s="311" t="s">
        <v>102</v>
      </c>
      <c r="X32" s="311" t="s">
        <v>102</v>
      </c>
      <c r="Y32" s="311" t="s">
        <v>102</v>
      </c>
      <c r="Z32" s="311" t="s">
        <v>102</v>
      </c>
      <c r="AA32" s="311" t="s">
        <v>102</v>
      </c>
      <c r="AB32" s="311" t="s">
        <v>102</v>
      </c>
      <c r="AC32" s="311" t="s">
        <v>102</v>
      </c>
      <c r="AD32" s="311" t="s">
        <v>102</v>
      </c>
      <c r="AE32" s="311" t="s">
        <v>102</v>
      </c>
      <c r="AF32" s="311" t="s">
        <v>102</v>
      </c>
      <c r="AG32" s="105"/>
      <c r="AH32" s="105"/>
    </row>
    <row r="33" spans="1:34" ht="114" customHeight="1">
      <c r="A33" s="105"/>
      <c r="B33" s="325" t="s">
        <v>103</v>
      </c>
      <c r="C33" s="326" t="s">
        <v>103</v>
      </c>
      <c r="D33" s="327" t="s">
        <v>103</v>
      </c>
      <c r="E33" s="308">
        <v>42391.634837962964</v>
      </c>
      <c r="F33" s="309">
        <v>42391.634837962964</v>
      </c>
      <c r="G33" s="309">
        <v>42391.634837962964</v>
      </c>
      <c r="H33" s="310">
        <v>42391.634837962964</v>
      </c>
      <c r="I33" s="311" t="s">
        <v>104</v>
      </c>
      <c r="J33" s="312" t="s">
        <v>104</v>
      </c>
      <c r="K33" s="312" t="s">
        <v>104</v>
      </c>
      <c r="L33" s="312" t="s">
        <v>104</v>
      </c>
      <c r="M33" s="312" t="s">
        <v>104</v>
      </c>
      <c r="N33" s="312" t="s">
        <v>104</v>
      </c>
      <c r="O33" s="312" t="s">
        <v>104</v>
      </c>
      <c r="P33" s="312" t="s">
        <v>104</v>
      </c>
      <c r="Q33" s="312" t="s">
        <v>104</v>
      </c>
      <c r="R33" s="311" t="s">
        <v>128</v>
      </c>
      <c r="S33" s="311" t="s">
        <v>128</v>
      </c>
      <c r="T33" s="311" t="s">
        <v>128</v>
      </c>
      <c r="U33" s="311" t="s">
        <v>128</v>
      </c>
      <c r="V33" s="311" t="s">
        <v>128</v>
      </c>
      <c r="W33" s="311" t="s">
        <v>128</v>
      </c>
      <c r="X33" s="311" t="s">
        <v>128</v>
      </c>
      <c r="Y33" s="311" t="s">
        <v>128</v>
      </c>
      <c r="Z33" s="311" t="s">
        <v>128</v>
      </c>
      <c r="AA33" s="311" t="s">
        <v>128</v>
      </c>
      <c r="AB33" s="311" t="s">
        <v>128</v>
      </c>
      <c r="AC33" s="311" t="s">
        <v>128</v>
      </c>
      <c r="AD33" s="311" t="s">
        <v>128</v>
      </c>
      <c r="AE33" s="311" t="s">
        <v>128</v>
      </c>
      <c r="AF33" s="311" t="s">
        <v>128</v>
      </c>
      <c r="AG33" s="105"/>
      <c r="AH33" s="105"/>
    </row>
    <row r="34" spans="1:34" ht="40.5" customHeight="1">
      <c r="A34" s="105"/>
      <c r="B34" s="313" t="s">
        <v>610</v>
      </c>
      <c r="C34" s="314"/>
      <c r="D34" s="314"/>
      <c r="E34" s="308"/>
      <c r="F34" s="309"/>
      <c r="G34" s="309"/>
      <c r="H34" s="310"/>
      <c r="I34" s="311" t="s">
        <v>601</v>
      </c>
      <c r="J34" s="312"/>
      <c r="K34" s="312"/>
      <c r="L34" s="312"/>
      <c r="M34" s="312"/>
      <c r="N34" s="312"/>
      <c r="O34" s="312"/>
      <c r="P34" s="312"/>
      <c r="Q34" s="312"/>
      <c r="R34" s="311" t="s">
        <v>602</v>
      </c>
      <c r="S34" s="311"/>
      <c r="T34" s="311"/>
      <c r="U34" s="311"/>
      <c r="V34" s="311"/>
      <c r="W34" s="311"/>
      <c r="X34" s="311"/>
      <c r="Y34" s="311"/>
      <c r="Z34" s="311"/>
      <c r="AA34" s="311"/>
      <c r="AB34" s="311"/>
      <c r="AC34" s="311"/>
      <c r="AD34" s="311"/>
      <c r="AE34" s="311"/>
      <c r="AF34" s="311"/>
      <c r="AG34" s="105"/>
      <c r="AH34" s="105"/>
    </row>
    <row r="35" spans="1:34" ht="40.5" customHeight="1">
      <c r="A35" s="105"/>
      <c r="B35" s="313" t="s">
        <v>611</v>
      </c>
      <c r="C35" s="314"/>
      <c r="D35" s="314"/>
      <c r="E35" s="308"/>
      <c r="F35" s="309"/>
      <c r="G35" s="309"/>
      <c r="H35" s="310"/>
      <c r="I35" s="311" t="s">
        <v>601</v>
      </c>
      <c r="J35" s="312"/>
      <c r="K35" s="312"/>
      <c r="L35" s="312"/>
      <c r="M35" s="312"/>
      <c r="N35" s="312"/>
      <c r="O35" s="312"/>
      <c r="P35" s="312"/>
      <c r="Q35" s="312"/>
      <c r="R35" s="311" t="s">
        <v>603</v>
      </c>
      <c r="S35" s="311"/>
      <c r="T35" s="311"/>
      <c r="U35" s="311"/>
      <c r="V35" s="311"/>
      <c r="W35" s="311"/>
      <c r="X35" s="311"/>
      <c r="Y35" s="311"/>
      <c r="Z35" s="311"/>
      <c r="AA35" s="311"/>
      <c r="AB35" s="311"/>
      <c r="AC35" s="311"/>
      <c r="AD35" s="311"/>
      <c r="AE35" s="311"/>
      <c r="AF35" s="311"/>
      <c r="AG35" s="105"/>
      <c r="AH35" s="105"/>
    </row>
    <row r="36" spans="1:34" ht="40.5" customHeight="1">
      <c r="A36" s="105"/>
      <c r="B36" s="313" t="s">
        <v>612</v>
      </c>
      <c r="C36" s="314"/>
      <c r="D36" s="314"/>
      <c r="E36" s="308"/>
      <c r="F36" s="309"/>
      <c r="G36" s="309"/>
      <c r="H36" s="310"/>
      <c r="I36" s="311" t="s">
        <v>601</v>
      </c>
      <c r="J36" s="312"/>
      <c r="K36" s="312"/>
      <c r="L36" s="312"/>
      <c r="M36" s="312"/>
      <c r="N36" s="312"/>
      <c r="O36" s="312"/>
      <c r="P36" s="312"/>
      <c r="Q36" s="312"/>
      <c r="R36" s="311" t="s">
        <v>604</v>
      </c>
      <c r="S36" s="311"/>
      <c r="T36" s="311"/>
      <c r="U36" s="311"/>
      <c r="V36" s="311"/>
      <c r="W36" s="311"/>
      <c r="X36" s="311"/>
      <c r="Y36" s="311"/>
      <c r="Z36" s="311"/>
      <c r="AA36" s="311"/>
      <c r="AB36" s="311"/>
      <c r="AC36" s="311"/>
      <c r="AD36" s="311"/>
      <c r="AE36" s="311"/>
      <c r="AF36" s="311"/>
      <c r="AG36" s="105"/>
      <c r="AH36" s="105"/>
    </row>
    <row r="37" spans="1:34" ht="102" customHeight="1">
      <c r="A37" s="105"/>
      <c r="B37" s="313" t="s">
        <v>613</v>
      </c>
      <c r="C37" s="314"/>
      <c r="D37" s="314"/>
      <c r="E37" s="308"/>
      <c r="F37" s="309"/>
      <c r="G37" s="309"/>
      <c r="H37" s="310"/>
      <c r="I37" s="311" t="s">
        <v>601</v>
      </c>
      <c r="J37" s="312"/>
      <c r="K37" s="312"/>
      <c r="L37" s="312"/>
      <c r="M37" s="312"/>
      <c r="N37" s="312"/>
      <c r="O37" s="312"/>
      <c r="P37" s="312"/>
      <c r="Q37" s="312"/>
      <c r="R37" s="311" t="s">
        <v>605</v>
      </c>
      <c r="S37" s="311"/>
      <c r="T37" s="311"/>
      <c r="U37" s="311"/>
      <c r="V37" s="311"/>
      <c r="W37" s="311"/>
      <c r="X37" s="311"/>
      <c r="Y37" s="311"/>
      <c r="Z37" s="311"/>
      <c r="AA37" s="311"/>
      <c r="AB37" s="311"/>
      <c r="AC37" s="311"/>
      <c r="AD37" s="311"/>
      <c r="AE37" s="311"/>
      <c r="AF37" s="311"/>
      <c r="AG37" s="105"/>
      <c r="AH37" s="105"/>
    </row>
    <row r="38" spans="1:34" ht="217.5" customHeight="1">
      <c r="A38" s="105"/>
      <c r="B38" s="313" t="s">
        <v>614</v>
      </c>
      <c r="C38" s="314"/>
      <c r="D38" s="314"/>
      <c r="E38" s="308"/>
      <c r="F38" s="309"/>
      <c r="G38" s="309"/>
      <c r="H38" s="310"/>
      <c r="I38" s="311" t="s">
        <v>601</v>
      </c>
      <c r="J38" s="312"/>
      <c r="K38" s="312"/>
      <c r="L38" s="312"/>
      <c r="M38" s="312"/>
      <c r="N38" s="312"/>
      <c r="O38" s="312"/>
      <c r="P38" s="312"/>
      <c r="Q38" s="312"/>
      <c r="R38" s="311" t="s">
        <v>606</v>
      </c>
      <c r="S38" s="311"/>
      <c r="T38" s="311"/>
      <c r="U38" s="311"/>
      <c r="V38" s="311"/>
      <c r="W38" s="311"/>
      <c r="X38" s="311"/>
      <c r="Y38" s="311"/>
      <c r="Z38" s="311"/>
      <c r="AA38" s="311"/>
      <c r="AB38" s="311"/>
      <c r="AC38" s="311"/>
      <c r="AD38" s="311"/>
      <c r="AE38" s="311"/>
      <c r="AF38" s="311"/>
      <c r="AG38" s="105"/>
      <c r="AH38" s="105"/>
    </row>
    <row r="39" spans="1:34" ht="40.5" customHeight="1">
      <c r="A39" s="105"/>
      <c r="B39" s="313" t="s">
        <v>615</v>
      </c>
      <c r="C39" s="314"/>
      <c r="D39" s="314"/>
      <c r="E39" s="308"/>
      <c r="F39" s="309"/>
      <c r="G39" s="309"/>
      <c r="H39" s="310"/>
      <c r="I39" s="311" t="s">
        <v>601</v>
      </c>
      <c r="J39" s="312"/>
      <c r="K39" s="312"/>
      <c r="L39" s="312"/>
      <c r="M39" s="312"/>
      <c r="N39" s="312"/>
      <c r="O39" s="312"/>
      <c r="P39" s="312"/>
      <c r="Q39" s="312"/>
      <c r="R39" s="311" t="s">
        <v>607</v>
      </c>
      <c r="S39" s="311"/>
      <c r="T39" s="311"/>
      <c r="U39" s="311"/>
      <c r="V39" s="311"/>
      <c r="W39" s="311"/>
      <c r="X39" s="311"/>
      <c r="Y39" s="311"/>
      <c r="Z39" s="311"/>
      <c r="AA39" s="311"/>
      <c r="AB39" s="311"/>
      <c r="AC39" s="311"/>
      <c r="AD39" s="311"/>
      <c r="AE39" s="311"/>
      <c r="AF39" s="311"/>
      <c r="AG39" s="105"/>
      <c r="AH39" s="105"/>
    </row>
    <row r="40" spans="1:34" ht="69" customHeight="1">
      <c r="A40" s="105"/>
      <c r="B40" s="313" t="s">
        <v>609</v>
      </c>
      <c r="C40" s="314"/>
      <c r="D40" s="314"/>
      <c r="E40" s="308">
        <v>44562</v>
      </c>
      <c r="F40" s="309"/>
      <c r="G40" s="309"/>
      <c r="H40" s="310"/>
      <c r="I40" s="311" t="s">
        <v>601</v>
      </c>
      <c r="J40" s="312"/>
      <c r="K40" s="312"/>
      <c r="L40" s="312"/>
      <c r="M40" s="312"/>
      <c r="N40" s="312"/>
      <c r="O40" s="312"/>
      <c r="P40" s="312"/>
      <c r="Q40" s="312"/>
      <c r="R40" s="311" t="s">
        <v>608</v>
      </c>
      <c r="S40" s="311"/>
      <c r="T40" s="311"/>
      <c r="U40" s="311"/>
      <c r="V40" s="311"/>
      <c r="W40" s="311"/>
      <c r="X40" s="311"/>
      <c r="Y40" s="311"/>
      <c r="Z40" s="311"/>
      <c r="AA40" s="311"/>
      <c r="AB40" s="311"/>
      <c r="AC40" s="311"/>
      <c r="AD40" s="311"/>
      <c r="AE40" s="311"/>
      <c r="AF40" s="311"/>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321" t="s">
        <v>159</v>
      </c>
      <c r="C46" s="321"/>
      <c r="D46" s="321"/>
      <c r="E46" s="321" t="s">
        <v>160</v>
      </c>
      <c r="F46" s="322"/>
      <c r="G46" s="322"/>
      <c r="H46" s="322"/>
      <c r="I46" s="322"/>
      <c r="J46" s="322"/>
      <c r="K46" s="322"/>
      <c r="L46" s="322"/>
      <c r="M46" s="322"/>
      <c r="N46" s="322"/>
      <c r="O46" s="322"/>
      <c r="P46" s="322"/>
      <c r="Q46" s="322"/>
      <c r="R46" s="322"/>
      <c r="S46" s="322"/>
      <c r="T46" s="322"/>
      <c r="U46" s="322"/>
      <c r="V46" s="322"/>
      <c r="W46" s="322"/>
      <c r="X46" s="322"/>
      <c r="Y46" s="321" t="s">
        <v>161</v>
      </c>
      <c r="Z46" s="321"/>
      <c r="AA46" s="321"/>
      <c r="AB46" s="321"/>
      <c r="AC46" s="321"/>
      <c r="AD46" s="321"/>
      <c r="AE46" s="321"/>
      <c r="AF46" s="321"/>
      <c r="AG46" s="105"/>
      <c r="AH46" s="105"/>
    </row>
    <row r="47" spans="1:34">
      <c r="A47" s="105"/>
      <c r="B47" s="323"/>
      <c r="C47" s="323"/>
      <c r="D47" s="323"/>
      <c r="E47" s="311"/>
      <c r="F47" s="324"/>
      <c r="G47" s="324"/>
      <c r="H47" s="324"/>
      <c r="I47" s="324"/>
      <c r="J47" s="324"/>
      <c r="K47" s="324"/>
      <c r="L47" s="324"/>
      <c r="M47" s="324"/>
      <c r="N47" s="324"/>
      <c r="O47" s="324"/>
      <c r="P47" s="324"/>
      <c r="Q47" s="324"/>
      <c r="R47" s="324"/>
      <c r="S47" s="324"/>
      <c r="T47" s="324"/>
      <c r="U47" s="324"/>
      <c r="V47" s="324"/>
      <c r="W47" s="324"/>
      <c r="X47" s="324"/>
      <c r="Y47" s="311"/>
      <c r="Z47" s="324"/>
      <c r="AA47" s="324"/>
      <c r="AB47" s="324"/>
      <c r="AC47" s="324"/>
      <c r="AD47" s="324"/>
      <c r="AE47" s="324"/>
      <c r="AF47" s="324"/>
      <c r="AG47" s="105"/>
      <c r="AH47" s="105"/>
    </row>
    <row r="48" spans="1:34">
      <c r="A48" s="105"/>
      <c r="B48" s="323"/>
      <c r="C48" s="323"/>
      <c r="D48" s="323"/>
      <c r="E48" s="311"/>
      <c r="F48" s="324"/>
      <c r="G48" s="324"/>
      <c r="H48" s="324"/>
      <c r="I48" s="324"/>
      <c r="J48" s="324"/>
      <c r="K48" s="324"/>
      <c r="L48" s="324"/>
      <c r="M48" s="324"/>
      <c r="N48" s="324"/>
      <c r="O48" s="324"/>
      <c r="P48" s="324"/>
      <c r="Q48" s="324"/>
      <c r="R48" s="324"/>
      <c r="S48" s="324"/>
      <c r="T48" s="324"/>
      <c r="U48" s="324"/>
      <c r="V48" s="324"/>
      <c r="W48" s="324"/>
      <c r="X48" s="324"/>
      <c r="Y48" s="311"/>
      <c r="Z48" s="324"/>
      <c r="AA48" s="324"/>
      <c r="AB48" s="324"/>
      <c r="AC48" s="324"/>
      <c r="AD48" s="324"/>
      <c r="AE48" s="324"/>
      <c r="AF48" s="324"/>
      <c r="AG48" s="105"/>
      <c r="AH48" s="105"/>
    </row>
    <row r="49" spans="1:34">
      <c r="A49" s="105"/>
      <c r="B49" s="323"/>
      <c r="C49" s="323"/>
      <c r="D49" s="323"/>
      <c r="E49" s="311"/>
      <c r="F49" s="324"/>
      <c r="G49" s="324"/>
      <c r="H49" s="324"/>
      <c r="I49" s="324"/>
      <c r="J49" s="324"/>
      <c r="K49" s="324"/>
      <c r="L49" s="324"/>
      <c r="M49" s="324"/>
      <c r="N49" s="324"/>
      <c r="O49" s="324"/>
      <c r="P49" s="324"/>
      <c r="Q49" s="324"/>
      <c r="R49" s="324"/>
      <c r="S49" s="324"/>
      <c r="T49" s="324"/>
      <c r="U49" s="324"/>
      <c r="V49" s="324"/>
      <c r="W49" s="324"/>
      <c r="X49" s="324"/>
      <c r="Y49" s="311"/>
      <c r="Z49" s="324"/>
      <c r="AA49" s="324"/>
      <c r="AB49" s="324"/>
      <c r="AC49" s="324"/>
      <c r="AD49" s="324"/>
      <c r="AE49" s="324"/>
      <c r="AF49" s="324"/>
      <c r="AG49" s="105"/>
      <c r="AH49" s="105"/>
    </row>
    <row r="50" spans="1:34">
      <c r="A50" s="105"/>
      <c r="B50" s="323"/>
      <c r="C50" s="323"/>
      <c r="D50" s="323"/>
      <c r="E50" s="311"/>
      <c r="F50" s="324"/>
      <c r="G50" s="324"/>
      <c r="H50" s="324"/>
      <c r="I50" s="324"/>
      <c r="J50" s="324"/>
      <c r="K50" s="324"/>
      <c r="L50" s="324"/>
      <c r="M50" s="324"/>
      <c r="N50" s="324"/>
      <c r="O50" s="324"/>
      <c r="P50" s="324"/>
      <c r="Q50" s="324"/>
      <c r="R50" s="324"/>
      <c r="S50" s="324"/>
      <c r="T50" s="324"/>
      <c r="U50" s="324"/>
      <c r="V50" s="324"/>
      <c r="W50" s="324"/>
      <c r="X50" s="324"/>
      <c r="Y50" s="311"/>
      <c r="Z50" s="324"/>
      <c r="AA50" s="324"/>
      <c r="AB50" s="324"/>
      <c r="AC50" s="324"/>
      <c r="AD50" s="324"/>
      <c r="AE50" s="324"/>
      <c r="AF50" s="324"/>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321" t="s">
        <v>159</v>
      </c>
      <c r="C52" s="321"/>
      <c r="D52" s="321"/>
      <c r="E52" s="321" t="s">
        <v>160</v>
      </c>
      <c r="F52" s="322"/>
      <c r="G52" s="322"/>
      <c r="H52" s="322"/>
      <c r="I52" s="322"/>
      <c r="J52" s="322"/>
      <c r="K52" s="322"/>
      <c r="L52" s="322"/>
      <c r="M52" s="322"/>
      <c r="N52" s="322"/>
      <c r="O52" s="322"/>
      <c r="P52" s="322"/>
      <c r="Q52" s="322"/>
      <c r="R52" s="322"/>
      <c r="S52" s="322"/>
      <c r="T52" s="322"/>
      <c r="U52" s="322"/>
      <c r="V52" s="322"/>
      <c r="W52" s="322"/>
      <c r="X52" s="322"/>
      <c r="Y52" s="321" t="s">
        <v>161</v>
      </c>
      <c r="Z52" s="321"/>
      <c r="AA52" s="321"/>
      <c r="AB52" s="321"/>
      <c r="AC52" s="321"/>
      <c r="AD52" s="321"/>
      <c r="AE52" s="321"/>
      <c r="AF52" s="321"/>
      <c r="AG52" s="105"/>
      <c r="AH52" s="105"/>
    </row>
    <row r="53" spans="1:34">
      <c r="A53" s="105"/>
      <c r="B53" s="323"/>
      <c r="C53" s="323"/>
      <c r="D53" s="323"/>
      <c r="E53" s="311"/>
      <c r="F53" s="324"/>
      <c r="G53" s="324"/>
      <c r="H53" s="324"/>
      <c r="I53" s="324"/>
      <c r="J53" s="324"/>
      <c r="K53" s="324"/>
      <c r="L53" s="324"/>
      <c r="M53" s="324"/>
      <c r="N53" s="324"/>
      <c r="O53" s="324"/>
      <c r="P53" s="324"/>
      <c r="Q53" s="324"/>
      <c r="R53" s="324"/>
      <c r="S53" s="324"/>
      <c r="T53" s="324"/>
      <c r="U53" s="324"/>
      <c r="V53" s="324"/>
      <c r="W53" s="324"/>
      <c r="X53" s="324"/>
      <c r="Y53" s="311"/>
      <c r="Z53" s="324"/>
      <c r="AA53" s="324"/>
      <c r="AB53" s="324"/>
      <c r="AC53" s="324"/>
      <c r="AD53" s="324"/>
      <c r="AE53" s="324"/>
      <c r="AF53" s="324"/>
      <c r="AG53" s="105"/>
      <c r="AH53" s="105"/>
    </row>
    <row r="54" spans="1:34">
      <c r="A54" s="105"/>
      <c r="B54" s="323"/>
      <c r="C54" s="323"/>
      <c r="D54" s="323"/>
      <c r="E54" s="311"/>
      <c r="F54" s="324"/>
      <c r="G54" s="324"/>
      <c r="H54" s="324"/>
      <c r="I54" s="324"/>
      <c r="J54" s="324"/>
      <c r="K54" s="324"/>
      <c r="L54" s="324"/>
      <c r="M54" s="324"/>
      <c r="N54" s="324"/>
      <c r="O54" s="324"/>
      <c r="P54" s="324"/>
      <c r="Q54" s="324"/>
      <c r="R54" s="324"/>
      <c r="S54" s="324"/>
      <c r="T54" s="324"/>
      <c r="U54" s="324"/>
      <c r="V54" s="324"/>
      <c r="W54" s="324"/>
      <c r="X54" s="324"/>
      <c r="Y54" s="311"/>
      <c r="Z54" s="324"/>
      <c r="AA54" s="324"/>
      <c r="AB54" s="324"/>
      <c r="AC54" s="324"/>
      <c r="AD54" s="324"/>
      <c r="AE54" s="324"/>
      <c r="AF54" s="324"/>
      <c r="AG54" s="105"/>
      <c r="AH54" s="105"/>
    </row>
    <row r="55" spans="1:34">
      <c r="A55" s="105"/>
      <c r="B55" s="323"/>
      <c r="C55" s="323"/>
      <c r="D55" s="323"/>
      <c r="E55" s="311"/>
      <c r="F55" s="324"/>
      <c r="G55" s="324"/>
      <c r="H55" s="324"/>
      <c r="I55" s="324"/>
      <c r="J55" s="324"/>
      <c r="K55" s="324"/>
      <c r="L55" s="324"/>
      <c r="M55" s="324"/>
      <c r="N55" s="324"/>
      <c r="O55" s="324"/>
      <c r="P55" s="324"/>
      <c r="Q55" s="324"/>
      <c r="R55" s="324"/>
      <c r="S55" s="324"/>
      <c r="T55" s="324"/>
      <c r="U55" s="324"/>
      <c r="V55" s="324"/>
      <c r="W55" s="324"/>
      <c r="X55" s="324"/>
      <c r="Y55" s="311"/>
      <c r="Z55" s="324"/>
      <c r="AA55" s="324"/>
      <c r="AB55" s="324"/>
      <c r="AC55" s="324"/>
      <c r="AD55" s="324"/>
      <c r="AE55" s="324"/>
      <c r="AF55" s="324"/>
      <c r="AG55" s="105"/>
      <c r="AH55" s="105"/>
    </row>
    <row r="56" spans="1:34">
      <c r="A56" s="105"/>
      <c r="B56" s="323"/>
      <c r="C56" s="323"/>
      <c r="D56" s="323"/>
      <c r="E56" s="311"/>
      <c r="F56" s="324"/>
      <c r="G56" s="324"/>
      <c r="H56" s="324"/>
      <c r="I56" s="324"/>
      <c r="J56" s="324"/>
      <c r="K56" s="324"/>
      <c r="L56" s="324"/>
      <c r="M56" s="324"/>
      <c r="N56" s="324"/>
      <c r="O56" s="324"/>
      <c r="P56" s="324"/>
      <c r="Q56" s="324"/>
      <c r="R56" s="324"/>
      <c r="S56" s="324"/>
      <c r="T56" s="324"/>
      <c r="U56" s="324"/>
      <c r="V56" s="324"/>
      <c r="W56" s="324"/>
      <c r="X56" s="324"/>
      <c r="Y56" s="311"/>
      <c r="Z56" s="324"/>
      <c r="AA56" s="324"/>
      <c r="AB56" s="324"/>
      <c r="AC56" s="324"/>
      <c r="AD56" s="324"/>
      <c r="AE56" s="324"/>
      <c r="AF56" s="324"/>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321" t="s">
        <v>164</v>
      </c>
      <c r="C59" s="321"/>
      <c r="D59" s="321"/>
      <c r="E59" s="321"/>
      <c r="F59" s="321"/>
      <c r="G59" s="321"/>
      <c r="H59" s="346"/>
      <c r="I59" s="346"/>
      <c r="J59" s="346"/>
      <c r="K59" s="346"/>
      <c r="L59" s="346"/>
      <c r="M59" s="346"/>
      <c r="N59" s="346"/>
      <c r="O59" s="346"/>
      <c r="P59" s="346"/>
      <c r="Q59" s="346"/>
      <c r="R59" s="346"/>
      <c r="S59" s="346"/>
      <c r="T59" s="346"/>
      <c r="U59" s="346"/>
      <c r="V59" s="346"/>
      <c r="W59" s="346"/>
      <c r="X59" s="346"/>
      <c r="Y59" s="346"/>
      <c r="Z59" s="346"/>
      <c r="AA59" s="346"/>
      <c r="AB59" s="346"/>
      <c r="AC59" s="346"/>
      <c r="AD59" s="346"/>
      <c r="AE59" s="346"/>
      <c r="AF59" s="346"/>
      <c r="AG59" s="105"/>
      <c r="AH59" s="105"/>
    </row>
    <row r="60" spans="1:34" ht="27.75" customHeight="1">
      <c r="A60" s="105"/>
      <c r="B60" s="325" t="s">
        <v>165</v>
      </c>
      <c r="C60" s="326"/>
      <c r="D60" s="326"/>
      <c r="E60" s="326"/>
      <c r="F60" s="326"/>
      <c r="G60" s="327"/>
      <c r="H60" s="350" t="s">
        <v>166</v>
      </c>
      <c r="I60" s="348"/>
      <c r="J60" s="348"/>
      <c r="K60" s="348"/>
      <c r="L60" s="348"/>
      <c r="M60" s="348"/>
      <c r="N60" s="348"/>
      <c r="O60" s="348"/>
      <c r="P60" s="348"/>
      <c r="Q60" s="348"/>
      <c r="R60" s="348"/>
      <c r="S60" s="348"/>
      <c r="T60" s="348"/>
      <c r="U60" s="348"/>
      <c r="V60" s="348"/>
      <c r="W60" s="348"/>
      <c r="X60" s="348"/>
      <c r="Y60" s="348"/>
      <c r="Z60" s="348"/>
      <c r="AA60" s="348"/>
      <c r="AB60" s="348"/>
      <c r="AC60" s="348"/>
      <c r="AD60" s="348"/>
      <c r="AE60" s="348"/>
      <c r="AF60" s="349"/>
      <c r="AG60" s="105"/>
      <c r="AH60" s="105"/>
    </row>
    <row r="61" spans="1:34">
      <c r="A61" s="105"/>
      <c r="B61" s="325"/>
      <c r="C61" s="326"/>
      <c r="D61" s="326"/>
      <c r="E61" s="326"/>
      <c r="F61" s="326"/>
      <c r="G61" s="327"/>
      <c r="H61" s="347"/>
      <c r="I61" s="348"/>
      <c r="J61" s="348"/>
      <c r="K61" s="348"/>
      <c r="L61" s="348"/>
      <c r="M61" s="348"/>
      <c r="N61" s="348"/>
      <c r="O61" s="348"/>
      <c r="P61" s="348"/>
      <c r="Q61" s="348"/>
      <c r="R61" s="348"/>
      <c r="S61" s="348"/>
      <c r="T61" s="348"/>
      <c r="U61" s="348"/>
      <c r="V61" s="348"/>
      <c r="W61" s="348"/>
      <c r="X61" s="348"/>
      <c r="Y61" s="348"/>
      <c r="Z61" s="348"/>
      <c r="AA61" s="348"/>
      <c r="AB61" s="348"/>
      <c r="AC61" s="348"/>
      <c r="AD61" s="348"/>
      <c r="AE61" s="348"/>
      <c r="AF61" s="349"/>
      <c r="AG61" s="105"/>
      <c r="AH61" s="105"/>
    </row>
    <row r="62" spans="1:34">
      <c r="A62" s="105"/>
      <c r="B62" s="325"/>
      <c r="C62" s="326"/>
      <c r="D62" s="326"/>
      <c r="E62" s="326"/>
      <c r="F62" s="326"/>
      <c r="G62" s="327"/>
      <c r="H62" s="347"/>
      <c r="I62" s="348"/>
      <c r="J62" s="348"/>
      <c r="K62" s="348"/>
      <c r="L62" s="348"/>
      <c r="M62" s="348"/>
      <c r="N62" s="348"/>
      <c r="O62" s="348"/>
      <c r="P62" s="348"/>
      <c r="Q62" s="348"/>
      <c r="R62" s="348"/>
      <c r="S62" s="348"/>
      <c r="T62" s="348"/>
      <c r="U62" s="348"/>
      <c r="V62" s="348"/>
      <c r="W62" s="348"/>
      <c r="X62" s="348"/>
      <c r="Y62" s="348"/>
      <c r="Z62" s="348"/>
      <c r="AA62" s="348"/>
      <c r="AB62" s="348"/>
      <c r="AC62" s="348"/>
      <c r="AD62" s="348"/>
      <c r="AE62" s="348"/>
      <c r="AF62" s="349"/>
      <c r="AG62" s="105"/>
      <c r="AH62" s="105"/>
    </row>
    <row r="63" spans="1:34">
      <c r="A63" s="105"/>
      <c r="B63" s="325"/>
      <c r="C63" s="326"/>
      <c r="D63" s="326"/>
      <c r="E63" s="326"/>
      <c r="F63" s="326"/>
      <c r="G63" s="327"/>
      <c r="H63" s="347"/>
      <c r="I63" s="348"/>
      <c r="J63" s="348"/>
      <c r="K63" s="348"/>
      <c r="L63" s="348"/>
      <c r="M63" s="348"/>
      <c r="N63" s="348"/>
      <c r="O63" s="348"/>
      <c r="P63" s="348"/>
      <c r="Q63" s="348"/>
      <c r="R63" s="348"/>
      <c r="S63" s="348"/>
      <c r="T63" s="348"/>
      <c r="U63" s="348"/>
      <c r="V63" s="348"/>
      <c r="W63" s="348"/>
      <c r="X63" s="348"/>
      <c r="Y63" s="348"/>
      <c r="Z63" s="348"/>
      <c r="AA63" s="348"/>
      <c r="AB63" s="348"/>
      <c r="AC63" s="348"/>
      <c r="AD63" s="348"/>
      <c r="AE63" s="348"/>
      <c r="AF63" s="349"/>
      <c r="AG63" s="105"/>
      <c r="AH63" s="105"/>
    </row>
    <row r="64" spans="1:34">
      <c r="A64" s="105"/>
      <c r="B64" s="325"/>
      <c r="C64" s="326"/>
      <c r="D64" s="326"/>
      <c r="E64" s="326"/>
      <c r="F64" s="326"/>
      <c r="G64" s="327"/>
      <c r="H64" s="347"/>
      <c r="I64" s="348"/>
      <c r="J64" s="348"/>
      <c r="K64" s="348"/>
      <c r="L64" s="348"/>
      <c r="M64" s="348"/>
      <c r="N64" s="348"/>
      <c r="O64" s="348"/>
      <c r="P64" s="348"/>
      <c r="Q64" s="348"/>
      <c r="R64" s="348"/>
      <c r="S64" s="348"/>
      <c r="T64" s="348"/>
      <c r="U64" s="348"/>
      <c r="V64" s="348"/>
      <c r="W64" s="348"/>
      <c r="X64" s="348"/>
      <c r="Y64" s="348"/>
      <c r="Z64" s="348"/>
      <c r="AA64" s="348"/>
      <c r="AB64" s="348"/>
      <c r="AC64" s="348"/>
      <c r="AD64" s="348"/>
      <c r="AE64" s="348"/>
      <c r="AF64" s="349"/>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70" customFormat="1" ht="20.25">
      <c r="B69" s="171" t="s">
        <v>379</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15" t="s">
        <v>375</v>
      </c>
      <c r="C71" s="316"/>
      <c r="D71" s="316"/>
      <c r="E71" s="316"/>
      <c r="F71" s="316"/>
      <c r="G71" s="317"/>
      <c r="H71" s="318" t="s">
        <v>370</v>
      </c>
      <c r="I71" s="319"/>
      <c r="J71" s="319"/>
      <c r="K71" s="319"/>
      <c r="L71" s="319"/>
      <c r="M71" s="319"/>
      <c r="N71" s="319"/>
      <c r="O71" s="319"/>
      <c r="P71" s="319"/>
      <c r="Q71" s="319"/>
      <c r="R71" s="319"/>
      <c r="S71" s="319"/>
      <c r="T71" s="319"/>
      <c r="U71" s="319"/>
      <c r="V71" s="319"/>
      <c r="W71" s="319"/>
      <c r="X71" s="319"/>
      <c r="Y71" s="319"/>
      <c r="Z71" s="319"/>
      <c r="AA71" s="319"/>
      <c r="AB71" s="319"/>
      <c r="AC71" s="319"/>
      <c r="AD71" s="319"/>
      <c r="AE71" s="319"/>
      <c r="AF71" s="320"/>
      <c r="AG71" s="105"/>
      <c r="AH71" s="105"/>
    </row>
    <row r="72" spans="1:34" ht="111" customHeight="1">
      <c r="A72" s="105"/>
      <c r="B72" s="315" t="s">
        <v>376</v>
      </c>
      <c r="C72" s="316"/>
      <c r="D72" s="316"/>
      <c r="E72" s="316"/>
      <c r="F72" s="316"/>
      <c r="G72" s="317"/>
      <c r="H72" s="318" t="s">
        <v>372</v>
      </c>
      <c r="I72" s="319"/>
      <c r="J72" s="319"/>
      <c r="K72" s="319"/>
      <c r="L72" s="319"/>
      <c r="M72" s="319"/>
      <c r="N72" s="319"/>
      <c r="O72" s="319"/>
      <c r="P72" s="319"/>
      <c r="Q72" s="319"/>
      <c r="R72" s="319"/>
      <c r="S72" s="319"/>
      <c r="T72" s="319"/>
      <c r="U72" s="319"/>
      <c r="V72" s="319"/>
      <c r="W72" s="319"/>
      <c r="X72" s="319"/>
      <c r="Y72" s="319"/>
      <c r="Z72" s="319"/>
      <c r="AA72" s="319"/>
      <c r="AB72" s="319"/>
      <c r="AC72" s="319"/>
      <c r="AD72" s="319"/>
      <c r="AE72" s="319"/>
      <c r="AF72" s="320"/>
      <c r="AG72" s="105"/>
      <c r="AH72" s="105"/>
    </row>
    <row r="73" spans="1:34" ht="52.5" customHeight="1">
      <c r="A73" s="105"/>
      <c r="B73" s="315" t="s">
        <v>377</v>
      </c>
      <c r="C73" s="316"/>
      <c r="D73" s="316"/>
      <c r="E73" s="316"/>
      <c r="F73" s="316"/>
      <c r="G73" s="317"/>
      <c r="H73" s="318" t="s">
        <v>380</v>
      </c>
      <c r="I73" s="319"/>
      <c r="J73" s="319"/>
      <c r="K73" s="319"/>
      <c r="L73" s="319"/>
      <c r="M73" s="319"/>
      <c r="N73" s="319"/>
      <c r="O73" s="319"/>
      <c r="P73" s="319"/>
      <c r="Q73" s="319"/>
      <c r="R73" s="319"/>
      <c r="S73" s="319"/>
      <c r="T73" s="319"/>
      <c r="U73" s="319"/>
      <c r="V73" s="319"/>
      <c r="W73" s="319"/>
      <c r="X73" s="319"/>
      <c r="Y73" s="319"/>
      <c r="Z73" s="319"/>
      <c r="AA73" s="319"/>
      <c r="AB73" s="319"/>
      <c r="AC73" s="319"/>
      <c r="AD73" s="319"/>
      <c r="AE73" s="319"/>
      <c r="AF73" s="320"/>
      <c r="AG73" s="105"/>
      <c r="AH73" s="105"/>
    </row>
    <row r="74" spans="1:34" ht="52.5" customHeight="1">
      <c r="A74" s="105"/>
      <c r="B74" s="315" t="s">
        <v>369</v>
      </c>
      <c r="C74" s="316"/>
      <c r="D74" s="316"/>
      <c r="E74" s="316"/>
      <c r="F74" s="316"/>
      <c r="G74" s="317"/>
      <c r="H74" s="318" t="s">
        <v>373</v>
      </c>
      <c r="I74" s="319"/>
      <c r="J74" s="319"/>
      <c r="K74" s="319"/>
      <c r="L74" s="319"/>
      <c r="M74" s="319"/>
      <c r="N74" s="319"/>
      <c r="O74" s="319"/>
      <c r="P74" s="319"/>
      <c r="Q74" s="319"/>
      <c r="R74" s="319"/>
      <c r="S74" s="319"/>
      <c r="T74" s="319"/>
      <c r="U74" s="319"/>
      <c r="V74" s="319"/>
      <c r="W74" s="319"/>
      <c r="X74" s="319"/>
      <c r="Y74" s="319"/>
      <c r="Z74" s="319"/>
      <c r="AA74" s="319"/>
      <c r="AB74" s="319"/>
      <c r="AC74" s="319"/>
      <c r="AD74" s="319"/>
      <c r="AE74" s="319"/>
      <c r="AF74" s="320"/>
      <c r="AG74" s="105"/>
      <c r="AH74" s="105"/>
    </row>
    <row r="75" spans="1:34" ht="81" customHeight="1">
      <c r="A75" s="105"/>
      <c r="B75" s="315" t="s">
        <v>378</v>
      </c>
      <c r="C75" s="316"/>
      <c r="D75" s="316"/>
      <c r="E75" s="316"/>
      <c r="F75" s="316"/>
      <c r="G75" s="317"/>
      <c r="H75" s="318" t="s">
        <v>381</v>
      </c>
      <c r="I75" s="319"/>
      <c r="J75" s="319"/>
      <c r="K75" s="319"/>
      <c r="L75" s="319"/>
      <c r="M75" s="319"/>
      <c r="N75" s="319"/>
      <c r="O75" s="319"/>
      <c r="P75" s="319"/>
      <c r="Q75" s="319"/>
      <c r="R75" s="319"/>
      <c r="S75" s="319"/>
      <c r="T75" s="319"/>
      <c r="U75" s="319"/>
      <c r="V75" s="319"/>
      <c r="W75" s="319"/>
      <c r="X75" s="319"/>
      <c r="Y75" s="319"/>
      <c r="Z75" s="319"/>
      <c r="AA75" s="319"/>
      <c r="AB75" s="319"/>
      <c r="AC75" s="319"/>
      <c r="AD75" s="319"/>
      <c r="AE75" s="319"/>
      <c r="AF75" s="320"/>
      <c r="AG75" s="105"/>
      <c r="AH75" s="105"/>
    </row>
    <row r="76" spans="1:34" ht="97.5" customHeight="1">
      <c r="A76" s="105"/>
      <c r="B76" s="315" t="s">
        <v>371</v>
      </c>
      <c r="C76" s="316"/>
      <c r="D76" s="316"/>
      <c r="E76" s="316"/>
      <c r="F76" s="316"/>
      <c r="G76" s="317"/>
      <c r="H76" s="318" t="s">
        <v>374</v>
      </c>
      <c r="I76" s="319"/>
      <c r="J76" s="319"/>
      <c r="K76" s="319"/>
      <c r="L76" s="319"/>
      <c r="M76" s="319"/>
      <c r="N76" s="319"/>
      <c r="O76" s="319"/>
      <c r="P76" s="319"/>
      <c r="Q76" s="319"/>
      <c r="R76" s="319"/>
      <c r="S76" s="319"/>
      <c r="T76" s="319"/>
      <c r="U76" s="319"/>
      <c r="V76" s="319"/>
      <c r="W76" s="319"/>
      <c r="X76" s="319"/>
      <c r="Y76" s="319"/>
      <c r="Z76" s="319"/>
      <c r="AA76" s="319"/>
      <c r="AB76" s="319"/>
      <c r="AC76" s="319"/>
      <c r="AD76" s="319"/>
      <c r="AE76" s="319"/>
      <c r="AF76" s="320"/>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202" t="s">
        <v>571</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201" t="s">
        <v>572</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221</v>
      </c>
      <c r="AJ85" s="154"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237</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435</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171</v>
      </c>
    </row>
    <row r="91" spans="1:36">
      <c r="AJ91" s="154" t="s">
        <v>268</v>
      </c>
    </row>
    <row r="92" spans="1:36">
      <c r="AJ92" s="154" t="s">
        <v>436</v>
      </c>
    </row>
    <row r="93" spans="1:36">
      <c r="AJ93" s="154" t="s">
        <v>437</v>
      </c>
    </row>
    <row r="94" spans="1:36">
      <c r="AJ94" s="154" t="s">
        <v>438</v>
      </c>
    </row>
    <row r="95" spans="1:36">
      <c r="AJ95" s="154" t="s">
        <v>439</v>
      </c>
    </row>
    <row r="96" spans="1:36">
      <c r="AJ96" s="154" t="s">
        <v>445</v>
      </c>
    </row>
    <row r="97" spans="36:36">
      <c r="AJ97" s="154" t="s">
        <v>174</v>
      </c>
    </row>
    <row r="98" spans="36:36">
      <c r="AJ98" s="154" t="s">
        <v>440</v>
      </c>
    </row>
    <row r="99" spans="36:36">
      <c r="AJ99" s="154" t="s">
        <v>441</v>
      </c>
    </row>
    <row r="100" spans="36:36">
      <c r="AJ100" s="154" t="s">
        <v>442</v>
      </c>
    </row>
    <row r="101" spans="36:36">
      <c r="AJ101" s="154" t="s">
        <v>443</v>
      </c>
    </row>
    <row r="102" spans="36:36">
      <c r="AJ102" s="154" t="s">
        <v>444</v>
      </c>
    </row>
    <row r="103" spans="36:36">
      <c r="AJ103" s="154" t="s">
        <v>175</v>
      </c>
    </row>
    <row r="104" spans="36:36">
      <c r="AJ104" s="154" t="s">
        <v>446</v>
      </c>
    </row>
    <row r="105" spans="36:36" ht="18.75">
      <c r="AJ105" s="155" t="s">
        <v>441</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8"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workbookViewId="0">
      <selection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53" t="s">
        <v>15</v>
      </c>
      <c r="B1" s="354"/>
      <c r="C1" s="354"/>
      <c r="D1" s="355"/>
    </row>
    <row r="3" spans="1:8">
      <c r="B3" s="356" t="s">
        <v>16</v>
      </c>
      <c r="C3" s="357"/>
      <c r="D3" s="358"/>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56" t="s">
        <v>183</v>
      </c>
      <c r="C12" s="357"/>
      <c r="D12" s="358"/>
    </row>
    <row r="13" spans="1:8" ht="24.75" customHeight="1">
      <c r="B13" s="134" t="s">
        <v>178</v>
      </c>
      <c r="C13" s="359" t="s">
        <v>180</v>
      </c>
      <c r="D13" s="360"/>
    </row>
    <row r="14" spans="1:8" ht="25.5" customHeight="1">
      <c r="B14" s="134" t="s">
        <v>106</v>
      </c>
      <c r="C14" s="359" t="s">
        <v>181</v>
      </c>
      <c r="D14" s="360"/>
      <c r="E14" s="89"/>
      <c r="F14" s="89"/>
      <c r="G14" s="89"/>
      <c r="H14" s="89"/>
    </row>
    <row r="15" spans="1:8" ht="49.5" customHeight="1">
      <c r="B15" s="134" t="s">
        <v>179</v>
      </c>
      <c r="C15" s="359" t="s">
        <v>182</v>
      </c>
      <c r="D15" s="360"/>
      <c r="F15" s="93" t="s">
        <v>135</v>
      </c>
    </row>
    <row r="17" spans="2:6">
      <c r="B17" s="356" t="s">
        <v>13</v>
      </c>
      <c r="C17" s="357"/>
      <c r="D17" s="358"/>
    </row>
    <row r="18" spans="2:6">
      <c r="B18" s="2"/>
      <c r="C18" s="3"/>
      <c r="D18" s="4"/>
      <c r="F18" s="93" t="s">
        <v>132</v>
      </c>
    </row>
    <row r="19" spans="2:6" s="90" customFormat="1" ht="38.25">
      <c r="B19" s="351" t="s">
        <v>184</v>
      </c>
      <c r="C19" s="135" t="s">
        <v>107</v>
      </c>
      <c r="D19" s="91"/>
      <c r="F19" s="94" t="s">
        <v>133</v>
      </c>
    </row>
    <row r="20" spans="2:6">
      <c r="B20" s="351"/>
      <c r="C20" s="136"/>
      <c r="D20" s="4"/>
      <c r="F20" s="93" t="s">
        <v>134</v>
      </c>
    </row>
    <row r="21" spans="2:6" ht="25.5">
      <c r="B21" s="351"/>
      <c r="C21" s="137" t="s">
        <v>108</v>
      </c>
      <c r="D21" s="4"/>
    </row>
    <row r="22" spans="2:6" ht="25.5">
      <c r="B22" s="351"/>
      <c r="C22" s="137" t="s">
        <v>0</v>
      </c>
      <c r="D22" s="4"/>
    </row>
    <row r="23" spans="2:6">
      <c r="B23" s="351"/>
      <c r="C23" s="137" t="s">
        <v>1</v>
      </c>
      <c r="D23" s="4"/>
    </row>
    <row r="24" spans="2:6">
      <c r="B24" s="2"/>
      <c r="C24" s="27"/>
      <c r="D24" s="4"/>
    </row>
    <row r="25" spans="2:6">
      <c r="B25" s="352" t="s">
        <v>185</v>
      </c>
      <c r="C25" s="138" t="s">
        <v>617</v>
      </c>
      <c r="D25" s="4"/>
    </row>
    <row r="26" spans="2:6" ht="25.5">
      <c r="B26" s="352"/>
      <c r="C26" s="139" t="s">
        <v>2</v>
      </c>
      <c r="D26" s="4"/>
    </row>
    <row r="27" spans="2:6">
      <c r="B27" s="352"/>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9" t="s">
        <v>568</v>
      </c>
      <c r="C50" s="200" t="s">
        <v>569</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topLeftCell="A28" workbookViewId="0">
      <selection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203" t="s">
        <v>51</v>
      </c>
      <c r="D24" s="204" t="s">
        <v>68</v>
      </c>
      <c r="E24" s="82" t="s">
        <v>170</v>
      </c>
      <c r="F24" s="82" t="s">
        <v>172</v>
      </c>
      <c r="G24" s="82" t="s">
        <v>237</v>
      </c>
      <c r="H24" s="82" t="s">
        <v>173</v>
      </c>
      <c r="I24" s="82" t="s">
        <v>435</v>
      </c>
      <c r="J24" s="82" t="s">
        <v>171</v>
      </c>
      <c r="K24" s="82" t="s">
        <v>268</v>
      </c>
      <c r="L24" s="82" t="s">
        <v>436</v>
      </c>
      <c r="M24" s="82" t="s">
        <v>437</v>
      </c>
      <c r="N24" s="82" t="s">
        <v>438</v>
      </c>
      <c r="O24" s="82" t="s">
        <v>439</v>
      </c>
      <c r="P24" s="82" t="s">
        <v>445</v>
      </c>
      <c r="Q24" s="82" t="s">
        <v>174</v>
      </c>
      <c r="R24" s="82" t="s">
        <v>440</v>
      </c>
      <c r="S24" s="82" t="s">
        <v>441</v>
      </c>
      <c r="T24" s="82" t="s">
        <v>443</v>
      </c>
      <c r="U24" s="82" t="s">
        <v>442</v>
      </c>
      <c r="V24" s="82" t="s">
        <v>444</v>
      </c>
      <c r="W24" s="82" t="s">
        <v>175</v>
      </c>
      <c r="X24" s="82" t="s">
        <v>446</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206">
        <f>SUM(E25:AA25)</f>
        <v>53</v>
      </c>
      <c r="E25" s="84">
        <v>0</v>
      </c>
      <c r="F25" s="84">
        <v>0</v>
      </c>
      <c r="G25" s="84">
        <v>0</v>
      </c>
      <c r="H25" s="84">
        <v>0</v>
      </c>
      <c r="I25" s="84">
        <v>0</v>
      </c>
      <c r="J25" s="84">
        <v>0</v>
      </c>
      <c r="K25" s="84">
        <v>0</v>
      </c>
      <c r="L25" s="84">
        <v>0</v>
      </c>
      <c r="M25" s="84">
        <v>0</v>
      </c>
      <c r="N25" s="84">
        <v>0</v>
      </c>
      <c r="O25" s="84">
        <v>0</v>
      </c>
      <c r="P25" s="84">
        <v>0</v>
      </c>
      <c r="Q25" s="84">
        <v>0</v>
      </c>
      <c r="R25" s="84">
        <v>0</v>
      </c>
      <c r="S25" s="84">
        <v>22</v>
      </c>
      <c r="T25" s="84">
        <v>16</v>
      </c>
      <c r="U25" s="84">
        <v>15</v>
      </c>
      <c r="V25" s="84">
        <v>0</v>
      </c>
      <c r="W25" s="84">
        <v>0</v>
      </c>
      <c r="X25" s="84">
        <v>0</v>
      </c>
    </row>
    <row r="26" spans="2:52" ht="15">
      <c r="B26" s="85"/>
      <c r="C26" s="40" t="s">
        <v>77</v>
      </c>
      <c r="D26" s="206">
        <f>SUM(E26:AA26)</f>
        <v>3</v>
      </c>
      <c r="E26" s="85">
        <v>0</v>
      </c>
      <c r="F26" s="85">
        <v>0</v>
      </c>
      <c r="G26" s="85">
        <v>0</v>
      </c>
      <c r="H26" s="85">
        <v>0</v>
      </c>
      <c r="I26" s="85">
        <v>0</v>
      </c>
      <c r="J26" s="85">
        <v>0</v>
      </c>
      <c r="K26" s="85">
        <v>0</v>
      </c>
      <c r="L26" s="85">
        <v>0</v>
      </c>
      <c r="M26" s="85">
        <v>0</v>
      </c>
      <c r="N26" s="85">
        <v>0</v>
      </c>
      <c r="O26" s="85">
        <v>0</v>
      </c>
      <c r="P26" s="85">
        <v>0</v>
      </c>
      <c r="Q26" s="85">
        <v>0</v>
      </c>
      <c r="R26" s="85">
        <v>0</v>
      </c>
      <c r="S26" s="85">
        <v>1</v>
      </c>
      <c r="T26" s="85">
        <v>2</v>
      </c>
      <c r="U26" s="85">
        <v>0</v>
      </c>
      <c r="V26" s="85">
        <v>0</v>
      </c>
      <c r="W26" s="85">
        <v>0</v>
      </c>
      <c r="X26" s="85">
        <v>0</v>
      </c>
    </row>
    <row r="27" spans="2:52" ht="15">
      <c r="B27" s="83">
        <f>B25+B26</f>
        <v>0</v>
      </c>
      <c r="C27" s="44" t="s">
        <v>22</v>
      </c>
      <c r="D27" s="83">
        <f t="shared" ref="D27" si="0">D25+D26</f>
        <v>56</v>
      </c>
      <c r="E27" s="83">
        <f t="shared" ref="E27:X27" si="1">E25+E26</f>
        <v>0</v>
      </c>
      <c r="F27" s="83">
        <f t="shared" si="1"/>
        <v>0</v>
      </c>
      <c r="G27" s="83">
        <f t="shared" si="1"/>
        <v>0</v>
      </c>
      <c r="H27" s="83">
        <f t="shared" si="1"/>
        <v>0</v>
      </c>
      <c r="I27" s="83">
        <f t="shared" si="1"/>
        <v>0</v>
      </c>
      <c r="J27" s="83">
        <f t="shared" si="1"/>
        <v>0</v>
      </c>
      <c r="K27" s="83">
        <f t="shared" si="1"/>
        <v>0</v>
      </c>
      <c r="L27" s="83">
        <f t="shared" si="1"/>
        <v>0</v>
      </c>
      <c r="M27" s="83">
        <f t="shared" si="1"/>
        <v>0</v>
      </c>
      <c r="N27" s="83">
        <f t="shared" si="1"/>
        <v>0</v>
      </c>
      <c r="O27" s="83">
        <f t="shared" si="1"/>
        <v>0</v>
      </c>
      <c r="P27" s="83">
        <f t="shared" si="1"/>
        <v>0</v>
      </c>
      <c r="Q27" s="83">
        <f t="shared" si="1"/>
        <v>0</v>
      </c>
      <c r="R27" s="83">
        <f t="shared" si="1"/>
        <v>0</v>
      </c>
      <c r="S27" s="83">
        <f t="shared" si="1"/>
        <v>23</v>
      </c>
      <c r="T27" s="83">
        <f t="shared" si="1"/>
        <v>18</v>
      </c>
      <c r="U27" s="83">
        <f t="shared" si="1"/>
        <v>15</v>
      </c>
      <c r="V27" s="83">
        <f t="shared" si="1"/>
        <v>0</v>
      </c>
      <c r="W27" s="83">
        <f t="shared" si="1"/>
        <v>0</v>
      </c>
      <c r="X27" s="83">
        <f t="shared" si="1"/>
        <v>0</v>
      </c>
    </row>
    <row r="28" spans="2:52">
      <c r="D28" s="17"/>
      <c r="H28" s="37"/>
    </row>
    <row r="29" spans="2:52">
      <c r="D29" s="17"/>
      <c r="H29" s="37"/>
    </row>
    <row r="30" spans="2:52">
      <c r="D30" s="17"/>
      <c r="H30" s="37"/>
    </row>
    <row r="31" spans="2:52" s="81" customFormat="1" ht="60" customHeight="1">
      <c r="B31" s="82" t="s">
        <v>90</v>
      </c>
      <c r="C31" s="203" t="s">
        <v>47</v>
      </c>
      <c r="D31" s="204"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206">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206">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206">
        <f>SUM(E34:AA34)</f>
        <v>17</v>
      </c>
      <c r="E34" s="85">
        <v>17</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206">
        <f>SUM(E35:AA35)</f>
        <v>2</v>
      </c>
      <c r="E35" s="85">
        <v>2</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206">
        <f>SUM(E36:AA36)</f>
        <v>38</v>
      </c>
      <c r="E36" s="85">
        <v>38</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207">
        <f>SUM(D32:D36)</f>
        <v>57</v>
      </c>
      <c r="E37" s="86">
        <f>SUM(E32:E36)</f>
        <v>57</v>
      </c>
    </row>
    <row r="38" spans="2:52">
      <c r="D38" s="17"/>
      <c r="H38" s="37"/>
    </row>
    <row r="39" spans="2:52">
      <c r="D39" s="17"/>
      <c r="H39" s="37"/>
    </row>
    <row r="40" spans="2:52" s="81" customFormat="1" ht="63.75">
      <c r="B40" s="82" t="s">
        <v>90</v>
      </c>
      <c r="C40" s="203" t="s">
        <v>67</v>
      </c>
      <c r="D40" s="204"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206">
        <f>SUM(E41:AA41)</f>
        <v>55</v>
      </c>
      <c r="E41" s="85">
        <v>55</v>
      </c>
    </row>
    <row r="42" spans="2:52" ht="15">
      <c r="B42" s="85"/>
      <c r="C42" s="40" t="s">
        <v>74</v>
      </c>
      <c r="D42" s="206">
        <f>SUM(E42:AA42)</f>
        <v>2</v>
      </c>
      <c r="E42" s="85">
        <v>2</v>
      </c>
    </row>
    <row r="43" spans="2:52" s="17" customFormat="1" ht="15">
      <c r="B43" s="85"/>
      <c r="C43" s="40" t="s">
        <v>101</v>
      </c>
      <c r="D43" s="206">
        <f>SUM(E43:AA43)</f>
        <v>0</v>
      </c>
      <c r="E43" s="85">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207">
        <f>SUM(D41:D43)</f>
        <v>57</v>
      </c>
      <c r="E44" s="86">
        <f>SUM(E41:E43)</f>
        <v>57</v>
      </c>
    </row>
    <row r="45" spans="2:52">
      <c r="D45" s="17"/>
    </row>
    <row r="46" spans="2:52">
      <c r="D46" s="17"/>
    </row>
    <row r="47" spans="2:52" ht="25.5">
      <c r="C47" s="205" t="s">
        <v>59</v>
      </c>
      <c r="D47" s="205" t="s">
        <v>92</v>
      </c>
      <c r="E47" s="30" t="s">
        <v>91</v>
      </c>
    </row>
    <row r="48" spans="2:52">
      <c r="C48" s="87" t="s">
        <v>93</v>
      </c>
      <c r="D48" s="208" t="s">
        <v>94</v>
      </c>
      <c r="E48" s="87" t="s">
        <v>95</v>
      </c>
    </row>
  </sheetData>
  <phoneticPr fontId="3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0"/>
  <sheetViews>
    <sheetView workbookViewId="0">
      <selection activeCell="J30" sqref="J30"/>
    </sheetView>
  </sheetViews>
  <sheetFormatPr defaultColWidth="8.85546875" defaultRowHeight="15" outlineLevelCol="1"/>
  <cols>
    <col min="1" max="1" width="54.140625" style="142" customWidth="1"/>
    <col min="2"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61" t="s">
        <v>191</v>
      </c>
      <c r="B1" s="362"/>
      <c r="C1" s="362"/>
      <c r="D1" s="362"/>
      <c r="E1" s="363"/>
      <c r="F1" s="364" t="s">
        <v>198</v>
      </c>
      <c r="G1" s="365"/>
      <c r="H1" s="365"/>
      <c r="I1" s="365"/>
      <c r="J1" s="365"/>
      <c r="K1" s="365"/>
      <c r="L1" s="365"/>
      <c r="M1" s="365"/>
      <c r="N1" s="365"/>
      <c r="O1" s="365"/>
    </row>
    <row r="2" spans="1:15" ht="37.5">
      <c r="A2" s="151" t="s">
        <v>194</v>
      </c>
      <c r="B2" s="151" t="s">
        <v>190</v>
      </c>
      <c r="C2" s="151" t="s">
        <v>192</v>
      </c>
      <c r="D2" s="151" t="s">
        <v>193</v>
      </c>
      <c r="E2" s="151" t="s">
        <v>195</v>
      </c>
      <c r="F2" s="152" t="s">
        <v>858</v>
      </c>
      <c r="G2" s="152" t="s">
        <v>859</v>
      </c>
      <c r="H2" s="152" t="s">
        <v>862</v>
      </c>
      <c r="I2" s="152" t="s">
        <v>863</v>
      </c>
      <c r="J2" s="152" t="s">
        <v>864</v>
      </c>
      <c r="K2" s="152" t="s">
        <v>865</v>
      </c>
      <c r="L2" s="152" t="s">
        <v>866</v>
      </c>
      <c r="M2" s="152" t="s">
        <v>919</v>
      </c>
      <c r="N2" s="152" t="s">
        <v>196</v>
      </c>
      <c r="O2" s="152" t="s">
        <v>197</v>
      </c>
    </row>
    <row r="3" spans="1:15">
      <c r="A3" s="240" t="s">
        <v>872</v>
      </c>
      <c r="B3" s="142" t="s">
        <v>106</v>
      </c>
      <c r="C3" s="240" t="s">
        <v>874</v>
      </c>
      <c r="D3" s="240" t="s">
        <v>874</v>
      </c>
      <c r="E3" s="232">
        <f t="shared" ref="E3:E7" si="0">SUM(F3:O3)</f>
        <v>30</v>
      </c>
      <c r="G3" s="142">
        <v>15</v>
      </c>
      <c r="L3" s="142">
        <v>15</v>
      </c>
    </row>
    <row r="4" spans="1:15">
      <c r="A4" s="240" t="s">
        <v>875</v>
      </c>
      <c r="B4" s="142" t="s">
        <v>106</v>
      </c>
      <c r="C4" s="240" t="s">
        <v>874</v>
      </c>
      <c r="D4" s="240" t="s">
        <v>874</v>
      </c>
      <c r="E4" s="232">
        <f t="shared" si="0"/>
        <v>30</v>
      </c>
      <c r="F4" s="231"/>
      <c r="G4" s="231">
        <v>15</v>
      </c>
      <c r="H4" s="231"/>
      <c r="I4" s="231"/>
      <c r="J4" s="231"/>
      <c r="K4" s="231"/>
      <c r="L4" s="231">
        <v>15</v>
      </c>
      <c r="M4" s="231"/>
      <c r="N4" s="231"/>
      <c r="O4" s="231"/>
    </row>
    <row r="5" spans="1:15">
      <c r="A5" s="231" t="s">
        <v>882</v>
      </c>
      <c r="B5" s="231" t="s">
        <v>106</v>
      </c>
      <c r="C5" s="241" t="s">
        <v>884</v>
      </c>
      <c r="D5" s="241" t="s">
        <v>884</v>
      </c>
      <c r="E5" s="232">
        <f t="shared" si="0"/>
        <v>20</v>
      </c>
      <c r="F5" s="231"/>
      <c r="G5" s="231">
        <v>10</v>
      </c>
      <c r="H5" s="231"/>
      <c r="I5" s="231"/>
      <c r="J5" s="231"/>
      <c r="K5" s="231"/>
      <c r="L5" s="231">
        <v>10</v>
      </c>
      <c r="M5" s="231"/>
      <c r="N5" s="231"/>
      <c r="O5" s="231"/>
    </row>
    <row r="6" spans="1:15">
      <c r="A6" s="231" t="s">
        <v>883</v>
      </c>
      <c r="B6" s="231" t="s">
        <v>106</v>
      </c>
      <c r="C6" s="241" t="s">
        <v>884</v>
      </c>
      <c r="D6" s="241" t="s">
        <v>884</v>
      </c>
      <c r="E6" s="232">
        <f t="shared" si="0"/>
        <v>20</v>
      </c>
      <c r="F6" s="231"/>
      <c r="G6" s="231">
        <v>10</v>
      </c>
      <c r="H6" s="231"/>
      <c r="I6" s="231"/>
      <c r="J6" s="231"/>
      <c r="K6" s="231"/>
      <c r="L6" s="231">
        <v>10</v>
      </c>
      <c r="M6" s="231"/>
      <c r="N6" s="231"/>
      <c r="O6" s="231"/>
    </row>
    <row r="7" spans="1:15">
      <c r="A7" s="231" t="s">
        <v>891</v>
      </c>
      <c r="B7" s="231" t="s">
        <v>106</v>
      </c>
      <c r="C7" s="241" t="s">
        <v>884</v>
      </c>
      <c r="D7" s="241" t="s">
        <v>884</v>
      </c>
      <c r="E7" s="232">
        <f t="shared" si="0"/>
        <v>20</v>
      </c>
      <c r="F7" s="231"/>
      <c r="G7" s="231">
        <v>10</v>
      </c>
      <c r="H7" s="231"/>
      <c r="I7" s="231"/>
      <c r="J7" s="231"/>
      <c r="K7" s="231"/>
      <c r="L7" s="231">
        <v>10</v>
      </c>
      <c r="M7" s="231"/>
      <c r="N7" s="231"/>
      <c r="O7" s="231"/>
    </row>
    <row r="8" spans="1:15">
      <c r="A8" s="244" t="s">
        <v>896</v>
      </c>
      <c r="B8" s="244" t="s">
        <v>106</v>
      </c>
      <c r="C8" s="245" t="s">
        <v>897</v>
      </c>
      <c r="D8" s="245" t="s">
        <v>897</v>
      </c>
      <c r="E8" s="232">
        <f>SUM(F8:O8)</f>
        <v>30</v>
      </c>
      <c r="F8" s="231"/>
      <c r="G8" s="231"/>
      <c r="H8" s="231">
        <v>15</v>
      </c>
      <c r="I8" s="231"/>
      <c r="J8" s="231"/>
      <c r="K8" s="231">
        <v>15</v>
      </c>
      <c r="L8" s="231"/>
      <c r="M8" s="231"/>
      <c r="N8" s="231"/>
      <c r="O8" s="231"/>
    </row>
    <row r="9" spans="1:15">
      <c r="A9" s="246" t="s">
        <v>901</v>
      </c>
      <c r="B9" s="246" t="s">
        <v>106</v>
      </c>
      <c r="C9" s="247" t="s">
        <v>902</v>
      </c>
      <c r="D9" s="247" t="s">
        <v>902</v>
      </c>
      <c r="E9" s="232">
        <f>SUM(F9:O9)</f>
        <v>60</v>
      </c>
      <c r="F9" s="231"/>
      <c r="G9" s="231"/>
      <c r="H9" s="231">
        <v>30</v>
      </c>
      <c r="I9" s="231">
        <v>30</v>
      </c>
      <c r="J9" s="231"/>
      <c r="K9" s="231"/>
      <c r="L9" s="231"/>
      <c r="M9" s="231"/>
      <c r="N9" s="231"/>
      <c r="O9" s="231"/>
    </row>
    <row r="10" spans="1:15">
      <c r="A10" s="251" t="s">
        <v>905</v>
      </c>
      <c r="B10" s="231" t="s">
        <v>106</v>
      </c>
      <c r="C10" s="252" t="s">
        <v>907</v>
      </c>
      <c r="D10" s="252" t="s">
        <v>907</v>
      </c>
      <c r="E10" s="232">
        <f t="shared" ref="E10:E11" si="1">SUM(F10:O10)</f>
        <v>20</v>
      </c>
      <c r="F10" s="231"/>
      <c r="G10" s="231">
        <v>10</v>
      </c>
      <c r="H10" s="231"/>
      <c r="I10" s="231"/>
      <c r="J10" s="231"/>
      <c r="K10" s="231"/>
      <c r="L10" s="231">
        <v>10</v>
      </c>
      <c r="M10" s="231"/>
      <c r="N10" s="231"/>
      <c r="O10" s="231"/>
    </row>
    <row r="11" spans="1:15">
      <c r="A11" s="251" t="s">
        <v>906</v>
      </c>
      <c r="B11" s="231" t="s">
        <v>106</v>
      </c>
      <c r="C11" s="252" t="s">
        <v>907</v>
      </c>
      <c r="D11" s="252" t="s">
        <v>907</v>
      </c>
      <c r="E11" s="232">
        <f t="shared" si="1"/>
        <v>20</v>
      </c>
      <c r="F11" s="231"/>
      <c r="G11" s="231">
        <v>10</v>
      </c>
      <c r="H11" s="231"/>
      <c r="I11" s="231"/>
      <c r="J11" s="231"/>
      <c r="K11" s="231"/>
      <c r="L11" s="231">
        <v>10</v>
      </c>
      <c r="M11" s="231"/>
      <c r="N11" s="231"/>
      <c r="O11" s="231"/>
    </row>
    <row r="12" spans="1:15">
      <c r="A12" s="253" t="s">
        <v>908</v>
      </c>
      <c r="B12" s="231" t="s">
        <v>106</v>
      </c>
      <c r="C12" s="254" t="s">
        <v>909</v>
      </c>
      <c r="D12" s="254" t="s">
        <v>909</v>
      </c>
      <c r="E12" s="232">
        <f t="shared" ref="E12" si="2">SUM(F12:O12)</f>
        <v>20</v>
      </c>
      <c r="F12" s="231">
        <v>10</v>
      </c>
      <c r="G12" s="231">
        <v>10</v>
      </c>
      <c r="H12" s="231"/>
      <c r="I12" s="231"/>
      <c r="J12" s="231"/>
      <c r="K12" s="231"/>
      <c r="L12" s="231"/>
      <c r="M12" s="231"/>
      <c r="N12" s="231"/>
      <c r="O12" s="231"/>
    </row>
    <row r="13" spans="1:15">
      <c r="A13" s="255" t="s">
        <v>910</v>
      </c>
      <c r="B13" s="256" t="s">
        <v>106</v>
      </c>
      <c r="C13" s="257" t="s">
        <v>911</v>
      </c>
      <c r="D13" s="257" t="s">
        <v>911</v>
      </c>
      <c r="E13" s="235">
        <v>20</v>
      </c>
      <c r="F13" s="231">
        <v>10</v>
      </c>
      <c r="G13" s="231"/>
      <c r="H13" s="231"/>
      <c r="I13" s="231"/>
      <c r="J13" s="231">
        <v>10</v>
      </c>
      <c r="K13" s="231"/>
      <c r="L13" s="231"/>
      <c r="M13" s="231"/>
      <c r="N13" s="231"/>
      <c r="O13" s="231"/>
    </row>
    <row r="14" spans="1:15">
      <c r="A14" s="266" t="s">
        <v>918</v>
      </c>
      <c r="B14" s="246" t="s">
        <v>106</v>
      </c>
      <c r="C14" s="265" t="s">
        <v>917</v>
      </c>
      <c r="D14" s="265" t="s">
        <v>917</v>
      </c>
      <c r="E14" s="232">
        <f>SUM(F14:O14)</f>
        <v>30</v>
      </c>
      <c r="F14" s="231"/>
      <c r="G14" s="231"/>
      <c r="H14" s="231">
        <v>15</v>
      </c>
      <c r="I14" s="231"/>
      <c r="J14" s="231"/>
      <c r="K14" s="231"/>
      <c r="L14" s="231"/>
      <c r="M14" s="231">
        <v>15</v>
      </c>
      <c r="N14" s="231"/>
      <c r="O14" s="231"/>
    </row>
    <row r="15" spans="1:15">
      <c r="A15" s="255" t="s">
        <v>922</v>
      </c>
      <c r="B15" s="256" t="s">
        <v>106</v>
      </c>
      <c r="C15" s="371" t="s">
        <v>925</v>
      </c>
      <c r="D15" s="371" t="s">
        <v>925</v>
      </c>
      <c r="E15" s="235">
        <v>20</v>
      </c>
      <c r="F15" s="231">
        <v>10</v>
      </c>
      <c r="G15" s="231"/>
      <c r="H15" s="231"/>
      <c r="I15" s="231"/>
      <c r="J15" s="231">
        <v>10</v>
      </c>
      <c r="K15" s="231"/>
      <c r="L15" s="231"/>
      <c r="M15" s="231"/>
      <c r="N15" s="231"/>
      <c r="O15" s="231"/>
    </row>
    <row r="16" spans="1:15">
      <c r="A16" s="231"/>
      <c r="B16" s="236"/>
      <c r="C16" s="236"/>
      <c r="D16" s="236"/>
      <c r="E16" s="235"/>
      <c r="F16" s="231"/>
      <c r="G16" s="231"/>
      <c r="H16" s="231"/>
      <c r="I16" s="231"/>
      <c r="J16" s="231"/>
      <c r="K16" s="231"/>
      <c r="L16" s="231"/>
      <c r="M16" s="231"/>
      <c r="N16" s="231"/>
      <c r="O16" s="231"/>
    </row>
    <row r="17" spans="1:15">
      <c r="A17" s="231"/>
      <c r="B17" s="236"/>
      <c r="C17" s="236"/>
      <c r="D17" s="236"/>
      <c r="E17" s="235"/>
      <c r="F17" s="231"/>
      <c r="G17" s="231"/>
      <c r="H17" s="231"/>
      <c r="I17" s="231"/>
      <c r="J17" s="231"/>
      <c r="K17" s="231"/>
      <c r="L17" s="231"/>
      <c r="M17" s="231"/>
      <c r="N17" s="231"/>
      <c r="O17" s="231"/>
    </row>
    <row r="18" spans="1:15">
      <c r="A18" s="231"/>
      <c r="B18" s="236"/>
      <c r="C18" s="236"/>
      <c r="D18" s="236"/>
      <c r="E18" s="235"/>
      <c r="F18" s="231"/>
      <c r="G18" s="231"/>
      <c r="H18" s="231"/>
      <c r="I18" s="231"/>
      <c r="J18" s="231"/>
      <c r="K18" s="231"/>
      <c r="L18" s="231"/>
      <c r="M18" s="231"/>
      <c r="N18" s="231"/>
      <c r="O18" s="231"/>
    </row>
    <row r="19" spans="1:15">
      <c r="A19" s="231"/>
      <c r="B19" s="236"/>
      <c r="C19" s="236"/>
      <c r="D19" s="236"/>
      <c r="E19" s="235"/>
      <c r="F19" s="231"/>
      <c r="G19" s="231"/>
      <c r="H19" s="231"/>
      <c r="I19" s="231"/>
      <c r="J19" s="231"/>
      <c r="K19" s="231"/>
      <c r="L19" s="231"/>
      <c r="M19" s="231"/>
      <c r="N19" s="231"/>
      <c r="O19" s="231"/>
    </row>
    <row r="20" spans="1:15">
      <c r="A20" s="239"/>
      <c r="B20" s="231"/>
      <c r="C20" s="239"/>
      <c r="D20" s="239"/>
      <c r="E20" s="238"/>
      <c r="F20" s="231"/>
      <c r="G20" s="231"/>
      <c r="H20" s="231"/>
      <c r="I20" s="231"/>
      <c r="J20" s="231"/>
      <c r="K20" s="231"/>
      <c r="L20" s="231"/>
      <c r="M20" s="231"/>
      <c r="N20" s="231"/>
      <c r="O20" s="23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B3:B14 B16:B20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4"/>
  <sheetViews>
    <sheetView topLeftCell="A3" workbookViewId="0">
      <selection activeCell="D28" sqref="D28"/>
    </sheetView>
  </sheetViews>
  <sheetFormatPr defaultRowHeight="12.75" outlineLevelRow="1" outlineLevelCol="1"/>
  <cols>
    <col min="1" max="1" width="5.28515625" style="71" customWidth="1"/>
    <col min="2" max="2" width="9.85546875" style="47" customWidth="1"/>
    <col min="3" max="3" width="32.28515625" style="47" customWidth="1"/>
    <col min="4" max="4" width="42.140625" style="48" customWidth="1"/>
    <col min="5" max="5" width="11" style="67" customWidth="1" outlineLevel="1"/>
    <col min="6" max="6" width="19.710937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COUNTA(D5:D499)+COUNTIF(L5:L499,"=Open")+COUNTIF(L5:L499,"=To be fixed")-COUNTA(L5:L499)</f>
        <v>0</v>
      </c>
      <c r="M2" s="53">
        <f>COUNTIF(M5:M499,"=Rejected")</f>
        <v>0</v>
      </c>
      <c r="N2" s="53">
        <f>COUNTA(D5:D499)-COUNTIF(M5:M499,"=Approved")</f>
        <v>0</v>
      </c>
      <c r="O2" s="53">
        <f>COUNTIFS(L5:L499,"=Postponed",M5:M499,"=Approved")</f>
        <v>4</v>
      </c>
      <c r="P2" s="58"/>
      <c r="Q2" s="53">
        <f>COUNTIF($L5:$L499,"=" &amp; Q1)</f>
        <v>0</v>
      </c>
      <c r="R2" s="53">
        <f>COUNTIF($L5:$L499,"=" &amp; R1)</f>
        <v>2</v>
      </c>
      <c r="S2" s="53">
        <f>COUNTIF($L5:$L499,"=" &amp; S1)</f>
        <v>4</v>
      </c>
      <c r="T2" s="53">
        <f>COUNTIF($L5:$L499,"=" &amp; T1)</f>
        <v>13</v>
      </c>
      <c r="U2" s="53">
        <f>COUNTIF($L5:$L499,"=" &amp; U1)+COUNTIFS($L5:$L499,"",$D5:$D499,"&lt;&gt;")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COUNTIF($M5:$M499,"=" &amp; AH1)</f>
        <v>19</v>
      </c>
      <c r="AI2" s="53">
        <f>COUNTIF($M5:$M499,"=" &amp; AI1)</f>
        <v>0</v>
      </c>
      <c r="AJ2" s="53">
        <f>COUNTIF($M5:$M499,"=" &amp; AJ1)</f>
        <v>0</v>
      </c>
      <c r="AM2" s="33"/>
      <c r="AN2" s="33"/>
      <c r="AO2" s="33"/>
      <c r="AP2" s="35"/>
      <c r="AQ2" s="35"/>
      <c r="AR2" s="33"/>
      <c r="AS2" s="35"/>
      <c r="AT2" s="35"/>
    </row>
    <row r="3" spans="1:46" s="52" customFormat="1" ht="25.5" customHeight="1" outlineLevel="1">
      <c r="A3" s="367" t="str">
        <f>IF(Issue_to_treat=1,NbOfNotTreatedIssues+NbOfRejectedIssues&amp;" issue(s) to treat",IF(Issues_to_approve=1,NbOfNotApprovedIssues&amp;" issue(s) to approve",IF(Issues_postponed=1,NbOfNotApprovedAndPostponedIssues&amp;" issue(s) postponed","Status OK")))</f>
        <v>4 issue(s) postponed</v>
      </c>
      <c r="B3" s="367"/>
      <c r="C3" s="368"/>
      <c r="D3" s="65" t="s">
        <v>63</v>
      </c>
      <c r="E3" s="366" t="s">
        <v>81</v>
      </c>
      <c r="F3" s="366"/>
      <c r="G3" s="366"/>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c r="A5" s="72">
        <v>2</v>
      </c>
      <c r="B5" s="28">
        <v>1.1000000000000001</v>
      </c>
      <c r="C5" s="41" t="s">
        <v>868</v>
      </c>
      <c r="D5" s="29" t="s">
        <v>869</v>
      </c>
      <c r="E5" s="69">
        <v>44971.585706018515</v>
      </c>
      <c r="F5" s="70" t="s">
        <v>866</v>
      </c>
      <c r="G5" s="29" t="s">
        <v>879</v>
      </c>
      <c r="H5" s="22"/>
      <c r="I5" s="22"/>
      <c r="J5" s="22" t="s">
        <v>878</v>
      </c>
      <c r="K5" s="23">
        <v>44972.463217592594</v>
      </c>
      <c r="L5" s="22" t="s">
        <v>20</v>
      </c>
      <c r="M5" s="80" t="s">
        <v>28</v>
      </c>
      <c r="N5" s="57"/>
      <c r="O5" s="57"/>
      <c r="P5" s="57"/>
      <c r="Q5" s="61"/>
      <c r="R5" s="61"/>
      <c r="S5" s="61"/>
      <c r="T5" s="61"/>
      <c r="U5" s="61"/>
      <c r="V5" s="61"/>
      <c r="W5" s="61"/>
    </row>
    <row r="6" spans="1:46" s="25" customFormat="1">
      <c r="A6" s="73">
        <v>3</v>
      </c>
      <c r="B6" s="28">
        <v>1.1000000000000001</v>
      </c>
      <c r="C6" s="41" t="s">
        <v>870</v>
      </c>
      <c r="D6" s="29" t="s">
        <v>877</v>
      </c>
      <c r="E6" s="69">
        <v>44971.595995370371</v>
      </c>
      <c r="F6" s="70" t="s">
        <v>866</v>
      </c>
      <c r="G6" s="29"/>
      <c r="H6" s="22"/>
      <c r="I6" s="22"/>
      <c r="J6" s="80" t="s">
        <v>866</v>
      </c>
      <c r="K6" s="23">
        <v>44971.604791666665</v>
      </c>
      <c r="L6" s="22" t="s">
        <v>27</v>
      </c>
      <c r="M6" s="22" t="s">
        <v>28</v>
      </c>
      <c r="N6" s="57"/>
      <c r="O6" s="57"/>
      <c r="P6" s="57"/>
      <c r="Q6" s="61"/>
      <c r="R6" s="61"/>
      <c r="S6" s="61"/>
      <c r="T6" s="61"/>
      <c r="U6" s="61"/>
      <c r="V6" s="61"/>
      <c r="W6" s="61"/>
    </row>
    <row r="7" spans="1:46" s="25" customFormat="1">
      <c r="A7" s="73">
        <v>3</v>
      </c>
      <c r="B7" s="28">
        <v>1.2</v>
      </c>
      <c r="C7" s="41" t="s">
        <v>870</v>
      </c>
      <c r="D7" s="29" t="s">
        <v>871</v>
      </c>
      <c r="E7" s="69">
        <v>44971.595995370371</v>
      </c>
      <c r="F7" s="70" t="s">
        <v>866</v>
      </c>
      <c r="G7" s="29" t="s">
        <v>880</v>
      </c>
      <c r="H7" s="22"/>
      <c r="I7" s="22"/>
      <c r="J7" s="80" t="s">
        <v>878</v>
      </c>
      <c r="K7" s="23">
        <v>44972.470277777778</v>
      </c>
      <c r="L7" s="22" t="s">
        <v>20</v>
      </c>
      <c r="M7" s="22" t="s">
        <v>28</v>
      </c>
      <c r="N7" s="57"/>
      <c r="O7" s="57"/>
      <c r="P7" s="57"/>
      <c r="Q7" s="61"/>
      <c r="R7" s="61"/>
      <c r="S7" s="61"/>
      <c r="T7" s="61"/>
      <c r="U7" s="61"/>
      <c r="V7" s="61"/>
      <c r="W7" s="61"/>
    </row>
    <row r="8" spans="1:46" s="25" customFormat="1">
      <c r="A8" s="73">
        <v>5</v>
      </c>
      <c r="B8" s="28">
        <v>1.2</v>
      </c>
      <c r="C8" s="41" t="s">
        <v>868</v>
      </c>
      <c r="D8" s="29" t="s">
        <v>881</v>
      </c>
      <c r="E8" s="69">
        <v>44981.560115740744</v>
      </c>
      <c r="F8" s="70" t="s">
        <v>866</v>
      </c>
      <c r="G8" s="18"/>
      <c r="H8" s="22"/>
      <c r="I8" s="22"/>
      <c r="J8" s="80" t="s">
        <v>878</v>
      </c>
      <c r="K8" s="23">
        <v>44981.560370370367</v>
      </c>
      <c r="L8" s="22" t="s">
        <v>27</v>
      </c>
      <c r="M8" s="22" t="s">
        <v>28</v>
      </c>
      <c r="N8" s="57"/>
      <c r="O8" s="57"/>
      <c r="P8" s="57"/>
      <c r="Q8" s="61"/>
      <c r="R8" s="61"/>
      <c r="S8" s="61"/>
      <c r="T8" s="61"/>
      <c r="U8" s="61"/>
      <c r="V8" s="61"/>
      <c r="W8" s="61"/>
    </row>
    <row r="9" spans="1:46" s="25" customFormat="1">
      <c r="A9" s="73">
        <v>6</v>
      </c>
      <c r="B9" s="28">
        <v>1.3</v>
      </c>
      <c r="C9" s="41" t="s">
        <v>870</v>
      </c>
      <c r="D9" s="29" t="s">
        <v>881</v>
      </c>
      <c r="E9" s="69">
        <v>44981.560300925928</v>
      </c>
      <c r="F9" s="70" t="s">
        <v>866</v>
      </c>
      <c r="G9" s="18"/>
      <c r="H9" s="22"/>
      <c r="I9" s="22"/>
      <c r="J9" s="80" t="s">
        <v>878</v>
      </c>
      <c r="K9" s="23">
        <v>44981.560416666667</v>
      </c>
      <c r="L9" s="22" t="s">
        <v>27</v>
      </c>
      <c r="M9" s="22" t="s">
        <v>28</v>
      </c>
      <c r="N9" s="57"/>
      <c r="O9" s="57"/>
      <c r="P9" s="57"/>
      <c r="Q9" s="61"/>
      <c r="R9" s="61"/>
      <c r="S9" s="61"/>
      <c r="T9" s="61"/>
      <c r="U9" s="61"/>
      <c r="V9" s="61"/>
      <c r="W9" s="61"/>
    </row>
    <row r="10" spans="1:46" s="25" customFormat="1">
      <c r="A10" s="73">
        <v>7</v>
      </c>
      <c r="B10" s="21">
        <v>1.5</v>
      </c>
      <c r="C10" s="242" t="s">
        <v>889</v>
      </c>
      <c r="D10" s="29" t="s">
        <v>885</v>
      </c>
      <c r="E10" s="69">
        <v>44980.516099537039</v>
      </c>
      <c r="F10" s="70" t="s">
        <v>866</v>
      </c>
      <c r="G10" s="18"/>
      <c r="H10" s="22">
        <v>1047503</v>
      </c>
      <c r="I10" s="80" t="s">
        <v>26</v>
      </c>
      <c r="J10" s="80" t="s">
        <v>878</v>
      </c>
      <c r="K10" s="243">
        <v>45005.406087962961</v>
      </c>
      <c r="L10" s="22" t="s">
        <v>21</v>
      </c>
      <c r="M10" s="22" t="s">
        <v>28</v>
      </c>
      <c r="N10" s="57"/>
      <c r="O10" s="57"/>
      <c r="P10" s="57"/>
      <c r="Q10" s="61"/>
      <c r="R10" s="61"/>
      <c r="S10" s="61"/>
      <c r="T10" s="61"/>
      <c r="U10" s="61"/>
      <c r="V10" s="61"/>
      <c r="W10" s="61"/>
    </row>
    <row r="11" spans="1:46" s="25" customFormat="1">
      <c r="A11" s="73">
        <v>8</v>
      </c>
      <c r="B11" s="21">
        <v>1.5</v>
      </c>
      <c r="C11" s="242" t="s">
        <v>889</v>
      </c>
      <c r="D11" s="29" t="s">
        <v>886</v>
      </c>
      <c r="E11" s="69">
        <v>44980.517465277779</v>
      </c>
      <c r="F11" s="70" t="s">
        <v>866</v>
      </c>
      <c r="G11" s="18"/>
      <c r="H11" s="22"/>
      <c r="I11" s="22"/>
      <c r="J11" s="80" t="s">
        <v>878</v>
      </c>
      <c r="K11" s="243">
        <v>44980.517569444448</v>
      </c>
      <c r="L11" s="22" t="s">
        <v>27</v>
      </c>
      <c r="M11" s="22" t="s">
        <v>28</v>
      </c>
      <c r="N11" s="57"/>
      <c r="O11" s="57"/>
      <c r="P11" s="57"/>
      <c r="Q11" s="61"/>
      <c r="R11" s="61"/>
      <c r="S11" s="61"/>
      <c r="T11" s="61"/>
      <c r="U11" s="61"/>
      <c r="V11" s="61"/>
      <c r="W11" s="61"/>
    </row>
    <row r="12" spans="1:46" s="25" customFormat="1">
      <c r="A12" s="73">
        <v>9</v>
      </c>
      <c r="B12" s="21">
        <v>1.5</v>
      </c>
      <c r="C12" s="242" t="s">
        <v>889</v>
      </c>
      <c r="D12" s="29" t="s">
        <v>887</v>
      </c>
      <c r="E12" s="69">
        <v>44980.521643518521</v>
      </c>
      <c r="F12" s="70" t="s">
        <v>866</v>
      </c>
      <c r="G12" s="18"/>
      <c r="H12" s="22">
        <v>1047503</v>
      </c>
      <c r="I12" s="80" t="s">
        <v>26</v>
      </c>
      <c r="J12" s="80" t="s">
        <v>878</v>
      </c>
      <c r="K12" s="243">
        <v>45005.406087962961</v>
      </c>
      <c r="L12" s="22" t="s">
        <v>21</v>
      </c>
      <c r="M12" s="22" t="s">
        <v>28</v>
      </c>
      <c r="N12" s="57"/>
      <c r="O12" s="57"/>
      <c r="P12" s="57"/>
      <c r="Q12" s="61"/>
      <c r="R12" s="61"/>
      <c r="S12" s="61"/>
      <c r="T12" s="61"/>
      <c r="U12" s="61"/>
      <c r="V12" s="61"/>
      <c r="W12" s="61"/>
    </row>
    <row r="13" spans="1:46" s="25" customFormat="1" ht="25.5">
      <c r="A13" s="73">
        <v>10</v>
      </c>
      <c r="B13" s="21">
        <v>1.5</v>
      </c>
      <c r="C13" s="242" t="s">
        <v>889</v>
      </c>
      <c r="D13" s="29" t="s">
        <v>888</v>
      </c>
      <c r="E13" s="69">
        <v>44980.522187499999</v>
      </c>
      <c r="F13" s="70" t="s">
        <v>866</v>
      </c>
      <c r="G13" s="18"/>
      <c r="H13" s="22">
        <v>1047503</v>
      </c>
      <c r="I13" s="80" t="s">
        <v>26</v>
      </c>
      <c r="J13" s="80" t="s">
        <v>878</v>
      </c>
      <c r="K13" s="243">
        <v>45005.406087962961</v>
      </c>
      <c r="L13" s="22" t="s">
        <v>21</v>
      </c>
      <c r="M13" s="22" t="s">
        <v>28</v>
      </c>
      <c r="N13" s="57"/>
      <c r="O13" s="57"/>
      <c r="P13" s="57"/>
      <c r="Q13" s="61"/>
      <c r="R13" s="61"/>
      <c r="S13" s="61"/>
      <c r="T13" s="61"/>
      <c r="U13" s="61"/>
      <c r="V13" s="61"/>
      <c r="W13" s="61"/>
    </row>
    <row r="14" spans="1:46" s="25" customFormat="1">
      <c r="A14" s="73">
        <v>11</v>
      </c>
      <c r="B14" s="21">
        <v>1.5</v>
      </c>
      <c r="C14" s="242" t="s">
        <v>889</v>
      </c>
      <c r="D14" s="29" t="s">
        <v>890</v>
      </c>
      <c r="E14" s="69">
        <v>44981.566018518519</v>
      </c>
      <c r="F14" s="70" t="s">
        <v>866</v>
      </c>
      <c r="G14" s="18"/>
      <c r="H14" s="22">
        <v>1047503</v>
      </c>
      <c r="I14" s="80" t="s">
        <v>26</v>
      </c>
      <c r="J14" s="80" t="s">
        <v>878</v>
      </c>
      <c r="K14" s="243">
        <v>45005.406087962961</v>
      </c>
      <c r="L14" s="22" t="s">
        <v>21</v>
      </c>
      <c r="M14" s="22" t="s">
        <v>28</v>
      </c>
      <c r="N14" s="57"/>
      <c r="O14" s="57"/>
      <c r="P14" s="57"/>
      <c r="Q14" s="61"/>
      <c r="R14" s="61"/>
      <c r="S14" s="61"/>
      <c r="T14" s="61"/>
      <c r="U14" s="61"/>
      <c r="V14" s="61"/>
      <c r="W14" s="61"/>
    </row>
    <row r="15" spans="1:46" s="25" customFormat="1">
      <c r="A15" s="73">
        <v>12</v>
      </c>
      <c r="B15" s="28">
        <v>1.1000000000000001</v>
      </c>
      <c r="C15" s="41" t="s">
        <v>894</v>
      </c>
      <c r="D15" s="29" t="s">
        <v>881</v>
      </c>
      <c r="E15" s="69">
        <v>45007.449965277781</v>
      </c>
      <c r="F15" s="70" t="s">
        <v>862</v>
      </c>
      <c r="G15" s="29"/>
      <c r="H15" s="22"/>
      <c r="I15" s="22"/>
      <c r="J15" s="80" t="s">
        <v>895</v>
      </c>
      <c r="K15" s="23">
        <v>45007.450104166666</v>
      </c>
      <c r="L15" s="22" t="s">
        <v>27</v>
      </c>
      <c r="M15" s="22" t="s">
        <v>28</v>
      </c>
      <c r="N15" s="57"/>
      <c r="O15" s="57"/>
      <c r="P15" s="57"/>
      <c r="Q15" s="61"/>
      <c r="R15" s="61"/>
      <c r="S15" s="61"/>
      <c r="T15" s="61"/>
      <c r="U15" s="61"/>
      <c r="V15" s="61"/>
      <c r="W15" s="61"/>
    </row>
    <row r="16" spans="1:46" s="25" customFormat="1">
      <c r="A16" s="73">
        <v>13</v>
      </c>
      <c r="B16" s="28">
        <v>1.2</v>
      </c>
      <c r="C16" s="41" t="s">
        <v>894</v>
      </c>
      <c r="D16" s="29" t="s">
        <v>881</v>
      </c>
      <c r="E16" s="69">
        <v>45026.668356481481</v>
      </c>
      <c r="F16" s="70" t="s">
        <v>862</v>
      </c>
      <c r="G16" s="29"/>
      <c r="H16" s="22"/>
      <c r="I16" s="22"/>
      <c r="J16" s="80" t="s">
        <v>895</v>
      </c>
      <c r="K16" s="23">
        <v>45026.668414351851</v>
      </c>
      <c r="L16" s="22" t="s">
        <v>27</v>
      </c>
      <c r="M16" s="22" t="s">
        <v>28</v>
      </c>
      <c r="N16" s="57"/>
      <c r="O16" s="57"/>
      <c r="P16" s="57"/>
      <c r="Q16" s="61"/>
      <c r="R16" s="61"/>
      <c r="S16" s="61"/>
      <c r="T16" s="61"/>
      <c r="U16" s="61"/>
      <c r="V16" s="61"/>
      <c r="W16" s="61"/>
    </row>
    <row r="17" spans="1:23" s="25" customFormat="1">
      <c r="A17" s="73">
        <v>14</v>
      </c>
      <c r="B17" s="248">
        <v>1.3</v>
      </c>
      <c r="C17" s="41" t="s">
        <v>868</v>
      </c>
      <c r="D17" s="29" t="s">
        <v>881</v>
      </c>
      <c r="E17" s="69">
        <v>45104.39303240741</v>
      </c>
      <c r="F17" s="70" t="s">
        <v>859</v>
      </c>
      <c r="G17" s="29"/>
      <c r="H17" s="22"/>
      <c r="I17" s="22"/>
      <c r="J17" s="80" t="s">
        <v>878</v>
      </c>
      <c r="K17" s="23">
        <v>45104.393078703702</v>
      </c>
      <c r="L17" s="22" t="s">
        <v>27</v>
      </c>
      <c r="M17" s="22" t="s">
        <v>28</v>
      </c>
      <c r="N17" s="57"/>
      <c r="O17" s="57"/>
      <c r="P17" s="57"/>
      <c r="Q17" s="61"/>
      <c r="R17" s="61"/>
      <c r="S17" s="61"/>
      <c r="T17" s="61"/>
      <c r="U17" s="61"/>
      <c r="V17" s="61"/>
      <c r="W17" s="61"/>
    </row>
    <row r="18" spans="1:23" s="25" customFormat="1" ht="25.5">
      <c r="A18" s="73">
        <v>15</v>
      </c>
      <c r="B18" s="248">
        <v>1.7</v>
      </c>
      <c r="C18" s="249" t="s">
        <v>870</v>
      </c>
      <c r="D18" s="250" t="s">
        <v>904</v>
      </c>
      <c r="E18" s="69">
        <v>45104.393796296295</v>
      </c>
      <c r="F18" s="70" t="s">
        <v>859</v>
      </c>
      <c r="G18" s="29"/>
      <c r="H18" s="22"/>
      <c r="I18" s="22"/>
      <c r="J18" s="80" t="s">
        <v>878</v>
      </c>
      <c r="K18" s="23">
        <v>45104.393923611111</v>
      </c>
      <c r="L18" s="22" t="s">
        <v>27</v>
      </c>
      <c r="M18" s="22" t="s">
        <v>28</v>
      </c>
      <c r="N18" s="57"/>
      <c r="O18" s="57"/>
      <c r="P18" s="57"/>
      <c r="Q18" s="61"/>
      <c r="R18" s="61"/>
      <c r="S18" s="61"/>
      <c r="T18" s="61"/>
      <c r="U18" s="61"/>
      <c r="V18" s="61"/>
      <c r="W18" s="61"/>
    </row>
    <row r="19" spans="1:23" s="25" customFormat="1">
      <c r="A19" s="73">
        <v>16</v>
      </c>
      <c r="B19" s="248">
        <v>1.7</v>
      </c>
      <c r="C19" s="41" t="s">
        <v>870</v>
      </c>
      <c r="D19" s="29" t="s">
        <v>881</v>
      </c>
      <c r="E19" s="69">
        <v>45104.395173611112</v>
      </c>
      <c r="F19" s="70" t="s">
        <v>859</v>
      </c>
      <c r="G19" s="29"/>
      <c r="H19" s="22"/>
      <c r="I19" s="22"/>
      <c r="J19" s="80" t="s">
        <v>878</v>
      </c>
      <c r="K19" s="23">
        <v>45104.39671296296</v>
      </c>
      <c r="L19" s="22" t="s">
        <v>27</v>
      </c>
      <c r="M19" s="22" t="s">
        <v>28</v>
      </c>
      <c r="N19" s="57"/>
      <c r="O19" s="57"/>
      <c r="P19" s="57"/>
      <c r="Q19" s="61"/>
      <c r="R19" s="61"/>
      <c r="S19" s="61"/>
      <c r="T19" s="61"/>
      <c r="U19" s="61"/>
      <c r="V19" s="61"/>
      <c r="W19" s="61"/>
    </row>
    <row r="20" spans="1:23" s="25" customFormat="1">
      <c r="A20" s="73">
        <v>17</v>
      </c>
      <c r="B20" s="28">
        <v>1.8</v>
      </c>
      <c r="C20" s="41" t="s">
        <v>870</v>
      </c>
      <c r="D20" s="29" t="s">
        <v>881</v>
      </c>
      <c r="E20" s="69">
        <v>45128.560879629629</v>
      </c>
      <c r="F20" s="70" t="s">
        <v>859</v>
      </c>
      <c r="G20" s="29"/>
      <c r="H20" s="22"/>
      <c r="I20" s="22"/>
      <c r="J20" s="80" t="s">
        <v>866</v>
      </c>
      <c r="K20" s="23">
        <v>45128.560925925929</v>
      </c>
      <c r="L20" s="22" t="s">
        <v>27</v>
      </c>
      <c r="M20" s="22" t="s">
        <v>28</v>
      </c>
      <c r="N20" s="57"/>
      <c r="O20" s="57"/>
      <c r="P20" s="57"/>
      <c r="Q20" s="61"/>
      <c r="R20" s="61"/>
      <c r="S20" s="61"/>
      <c r="T20" s="61"/>
      <c r="U20" s="61"/>
      <c r="V20" s="61"/>
      <c r="W20" s="61"/>
    </row>
    <row r="21" spans="1:23" s="25" customFormat="1" ht="25.5">
      <c r="A21" s="73">
        <v>18</v>
      </c>
      <c r="B21" s="258" t="s">
        <v>912</v>
      </c>
      <c r="C21" s="259" t="s">
        <v>913</v>
      </c>
      <c r="D21" s="260" t="s">
        <v>914</v>
      </c>
      <c r="E21" s="261">
        <v>45132</v>
      </c>
      <c r="F21" s="259" t="s">
        <v>858</v>
      </c>
      <c r="G21" s="260"/>
      <c r="H21" s="262"/>
      <c r="I21" s="262"/>
      <c r="J21" s="262" t="s">
        <v>915</v>
      </c>
      <c r="K21" s="261">
        <v>45132</v>
      </c>
      <c r="L21" s="263" t="s">
        <v>27</v>
      </c>
      <c r="M21" s="264" t="s">
        <v>28</v>
      </c>
      <c r="N21" s="57"/>
      <c r="O21" s="57"/>
      <c r="P21" s="57"/>
      <c r="Q21" s="61"/>
      <c r="R21" s="61"/>
      <c r="S21" s="61"/>
      <c r="T21" s="61"/>
      <c r="U21" s="61"/>
      <c r="V21" s="61"/>
      <c r="W21" s="61"/>
    </row>
    <row r="22" spans="1:23" s="25" customFormat="1">
      <c r="A22" s="73">
        <v>13</v>
      </c>
      <c r="B22" s="28">
        <v>1.3</v>
      </c>
      <c r="C22" s="41" t="s">
        <v>894</v>
      </c>
      <c r="D22" s="29" t="s">
        <v>881</v>
      </c>
      <c r="E22" s="261">
        <v>45133</v>
      </c>
      <c r="F22" s="53" t="s">
        <v>920</v>
      </c>
      <c r="G22" s="29"/>
      <c r="H22" s="22"/>
      <c r="I22" s="22"/>
      <c r="J22" s="80" t="s">
        <v>921</v>
      </c>
      <c r="K22" s="261">
        <v>45133</v>
      </c>
      <c r="L22" s="22" t="s">
        <v>27</v>
      </c>
      <c r="M22" s="22" t="s">
        <v>28</v>
      </c>
      <c r="N22" s="57"/>
      <c r="O22" s="57"/>
      <c r="P22" s="57"/>
      <c r="Q22" s="61"/>
      <c r="R22" s="61"/>
      <c r="S22" s="61"/>
      <c r="T22" s="61"/>
      <c r="U22" s="61"/>
      <c r="V22" s="61"/>
      <c r="W22" s="61"/>
    </row>
    <row r="23" spans="1:23" s="25" customFormat="1" ht="25.5">
      <c r="A23" s="73">
        <v>20</v>
      </c>
      <c r="B23" s="258" t="s">
        <v>923</v>
      </c>
      <c r="C23" s="259" t="s">
        <v>913</v>
      </c>
      <c r="D23" s="260" t="s">
        <v>924</v>
      </c>
      <c r="E23" s="261">
        <v>45138</v>
      </c>
      <c r="F23" s="259" t="s">
        <v>858</v>
      </c>
      <c r="G23" s="260"/>
      <c r="H23" s="262"/>
      <c r="I23" s="262"/>
      <c r="J23" s="262" t="s">
        <v>915</v>
      </c>
      <c r="K23" s="261">
        <v>45138</v>
      </c>
      <c r="L23" s="263" t="s">
        <v>27</v>
      </c>
      <c r="M23" s="264" t="s">
        <v>28</v>
      </c>
      <c r="N23" s="57"/>
      <c r="O23" s="57"/>
      <c r="P23" s="57"/>
      <c r="Q23" s="61"/>
      <c r="R23" s="61"/>
      <c r="S23" s="61"/>
      <c r="T23" s="61"/>
      <c r="U23" s="61"/>
      <c r="V23" s="61"/>
      <c r="W23" s="61"/>
    </row>
    <row r="24" spans="1:23" s="25" customFormat="1">
      <c r="A24" s="73">
        <v>21</v>
      </c>
      <c r="B24" s="28"/>
      <c r="C24" s="28"/>
      <c r="D24" s="18"/>
      <c r="E24" s="69"/>
      <c r="F24" s="70"/>
      <c r="G24" s="29"/>
      <c r="H24" s="22"/>
      <c r="I24" s="22"/>
      <c r="J24" s="22"/>
      <c r="K24" s="23"/>
      <c r="L24" s="22"/>
      <c r="M24" s="22"/>
      <c r="N24" s="57"/>
      <c r="O24" s="57"/>
      <c r="P24" s="57"/>
      <c r="Q24" s="61"/>
      <c r="R24" s="61"/>
      <c r="S24" s="61"/>
      <c r="T24" s="61"/>
      <c r="U24" s="61"/>
      <c r="V24" s="61"/>
      <c r="W24" s="61"/>
    </row>
    <row r="25" spans="1:23" s="25" customFormat="1">
      <c r="A25" s="73">
        <v>22</v>
      </c>
      <c r="B25" s="28"/>
      <c r="C25" s="28"/>
      <c r="D25" s="18"/>
      <c r="E25" s="69"/>
      <c r="F25" s="70"/>
      <c r="G25" s="29"/>
      <c r="H25" s="22"/>
      <c r="I25" s="22"/>
      <c r="J25" s="22"/>
      <c r="K25" s="23"/>
      <c r="L25" s="22"/>
      <c r="M25" s="22"/>
      <c r="N25" s="57"/>
      <c r="O25" s="57"/>
      <c r="P25" s="57"/>
      <c r="Q25" s="61"/>
      <c r="R25" s="61"/>
      <c r="S25" s="61"/>
      <c r="T25" s="61"/>
      <c r="U25" s="61"/>
      <c r="V25" s="61"/>
      <c r="W25" s="61"/>
    </row>
    <row r="26" spans="1:23" s="25" customFormat="1">
      <c r="A26" s="73">
        <v>23</v>
      </c>
      <c r="B26" s="22"/>
      <c r="C26" s="234"/>
      <c r="D26" s="29"/>
      <c r="E26" s="69"/>
      <c r="F26" s="70"/>
      <c r="G26" s="18"/>
      <c r="H26" s="22"/>
      <c r="I26" s="22"/>
      <c r="J26" s="80"/>
      <c r="K26" s="23"/>
      <c r="L26" s="22"/>
      <c r="M26" s="22"/>
      <c r="N26" s="57"/>
      <c r="O26" s="57"/>
      <c r="P26" s="57"/>
      <c r="Q26" s="61"/>
      <c r="R26" s="61"/>
      <c r="S26" s="61"/>
      <c r="T26" s="61"/>
      <c r="U26" s="61"/>
      <c r="V26" s="61"/>
      <c r="W26" s="61"/>
    </row>
    <row r="27" spans="1:23" s="25" customFormat="1">
      <c r="A27" s="73">
        <v>24</v>
      </c>
      <c r="B27" s="28"/>
      <c r="C27" s="28"/>
      <c r="D27" s="18"/>
      <c r="E27" s="69"/>
      <c r="F27" s="70"/>
      <c r="G27" s="29"/>
      <c r="H27" s="22"/>
      <c r="I27" s="22"/>
      <c r="J27" s="22"/>
      <c r="K27" s="23"/>
      <c r="L27" s="22"/>
      <c r="M27" s="22"/>
      <c r="N27" s="57"/>
      <c r="O27" s="57"/>
      <c r="P27" s="57"/>
      <c r="Q27" s="61"/>
      <c r="R27" s="61"/>
      <c r="S27" s="61"/>
      <c r="T27" s="61"/>
      <c r="U27" s="61"/>
      <c r="V27" s="61"/>
      <c r="W27" s="61"/>
    </row>
    <row r="28" spans="1:23" s="25" customFormat="1">
      <c r="A28" s="73">
        <v>25</v>
      </c>
      <c r="B28" s="28"/>
      <c r="C28" s="28"/>
      <c r="D28" s="18"/>
      <c r="E28" s="69"/>
      <c r="F28" s="70"/>
      <c r="G28" s="29"/>
      <c r="H28" s="22"/>
      <c r="I28" s="22"/>
      <c r="J28" s="22"/>
      <c r="K28" s="23"/>
      <c r="L28" s="22"/>
      <c r="M28" s="22"/>
      <c r="N28" s="57"/>
      <c r="O28" s="57"/>
      <c r="P28" s="57"/>
      <c r="Q28" s="61"/>
      <c r="R28" s="61"/>
      <c r="S28" s="61"/>
      <c r="T28" s="61"/>
      <c r="U28" s="61"/>
      <c r="V28" s="61"/>
      <c r="W28" s="61"/>
    </row>
    <row r="29" spans="1:23" s="25" customFormat="1">
      <c r="A29" s="73">
        <v>26</v>
      </c>
      <c r="B29" s="28"/>
      <c r="C29" s="28"/>
      <c r="D29" s="18"/>
      <c r="E29" s="69"/>
      <c r="F29" s="70"/>
      <c r="G29" s="29"/>
      <c r="H29" s="22"/>
      <c r="I29" s="22"/>
      <c r="J29" s="22"/>
      <c r="K29" s="23"/>
      <c r="L29" s="22"/>
      <c r="M29" s="22"/>
      <c r="N29" s="57"/>
      <c r="O29" s="57"/>
      <c r="P29" s="57"/>
      <c r="Q29" s="61"/>
      <c r="R29" s="61"/>
      <c r="S29" s="61"/>
      <c r="T29" s="61"/>
      <c r="U29" s="61"/>
      <c r="V29" s="61"/>
      <c r="W29" s="61"/>
    </row>
    <row r="30" spans="1:23" s="25" customFormat="1">
      <c r="A30" s="73">
        <v>27</v>
      </c>
      <c r="B30" s="28"/>
      <c r="C30" s="28"/>
      <c r="D30" s="18"/>
      <c r="E30" s="69"/>
      <c r="F30" s="70"/>
      <c r="G30" s="29"/>
      <c r="H30" s="22"/>
      <c r="I30" s="22"/>
      <c r="J30" s="22"/>
      <c r="K30" s="23"/>
      <c r="L30" s="22"/>
      <c r="M30" s="22"/>
      <c r="N30" s="57"/>
      <c r="O30" s="57"/>
      <c r="P30" s="57"/>
      <c r="Q30" s="61"/>
      <c r="R30" s="61"/>
      <c r="S30" s="61"/>
      <c r="T30" s="61"/>
      <c r="U30" s="61"/>
      <c r="V30" s="61"/>
      <c r="W30" s="61"/>
    </row>
    <row r="31" spans="1:23" s="25" customFormat="1">
      <c r="A31" s="73">
        <v>28</v>
      </c>
      <c r="B31" s="28"/>
      <c r="C31" s="28"/>
      <c r="D31" s="18"/>
      <c r="E31" s="69"/>
      <c r="F31" s="70"/>
      <c r="G31" s="29"/>
      <c r="H31" s="22"/>
      <c r="I31" s="22"/>
      <c r="J31" s="22"/>
      <c r="K31" s="23"/>
      <c r="L31" s="22"/>
      <c r="M31" s="22"/>
      <c r="N31" s="57"/>
      <c r="O31" s="57"/>
      <c r="P31" s="57"/>
      <c r="Q31" s="61"/>
      <c r="R31" s="61"/>
      <c r="S31" s="61"/>
      <c r="T31" s="61"/>
      <c r="U31" s="61"/>
      <c r="V31" s="61"/>
      <c r="W31" s="61"/>
    </row>
    <row r="32" spans="1:23" s="25" customFormat="1">
      <c r="A32" s="73">
        <v>29</v>
      </c>
      <c r="B32" s="28"/>
      <c r="C32" s="28"/>
      <c r="D32" s="18"/>
      <c r="E32" s="69"/>
      <c r="F32" s="70"/>
      <c r="G32" s="29"/>
      <c r="H32" s="22"/>
      <c r="I32" s="22"/>
      <c r="J32" s="22"/>
      <c r="K32" s="23"/>
      <c r="L32" s="22"/>
      <c r="M32" s="22"/>
      <c r="N32" s="57"/>
      <c r="O32" s="57"/>
      <c r="P32" s="57"/>
      <c r="Q32" s="61"/>
      <c r="R32" s="61"/>
      <c r="S32" s="61"/>
      <c r="T32" s="61"/>
      <c r="U32" s="61"/>
      <c r="V32" s="61"/>
      <c r="W32" s="61"/>
    </row>
    <row r="33" spans="1:23" s="25" customFormat="1">
      <c r="A33" s="73">
        <v>30</v>
      </c>
      <c r="B33" s="28"/>
      <c r="C33" s="28"/>
      <c r="D33" s="18"/>
      <c r="E33" s="69"/>
      <c r="F33" s="70"/>
      <c r="G33" s="29"/>
      <c r="H33" s="22"/>
      <c r="I33" s="22"/>
      <c r="J33" s="22"/>
      <c r="K33" s="23"/>
      <c r="L33" s="22"/>
      <c r="M33" s="22"/>
      <c r="N33" s="57"/>
      <c r="O33" s="57"/>
      <c r="P33" s="57"/>
      <c r="Q33" s="61"/>
      <c r="R33" s="61"/>
      <c r="S33" s="61"/>
      <c r="T33" s="61"/>
      <c r="U33" s="61"/>
      <c r="V33" s="61"/>
      <c r="W33" s="61"/>
    </row>
    <row r="34" spans="1:23" s="25" customFormat="1">
      <c r="A34" s="73">
        <v>31</v>
      </c>
      <c r="B34" s="28"/>
      <c r="C34" s="28"/>
      <c r="D34" s="18"/>
      <c r="E34" s="69"/>
      <c r="F34" s="70"/>
      <c r="G34" s="29"/>
      <c r="H34" s="22"/>
      <c r="I34" s="22"/>
      <c r="J34" s="22"/>
      <c r="K34" s="23"/>
      <c r="L34" s="22"/>
      <c r="M34" s="22"/>
      <c r="N34" s="57"/>
      <c r="O34" s="57"/>
      <c r="P34" s="57"/>
      <c r="Q34" s="61"/>
      <c r="R34" s="61"/>
      <c r="S34" s="61"/>
      <c r="T34" s="61"/>
      <c r="U34" s="61"/>
      <c r="V34" s="61"/>
      <c r="W34" s="61"/>
    </row>
    <row r="35" spans="1:23" s="25" customFormat="1">
      <c r="A35" s="73">
        <v>32</v>
      </c>
      <c r="B35" s="28"/>
      <c r="C35" s="28"/>
      <c r="D35" s="18"/>
      <c r="E35" s="69"/>
      <c r="F35" s="70"/>
      <c r="G35" s="29"/>
      <c r="H35" s="22"/>
      <c r="I35" s="22"/>
      <c r="J35" s="22"/>
      <c r="K35" s="23"/>
      <c r="L35" s="22"/>
      <c r="M35" s="22"/>
      <c r="N35" s="57"/>
      <c r="O35" s="57"/>
      <c r="P35" s="57"/>
      <c r="Q35" s="61"/>
      <c r="R35" s="61"/>
      <c r="S35" s="61"/>
      <c r="T35" s="61"/>
      <c r="U35" s="61"/>
      <c r="V35" s="61"/>
      <c r="W35" s="61"/>
    </row>
    <row r="36" spans="1:23" s="25" customFormat="1">
      <c r="A36" s="73">
        <v>33</v>
      </c>
      <c r="B36" s="28"/>
      <c r="C36" s="28"/>
      <c r="D36" s="18"/>
      <c r="E36" s="69"/>
      <c r="F36" s="70"/>
      <c r="G36" s="29"/>
      <c r="H36" s="22"/>
      <c r="I36" s="22"/>
      <c r="J36" s="22"/>
      <c r="K36" s="23"/>
      <c r="L36" s="22"/>
      <c r="M36" s="22"/>
      <c r="N36" s="57"/>
      <c r="O36" s="57"/>
      <c r="P36" s="57"/>
      <c r="Q36" s="61"/>
      <c r="R36" s="61"/>
      <c r="S36" s="61"/>
      <c r="T36" s="61"/>
      <c r="U36" s="61"/>
      <c r="V36" s="61"/>
      <c r="W36" s="61"/>
    </row>
    <row r="37" spans="1:23" s="25" customFormat="1">
      <c r="A37" s="73">
        <v>34</v>
      </c>
      <c r="B37" s="28"/>
      <c r="C37" s="28"/>
      <c r="D37" s="18"/>
      <c r="E37" s="69"/>
      <c r="F37" s="70"/>
      <c r="G37" s="29"/>
      <c r="H37" s="22"/>
      <c r="I37" s="22"/>
      <c r="J37" s="22"/>
      <c r="K37" s="23"/>
      <c r="L37" s="22"/>
      <c r="M37" s="22"/>
      <c r="N37" s="57"/>
      <c r="O37" s="57"/>
      <c r="P37" s="57"/>
      <c r="Q37" s="61"/>
      <c r="R37" s="61"/>
      <c r="S37" s="61"/>
      <c r="T37" s="61"/>
      <c r="U37" s="61"/>
      <c r="V37" s="61"/>
      <c r="W37" s="61"/>
    </row>
    <row r="38" spans="1:23" s="25" customFormat="1">
      <c r="A38" s="73">
        <v>35</v>
      </c>
      <c r="B38" s="28"/>
      <c r="C38" s="28"/>
      <c r="D38" s="18"/>
      <c r="E38" s="69"/>
      <c r="F38" s="70"/>
      <c r="G38" s="29"/>
      <c r="H38" s="22"/>
      <c r="I38" s="22"/>
      <c r="J38" s="22"/>
      <c r="K38" s="23"/>
      <c r="L38" s="22"/>
      <c r="M38" s="22"/>
      <c r="N38" s="57"/>
      <c r="O38" s="57"/>
      <c r="P38" s="57"/>
      <c r="Q38" s="61"/>
      <c r="R38" s="61"/>
      <c r="S38" s="61"/>
      <c r="T38" s="61"/>
      <c r="U38" s="61"/>
      <c r="V38" s="61"/>
      <c r="W38" s="61"/>
    </row>
    <row r="39" spans="1:23" s="25" customFormat="1">
      <c r="A39" s="73">
        <v>36</v>
      </c>
      <c r="B39" s="28"/>
      <c r="C39" s="28"/>
      <c r="D39" s="18"/>
      <c r="E39" s="69"/>
      <c r="F39" s="70"/>
      <c r="G39" s="29"/>
      <c r="H39" s="22"/>
      <c r="I39" s="22"/>
      <c r="J39" s="22"/>
      <c r="K39" s="23"/>
      <c r="L39" s="22"/>
      <c r="M39" s="22"/>
      <c r="N39" s="57"/>
      <c r="O39" s="57"/>
      <c r="P39" s="57"/>
      <c r="Q39" s="61"/>
      <c r="R39" s="61"/>
      <c r="S39" s="61"/>
      <c r="T39" s="61"/>
      <c r="U39" s="61"/>
      <c r="V39" s="61"/>
      <c r="W39" s="61"/>
    </row>
    <row r="40" spans="1:23" s="25" customFormat="1">
      <c r="A40" s="73">
        <v>37</v>
      </c>
      <c r="B40" s="28"/>
      <c r="C40" s="28"/>
      <c r="D40" s="18"/>
      <c r="E40" s="69"/>
      <c r="F40" s="70"/>
      <c r="G40" s="29"/>
      <c r="H40" s="22"/>
      <c r="I40" s="22"/>
      <c r="J40" s="22"/>
      <c r="K40" s="23"/>
      <c r="L40" s="22"/>
      <c r="M40" s="22"/>
      <c r="N40" s="57"/>
      <c r="O40" s="57"/>
      <c r="P40" s="57"/>
      <c r="Q40" s="61"/>
      <c r="R40" s="61"/>
      <c r="S40" s="61"/>
      <c r="T40" s="61"/>
      <c r="U40" s="61"/>
      <c r="V40" s="61"/>
      <c r="W40" s="61"/>
    </row>
    <row r="41" spans="1:23" s="25" customFormat="1">
      <c r="A41" s="73">
        <v>38</v>
      </c>
      <c r="B41" s="28"/>
      <c r="C41" s="28"/>
      <c r="D41" s="18"/>
      <c r="E41" s="69"/>
      <c r="F41" s="70"/>
      <c r="G41" s="29"/>
      <c r="H41" s="22"/>
      <c r="I41" s="22"/>
      <c r="J41" s="22"/>
      <c r="K41" s="23"/>
      <c r="L41" s="22"/>
      <c r="M41" s="22"/>
      <c r="N41" s="57"/>
      <c r="O41" s="57"/>
      <c r="P41" s="57"/>
      <c r="Q41" s="61"/>
      <c r="R41" s="61"/>
      <c r="S41" s="61"/>
      <c r="T41" s="61"/>
      <c r="U41" s="61"/>
      <c r="V41" s="61"/>
      <c r="W41" s="61"/>
    </row>
    <row r="42" spans="1:23" s="25" customFormat="1">
      <c r="A42" s="73">
        <v>39</v>
      </c>
      <c r="B42" s="28"/>
      <c r="C42" s="28"/>
      <c r="D42" s="18"/>
      <c r="E42" s="69"/>
      <c r="F42" s="70"/>
      <c r="G42" s="29"/>
      <c r="H42" s="22"/>
      <c r="I42" s="22"/>
      <c r="J42" s="22"/>
      <c r="K42" s="23"/>
      <c r="L42" s="22"/>
      <c r="M42" s="22"/>
      <c r="N42" s="57"/>
      <c r="O42" s="57"/>
      <c r="P42" s="57"/>
      <c r="Q42" s="61"/>
      <c r="R42" s="61"/>
      <c r="S42" s="61"/>
      <c r="T42" s="61"/>
      <c r="U42" s="61"/>
      <c r="V42" s="61"/>
      <c r="W42" s="61"/>
    </row>
    <row r="43" spans="1:23" s="25" customFormat="1">
      <c r="A43" s="73">
        <v>40</v>
      </c>
      <c r="B43" s="28"/>
      <c r="C43" s="28"/>
      <c r="D43" s="18"/>
      <c r="E43" s="69"/>
      <c r="F43" s="70"/>
      <c r="G43" s="29"/>
      <c r="H43" s="22"/>
      <c r="I43" s="22"/>
      <c r="J43" s="22"/>
      <c r="K43" s="23"/>
      <c r="L43" s="22"/>
      <c r="M43" s="22"/>
      <c r="N43" s="57"/>
      <c r="O43" s="57"/>
      <c r="P43" s="57"/>
      <c r="Q43" s="61"/>
      <c r="R43" s="61"/>
      <c r="S43" s="61"/>
      <c r="T43" s="61"/>
      <c r="U43" s="61"/>
      <c r="V43" s="61"/>
      <c r="W43" s="61"/>
    </row>
    <row r="44" spans="1:23" s="25" customFormat="1">
      <c r="A44" s="73">
        <v>41</v>
      </c>
      <c r="B44" s="28"/>
      <c r="C44" s="28"/>
      <c r="D44" s="18"/>
      <c r="E44" s="69"/>
      <c r="F44" s="70"/>
      <c r="G44" s="29"/>
      <c r="H44" s="22"/>
      <c r="I44" s="22"/>
      <c r="J44" s="22"/>
      <c r="K44" s="23"/>
      <c r="L44" s="22"/>
      <c r="M44" s="22"/>
      <c r="N44" s="57"/>
      <c r="O44" s="57"/>
      <c r="P44" s="57"/>
      <c r="Q44" s="61"/>
      <c r="R44" s="61"/>
      <c r="S44" s="61"/>
      <c r="T44" s="61"/>
      <c r="U44" s="61"/>
      <c r="V44" s="61"/>
      <c r="W44" s="61"/>
    </row>
    <row r="45" spans="1:23" s="25" customFormat="1">
      <c r="A45" s="73">
        <v>42</v>
      </c>
      <c r="B45" s="28"/>
      <c r="C45" s="28"/>
      <c r="D45" s="18"/>
      <c r="E45" s="69"/>
      <c r="F45" s="70"/>
      <c r="G45" s="29"/>
      <c r="H45" s="22"/>
      <c r="I45" s="22"/>
      <c r="J45" s="22"/>
      <c r="K45" s="23"/>
      <c r="L45" s="22"/>
      <c r="M45" s="22"/>
      <c r="N45" s="57"/>
      <c r="O45" s="57"/>
      <c r="P45" s="57"/>
      <c r="Q45" s="61"/>
      <c r="R45" s="61"/>
      <c r="S45" s="61"/>
      <c r="T45" s="61"/>
      <c r="U45" s="61"/>
      <c r="V45" s="61"/>
      <c r="W45" s="61"/>
    </row>
    <row r="46" spans="1:23" s="25" customFormat="1">
      <c r="A46" s="73">
        <v>43</v>
      </c>
      <c r="B46" s="28"/>
      <c r="C46" s="28"/>
      <c r="D46" s="18"/>
      <c r="E46" s="69"/>
      <c r="F46" s="70"/>
      <c r="G46" s="29"/>
      <c r="H46" s="22"/>
      <c r="I46" s="22"/>
      <c r="J46" s="22"/>
      <c r="K46" s="23"/>
      <c r="L46" s="22"/>
      <c r="M46" s="22"/>
      <c r="N46" s="57"/>
      <c r="O46" s="57"/>
      <c r="P46" s="57"/>
      <c r="Q46" s="61"/>
      <c r="R46" s="61"/>
      <c r="S46" s="61"/>
      <c r="T46" s="61"/>
      <c r="U46" s="61"/>
      <c r="V46" s="61"/>
      <c r="W46" s="61"/>
    </row>
    <row r="47" spans="1:23" s="25" customFormat="1">
      <c r="A47" s="73">
        <v>44</v>
      </c>
      <c r="B47" s="28"/>
      <c r="C47" s="28"/>
      <c r="D47" s="18"/>
      <c r="E47" s="69"/>
      <c r="F47" s="70"/>
      <c r="G47" s="29"/>
      <c r="H47" s="22"/>
      <c r="I47" s="22"/>
      <c r="J47" s="22"/>
      <c r="K47" s="23"/>
      <c r="L47" s="22"/>
      <c r="M47" s="22"/>
      <c r="N47" s="57"/>
      <c r="O47" s="57"/>
      <c r="P47" s="57"/>
      <c r="Q47" s="61"/>
      <c r="R47" s="61"/>
      <c r="S47" s="61"/>
      <c r="T47" s="61"/>
      <c r="U47" s="61"/>
      <c r="V47" s="61"/>
      <c r="W47" s="61"/>
    </row>
    <row r="48" spans="1:23" s="25" customFormat="1">
      <c r="A48" s="73">
        <v>45</v>
      </c>
      <c r="B48" s="28"/>
      <c r="C48" s="28"/>
      <c r="D48" s="18"/>
      <c r="E48" s="69"/>
      <c r="F48" s="70"/>
      <c r="G48" s="29"/>
      <c r="H48" s="22"/>
      <c r="I48" s="22"/>
      <c r="J48" s="22"/>
      <c r="K48" s="23"/>
      <c r="L48" s="22"/>
      <c r="M48" s="22"/>
      <c r="N48" s="57"/>
      <c r="O48" s="57"/>
      <c r="P48" s="57"/>
      <c r="Q48" s="61"/>
      <c r="R48" s="61"/>
      <c r="S48" s="61"/>
      <c r="T48" s="61"/>
      <c r="U48" s="61"/>
      <c r="V48" s="61"/>
      <c r="W48" s="61"/>
    </row>
    <row r="49" spans="1:23" s="25" customFormat="1">
      <c r="A49" s="73">
        <v>46</v>
      </c>
      <c r="B49" s="28"/>
      <c r="C49" s="28"/>
      <c r="D49" s="18"/>
      <c r="E49" s="69"/>
      <c r="F49" s="70"/>
      <c r="G49" s="29"/>
      <c r="H49" s="22"/>
      <c r="I49" s="22"/>
      <c r="J49" s="22"/>
      <c r="K49" s="23"/>
      <c r="L49" s="22"/>
      <c r="M49" s="22"/>
      <c r="N49" s="57"/>
      <c r="O49" s="57"/>
      <c r="P49" s="57"/>
      <c r="Q49" s="61"/>
      <c r="R49" s="61"/>
      <c r="S49" s="61"/>
      <c r="T49" s="61"/>
      <c r="U49" s="61"/>
      <c r="V49" s="61"/>
      <c r="W49" s="61"/>
    </row>
    <row r="50" spans="1:23" s="25" customFormat="1">
      <c r="A50" s="73">
        <v>47</v>
      </c>
      <c r="B50" s="41"/>
      <c r="C50" s="41"/>
      <c r="D50" s="29"/>
      <c r="E50" s="69"/>
      <c r="F50" s="70"/>
      <c r="G50" s="18"/>
      <c r="H50" s="22"/>
      <c r="I50" s="22"/>
      <c r="J50" s="80"/>
      <c r="K50" s="23"/>
      <c r="L50" s="22"/>
      <c r="M50" s="22"/>
      <c r="N50" s="57"/>
      <c r="O50" s="57"/>
      <c r="P50" s="57"/>
      <c r="Q50" s="61"/>
      <c r="R50" s="61"/>
      <c r="S50" s="61"/>
      <c r="T50" s="61"/>
      <c r="U50" s="61"/>
      <c r="V50" s="61"/>
      <c r="W50" s="61"/>
    </row>
    <row r="51" spans="1:23" s="25" customFormat="1">
      <c r="A51" s="73">
        <v>48</v>
      </c>
      <c r="B51" s="28"/>
      <c r="C51" s="41"/>
      <c r="D51" s="29"/>
      <c r="E51" s="69"/>
      <c r="F51" s="70"/>
      <c r="G51" s="18"/>
      <c r="H51" s="22"/>
      <c r="I51" s="22"/>
      <c r="J51" s="80"/>
      <c r="K51" s="23"/>
      <c r="L51" s="22"/>
      <c r="M51" s="22"/>
      <c r="N51" s="57"/>
      <c r="O51" s="57"/>
      <c r="P51" s="57"/>
      <c r="Q51" s="61"/>
      <c r="R51" s="61"/>
      <c r="S51" s="61"/>
      <c r="T51" s="61"/>
      <c r="U51" s="61"/>
      <c r="V51" s="61"/>
      <c r="W51" s="61"/>
    </row>
    <row r="52" spans="1:23" s="25" customFormat="1">
      <c r="A52" s="73">
        <v>49</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50</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51</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52</v>
      </c>
      <c r="B55" s="28"/>
      <c r="C55" s="28"/>
      <c r="D55" s="29"/>
      <c r="E55" s="69"/>
      <c r="F55" s="70"/>
      <c r="G55" s="18"/>
      <c r="H55" s="22"/>
      <c r="I55" s="22"/>
      <c r="J55" s="22"/>
      <c r="K55" s="23"/>
      <c r="L55" s="22"/>
      <c r="M55" s="22"/>
      <c r="N55" s="57"/>
      <c r="O55" s="57"/>
      <c r="P55" s="57"/>
      <c r="Q55" s="61"/>
      <c r="R55" s="61"/>
      <c r="S55" s="61"/>
      <c r="T55" s="61"/>
      <c r="U55" s="61"/>
      <c r="V55" s="61"/>
      <c r="W55" s="61"/>
    </row>
    <row r="56" spans="1:23" s="25" customFormat="1">
      <c r="A56" s="73">
        <v>53</v>
      </c>
      <c r="B56" s="28"/>
      <c r="C56" s="28"/>
      <c r="D56" s="18"/>
      <c r="E56" s="69"/>
      <c r="F56" s="70"/>
      <c r="G56" s="18"/>
      <c r="H56" s="22"/>
      <c r="I56" s="22"/>
      <c r="J56" s="22"/>
      <c r="K56" s="23"/>
      <c r="L56" s="22"/>
      <c r="M56" s="22"/>
      <c r="N56" s="57"/>
      <c r="O56" s="57"/>
      <c r="P56" s="57"/>
      <c r="Q56" s="61"/>
      <c r="R56" s="61"/>
      <c r="S56" s="61"/>
      <c r="T56" s="61"/>
      <c r="U56" s="61"/>
      <c r="V56" s="61"/>
      <c r="W56" s="61"/>
    </row>
    <row r="57" spans="1:23" s="25" customFormat="1">
      <c r="A57" s="73">
        <v>54</v>
      </c>
      <c r="B57" s="28"/>
      <c r="C57" s="28"/>
      <c r="D57" s="29"/>
      <c r="E57" s="69"/>
      <c r="F57" s="70"/>
      <c r="G57" s="18"/>
      <c r="H57" s="22"/>
      <c r="I57" s="22"/>
      <c r="J57" s="22"/>
      <c r="K57" s="23"/>
      <c r="L57" s="22"/>
      <c r="M57" s="22"/>
      <c r="N57" s="57"/>
      <c r="O57" s="57"/>
      <c r="P57" s="57"/>
      <c r="Q57" s="61"/>
      <c r="R57" s="61"/>
      <c r="S57" s="61"/>
      <c r="T57" s="61"/>
      <c r="U57" s="61"/>
      <c r="V57" s="61"/>
      <c r="W57" s="61"/>
    </row>
    <row r="58" spans="1:23" s="25" customFormat="1">
      <c r="A58" s="73">
        <v>55</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56</v>
      </c>
      <c r="B59" s="28"/>
      <c r="C59" s="28"/>
      <c r="D59" s="29"/>
      <c r="E59" s="69"/>
      <c r="F59" s="70"/>
      <c r="G59" s="18"/>
      <c r="H59" s="22"/>
      <c r="I59" s="22"/>
      <c r="J59" s="22"/>
      <c r="K59" s="23"/>
      <c r="L59" s="22"/>
      <c r="M59" s="22"/>
      <c r="N59" s="57"/>
      <c r="O59" s="57"/>
      <c r="P59" s="57"/>
      <c r="Q59" s="61"/>
      <c r="R59" s="61"/>
      <c r="S59" s="61"/>
      <c r="T59" s="61"/>
      <c r="U59" s="61"/>
      <c r="V59" s="61"/>
      <c r="W59" s="61"/>
    </row>
    <row r="60" spans="1:23" s="25" customFormat="1">
      <c r="A60" s="73">
        <v>57</v>
      </c>
      <c r="B60" s="28"/>
      <c r="C60" s="28"/>
      <c r="D60" s="29"/>
      <c r="E60" s="69"/>
      <c r="F60" s="70"/>
      <c r="G60" s="18"/>
      <c r="H60" s="22"/>
      <c r="I60" s="22"/>
      <c r="J60" s="22"/>
      <c r="K60" s="23"/>
      <c r="L60" s="22"/>
      <c r="M60" s="22"/>
      <c r="N60" s="57"/>
      <c r="O60" s="57"/>
      <c r="P60" s="57"/>
      <c r="Q60" s="61"/>
      <c r="R60" s="61"/>
      <c r="S60" s="61"/>
      <c r="T60" s="61"/>
      <c r="U60" s="61"/>
      <c r="V60" s="61"/>
      <c r="W60" s="61"/>
    </row>
    <row r="61" spans="1:23" s="25" customFormat="1">
      <c r="A61" s="73">
        <v>58</v>
      </c>
      <c r="B61" s="28"/>
      <c r="C61" s="28"/>
      <c r="D61" s="29"/>
      <c r="E61" s="69"/>
      <c r="F61" s="70"/>
      <c r="G61" s="18"/>
      <c r="H61" s="22"/>
      <c r="I61" s="22"/>
      <c r="J61" s="22"/>
      <c r="K61" s="23"/>
      <c r="L61" s="22"/>
      <c r="M61" s="22"/>
      <c r="N61" s="57"/>
      <c r="O61" s="57"/>
      <c r="P61" s="57"/>
      <c r="Q61" s="61"/>
      <c r="R61" s="61"/>
      <c r="S61" s="61"/>
      <c r="T61" s="61"/>
      <c r="U61" s="61"/>
      <c r="V61" s="61"/>
      <c r="W61" s="61"/>
    </row>
    <row r="62" spans="1:23" s="25" customFormat="1">
      <c r="A62" s="73">
        <v>59</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60</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61</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62</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63</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64</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65</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66</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67</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68</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69</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70</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71</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72</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73</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74</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75</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76</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77</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78</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79</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80</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81</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82</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83</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84</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85</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86</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87</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88</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89</v>
      </c>
      <c r="B92" s="28"/>
      <c r="C92" s="28"/>
      <c r="D92" s="18"/>
      <c r="E92" s="69"/>
      <c r="F92" s="70"/>
      <c r="G92" s="18"/>
      <c r="H92" s="22"/>
      <c r="I92" s="22"/>
      <c r="J92" s="22"/>
      <c r="K92" s="23"/>
      <c r="L92" s="22"/>
      <c r="M92" s="22"/>
      <c r="N92" s="57"/>
      <c r="O92" s="57"/>
      <c r="P92" s="57"/>
      <c r="Q92" s="61"/>
      <c r="R92" s="61"/>
      <c r="S92" s="61"/>
      <c r="T92" s="61"/>
      <c r="U92" s="61"/>
      <c r="V92" s="61"/>
      <c r="W92" s="61"/>
    </row>
    <row r="93" spans="1:23">
      <c r="A93" s="73">
        <v>90</v>
      </c>
      <c r="B93" s="28"/>
      <c r="C93" s="28"/>
      <c r="D93" s="18"/>
      <c r="E93" s="69"/>
      <c r="F93" s="70"/>
      <c r="G93" s="18"/>
      <c r="H93" s="22"/>
      <c r="I93" s="22"/>
      <c r="J93" s="22"/>
      <c r="K93" s="23"/>
      <c r="L93" s="22"/>
      <c r="M93" s="22"/>
      <c r="N93" s="57"/>
      <c r="O93" s="57"/>
      <c r="P93" s="57"/>
    </row>
    <row r="94" spans="1:23">
      <c r="A94" s="73">
        <v>91</v>
      </c>
      <c r="B94" s="28"/>
      <c r="C94" s="28"/>
      <c r="D94" s="18"/>
      <c r="E94" s="69"/>
      <c r="F94" s="70"/>
      <c r="G94" s="18"/>
      <c r="H94" s="22"/>
      <c r="I94" s="22"/>
      <c r="J94" s="22"/>
      <c r="K94" s="23"/>
      <c r="L94" s="22"/>
      <c r="M94" s="22"/>
      <c r="N94" s="57"/>
      <c r="O94" s="57"/>
      <c r="P94" s="57"/>
    </row>
    <row r="95" spans="1:23">
      <c r="A95" s="73">
        <v>92</v>
      </c>
      <c r="B95" s="28"/>
      <c r="C95" s="28"/>
      <c r="D95" s="18"/>
      <c r="E95" s="69"/>
      <c r="F95" s="70"/>
      <c r="G95" s="18"/>
      <c r="H95" s="22"/>
      <c r="I95" s="22"/>
      <c r="J95" s="22"/>
      <c r="K95" s="23"/>
      <c r="L95" s="22"/>
      <c r="M95" s="22"/>
      <c r="N95" s="57"/>
      <c r="O95" s="57"/>
      <c r="P95" s="57"/>
    </row>
    <row r="96" spans="1:23">
      <c r="A96" s="73">
        <v>93</v>
      </c>
      <c r="B96" s="28"/>
      <c r="C96" s="28"/>
      <c r="D96" s="18"/>
      <c r="E96" s="69"/>
      <c r="F96" s="70"/>
      <c r="G96" s="18"/>
      <c r="H96" s="22"/>
      <c r="I96" s="22"/>
      <c r="J96" s="22"/>
      <c r="K96" s="23"/>
      <c r="L96" s="22"/>
      <c r="M96" s="22"/>
      <c r="N96" s="57"/>
      <c r="O96" s="57"/>
      <c r="P96" s="57"/>
    </row>
    <row r="97" spans="1:23">
      <c r="A97" s="73">
        <v>94</v>
      </c>
      <c r="B97" s="28"/>
      <c r="C97" s="28"/>
      <c r="D97" s="18"/>
      <c r="E97" s="69"/>
      <c r="F97" s="70"/>
      <c r="G97" s="18"/>
      <c r="H97" s="22"/>
      <c r="I97" s="22"/>
      <c r="J97" s="22"/>
      <c r="K97" s="23"/>
      <c r="L97" s="22"/>
      <c r="M97" s="22"/>
      <c r="N97" s="57"/>
      <c r="O97" s="57"/>
      <c r="P97" s="57"/>
    </row>
    <row r="98" spans="1:23">
      <c r="A98" s="73">
        <v>95</v>
      </c>
      <c r="B98" s="28"/>
      <c r="C98" s="28"/>
      <c r="D98" s="18"/>
      <c r="E98" s="69"/>
      <c r="F98" s="70"/>
      <c r="G98" s="18"/>
      <c r="H98" s="22"/>
      <c r="I98" s="22"/>
      <c r="J98" s="22"/>
      <c r="K98" s="23"/>
      <c r="L98" s="22"/>
      <c r="M98" s="22"/>
      <c r="N98" s="57"/>
      <c r="O98" s="57"/>
      <c r="P98" s="57"/>
    </row>
    <row r="99" spans="1:23">
      <c r="A99" s="73">
        <v>96</v>
      </c>
      <c r="B99" s="28"/>
      <c r="C99" s="28"/>
      <c r="D99" s="18"/>
      <c r="E99" s="69"/>
      <c r="F99" s="70"/>
      <c r="G99" s="18"/>
      <c r="H99" s="22"/>
      <c r="I99" s="22"/>
      <c r="J99" s="22"/>
      <c r="K99" s="23"/>
      <c r="L99" s="22"/>
      <c r="M99" s="22"/>
      <c r="N99" s="57"/>
      <c r="O99" s="57"/>
      <c r="P99" s="57"/>
    </row>
    <row r="100" spans="1:23">
      <c r="A100" s="73">
        <v>97</v>
      </c>
      <c r="B100" s="28"/>
      <c r="C100" s="28"/>
      <c r="D100" s="18"/>
      <c r="E100" s="69"/>
      <c r="F100" s="70"/>
      <c r="G100" s="18"/>
      <c r="H100" s="22"/>
      <c r="I100" s="22"/>
      <c r="J100" s="22"/>
      <c r="K100" s="23"/>
      <c r="L100" s="22"/>
      <c r="M100" s="22"/>
      <c r="N100" s="57"/>
      <c r="O100" s="57"/>
      <c r="P100" s="57"/>
    </row>
    <row r="101" spans="1:23">
      <c r="A101" s="73">
        <v>98</v>
      </c>
      <c r="B101" s="28"/>
      <c r="C101" s="28"/>
      <c r="D101" s="18"/>
      <c r="E101" s="69"/>
      <c r="F101" s="70"/>
      <c r="G101" s="18"/>
      <c r="H101" s="22"/>
      <c r="I101" s="22"/>
      <c r="J101" s="22"/>
      <c r="K101" s="23"/>
      <c r="L101" s="22"/>
      <c r="M101" s="22"/>
      <c r="N101" s="57"/>
      <c r="O101" s="57"/>
      <c r="P101" s="57"/>
    </row>
    <row r="102" spans="1:23">
      <c r="A102" s="73">
        <v>99</v>
      </c>
      <c r="B102" s="28"/>
      <c r="C102" s="28"/>
      <c r="D102" s="18"/>
      <c r="E102" s="69"/>
      <c r="F102" s="70"/>
      <c r="G102" s="18"/>
      <c r="H102" s="22"/>
      <c r="I102" s="22"/>
      <c r="J102" s="22"/>
      <c r="K102" s="23"/>
      <c r="L102" s="22"/>
      <c r="M102" s="22"/>
      <c r="N102" s="57"/>
      <c r="O102" s="57"/>
      <c r="P102" s="57"/>
    </row>
    <row r="103" spans="1:23" s="26" customFormat="1">
      <c r="A103" s="73">
        <v>100</v>
      </c>
      <c r="B103" s="28"/>
      <c r="C103" s="28"/>
      <c r="D103" s="18"/>
      <c r="E103" s="69"/>
      <c r="F103" s="70"/>
      <c r="G103" s="18"/>
      <c r="H103" s="22"/>
      <c r="I103" s="22"/>
      <c r="J103" s="22"/>
      <c r="K103" s="23"/>
      <c r="L103" s="22"/>
      <c r="M103" s="22"/>
      <c r="N103" s="63"/>
      <c r="O103" s="63"/>
      <c r="P103" s="63"/>
      <c r="Q103" s="64"/>
      <c r="R103" s="64"/>
      <c r="S103" s="64"/>
      <c r="T103" s="64"/>
      <c r="U103" s="64"/>
      <c r="V103" s="64"/>
      <c r="W103" s="64"/>
    </row>
    <row r="104" spans="1:23">
      <c r="A104" s="73">
        <v>101</v>
      </c>
      <c r="B104" s="28"/>
      <c r="C104" s="28"/>
      <c r="D104" s="18"/>
      <c r="E104" s="69"/>
      <c r="F104" s="70"/>
      <c r="G104" s="18"/>
      <c r="H104" s="22"/>
      <c r="I104" s="22"/>
      <c r="J104" s="22"/>
      <c r="K104" s="23"/>
      <c r="L104" s="22"/>
      <c r="M104" s="22"/>
      <c r="N104" s="63"/>
      <c r="O104" s="63"/>
      <c r="P104" s="63"/>
    </row>
    <row r="105" spans="1:23">
      <c r="A105" s="73">
        <v>102</v>
      </c>
      <c r="B105" s="28"/>
      <c r="C105" s="28"/>
      <c r="D105" s="18"/>
      <c r="E105" s="69"/>
      <c r="F105" s="70"/>
      <c r="G105" s="18"/>
      <c r="H105" s="22"/>
      <c r="I105" s="22"/>
      <c r="J105" s="22"/>
      <c r="K105" s="23"/>
      <c r="L105" s="22"/>
      <c r="M105" s="22"/>
    </row>
    <row r="106" spans="1:23">
      <c r="A106" s="73">
        <v>103</v>
      </c>
      <c r="B106" s="28"/>
      <c r="C106" s="28"/>
      <c r="D106" s="18"/>
      <c r="E106" s="69"/>
      <c r="F106" s="70"/>
      <c r="G106" s="18"/>
      <c r="H106" s="22"/>
      <c r="I106" s="22"/>
      <c r="J106" s="22"/>
      <c r="K106" s="23"/>
      <c r="L106" s="22"/>
      <c r="M106" s="22"/>
    </row>
    <row r="107" spans="1:23">
      <c r="A107" s="73">
        <v>104</v>
      </c>
      <c r="B107" s="28"/>
      <c r="C107" s="28"/>
      <c r="D107" s="18"/>
      <c r="E107" s="69"/>
      <c r="F107" s="70"/>
      <c r="G107" s="18"/>
      <c r="H107" s="22"/>
      <c r="I107" s="22"/>
      <c r="J107" s="22"/>
      <c r="K107" s="23"/>
      <c r="L107" s="22"/>
      <c r="M107" s="22"/>
    </row>
    <row r="108" spans="1:23">
      <c r="A108" s="73">
        <v>105</v>
      </c>
      <c r="B108" s="28"/>
      <c r="C108" s="28"/>
      <c r="D108" s="18"/>
      <c r="E108" s="69"/>
      <c r="F108" s="70"/>
      <c r="G108" s="18"/>
      <c r="H108" s="22"/>
      <c r="I108" s="22"/>
      <c r="J108" s="22"/>
      <c r="K108" s="23"/>
      <c r="L108" s="22"/>
      <c r="M108" s="22"/>
    </row>
    <row r="109" spans="1:23">
      <c r="A109" s="73">
        <v>106</v>
      </c>
      <c r="B109" s="28"/>
      <c r="C109" s="28"/>
      <c r="D109" s="18"/>
      <c r="E109" s="69"/>
      <c r="F109" s="70"/>
      <c r="G109" s="18"/>
      <c r="H109" s="22"/>
      <c r="I109" s="22"/>
      <c r="J109" s="22"/>
      <c r="K109" s="23"/>
      <c r="L109" s="22"/>
      <c r="M109" s="22"/>
    </row>
    <row r="110" spans="1:23">
      <c r="A110" s="73">
        <v>107</v>
      </c>
      <c r="B110" s="28"/>
      <c r="C110" s="28"/>
      <c r="D110" s="18"/>
      <c r="E110" s="69"/>
      <c r="F110" s="70"/>
      <c r="G110" s="18"/>
      <c r="H110" s="22"/>
      <c r="I110" s="22"/>
      <c r="J110" s="22"/>
      <c r="K110" s="23"/>
      <c r="L110" s="22"/>
      <c r="M110" s="22"/>
    </row>
    <row r="111" spans="1:23">
      <c r="A111" s="73">
        <v>108</v>
      </c>
      <c r="B111" s="28"/>
      <c r="C111" s="28"/>
      <c r="D111" s="18"/>
      <c r="E111" s="69"/>
      <c r="F111" s="70"/>
      <c r="G111" s="18"/>
      <c r="H111" s="22"/>
      <c r="I111" s="22"/>
      <c r="J111" s="22"/>
      <c r="K111" s="23"/>
      <c r="L111" s="22"/>
      <c r="M111" s="22"/>
    </row>
    <row r="112" spans="1:23">
      <c r="A112" s="73">
        <v>109</v>
      </c>
      <c r="B112" s="28"/>
      <c r="C112" s="28"/>
      <c r="D112" s="18"/>
      <c r="E112" s="69"/>
      <c r="F112" s="70"/>
      <c r="G112" s="18"/>
      <c r="H112" s="22"/>
      <c r="I112" s="22"/>
      <c r="J112" s="22"/>
      <c r="K112" s="23"/>
      <c r="L112" s="22"/>
      <c r="M112" s="22"/>
    </row>
    <row r="113" spans="1:13">
      <c r="A113" s="73">
        <v>110</v>
      </c>
      <c r="B113" s="28"/>
      <c r="C113" s="28"/>
      <c r="D113" s="18"/>
      <c r="E113" s="69"/>
      <c r="F113" s="70"/>
      <c r="G113" s="18"/>
      <c r="H113" s="22"/>
      <c r="I113" s="22"/>
      <c r="J113" s="22"/>
      <c r="K113" s="23"/>
      <c r="L113" s="22"/>
      <c r="M113" s="22"/>
    </row>
    <row r="114" spans="1:13">
      <c r="A114" s="73">
        <v>111</v>
      </c>
      <c r="B114" s="28"/>
      <c r="C114" s="28"/>
      <c r="D114" s="18"/>
      <c r="E114" s="69"/>
      <c r="F114" s="70"/>
      <c r="G114" s="18"/>
      <c r="H114" s="22"/>
      <c r="I114" s="22"/>
      <c r="J114" s="22"/>
      <c r="K114" s="23"/>
      <c r="L114" s="22"/>
      <c r="M114" s="22"/>
    </row>
    <row r="115" spans="1:13">
      <c r="A115" s="73">
        <v>112</v>
      </c>
      <c r="B115" s="28"/>
      <c r="C115" s="28"/>
      <c r="D115" s="18"/>
      <c r="E115" s="69"/>
      <c r="F115" s="70"/>
      <c r="G115" s="18"/>
      <c r="H115" s="22"/>
      <c r="I115" s="22"/>
      <c r="J115" s="22"/>
      <c r="K115" s="23"/>
      <c r="L115" s="22"/>
      <c r="M115" s="22"/>
    </row>
    <row r="116" spans="1:13">
      <c r="A116" s="73">
        <v>113</v>
      </c>
      <c r="B116" s="28"/>
      <c r="C116" s="28"/>
      <c r="D116" s="18"/>
      <c r="E116" s="69"/>
      <c r="F116" s="70"/>
      <c r="G116" s="18"/>
      <c r="H116" s="22"/>
      <c r="I116" s="22"/>
      <c r="J116" s="22"/>
      <c r="K116" s="23"/>
      <c r="L116" s="22"/>
      <c r="M116" s="22"/>
    </row>
    <row r="117" spans="1:13">
      <c r="A117" s="73">
        <v>114</v>
      </c>
      <c r="B117" s="28"/>
      <c r="C117" s="28"/>
      <c r="D117" s="18"/>
      <c r="E117" s="69"/>
      <c r="F117" s="70"/>
      <c r="G117" s="18"/>
      <c r="H117" s="22"/>
      <c r="I117" s="22"/>
      <c r="J117" s="22"/>
      <c r="K117" s="23"/>
      <c r="L117" s="22"/>
      <c r="M117" s="22"/>
    </row>
    <row r="118" spans="1:13">
      <c r="A118" s="73">
        <v>115</v>
      </c>
      <c r="B118" s="28"/>
      <c r="C118" s="28"/>
      <c r="D118" s="18"/>
      <c r="E118" s="69"/>
      <c r="F118" s="70"/>
      <c r="G118" s="18"/>
      <c r="H118" s="22"/>
      <c r="I118" s="22"/>
      <c r="J118" s="22"/>
      <c r="K118" s="23"/>
      <c r="L118" s="22"/>
      <c r="M118" s="22"/>
    </row>
    <row r="119" spans="1:13">
      <c r="A119" s="73">
        <v>116</v>
      </c>
      <c r="B119" s="28"/>
      <c r="C119" s="28"/>
      <c r="D119" s="18"/>
      <c r="E119" s="69"/>
      <c r="F119" s="70"/>
      <c r="G119" s="18"/>
      <c r="H119" s="22"/>
      <c r="I119" s="22"/>
      <c r="J119" s="22"/>
      <c r="K119" s="23"/>
      <c r="L119" s="22"/>
      <c r="M119" s="22"/>
    </row>
    <row r="120" spans="1:13">
      <c r="A120" s="73">
        <v>117</v>
      </c>
      <c r="B120" s="28"/>
      <c r="C120" s="28"/>
      <c r="D120" s="18"/>
      <c r="E120" s="69"/>
      <c r="F120" s="70"/>
      <c r="G120" s="18"/>
      <c r="H120" s="22"/>
      <c r="I120" s="22"/>
      <c r="J120" s="22"/>
      <c r="K120" s="23"/>
      <c r="L120" s="22"/>
      <c r="M120" s="22"/>
    </row>
    <row r="121" spans="1:13">
      <c r="A121" s="73">
        <v>118</v>
      </c>
      <c r="B121" s="28"/>
      <c r="C121" s="28"/>
      <c r="D121" s="18"/>
      <c r="E121" s="69"/>
      <c r="F121" s="70"/>
      <c r="G121" s="18"/>
      <c r="H121" s="22"/>
      <c r="I121" s="22"/>
      <c r="J121" s="22"/>
      <c r="K121" s="23"/>
      <c r="L121" s="22"/>
      <c r="M121" s="22"/>
    </row>
    <row r="122" spans="1:13">
      <c r="A122" s="73">
        <v>119</v>
      </c>
      <c r="B122" s="28"/>
      <c r="C122" s="28"/>
      <c r="D122" s="18"/>
      <c r="E122" s="69"/>
      <c r="F122" s="70"/>
      <c r="G122" s="18"/>
      <c r="H122" s="22"/>
      <c r="I122" s="22"/>
      <c r="J122" s="22"/>
      <c r="K122" s="23"/>
      <c r="L122" s="22"/>
      <c r="M122" s="22"/>
    </row>
    <row r="123" spans="1:13">
      <c r="A123" s="73">
        <v>120</v>
      </c>
      <c r="B123" s="28"/>
      <c r="C123" s="28"/>
      <c r="D123" s="18"/>
      <c r="E123" s="69"/>
      <c r="F123" s="70"/>
      <c r="G123" s="18"/>
      <c r="H123" s="22"/>
      <c r="I123" s="22"/>
      <c r="J123" s="22"/>
      <c r="K123" s="23"/>
      <c r="L123" s="22"/>
      <c r="M123" s="22"/>
    </row>
    <row r="124" spans="1:13">
      <c r="A124" s="73">
        <v>121</v>
      </c>
      <c r="B124" s="28"/>
      <c r="C124" s="28"/>
      <c r="D124" s="18"/>
      <c r="E124" s="69"/>
      <c r="F124" s="70"/>
      <c r="G124" s="18"/>
      <c r="H124" s="22"/>
      <c r="I124" s="22"/>
      <c r="J124" s="22"/>
      <c r="K124" s="23"/>
      <c r="L124" s="22"/>
      <c r="M124" s="22"/>
    </row>
    <row r="125" spans="1:13">
      <c r="A125" s="73">
        <v>122</v>
      </c>
      <c r="B125" s="28"/>
      <c r="C125" s="28"/>
      <c r="D125" s="18"/>
      <c r="E125" s="69"/>
      <c r="F125" s="70"/>
      <c r="G125" s="18"/>
      <c r="H125" s="22"/>
      <c r="I125" s="22"/>
      <c r="J125" s="22"/>
      <c r="K125" s="23"/>
      <c r="L125" s="22"/>
      <c r="M125" s="22"/>
    </row>
    <row r="126" spans="1:13">
      <c r="A126" s="73">
        <v>123</v>
      </c>
      <c r="B126" s="28"/>
      <c r="C126" s="28"/>
      <c r="D126" s="18"/>
      <c r="E126" s="69"/>
      <c r="F126" s="70"/>
      <c r="G126" s="18"/>
      <c r="H126" s="22"/>
      <c r="I126" s="22"/>
      <c r="J126" s="22"/>
      <c r="K126" s="23"/>
      <c r="L126" s="22"/>
      <c r="M126" s="22"/>
    </row>
    <row r="127" spans="1:13">
      <c r="A127" s="73">
        <v>124</v>
      </c>
      <c r="B127" s="28"/>
      <c r="C127" s="28"/>
      <c r="D127" s="18"/>
      <c r="E127" s="69"/>
      <c r="F127" s="70"/>
      <c r="G127" s="18"/>
      <c r="H127" s="22"/>
      <c r="I127" s="22"/>
      <c r="J127" s="22"/>
      <c r="K127" s="23"/>
      <c r="L127" s="22"/>
      <c r="M127" s="22"/>
    </row>
    <row r="128" spans="1:13">
      <c r="A128" s="73">
        <v>125</v>
      </c>
      <c r="B128" s="28"/>
      <c r="C128" s="28"/>
      <c r="D128" s="18"/>
      <c r="E128" s="69"/>
      <c r="F128" s="70"/>
      <c r="G128" s="18"/>
      <c r="H128" s="22"/>
      <c r="I128" s="22"/>
      <c r="J128" s="22"/>
      <c r="K128" s="23"/>
      <c r="L128" s="22"/>
      <c r="M128" s="22"/>
    </row>
    <row r="129" spans="1:13">
      <c r="A129" s="73">
        <v>126</v>
      </c>
      <c r="B129" s="28"/>
      <c r="C129" s="28"/>
      <c r="D129" s="18"/>
      <c r="E129" s="69"/>
      <c r="F129" s="70"/>
      <c r="G129" s="18"/>
      <c r="H129" s="22"/>
      <c r="I129" s="22"/>
      <c r="J129" s="22"/>
      <c r="K129" s="23"/>
      <c r="L129" s="22"/>
      <c r="M129" s="22"/>
    </row>
    <row r="130" spans="1:13">
      <c r="A130" s="73">
        <v>127</v>
      </c>
      <c r="B130" s="28"/>
      <c r="C130" s="28"/>
      <c r="D130" s="18"/>
      <c r="E130" s="69"/>
      <c r="F130" s="70"/>
      <c r="G130" s="18"/>
      <c r="H130" s="22"/>
      <c r="I130" s="22"/>
      <c r="J130" s="22"/>
      <c r="K130" s="23"/>
      <c r="L130" s="22"/>
      <c r="M130" s="22"/>
    </row>
    <row r="131" spans="1:13">
      <c r="A131" s="73">
        <v>128</v>
      </c>
      <c r="B131" s="28"/>
      <c r="C131" s="28"/>
      <c r="D131" s="18"/>
      <c r="E131" s="69"/>
      <c r="F131" s="70"/>
      <c r="G131" s="18"/>
      <c r="H131" s="22"/>
      <c r="I131" s="22"/>
      <c r="J131" s="22"/>
      <c r="K131" s="23"/>
      <c r="L131" s="22"/>
      <c r="M131" s="22"/>
    </row>
    <row r="132" spans="1:13">
      <c r="A132" s="73">
        <v>129</v>
      </c>
      <c r="B132" s="28"/>
      <c r="C132" s="28"/>
      <c r="D132" s="18"/>
      <c r="E132" s="69"/>
      <c r="F132" s="70"/>
      <c r="G132" s="18"/>
      <c r="H132" s="22"/>
      <c r="I132" s="22"/>
      <c r="J132" s="22"/>
      <c r="K132" s="23"/>
      <c r="L132" s="22"/>
      <c r="M132" s="22"/>
    </row>
    <row r="133" spans="1:13">
      <c r="A133" s="73">
        <v>130</v>
      </c>
      <c r="B133" s="28"/>
      <c r="C133" s="28"/>
      <c r="D133" s="18"/>
      <c r="E133" s="69"/>
      <c r="F133" s="70"/>
      <c r="G133" s="18"/>
      <c r="H133" s="22"/>
      <c r="I133" s="22"/>
      <c r="J133" s="22"/>
      <c r="K133" s="23"/>
      <c r="L133" s="22"/>
      <c r="M133" s="22"/>
    </row>
    <row r="134" spans="1:13">
      <c r="A134" s="73">
        <v>131</v>
      </c>
      <c r="B134" s="28"/>
      <c r="C134" s="28"/>
      <c r="D134" s="18"/>
      <c r="E134" s="69"/>
      <c r="F134" s="70"/>
      <c r="G134" s="18"/>
      <c r="H134" s="22"/>
      <c r="I134" s="22"/>
      <c r="J134" s="22"/>
      <c r="K134" s="23"/>
      <c r="L134" s="22"/>
      <c r="M134" s="22"/>
    </row>
    <row r="135" spans="1:13">
      <c r="A135" s="73">
        <v>132</v>
      </c>
      <c r="B135" s="28"/>
      <c r="C135" s="28"/>
      <c r="D135" s="18"/>
      <c r="E135" s="69"/>
      <c r="F135" s="70"/>
      <c r="G135" s="18"/>
      <c r="H135" s="22"/>
      <c r="I135" s="22"/>
      <c r="J135" s="22"/>
      <c r="K135" s="23"/>
      <c r="L135" s="22"/>
      <c r="M135" s="22"/>
    </row>
    <row r="136" spans="1:13">
      <c r="A136" s="73">
        <v>133</v>
      </c>
      <c r="B136" s="28"/>
      <c r="C136" s="28"/>
      <c r="D136" s="18"/>
      <c r="E136" s="69"/>
      <c r="F136" s="70"/>
      <c r="G136" s="18"/>
      <c r="H136" s="22"/>
      <c r="I136" s="22"/>
      <c r="J136" s="22"/>
      <c r="K136" s="23"/>
      <c r="L136" s="22"/>
      <c r="M136" s="22"/>
    </row>
    <row r="137" spans="1:13">
      <c r="A137" s="73">
        <v>134</v>
      </c>
      <c r="B137" s="28"/>
      <c r="C137" s="28"/>
      <c r="D137" s="18"/>
      <c r="E137" s="69"/>
      <c r="F137" s="70"/>
      <c r="G137" s="18"/>
      <c r="H137" s="22"/>
      <c r="I137" s="22"/>
      <c r="J137" s="22"/>
      <c r="K137" s="23"/>
      <c r="L137" s="22"/>
      <c r="M137" s="22"/>
    </row>
    <row r="138" spans="1:13">
      <c r="A138" s="73">
        <v>135</v>
      </c>
      <c r="B138" s="28"/>
      <c r="C138" s="28"/>
      <c r="D138" s="18"/>
      <c r="E138" s="69"/>
      <c r="F138" s="70"/>
      <c r="G138" s="18"/>
      <c r="H138" s="22"/>
      <c r="I138" s="22"/>
      <c r="J138" s="22"/>
      <c r="K138" s="23"/>
      <c r="L138" s="22"/>
      <c r="M138" s="22"/>
    </row>
    <row r="139" spans="1:13">
      <c r="A139" s="73">
        <v>136</v>
      </c>
      <c r="B139" s="28"/>
      <c r="C139" s="28"/>
      <c r="D139" s="18"/>
      <c r="E139" s="69"/>
      <c r="F139" s="70"/>
      <c r="G139" s="18"/>
      <c r="H139" s="22"/>
      <c r="I139" s="22"/>
      <c r="J139" s="22"/>
      <c r="K139" s="23"/>
      <c r="L139" s="22"/>
      <c r="M139" s="22"/>
    </row>
    <row r="140" spans="1:13">
      <c r="A140" s="73">
        <v>137</v>
      </c>
      <c r="B140" s="28"/>
      <c r="C140" s="28"/>
      <c r="D140" s="18"/>
      <c r="E140" s="69"/>
      <c r="F140" s="70"/>
      <c r="G140" s="18"/>
      <c r="H140" s="22"/>
      <c r="I140" s="22"/>
      <c r="J140" s="22"/>
      <c r="K140" s="23"/>
      <c r="L140" s="22"/>
      <c r="M140" s="22"/>
    </row>
    <row r="141" spans="1:13">
      <c r="A141" s="73">
        <v>138</v>
      </c>
      <c r="B141" s="28"/>
      <c r="C141" s="28"/>
      <c r="D141" s="18"/>
      <c r="E141" s="69"/>
      <c r="F141" s="70"/>
      <c r="G141" s="18"/>
      <c r="H141" s="22"/>
      <c r="I141" s="22"/>
      <c r="J141" s="22"/>
      <c r="K141" s="23"/>
      <c r="L141" s="22"/>
      <c r="M141" s="22"/>
    </row>
    <row r="142" spans="1:13">
      <c r="A142" s="73">
        <v>139</v>
      </c>
      <c r="B142" s="28"/>
      <c r="C142" s="28"/>
      <c r="D142" s="18"/>
      <c r="E142" s="69"/>
      <c r="F142" s="70"/>
      <c r="G142" s="18"/>
      <c r="H142" s="22"/>
      <c r="I142" s="22"/>
      <c r="J142" s="22"/>
      <c r="K142" s="23"/>
      <c r="L142" s="22"/>
      <c r="M142" s="22"/>
    </row>
    <row r="143" spans="1:13">
      <c r="A143" s="73">
        <v>140</v>
      </c>
      <c r="B143" s="28"/>
      <c r="C143" s="28"/>
      <c r="D143" s="18"/>
      <c r="E143" s="69"/>
      <c r="F143" s="70"/>
      <c r="G143" s="18"/>
      <c r="H143" s="22"/>
      <c r="I143" s="22"/>
      <c r="J143" s="22"/>
      <c r="K143" s="23"/>
      <c r="L143" s="22"/>
      <c r="M143" s="22"/>
    </row>
    <row r="144" spans="1:13">
      <c r="A144" s="73">
        <v>141</v>
      </c>
      <c r="B144" s="28"/>
      <c r="C144" s="28"/>
      <c r="D144" s="18"/>
      <c r="E144" s="69"/>
      <c r="F144" s="70"/>
      <c r="G144" s="18"/>
      <c r="H144" s="22"/>
      <c r="I144" s="22"/>
      <c r="J144" s="22"/>
      <c r="K144" s="23"/>
      <c r="L144" s="22"/>
      <c r="M144" s="22"/>
    </row>
    <row r="145" spans="1:13">
      <c r="A145" s="73">
        <v>142</v>
      </c>
      <c r="B145" s="28"/>
      <c r="C145" s="28"/>
      <c r="D145" s="18"/>
      <c r="E145" s="69"/>
      <c r="F145" s="70"/>
      <c r="G145" s="18"/>
      <c r="H145" s="22"/>
      <c r="I145" s="22"/>
      <c r="J145" s="22"/>
      <c r="K145" s="23"/>
      <c r="L145" s="22"/>
      <c r="M145" s="22"/>
    </row>
    <row r="146" spans="1:13">
      <c r="A146" s="73">
        <v>143</v>
      </c>
      <c r="B146" s="28"/>
      <c r="C146" s="28"/>
      <c r="D146" s="18"/>
      <c r="E146" s="69"/>
      <c r="F146" s="70"/>
      <c r="G146" s="18"/>
      <c r="H146" s="22"/>
      <c r="I146" s="22"/>
      <c r="J146" s="22"/>
      <c r="K146" s="23"/>
      <c r="L146" s="22"/>
      <c r="M146" s="22"/>
    </row>
    <row r="147" spans="1:13">
      <c r="A147" s="73">
        <v>144</v>
      </c>
      <c r="B147" s="28"/>
      <c r="C147" s="28"/>
      <c r="D147" s="18"/>
      <c r="E147" s="69"/>
      <c r="F147" s="70"/>
      <c r="G147" s="18"/>
      <c r="H147" s="22"/>
      <c r="I147" s="22"/>
      <c r="J147" s="22"/>
      <c r="K147" s="23"/>
      <c r="L147" s="22"/>
      <c r="M147" s="22"/>
    </row>
    <row r="148" spans="1:13">
      <c r="A148" s="73">
        <v>145</v>
      </c>
      <c r="B148" s="28"/>
      <c r="C148" s="28"/>
      <c r="D148" s="18"/>
      <c r="E148" s="69"/>
      <c r="F148" s="70"/>
      <c r="G148" s="18"/>
      <c r="H148" s="22"/>
      <c r="I148" s="22"/>
      <c r="J148" s="22"/>
      <c r="K148" s="23"/>
      <c r="L148" s="22"/>
      <c r="M148" s="22"/>
    </row>
    <row r="149" spans="1:13">
      <c r="A149" s="73">
        <v>146</v>
      </c>
      <c r="B149" s="28"/>
      <c r="C149" s="28"/>
      <c r="D149" s="18"/>
      <c r="E149" s="69"/>
      <c r="F149" s="70"/>
      <c r="G149" s="18"/>
      <c r="H149" s="22"/>
      <c r="I149" s="22"/>
      <c r="J149" s="22"/>
      <c r="K149" s="23"/>
      <c r="L149" s="22"/>
      <c r="M149" s="22"/>
    </row>
    <row r="150" spans="1:13">
      <c r="A150" s="73">
        <v>147</v>
      </c>
      <c r="B150" s="28"/>
      <c r="C150" s="28"/>
      <c r="D150" s="18"/>
      <c r="E150" s="69"/>
      <c r="F150" s="70"/>
      <c r="G150" s="18"/>
      <c r="H150" s="22"/>
      <c r="I150" s="22"/>
      <c r="J150" s="22"/>
      <c r="K150" s="23"/>
      <c r="L150" s="22"/>
      <c r="M150" s="22"/>
    </row>
    <row r="151" spans="1:13">
      <c r="A151" s="73">
        <v>148</v>
      </c>
      <c r="B151" s="28"/>
      <c r="C151" s="28"/>
      <c r="D151" s="18"/>
      <c r="E151" s="69"/>
      <c r="F151" s="70"/>
      <c r="G151" s="18"/>
      <c r="H151" s="22"/>
      <c r="I151" s="22"/>
      <c r="J151" s="22"/>
      <c r="K151" s="23"/>
      <c r="L151" s="22"/>
      <c r="M151" s="22"/>
    </row>
    <row r="152" spans="1:13">
      <c r="A152" s="73">
        <v>149</v>
      </c>
      <c r="B152" s="28"/>
      <c r="C152" s="28"/>
      <c r="D152" s="18"/>
      <c r="E152" s="69"/>
      <c r="F152" s="70"/>
      <c r="G152" s="18"/>
      <c r="H152" s="22"/>
      <c r="I152" s="22"/>
      <c r="J152" s="22"/>
      <c r="K152" s="23"/>
      <c r="L152" s="22"/>
      <c r="M152" s="22"/>
    </row>
    <row r="153" spans="1:13">
      <c r="A153" s="73">
        <v>150</v>
      </c>
      <c r="B153" s="28"/>
      <c r="C153" s="28"/>
      <c r="D153" s="18"/>
      <c r="E153" s="69"/>
      <c r="F153" s="70"/>
      <c r="G153" s="18"/>
      <c r="H153" s="22"/>
      <c r="I153" s="22"/>
      <c r="J153" s="22"/>
      <c r="K153" s="23"/>
      <c r="L153" s="22"/>
      <c r="M153" s="22"/>
    </row>
    <row r="154" spans="1:13">
      <c r="A154" s="73">
        <v>151</v>
      </c>
      <c r="B154" s="28"/>
      <c r="C154" s="28"/>
      <c r="D154" s="18"/>
      <c r="E154" s="69"/>
      <c r="F154" s="70"/>
      <c r="G154" s="18"/>
      <c r="H154" s="22"/>
      <c r="I154" s="22"/>
      <c r="J154" s="22"/>
      <c r="K154" s="23"/>
      <c r="L154" s="22"/>
      <c r="M154" s="22"/>
    </row>
    <row r="155" spans="1:13">
      <c r="A155" s="73">
        <v>152</v>
      </c>
      <c r="B155" s="28"/>
      <c r="C155" s="28"/>
      <c r="D155" s="18"/>
      <c r="E155" s="69"/>
      <c r="F155" s="70"/>
      <c r="G155" s="18"/>
      <c r="H155" s="22"/>
      <c r="I155" s="22"/>
      <c r="J155" s="22"/>
      <c r="K155" s="23"/>
      <c r="L155" s="22"/>
      <c r="M155" s="22"/>
    </row>
    <row r="156" spans="1:13">
      <c r="A156" s="73">
        <v>153</v>
      </c>
      <c r="B156" s="28"/>
      <c r="C156" s="28"/>
      <c r="D156" s="18"/>
      <c r="E156" s="69"/>
      <c r="F156" s="70"/>
      <c r="G156" s="18"/>
      <c r="H156" s="22"/>
      <c r="I156" s="22"/>
      <c r="J156" s="22"/>
      <c r="K156" s="23"/>
      <c r="L156" s="22"/>
      <c r="M156" s="22"/>
    </row>
    <row r="157" spans="1:13">
      <c r="A157" s="73">
        <v>154</v>
      </c>
      <c r="B157" s="28"/>
      <c r="C157" s="28"/>
      <c r="D157" s="18"/>
      <c r="E157" s="69"/>
      <c r="F157" s="70"/>
      <c r="G157" s="18"/>
      <c r="H157" s="22"/>
      <c r="I157" s="22"/>
      <c r="J157" s="22"/>
      <c r="K157" s="23"/>
      <c r="L157" s="22"/>
      <c r="M157" s="22"/>
    </row>
    <row r="158" spans="1:13">
      <c r="A158" s="73">
        <v>155</v>
      </c>
      <c r="B158" s="28"/>
      <c r="C158" s="28"/>
      <c r="D158" s="18"/>
      <c r="E158" s="69"/>
      <c r="F158" s="70"/>
      <c r="G158" s="18"/>
      <c r="H158" s="22"/>
      <c r="I158" s="22"/>
      <c r="J158" s="22"/>
      <c r="K158" s="23"/>
      <c r="L158" s="22"/>
      <c r="M158" s="22"/>
    </row>
    <row r="159" spans="1:13">
      <c r="A159" s="73">
        <v>156</v>
      </c>
      <c r="B159" s="28"/>
      <c r="C159" s="28"/>
      <c r="D159" s="18"/>
      <c r="E159" s="69"/>
      <c r="F159" s="70"/>
      <c r="G159" s="18"/>
      <c r="H159" s="22"/>
      <c r="I159" s="22"/>
      <c r="J159" s="22"/>
      <c r="K159" s="23"/>
      <c r="L159" s="22"/>
      <c r="M159" s="22"/>
    </row>
    <row r="160" spans="1:13">
      <c r="A160" s="73">
        <v>157</v>
      </c>
      <c r="B160" s="28"/>
      <c r="C160" s="28"/>
      <c r="D160" s="18"/>
      <c r="E160" s="69"/>
      <c r="F160" s="70"/>
      <c r="G160" s="18"/>
      <c r="H160" s="22"/>
      <c r="I160" s="22"/>
      <c r="J160" s="22"/>
      <c r="K160" s="23"/>
      <c r="L160" s="22"/>
      <c r="M160" s="22"/>
    </row>
    <row r="161" spans="1:13">
      <c r="A161" s="73">
        <v>158</v>
      </c>
      <c r="B161" s="28"/>
      <c r="C161" s="28"/>
      <c r="D161" s="18"/>
      <c r="E161" s="69"/>
      <c r="F161" s="70"/>
      <c r="G161" s="18"/>
      <c r="H161" s="22"/>
      <c r="I161" s="22"/>
      <c r="J161" s="22"/>
      <c r="K161" s="23"/>
      <c r="L161" s="22"/>
      <c r="M161" s="22"/>
    </row>
    <row r="162" spans="1:13">
      <c r="A162" s="73">
        <v>159</v>
      </c>
      <c r="B162" s="28"/>
      <c r="C162" s="28"/>
      <c r="D162" s="18"/>
      <c r="E162" s="69"/>
      <c r="F162" s="70"/>
      <c r="G162" s="18"/>
      <c r="H162" s="22"/>
      <c r="I162" s="22"/>
      <c r="J162" s="22"/>
      <c r="K162" s="23"/>
      <c r="L162" s="22"/>
      <c r="M162" s="22"/>
    </row>
    <row r="163" spans="1:13">
      <c r="A163" s="73">
        <v>160</v>
      </c>
      <c r="B163" s="28"/>
      <c r="C163" s="28"/>
      <c r="D163" s="18"/>
      <c r="E163" s="69"/>
      <c r="F163" s="70"/>
      <c r="G163" s="18"/>
      <c r="H163" s="22"/>
      <c r="I163" s="22"/>
      <c r="J163" s="22"/>
      <c r="K163" s="23"/>
      <c r="L163" s="22"/>
      <c r="M163" s="22"/>
    </row>
    <row r="164" spans="1:13">
      <c r="A164" s="73">
        <v>161</v>
      </c>
      <c r="B164" s="28"/>
      <c r="C164" s="28"/>
      <c r="D164" s="18"/>
      <c r="E164" s="69"/>
      <c r="F164" s="70"/>
      <c r="G164" s="18"/>
      <c r="H164" s="22"/>
      <c r="I164" s="22"/>
      <c r="J164" s="22"/>
      <c r="K164" s="23"/>
      <c r="L164" s="22"/>
      <c r="M164" s="22"/>
    </row>
    <row r="165" spans="1:13">
      <c r="A165" s="73">
        <v>162</v>
      </c>
      <c r="B165" s="28"/>
      <c r="C165" s="28"/>
      <c r="D165" s="18"/>
      <c r="E165" s="69"/>
      <c r="F165" s="70"/>
      <c r="G165" s="18"/>
      <c r="H165" s="22"/>
      <c r="I165" s="22"/>
      <c r="J165" s="22"/>
      <c r="K165" s="23"/>
      <c r="L165" s="22"/>
      <c r="M165" s="22"/>
    </row>
    <row r="166" spans="1:13">
      <c r="A166" s="73">
        <v>163</v>
      </c>
      <c r="B166" s="28"/>
      <c r="C166" s="28"/>
      <c r="D166" s="18"/>
      <c r="E166" s="69"/>
      <c r="F166" s="70"/>
      <c r="G166" s="18"/>
      <c r="H166" s="22"/>
      <c r="I166" s="22"/>
      <c r="J166" s="22"/>
      <c r="K166" s="23"/>
      <c r="L166" s="22"/>
      <c r="M166" s="22"/>
    </row>
    <row r="167" spans="1:13">
      <c r="A167" s="73">
        <v>164</v>
      </c>
      <c r="B167" s="28"/>
      <c r="C167" s="28"/>
      <c r="D167" s="18"/>
      <c r="E167" s="69"/>
      <c r="F167" s="70"/>
      <c r="G167" s="18"/>
      <c r="H167" s="22"/>
      <c r="I167" s="22"/>
      <c r="J167" s="22"/>
      <c r="K167" s="23"/>
      <c r="L167" s="22"/>
      <c r="M167" s="22"/>
    </row>
    <row r="168" spans="1:13">
      <c r="A168" s="73">
        <v>165</v>
      </c>
      <c r="B168" s="28"/>
      <c r="C168" s="28"/>
      <c r="D168" s="18"/>
      <c r="E168" s="69"/>
      <c r="F168" s="70"/>
      <c r="G168" s="18"/>
      <c r="H168" s="22"/>
      <c r="I168" s="22"/>
      <c r="J168" s="22"/>
      <c r="K168" s="23"/>
      <c r="L168" s="22"/>
      <c r="M168" s="22"/>
    </row>
    <row r="169" spans="1:13">
      <c r="A169" s="73">
        <v>166</v>
      </c>
      <c r="B169" s="28"/>
      <c r="C169" s="28"/>
      <c r="D169" s="18"/>
      <c r="E169" s="69"/>
      <c r="F169" s="70"/>
      <c r="G169" s="18"/>
      <c r="H169" s="22"/>
      <c r="I169" s="22"/>
      <c r="J169" s="22"/>
      <c r="K169" s="23"/>
      <c r="L169" s="22"/>
      <c r="M169" s="22"/>
    </row>
    <row r="170" spans="1:13">
      <c r="A170" s="73">
        <v>167</v>
      </c>
      <c r="B170" s="28"/>
      <c r="C170" s="28"/>
      <c r="D170" s="18"/>
      <c r="E170" s="69"/>
      <c r="F170" s="70"/>
      <c r="G170" s="18"/>
      <c r="H170" s="22"/>
      <c r="I170" s="22"/>
      <c r="J170" s="22"/>
      <c r="K170" s="23"/>
      <c r="L170" s="22"/>
      <c r="M170" s="22"/>
    </row>
    <row r="171" spans="1:13">
      <c r="A171" s="73">
        <v>168</v>
      </c>
      <c r="B171" s="28"/>
      <c r="C171" s="28"/>
      <c r="D171" s="18"/>
      <c r="E171" s="69"/>
      <c r="F171" s="70"/>
      <c r="G171" s="18"/>
      <c r="H171" s="22"/>
      <c r="I171" s="22"/>
      <c r="J171" s="22"/>
      <c r="K171" s="23"/>
      <c r="L171" s="22"/>
      <c r="M171" s="22"/>
    </row>
    <row r="172" spans="1:13">
      <c r="A172" s="73">
        <v>169</v>
      </c>
      <c r="B172" s="28"/>
      <c r="C172" s="28"/>
      <c r="D172" s="18"/>
      <c r="E172" s="69"/>
      <c r="F172" s="70"/>
      <c r="G172" s="18"/>
      <c r="H172" s="22"/>
      <c r="I172" s="22"/>
      <c r="J172" s="22"/>
      <c r="K172" s="23"/>
      <c r="L172" s="22"/>
      <c r="M172" s="22"/>
    </row>
    <row r="173" spans="1:13">
      <c r="A173" s="73">
        <v>170</v>
      </c>
      <c r="B173" s="28"/>
      <c r="C173" s="28"/>
      <c r="D173" s="18"/>
      <c r="E173" s="69"/>
      <c r="F173" s="70"/>
      <c r="G173" s="18"/>
      <c r="H173" s="22"/>
      <c r="I173" s="22"/>
      <c r="J173" s="22"/>
      <c r="K173" s="23"/>
      <c r="L173" s="22"/>
      <c r="M173" s="22"/>
    </row>
    <row r="174" spans="1:13">
      <c r="A174" s="73">
        <v>171</v>
      </c>
      <c r="B174" s="28"/>
      <c r="C174" s="28"/>
      <c r="D174" s="18"/>
      <c r="E174" s="69"/>
      <c r="F174" s="70"/>
      <c r="G174" s="18"/>
      <c r="H174" s="22"/>
      <c r="I174" s="22"/>
      <c r="J174" s="22"/>
      <c r="K174" s="23"/>
      <c r="L174" s="22"/>
      <c r="M174" s="22"/>
    </row>
    <row r="175" spans="1:13">
      <c r="A175" s="73">
        <v>172</v>
      </c>
      <c r="B175" s="28"/>
      <c r="C175" s="28"/>
      <c r="D175" s="18"/>
      <c r="E175" s="69"/>
      <c r="F175" s="70"/>
      <c r="G175" s="18"/>
      <c r="H175" s="22"/>
      <c r="I175" s="22"/>
      <c r="J175" s="22"/>
      <c r="K175" s="23"/>
      <c r="L175" s="22"/>
      <c r="M175" s="22"/>
    </row>
    <row r="176" spans="1:13">
      <c r="A176" s="73">
        <v>173</v>
      </c>
      <c r="B176" s="28"/>
      <c r="C176" s="28"/>
      <c r="D176" s="18"/>
      <c r="E176" s="69"/>
      <c r="F176" s="70"/>
      <c r="G176" s="18"/>
      <c r="H176" s="22"/>
      <c r="I176" s="22"/>
      <c r="J176" s="22"/>
      <c r="K176" s="23"/>
      <c r="L176" s="22"/>
      <c r="M176" s="22"/>
    </row>
    <row r="177" spans="1:13">
      <c r="A177" s="73">
        <v>174</v>
      </c>
      <c r="B177" s="28"/>
      <c r="C177" s="28"/>
      <c r="D177" s="18"/>
      <c r="E177" s="69"/>
      <c r="F177" s="70"/>
      <c r="G177" s="18"/>
      <c r="H177" s="22"/>
      <c r="I177" s="22"/>
      <c r="J177" s="22"/>
      <c r="K177" s="23"/>
      <c r="L177" s="22"/>
      <c r="M177" s="22"/>
    </row>
    <row r="178" spans="1:13">
      <c r="A178" s="73">
        <v>175</v>
      </c>
      <c r="B178" s="28"/>
      <c r="C178" s="28"/>
      <c r="D178" s="18"/>
      <c r="E178" s="69"/>
      <c r="F178" s="70"/>
      <c r="G178" s="18"/>
      <c r="H178" s="22"/>
      <c r="I178" s="22"/>
      <c r="J178" s="22"/>
      <c r="K178" s="23"/>
      <c r="L178" s="22"/>
      <c r="M178" s="22"/>
    </row>
    <row r="179" spans="1:13">
      <c r="A179" s="73">
        <v>176</v>
      </c>
      <c r="B179" s="28"/>
      <c r="C179" s="28"/>
      <c r="D179" s="18"/>
      <c r="E179" s="69"/>
      <c r="F179" s="70"/>
      <c r="G179" s="18"/>
      <c r="H179" s="22"/>
      <c r="I179" s="22"/>
      <c r="J179" s="22"/>
      <c r="K179" s="23"/>
      <c r="L179" s="22"/>
      <c r="M179" s="22"/>
    </row>
    <row r="180" spans="1:13">
      <c r="A180" s="73">
        <v>177</v>
      </c>
      <c r="B180" s="28"/>
      <c r="C180" s="28"/>
      <c r="D180" s="18"/>
      <c r="E180" s="69"/>
      <c r="F180" s="70"/>
      <c r="G180" s="18"/>
      <c r="H180" s="22"/>
      <c r="I180" s="22"/>
      <c r="J180" s="22"/>
      <c r="K180" s="23"/>
      <c r="L180" s="22"/>
      <c r="M180" s="22"/>
    </row>
    <row r="181" spans="1:13">
      <c r="A181" s="73">
        <v>178</v>
      </c>
      <c r="B181" s="28"/>
      <c r="C181" s="28"/>
      <c r="D181" s="18"/>
      <c r="E181" s="69"/>
      <c r="F181" s="70"/>
      <c r="G181" s="18"/>
      <c r="H181" s="22"/>
      <c r="I181" s="22"/>
      <c r="J181" s="22"/>
      <c r="K181" s="23"/>
      <c r="L181" s="22"/>
      <c r="M181" s="22"/>
    </row>
    <row r="182" spans="1:13">
      <c r="A182" s="73">
        <v>179</v>
      </c>
      <c r="B182" s="28"/>
      <c r="C182" s="28"/>
      <c r="D182" s="18"/>
      <c r="E182" s="69"/>
      <c r="F182" s="70"/>
      <c r="G182" s="18"/>
      <c r="H182" s="22"/>
      <c r="I182" s="22"/>
      <c r="J182" s="22"/>
      <c r="K182" s="23"/>
      <c r="L182" s="22"/>
      <c r="M182" s="22"/>
    </row>
    <row r="183" spans="1:13">
      <c r="A183" s="73">
        <v>180</v>
      </c>
      <c r="B183" s="28"/>
      <c r="C183" s="28"/>
      <c r="D183" s="18"/>
      <c r="E183" s="69"/>
      <c r="F183" s="70"/>
      <c r="G183" s="18"/>
      <c r="H183" s="22"/>
      <c r="I183" s="22"/>
      <c r="J183" s="22"/>
      <c r="K183" s="23"/>
      <c r="L183" s="22"/>
      <c r="M183" s="22"/>
    </row>
    <row r="184" spans="1:13">
      <c r="A184" s="73">
        <v>181</v>
      </c>
      <c r="B184" s="28"/>
      <c r="C184" s="28"/>
      <c r="D184" s="18"/>
      <c r="E184" s="69"/>
      <c r="F184" s="70"/>
      <c r="G184" s="18"/>
      <c r="H184" s="22"/>
      <c r="I184" s="22"/>
      <c r="J184" s="22"/>
      <c r="K184" s="23"/>
      <c r="L184" s="22"/>
      <c r="M184" s="22"/>
    </row>
    <row r="185" spans="1:13">
      <c r="A185" s="73">
        <v>182</v>
      </c>
      <c r="B185" s="28"/>
      <c r="C185" s="28"/>
      <c r="D185" s="18"/>
      <c r="E185" s="69"/>
      <c r="F185" s="70"/>
      <c r="G185" s="18"/>
      <c r="H185" s="22"/>
      <c r="I185" s="22"/>
      <c r="J185" s="22"/>
      <c r="K185" s="23"/>
      <c r="L185" s="22"/>
      <c r="M185" s="22"/>
    </row>
    <row r="186" spans="1:13">
      <c r="A186" s="73">
        <v>183</v>
      </c>
      <c r="B186" s="28"/>
      <c r="C186" s="28"/>
      <c r="D186" s="18"/>
      <c r="E186" s="69"/>
      <c r="F186" s="70"/>
      <c r="G186" s="18"/>
      <c r="H186" s="22"/>
      <c r="I186" s="22"/>
      <c r="J186" s="22"/>
      <c r="K186" s="23"/>
      <c r="L186" s="22"/>
      <c r="M186" s="22"/>
    </row>
    <row r="187" spans="1:13">
      <c r="A187" s="73">
        <v>184</v>
      </c>
      <c r="B187" s="28"/>
      <c r="C187" s="28"/>
      <c r="D187" s="18"/>
      <c r="E187" s="69"/>
      <c r="F187" s="70"/>
      <c r="G187" s="18"/>
      <c r="H187" s="22"/>
      <c r="I187" s="22"/>
      <c r="J187" s="22"/>
      <c r="K187" s="23"/>
      <c r="L187" s="22"/>
      <c r="M187" s="22"/>
    </row>
    <row r="188" spans="1:13">
      <c r="A188" s="73">
        <v>185</v>
      </c>
      <c r="B188" s="28"/>
      <c r="C188" s="28"/>
      <c r="D188" s="18"/>
      <c r="E188" s="69"/>
      <c r="F188" s="70"/>
      <c r="G188" s="18"/>
      <c r="H188" s="22"/>
      <c r="I188" s="22"/>
      <c r="J188" s="22"/>
      <c r="K188" s="23"/>
      <c r="L188" s="22"/>
      <c r="M188" s="22"/>
    </row>
    <row r="189" spans="1:13">
      <c r="A189" s="73">
        <v>186</v>
      </c>
      <c r="B189" s="28"/>
      <c r="C189" s="28"/>
      <c r="D189" s="18"/>
      <c r="E189" s="69"/>
      <c r="F189" s="70"/>
      <c r="G189" s="18"/>
      <c r="H189" s="22"/>
      <c r="I189" s="22"/>
      <c r="J189" s="22"/>
      <c r="K189" s="23"/>
      <c r="L189" s="22"/>
      <c r="M189" s="22"/>
    </row>
    <row r="190" spans="1:13">
      <c r="A190" s="73">
        <v>187</v>
      </c>
      <c r="B190" s="28"/>
      <c r="C190" s="28"/>
      <c r="D190" s="18"/>
      <c r="E190" s="69"/>
      <c r="F190" s="70"/>
      <c r="G190" s="18"/>
      <c r="H190" s="22"/>
      <c r="I190" s="22"/>
      <c r="J190" s="22"/>
      <c r="K190" s="23"/>
      <c r="L190" s="22"/>
      <c r="M190" s="22"/>
    </row>
    <row r="191" spans="1:13">
      <c r="A191" s="73">
        <v>188</v>
      </c>
      <c r="B191" s="28"/>
      <c r="C191" s="28"/>
      <c r="D191" s="18"/>
      <c r="E191" s="69"/>
      <c r="F191" s="70"/>
      <c r="G191" s="18"/>
      <c r="H191" s="22"/>
      <c r="I191" s="22"/>
      <c r="J191" s="22"/>
      <c r="K191" s="23"/>
      <c r="L191" s="22"/>
      <c r="M191" s="22"/>
    </row>
    <row r="192" spans="1:13">
      <c r="A192" s="73">
        <v>189</v>
      </c>
      <c r="B192" s="28"/>
      <c r="C192" s="28"/>
      <c r="D192" s="18"/>
      <c r="E192" s="69"/>
      <c r="F192" s="70"/>
      <c r="G192" s="18"/>
      <c r="H192" s="22"/>
      <c r="I192" s="22"/>
      <c r="J192" s="22"/>
      <c r="K192" s="23"/>
      <c r="L192" s="22"/>
      <c r="M192" s="22"/>
    </row>
    <row r="193" spans="1:13">
      <c r="A193" s="73">
        <v>190</v>
      </c>
      <c r="B193" s="28"/>
      <c r="C193" s="28"/>
      <c r="D193" s="18"/>
      <c r="E193" s="69"/>
      <c r="F193" s="70"/>
      <c r="G193" s="18"/>
      <c r="H193" s="22"/>
      <c r="I193" s="22"/>
      <c r="J193" s="22"/>
      <c r="K193" s="23"/>
      <c r="L193" s="22"/>
      <c r="M193" s="22"/>
    </row>
    <row r="194" spans="1:13">
      <c r="A194" s="73">
        <v>191</v>
      </c>
      <c r="B194" s="28"/>
      <c r="C194" s="28"/>
      <c r="D194" s="18"/>
      <c r="E194" s="69"/>
      <c r="F194" s="70"/>
      <c r="G194" s="18"/>
      <c r="H194" s="22"/>
      <c r="I194" s="22"/>
      <c r="J194" s="22"/>
      <c r="K194" s="23"/>
      <c r="L194" s="22"/>
      <c r="M194" s="22"/>
    </row>
    <row r="195" spans="1:13">
      <c r="A195" s="73">
        <v>192</v>
      </c>
      <c r="B195" s="28"/>
      <c r="C195" s="28"/>
      <c r="D195" s="18"/>
      <c r="E195" s="69"/>
      <c r="F195" s="70"/>
      <c r="G195" s="18"/>
      <c r="H195" s="22"/>
      <c r="I195" s="22"/>
      <c r="J195" s="22"/>
      <c r="K195" s="23"/>
      <c r="L195" s="22"/>
      <c r="M195" s="22"/>
    </row>
    <row r="196" spans="1:13">
      <c r="A196" s="73">
        <v>193</v>
      </c>
      <c r="B196" s="28"/>
      <c r="C196" s="28"/>
      <c r="D196" s="18"/>
      <c r="E196" s="69"/>
      <c r="F196" s="70"/>
      <c r="G196" s="18"/>
      <c r="H196" s="22"/>
      <c r="I196" s="22"/>
      <c r="J196" s="22"/>
      <c r="K196" s="23"/>
      <c r="L196" s="22"/>
      <c r="M196" s="22"/>
    </row>
    <row r="197" spans="1:13">
      <c r="A197" s="73">
        <v>194</v>
      </c>
      <c r="B197" s="28"/>
      <c r="C197" s="28"/>
      <c r="D197" s="18"/>
      <c r="E197" s="69"/>
      <c r="F197" s="70"/>
      <c r="G197" s="18"/>
      <c r="H197" s="22"/>
      <c r="I197" s="22"/>
      <c r="J197" s="22"/>
      <c r="K197" s="23"/>
      <c r="L197" s="22"/>
      <c r="M197" s="22"/>
    </row>
    <row r="198" spans="1:13">
      <c r="A198" s="73">
        <v>195</v>
      </c>
      <c r="B198" s="28"/>
      <c r="C198" s="28"/>
      <c r="D198" s="18"/>
      <c r="E198" s="69"/>
      <c r="F198" s="70"/>
      <c r="G198" s="18"/>
      <c r="H198" s="22"/>
      <c r="I198" s="22"/>
      <c r="J198" s="22"/>
      <c r="K198" s="23"/>
      <c r="L198" s="22"/>
      <c r="M198" s="22"/>
    </row>
    <row r="199" spans="1:13">
      <c r="A199" s="73">
        <v>196</v>
      </c>
      <c r="B199" s="28"/>
      <c r="C199" s="28"/>
      <c r="D199" s="18"/>
      <c r="E199" s="69"/>
      <c r="F199" s="70"/>
      <c r="G199" s="18"/>
      <c r="H199" s="22"/>
      <c r="I199" s="22"/>
      <c r="J199" s="22"/>
      <c r="K199" s="23"/>
      <c r="L199" s="22"/>
      <c r="M199" s="22"/>
    </row>
    <row r="200" spans="1:13">
      <c r="A200" s="73">
        <v>197</v>
      </c>
      <c r="B200" s="28"/>
      <c r="C200" s="28"/>
      <c r="D200" s="18"/>
      <c r="E200" s="69"/>
      <c r="F200" s="70"/>
      <c r="G200" s="18"/>
      <c r="H200" s="22"/>
      <c r="I200" s="22"/>
      <c r="J200" s="22"/>
      <c r="K200" s="23"/>
      <c r="L200" s="22"/>
      <c r="M200" s="22"/>
    </row>
    <row r="201" spans="1:13">
      <c r="A201" s="73">
        <v>198</v>
      </c>
      <c r="B201" s="28"/>
      <c r="C201" s="28"/>
      <c r="D201" s="18"/>
      <c r="E201" s="69"/>
      <c r="F201" s="70"/>
      <c r="G201" s="18"/>
      <c r="H201" s="22"/>
      <c r="I201" s="22"/>
      <c r="J201" s="22"/>
      <c r="K201" s="23"/>
      <c r="L201" s="22"/>
      <c r="M201" s="22"/>
    </row>
    <row r="202" spans="1:13">
      <c r="A202" s="73">
        <v>199</v>
      </c>
      <c r="B202" s="28"/>
      <c r="C202" s="28"/>
      <c r="D202" s="18"/>
      <c r="E202" s="69"/>
      <c r="F202" s="70"/>
      <c r="G202" s="18"/>
      <c r="H202" s="22"/>
      <c r="I202" s="22"/>
      <c r="J202" s="22"/>
      <c r="K202" s="23"/>
      <c r="L202" s="22"/>
      <c r="M202" s="22"/>
    </row>
    <row r="203" spans="1:13">
      <c r="A203" s="73">
        <v>200</v>
      </c>
      <c r="B203" s="28"/>
      <c r="C203" s="28"/>
      <c r="D203" s="18"/>
      <c r="E203" s="69"/>
      <c r="F203" s="70"/>
      <c r="G203" s="18"/>
      <c r="H203" s="22"/>
      <c r="I203" s="22"/>
      <c r="J203" s="22"/>
      <c r="K203" s="23"/>
      <c r="L203" s="22"/>
      <c r="M203" s="22"/>
    </row>
    <row r="204" spans="1:13">
      <c r="D204" s="54"/>
    </row>
  </sheetData>
  <autoFilter ref="A4:M203" xr:uid="{00000000-0009-0000-0000-000003000000}"/>
  <dataConsolidate/>
  <mergeCells count="2">
    <mergeCell ref="E3:G3"/>
    <mergeCell ref="A3:C3"/>
  </mergeCells>
  <phoneticPr fontId="34" type="noConversion"/>
  <conditionalFormatting sqref="L204:L65535 P1:P2">
    <cfRule type="cellIs" dxfId="1808" priority="141" stopIfTrue="1" operator="equal">
      <formula>"Fixed"</formula>
    </cfRule>
    <cfRule type="cellIs" dxfId="1807" priority="142" stopIfTrue="1" operator="equal">
      <formula>"Open"</formula>
    </cfRule>
  </conditionalFormatting>
  <conditionalFormatting sqref="L4">
    <cfRule type="cellIs" dxfId="1806" priority="143" stopIfTrue="1" operator="equal">
      <formula>"Open"</formula>
    </cfRule>
    <cfRule type="cellIs" dxfId="1805" priority="144" stopIfTrue="1" operator="equal">
      <formula>"Fixed"</formula>
    </cfRule>
  </conditionalFormatting>
  <conditionalFormatting sqref="L50:L57 L62:L203 L6 L8:L9 L15:L22 L24:L26">
    <cfRule type="expression" dxfId="1804" priority="145" stopIfTrue="1">
      <formula>AND($M6="Approved",$L6="Fixed")</formula>
    </cfRule>
    <cfRule type="cellIs" dxfId="1803" priority="146" stopIfTrue="1" operator="equal">
      <formula>"Fixed"</formula>
    </cfRule>
    <cfRule type="cellIs" dxfId="1802" priority="147" stopIfTrue="1" operator="equal">
      <formula>"Open"</formula>
    </cfRule>
  </conditionalFormatting>
  <conditionalFormatting sqref="M50:M57 M62:M203 M6 M8:M9 M15:M22 M24:M26">
    <cfRule type="expression" dxfId="1801" priority="148" stopIfTrue="1">
      <formula>OR(M6="Fixed",M6="Approved")</formula>
    </cfRule>
    <cfRule type="cellIs" dxfId="1800" priority="149" stopIfTrue="1" operator="equal">
      <formula>"Rejected"</formula>
    </cfRule>
  </conditionalFormatting>
  <conditionalFormatting sqref="A3">
    <cfRule type="expression" dxfId="1799" priority="135" stopIfTrue="1">
      <formula>$X$2=1</formula>
    </cfRule>
    <cfRule type="expression" dxfId="1798" priority="136" stopIfTrue="1">
      <formula>$Y$2=1</formula>
    </cfRule>
    <cfRule type="expression" dxfId="1797" priority="138" stopIfTrue="1">
      <formula>$AA$2=1</formula>
    </cfRule>
  </conditionalFormatting>
  <conditionalFormatting sqref="A3:C3">
    <cfRule type="expression" dxfId="1796" priority="137" stopIfTrue="1">
      <formula>$Z$2=1</formula>
    </cfRule>
  </conditionalFormatting>
  <conditionalFormatting sqref="D14:G14 C15:K15 D16:K16 A50:K203 A5:K6 E8:I9 K8:K9 C16:C17 C19:C21 D17:I19 K17:K19 D20:K21 D24:K49 C24 A8:A49 C22:K22">
    <cfRule type="expression" dxfId="1795" priority="319" stopIfTrue="1">
      <formula>AND($M5="Approved",OR($L5=$R$1,$L5=$T$1))</formula>
    </cfRule>
  </conditionalFormatting>
  <conditionalFormatting sqref="B25:C25 B27:C49 B15:B22 B24">
    <cfRule type="expression" dxfId="1794" priority="1746" stopIfTrue="1">
      <formula>AND($M16="Approved",OR($L16=$R$1,$L16=$T$1))</formula>
    </cfRule>
  </conditionalFormatting>
  <conditionalFormatting sqref="L27:L49">
    <cfRule type="expression" dxfId="1793" priority="65" stopIfTrue="1">
      <formula>AND($M27="Approved",$L27="Fixed")</formula>
    </cfRule>
    <cfRule type="cellIs" dxfId="1792" priority="66" stopIfTrue="1" operator="equal">
      <formula>"Fixed"</formula>
    </cfRule>
    <cfRule type="cellIs" dxfId="1791" priority="67" stopIfTrue="1" operator="equal">
      <formula>"Open"</formula>
    </cfRule>
  </conditionalFormatting>
  <conditionalFormatting sqref="M27:M49">
    <cfRule type="expression" dxfId="1790" priority="68" stopIfTrue="1">
      <formula>OR(M27="Fixed",M27="Approved")</formula>
    </cfRule>
    <cfRule type="cellIs" dxfId="1789" priority="69" stopIfTrue="1" operator="equal">
      <formula>"Rejected"</formula>
    </cfRule>
  </conditionalFormatting>
  <conditionalFormatting sqref="L58:L61">
    <cfRule type="expression" dxfId="1788" priority="59" stopIfTrue="1">
      <formula>AND($M58="Approved",$L58="Fixed")</formula>
    </cfRule>
    <cfRule type="cellIs" dxfId="1787" priority="60" stopIfTrue="1" operator="equal">
      <formula>"Fixed"</formula>
    </cfRule>
    <cfRule type="cellIs" dxfId="1786" priority="61" stopIfTrue="1" operator="equal">
      <formula>"Open"</formula>
    </cfRule>
  </conditionalFormatting>
  <conditionalFormatting sqref="M58:M61">
    <cfRule type="expression" dxfId="1785" priority="62" stopIfTrue="1">
      <formula>OR(M58="Fixed",M58="Approved")</formula>
    </cfRule>
    <cfRule type="cellIs" dxfId="1784" priority="63" stopIfTrue="1" operator="equal">
      <formula>"Rejected"</formula>
    </cfRule>
  </conditionalFormatting>
  <conditionalFormatting sqref="L5">
    <cfRule type="expression" dxfId="1783" priority="53" stopIfTrue="1">
      <formula>AND($M5="Approved",$L5="Fixed")</formula>
    </cfRule>
    <cfRule type="cellIs" dxfId="1782" priority="54" stopIfTrue="1" operator="equal">
      <formula>"Fixed"</formula>
    </cfRule>
    <cfRule type="cellIs" dxfId="1781" priority="55" stopIfTrue="1" operator="equal">
      <formula>"Open"</formula>
    </cfRule>
  </conditionalFormatting>
  <conditionalFormatting sqref="M5">
    <cfRule type="expression" dxfId="1780" priority="56" stopIfTrue="1">
      <formula>OR(M5="Fixed",M5="Approved")</formula>
    </cfRule>
    <cfRule type="cellIs" dxfId="1779" priority="57" stopIfTrue="1" operator="equal">
      <formula>"Rejected"</formula>
    </cfRule>
  </conditionalFormatting>
  <conditionalFormatting sqref="L7">
    <cfRule type="expression" dxfId="1778" priority="46" stopIfTrue="1">
      <formula>AND($M7="Approved",$L7="Fixed")</formula>
    </cfRule>
    <cfRule type="cellIs" dxfId="1777" priority="47" stopIfTrue="1" operator="equal">
      <formula>"Fixed"</formula>
    </cfRule>
    <cfRule type="cellIs" dxfId="1776" priority="48" stopIfTrue="1" operator="equal">
      <formula>"Open"</formula>
    </cfRule>
  </conditionalFormatting>
  <conditionalFormatting sqref="M7">
    <cfRule type="expression" dxfId="1775" priority="49" stopIfTrue="1">
      <formula>OR(M7="Fixed",M7="Approved")</formula>
    </cfRule>
    <cfRule type="cellIs" dxfId="1774" priority="50" stopIfTrue="1" operator="equal">
      <formula>"Rejected"</formula>
    </cfRule>
  </conditionalFormatting>
  <conditionalFormatting sqref="A7:F7 H7:K7">
    <cfRule type="expression" dxfId="1773" priority="51" stopIfTrue="1">
      <formula>AND($M7="Approved",OR($L7=$R$1,$L7=$T$1))</formula>
    </cfRule>
  </conditionalFormatting>
  <conditionalFormatting sqref="G7">
    <cfRule type="expression" dxfId="1772" priority="45" stopIfTrue="1">
      <formula>AND($M7="Approved",OR($L7=$R$1,$L7=$T$1))</formula>
    </cfRule>
  </conditionalFormatting>
  <conditionalFormatting sqref="B8:D8">
    <cfRule type="expression" dxfId="1771" priority="44" stopIfTrue="1">
      <formula>AND($M8="Approved",OR($L8=$R$1,$L8=$T$1))</formula>
    </cfRule>
  </conditionalFormatting>
  <conditionalFormatting sqref="B9:C9">
    <cfRule type="expression" dxfId="1770" priority="43" stopIfTrue="1">
      <formula>AND($M9="Approved",OR($L9=$R$1,$L9=$T$1))</formula>
    </cfRule>
  </conditionalFormatting>
  <conditionalFormatting sqref="D9">
    <cfRule type="expression" dxfId="1769" priority="42" stopIfTrue="1">
      <formula>AND($M9="Approved",OR($L9=$R$1,$L9=$T$1))</formula>
    </cfRule>
  </conditionalFormatting>
  <conditionalFormatting sqref="J8">
    <cfRule type="expression" dxfId="1768" priority="41" stopIfTrue="1">
      <formula>AND($M8="Approved",OR($L8=$R$1,$L8=$T$1))</formula>
    </cfRule>
  </conditionalFormatting>
  <conditionalFormatting sqref="J9">
    <cfRule type="expression" dxfId="1767" priority="37" stopIfTrue="1">
      <formula>AND($M9="Approved",OR($L9=$R$1,$L9=$T$1))</formula>
    </cfRule>
  </conditionalFormatting>
  <conditionalFormatting sqref="L10:L13">
    <cfRule type="expression" dxfId="1766" priority="31" stopIfTrue="1">
      <formula>AND($M10="Approved",$L10="Fixed")</formula>
    </cfRule>
    <cfRule type="cellIs" dxfId="1765" priority="32" stopIfTrue="1" operator="equal">
      <formula>"Fixed"</formula>
    </cfRule>
    <cfRule type="cellIs" dxfId="1764" priority="33" stopIfTrue="1" operator="equal">
      <formula>"Open"</formula>
    </cfRule>
  </conditionalFormatting>
  <conditionalFormatting sqref="M10:M13">
    <cfRule type="expression" dxfId="1763" priority="34" stopIfTrue="1">
      <formula>OR(M10="Fixed",M10="Approved")</formula>
    </cfRule>
    <cfRule type="cellIs" dxfId="1762" priority="35" stopIfTrue="1" operator="equal">
      <formula>"Rejected"</formula>
    </cfRule>
  </conditionalFormatting>
  <conditionalFormatting sqref="G10 G11:I11 B10:E13 G12:G13 K11">
    <cfRule type="expression" dxfId="1761" priority="36" stopIfTrue="1">
      <formula>AND($M10="Approved",OR($L10=$R$1,$L10=$T$1))</formula>
    </cfRule>
  </conditionalFormatting>
  <conditionalFormatting sqref="H10:I10 K10">
    <cfRule type="expression" dxfId="1760" priority="30" stopIfTrue="1">
      <formula>AND($M10="Approved",OR($L10=$R$1,$L10=$T$1))</formula>
    </cfRule>
  </conditionalFormatting>
  <conditionalFormatting sqref="H12:I12 K12">
    <cfRule type="expression" dxfId="1759" priority="29" stopIfTrue="1">
      <formula>AND($M12="Approved",OR($L12=$R$1,$L12=$T$1))</formula>
    </cfRule>
  </conditionalFormatting>
  <conditionalFormatting sqref="H13:I13 K13">
    <cfRule type="expression" dxfId="1758" priority="28" stopIfTrue="1">
      <formula>AND($M13="Approved",OR($L13=$R$1,$L13=$T$1))</formula>
    </cfRule>
  </conditionalFormatting>
  <conditionalFormatting sqref="F10">
    <cfRule type="expression" dxfId="1757" priority="27" stopIfTrue="1">
      <formula>AND($M10="Approved",OR($L10=$R$1,$L10=$T$1))</formula>
    </cfRule>
  </conditionalFormatting>
  <conditionalFormatting sqref="F11">
    <cfRule type="expression" dxfId="1756" priority="26" stopIfTrue="1">
      <formula>AND($M11="Approved",OR($L11=$R$1,$L11=$T$1))</formula>
    </cfRule>
  </conditionalFormatting>
  <conditionalFormatting sqref="F12">
    <cfRule type="expression" dxfId="1755" priority="25" stopIfTrue="1">
      <formula>AND($M12="Approved",OR($L12=$R$1,$L12=$T$1))</formula>
    </cfRule>
  </conditionalFormatting>
  <conditionalFormatting sqref="F13">
    <cfRule type="expression" dxfId="1754" priority="24" stopIfTrue="1">
      <formula>AND($M13="Approved",OR($L13=$R$1,$L13=$T$1))</formula>
    </cfRule>
  </conditionalFormatting>
  <conditionalFormatting sqref="J10">
    <cfRule type="expression" dxfId="1753" priority="22" stopIfTrue="1">
      <formula>AND($M10="Approved",OR($L10=$R$1,$L10=$T$1))</formula>
    </cfRule>
  </conditionalFormatting>
  <conditionalFormatting sqref="J12">
    <cfRule type="expression" dxfId="1752" priority="20" stopIfTrue="1">
      <formula>AND($M12="Approved",OR($L12=$R$1,$L12=$T$1))</formula>
    </cfRule>
  </conditionalFormatting>
  <conditionalFormatting sqref="J11">
    <cfRule type="expression" dxfId="1751" priority="19" stopIfTrue="1">
      <formula>AND($M11="Approved",OR($L11=$R$1,$L11=$T$1))</formula>
    </cfRule>
  </conditionalFormatting>
  <conditionalFormatting sqref="J13">
    <cfRule type="expression" dxfId="1750" priority="18" stopIfTrue="1">
      <formula>AND($M13="Approved",OR($L13=$R$1,$L13=$T$1))</formula>
    </cfRule>
  </conditionalFormatting>
  <conditionalFormatting sqref="L14">
    <cfRule type="expression" dxfId="1749" priority="13" stopIfTrue="1">
      <formula>AND($M14="Approved",$L14="Fixed")</formula>
    </cfRule>
    <cfRule type="cellIs" dxfId="1748" priority="14" stopIfTrue="1" operator="equal">
      <formula>"Fixed"</formula>
    </cfRule>
    <cfRule type="cellIs" dxfId="1747" priority="15" stopIfTrue="1" operator="equal">
      <formula>"Open"</formula>
    </cfRule>
  </conditionalFormatting>
  <conditionalFormatting sqref="M14">
    <cfRule type="expression" dxfId="1746" priority="16" stopIfTrue="1">
      <formula>OR(M14="Fixed",M14="Approved")</formula>
    </cfRule>
    <cfRule type="cellIs" dxfId="1745" priority="17" stopIfTrue="1" operator="equal">
      <formula>"Rejected"</formula>
    </cfRule>
  </conditionalFormatting>
  <conditionalFormatting sqref="H14:I14 K14">
    <cfRule type="expression" dxfId="1744" priority="12" stopIfTrue="1">
      <formula>AND($M14="Approved",OR($L14=$R$1,$L14=$T$1))</formula>
    </cfRule>
  </conditionalFormatting>
  <conditionalFormatting sqref="J14">
    <cfRule type="expression" dxfId="1743" priority="11" stopIfTrue="1">
      <formula>AND($M14="Approved",OR($L14=$R$1,$L14=$T$1))</formula>
    </cfRule>
  </conditionalFormatting>
  <conditionalFormatting sqref="B14:C14">
    <cfRule type="expression" dxfId="1742" priority="10" stopIfTrue="1">
      <formula>AND($M14="Approved",OR($L14=$R$1,$L14=$T$1))</formula>
    </cfRule>
  </conditionalFormatting>
  <conditionalFormatting sqref="J17">
    <cfRule type="expression" dxfId="1741" priority="9" stopIfTrue="1">
      <formula>AND($M17="Approved",OR($L17=$R$1,$L17=$T$1))</formula>
    </cfRule>
  </conditionalFormatting>
  <conditionalFormatting sqref="J18">
    <cfRule type="expression" dxfId="1740" priority="8" stopIfTrue="1">
      <formula>AND($M18="Approved",OR($L18=$R$1,$L18=$T$1))</formula>
    </cfRule>
  </conditionalFormatting>
  <conditionalFormatting sqref="J19">
    <cfRule type="expression" dxfId="1739" priority="7" stopIfTrue="1">
      <formula>AND($M19="Approved",OR($L19=$R$1,$L19=$T$1))</formula>
    </cfRule>
  </conditionalFormatting>
  <conditionalFormatting sqref="L23">
    <cfRule type="expression" dxfId="5" priority="1" stopIfTrue="1">
      <formula>AND($M23="Approved",$L23="Fixed")</formula>
    </cfRule>
    <cfRule type="cellIs" dxfId="4" priority="2" stopIfTrue="1" operator="equal">
      <formula>"Fixed"</formula>
    </cfRule>
    <cfRule type="cellIs" dxfId="3" priority="3" stopIfTrue="1" operator="equal">
      <formula>"Open"</formula>
    </cfRule>
  </conditionalFormatting>
  <conditionalFormatting sqref="M23">
    <cfRule type="expression" dxfId="2" priority="4" stopIfTrue="1">
      <formula>OR(M23="Fixed",M23="Approved")</formula>
    </cfRule>
    <cfRule type="cellIs" dxfId="1" priority="5" stopIfTrue="1" operator="equal">
      <formula>"Rejected"</formula>
    </cfRule>
  </conditionalFormatting>
  <conditionalFormatting sqref="B23:K23">
    <cfRule type="expression" dxfId="0" priority="6" stopIfTrue="1">
      <formula>AND($M23="Approved",OR($L23=$R$1,$L23=$T$1))</formula>
    </cfRule>
  </conditionalFormatting>
  <dataValidations count="3">
    <dataValidation type="list" allowBlank="1" showInputMessage="1" showErrorMessage="1" sqref="L5:L203" xr:uid="{00000000-0002-0000-0300-000000000000}">
      <formula1>$Q$1:$U$1</formula1>
    </dataValidation>
    <dataValidation type="list" allowBlank="1" showInputMessage="1" showErrorMessage="1" sqref="M5:M203" xr:uid="{00000000-0002-0000-0300-000001000000}">
      <formula1>$AH$1:$AI$1</formula1>
    </dataValidation>
    <dataValidation type="list" allowBlank="1" showInputMessage="1" showErrorMessage="1" sqref="I5:I203"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workbookViewId="0"/>
  </sheetViews>
  <sheetFormatPr defaultColWidth="9.140625" defaultRowHeight="12.75"/>
  <cols>
    <col min="1" max="1" width="61" style="189" customWidth="1"/>
    <col min="2" max="2" width="23.28515625" style="187" customWidth="1"/>
    <col min="3" max="3" width="23.5703125" style="187" customWidth="1"/>
    <col min="4" max="4" width="21.140625" style="187" customWidth="1"/>
    <col min="5" max="5" width="19.7109375" style="187" customWidth="1"/>
    <col min="6" max="6" width="21.42578125" style="187" customWidth="1"/>
    <col min="7" max="7" width="21.42578125" style="184" bestFit="1" customWidth="1"/>
    <col min="8" max="8" width="19.42578125" style="185" customWidth="1"/>
    <col min="9" max="9" width="23.5703125" style="185" customWidth="1"/>
    <col min="10" max="10" width="23.5703125" style="187" customWidth="1"/>
    <col min="11" max="11" width="21.7109375" style="187" bestFit="1" customWidth="1"/>
    <col min="12" max="12" width="19.7109375" style="188" bestFit="1" customWidth="1"/>
    <col min="13" max="13" width="22.28515625" style="184" customWidth="1"/>
    <col min="14" max="14" width="19.7109375" style="188" customWidth="1"/>
    <col min="15" max="15" width="19.7109375" style="184" customWidth="1"/>
    <col min="16" max="16" width="22.7109375" style="187" customWidth="1"/>
    <col min="17" max="17" width="15.5703125" style="187" customWidth="1"/>
    <col min="18" max="16384" width="9.140625" style="174"/>
  </cols>
  <sheetData>
    <row r="1" spans="1:17" s="183" customFormat="1" ht="175.5" customHeight="1" thickBot="1">
      <c r="A1" s="190" t="str">
        <f>"Total Number of tests : "&amp;COUNTIF(A2:A7000,"*_*")</f>
        <v>Total Number of tests : 0</v>
      </c>
      <c r="B1" s="191" t="str">
        <f>"Does the script contain an initialization function for the test bench?(e.g. PreTs )                             ERRORS: "&amp;COUNTIF(B2:B7000,"NOK")</f>
        <v>Does the script contain an initialization function for the test bench?(e.g. PreTs )                             ERRORS: 0</v>
      </c>
      <c r="C1" s="191" t="str">
        <f>"Does the script contain a function to set the test bench to default ?(e.g. PostTs )                                                              ERRORS:"&amp;COUNTIF(C2:C7000,"NOK")</f>
        <v>Does the script contain a function to set the test bench to default ?(e.g. PostTs )                                                              ERRORS:0</v>
      </c>
      <c r="D1" s="191" t="str">
        <f>"Does the script contain at least one ResultStep?                                                                 ERRORS: "&amp;COUNTIF(D2:D7000,"NOK")</f>
        <v>Does the script contain at least one ResultStep?                                                                 ERRORS: 0</v>
      </c>
      <c r="E1" s="191" t="str">
        <f>"Does the script contain at least one function that generates an expected result?(e.g. EvalManStepEqual )                                                              ERRORS: "&amp;COUNTIF(E2:E7000,"NOK")</f>
        <v>Does the script contain at least one function that generates an expected result?(e.g. EvalManStepEqual )                                                              ERRORS: 0</v>
      </c>
      <c r="F1" s="191" t="str">
        <f>"Are there commented lines of code inside script file                                                                                        ERRORS: "&amp;COUNTIF(F2:F7000,"NOK")</f>
        <v>Are there commented lines of code inside script file                                                                                        ERRORS: 0</v>
      </c>
      <c r="G1" s="191" t="s">
        <v>475</v>
      </c>
      <c r="H1" s="191" t="s">
        <v>476</v>
      </c>
      <c r="I1" s="191" t="str">
        <f>"Is the tag  -Full Automation- from the script heard with the correct value                                  ERRORS: "&amp;COUNTIF(I2:I7000,"NOK")</f>
        <v>Is the tag  -Full Automation- from the script heard with the correct value                                  ERRORS: 0</v>
      </c>
      <c r="J1" s="191" t="str">
        <f>"Is the MKS header information data consistent?                                          ERRORS: "&amp;COUNTIF(J2:J7000,"NOK")</f>
        <v>Is the MKS header information data consistent?                                          ERRORS: 0</v>
      </c>
      <c r="K1" s="191" t="str">
        <f>"Does the test contain at least one requirement in the header                                                                  ERRORS: "&amp;COUNTIF(K2:K7000,"NOK")</f>
        <v>Does the test contain at least one requirement in the header                                                                  ERRORS: 0</v>
      </c>
      <c r="L1" s="191" t="str">
        <f>"Is the log path in the test correctly set?                          ERRORS: "&amp;COUNTIF(L2:L7000,"NOK")</f>
        <v>Is the log path in the test correctly set?                          ERRORS: 0</v>
      </c>
      <c r="M1" s="191" t="str">
        <f>"Are the custom profile steps written to default at the end of the test ? (e.g WriteStepParameters)                                          ERRORS: "&amp;COUNTIF(M2:M7000,"NOK")</f>
        <v>Are the custom profile steps written to default at the end of the test ? (e.g WriteStepParameters)                                          ERRORS: 0</v>
      </c>
      <c r="N1" s="191" t="str">
        <f>"Is the custom cycle written to default at the end of the test?    (e.g. WriteCycleParameters)                                           ERRORS: "&amp;COUNTIF(N2:N7000,"NOK")</f>
        <v>Is the custom cycle written to default at the end of the test?    (e.g. WriteCycleParameters)                                           ERRORS: 0</v>
      </c>
      <c r="O1" s="191" t="str">
        <f>"Are all faults removed at the end of the test?                                                       ERRORS: "&amp;COUNTIF(O2:O7000,"NOK")</f>
        <v>Are all faults removed at the end of the test?                                                       ERRORS: 0</v>
      </c>
      <c r="P1" s="191" t="s">
        <v>477</v>
      </c>
      <c r="Q1" s="191" t="s">
        <v>478</v>
      </c>
    </row>
    <row r="2" spans="1:17">
      <c r="A2" s="174"/>
      <c r="B2" s="184"/>
      <c r="C2" s="184"/>
      <c r="D2" s="184"/>
      <c r="E2" s="184"/>
      <c r="F2" s="184"/>
      <c r="I2" s="186"/>
      <c r="J2" s="184"/>
    </row>
    <row r="3" spans="1:17">
      <c r="A3" s="174"/>
      <c r="B3" s="184"/>
      <c r="C3" s="184"/>
      <c r="D3" s="184"/>
      <c r="E3" s="184"/>
      <c r="F3" s="184"/>
      <c r="I3" s="186"/>
      <c r="J3" s="184"/>
    </row>
    <row r="4" spans="1:17">
      <c r="A4" s="174"/>
      <c r="B4" s="184"/>
      <c r="C4" s="184"/>
      <c r="D4" s="184"/>
      <c r="E4" s="184"/>
      <c r="F4" s="184"/>
      <c r="I4" s="186"/>
      <c r="J4" s="184"/>
    </row>
    <row r="5" spans="1:17">
      <c r="A5" s="174"/>
      <c r="B5" s="184"/>
      <c r="C5" s="184"/>
      <c r="D5" s="184"/>
      <c r="E5" s="184"/>
      <c r="F5" s="184"/>
      <c r="I5" s="186"/>
      <c r="J5" s="184"/>
    </row>
    <row r="6" spans="1:17">
      <c r="A6" s="174"/>
      <c r="B6" s="184"/>
      <c r="C6" s="184"/>
      <c r="D6" s="184"/>
      <c r="E6" s="184"/>
      <c r="F6" s="184"/>
      <c r="G6" s="187"/>
      <c r="I6" s="186"/>
      <c r="J6" s="184"/>
    </row>
    <row r="7" spans="1:17">
      <c r="A7" s="174"/>
      <c r="B7" s="184"/>
      <c r="C7" s="184"/>
      <c r="D7" s="184"/>
      <c r="E7" s="184"/>
      <c r="F7" s="184"/>
      <c r="G7" s="187"/>
      <c r="I7" s="186"/>
      <c r="J7" s="184"/>
    </row>
    <row r="8" spans="1:17">
      <c r="A8" s="174"/>
      <c r="B8" s="184"/>
      <c r="C8" s="184"/>
      <c r="D8" s="184"/>
      <c r="E8" s="184"/>
      <c r="F8" s="184"/>
      <c r="G8" s="187"/>
      <c r="I8" s="186"/>
      <c r="J8" s="184"/>
    </row>
    <row r="9" spans="1:17">
      <c r="A9" s="174"/>
      <c r="B9" s="184"/>
      <c r="C9" s="184"/>
      <c r="D9" s="184"/>
      <c r="E9" s="184"/>
      <c r="F9" s="184"/>
      <c r="G9" s="187"/>
      <c r="I9" s="186"/>
      <c r="J9" s="184"/>
    </row>
    <row r="10" spans="1:17">
      <c r="A10" s="174"/>
      <c r="B10" s="184"/>
      <c r="C10" s="184"/>
      <c r="D10" s="184"/>
      <c r="E10" s="184"/>
      <c r="F10" s="184"/>
      <c r="G10" s="187"/>
      <c r="I10" s="186"/>
      <c r="J10" s="184"/>
    </row>
    <row r="11" spans="1:17">
      <c r="A11" s="174"/>
      <c r="B11" s="184"/>
      <c r="C11" s="184"/>
      <c r="D11" s="184"/>
      <c r="E11" s="184"/>
      <c r="F11" s="184"/>
      <c r="G11" s="187"/>
      <c r="I11" s="186"/>
      <c r="J11" s="184"/>
    </row>
    <row r="12" spans="1:17">
      <c r="A12" s="174"/>
      <c r="B12" s="184"/>
      <c r="C12" s="184"/>
      <c r="D12" s="184"/>
      <c r="E12" s="184"/>
      <c r="F12" s="184"/>
      <c r="G12" s="187"/>
      <c r="I12" s="186"/>
      <c r="J12" s="184"/>
    </row>
    <row r="13" spans="1:17">
      <c r="A13" s="174"/>
      <c r="B13" s="184"/>
      <c r="C13" s="184"/>
      <c r="D13" s="184"/>
      <c r="E13" s="184"/>
      <c r="F13" s="184"/>
      <c r="G13" s="187"/>
      <c r="I13" s="186"/>
      <c r="J13" s="184"/>
    </row>
    <row r="14" spans="1:17">
      <c r="A14" s="174"/>
      <c r="B14" s="184"/>
      <c r="C14" s="184"/>
      <c r="D14" s="184"/>
      <c r="E14" s="184"/>
      <c r="F14" s="184"/>
      <c r="G14" s="187"/>
      <c r="I14" s="186"/>
      <c r="J14" s="184"/>
    </row>
    <row r="15" spans="1:17">
      <c r="A15" s="174"/>
      <c r="B15" s="184"/>
      <c r="C15" s="184"/>
      <c r="D15" s="184"/>
      <c r="E15" s="184"/>
      <c r="F15" s="184"/>
      <c r="G15" s="187"/>
      <c r="I15" s="186"/>
      <c r="J15" s="184"/>
    </row>
    <row r="16" spans="1:17">
      <c r="A16" s="174"/>
      <c r="B16" s="184"/>
      <c r="C16" s="184"/>
      <c r="D16" s="184"/>
      <c r="E16" s="184"/>
      <c r="F16" s="184"/>
      <c r="G16" s="187"/>
      <c r="I16" s="186"/>
      <c r="J16" s="184"/>
    </row>
    <row r="17" spans="1:10">
      <c r="A17" s="174"/>
      <c r="B17" s="184"/>
      <c r="C17" s="184"/>
      <c r="D17" s="184"/>
      <c r="E17" s="184"/>
      <c r="F17" s="184"/>
      <c r="G17" s="187"/>
      <c r="I17" s="186"/>
      <c r="J17" s="184"/>
    </row>
    <row r="18" spans="1:10">
      <c r="A18" s="174"/>
      <c r="B18" s="184"/>
      <c r="C18" s="184"/>
      <c r="D18" s="184"/>
      <c r="E18" s="184"/>
      <c r="F18" s="184"/>
      <c r="G18" s="187"/>
      <c r="I18" s="186"/>
      <c r="J18" s="184"/>
    </row>
    <row r="19" spans="1:10">
      <c r="A19" s="174"/>
      <c r="B19" s="184"/>
      <c r="C19" s="184"/>
      <c r="D19" s="184"/>
      <c r="E19" s="184"/>
      <c r="F19" s="184"/>
      <c r="G19" s="187"/>
      <c r="I19" s="186"/>
      <c r="J19" s="184"/>
    </row>
    <row r="20" spans="1:10">
      <c r="A20" s="174"/>
      <c r="B20" s="184"/>
      <c r="C20" s="184"/>
      <c r="D20" s="184"/>
      <c r="E20" s="184"/>
      <c r="F20" s="184"/>
      <c r="G20" s="187"/>
      <c r="I20" s="186"/>
      <c r="J20" s="184"/>
    </row>
    <row r="21" spans="1:10">
      <c r="A21" s="174"/>
      <c r="B21" s="184"/>
      <c r="C21" s="184"/>
      <c r="D21" s="184"/>
      <c r="E21" s="184"/>
      <c r="F21" s="184"/>
      <c r="G21" s="187"/>
      <c r="I21" s="186"/>
      <c r="J21" s="184"/>
    </row>
    <row r="22" spans="1:10">
      <c r="A22" s="174"/>
      <c r="B22" s="184"/>
      <c r="C22" s="184"/>
      <c r="D22" s="184"/>
      <c r="E22" s="184"/>
      <c r="F22" s="184"/>
      <c r="G22" s="187"/>
      <c r="I22" s="186"/>
      <c r="J22" s="184"/>
    </row>
    <row r="23" spans="1:10">
      <c r="A23" s="174"/>
      <c r="B23" s="184"/>
      <c r="C23" s="184"/>
      <c r="D23" s="184"/>
      <c r="E23" s="184"/>
      <c r="F23" s="184"/>
      <c r="I23" s="186"/>
      <c r="J23" s="184"/>
    </row>
    <row r="24" spans="1:10">
      <c r="A24" s="174"/>
      <c r="B24" s="184"/>
      <c r="C24" s="184"/>
      <c r="D24" s="184"/>
      <c r="E24" s="184"/>
      <c r="F24" s="184"/>
      <c r="G24" s="187"/>
      <c r="I24" s="186"/>
      <c r="J24" s="184"/>
    </row>
    <row r="25" spans="1:10">
      <c r="A25" s="174"/>
      <c r="B25" s="184"/>
      <c r="C25" s="184"/>
      <c r="D25" s="184"/>
      <c r="E25" s="184"/>
      <c r="F25" s="184"/>
      <c r="G25" s="187"/>
      <c r="I25" s="186"/>
      <c r="J25" s="184"/>
    </row>
    <row r="26" spans="1:10">
      <c r="A26" s="174"/>
      <c r="B26" s="184"/>
      <c r="C26" s="184"/>
      <c r="D26" s="184"/>
      <c r="E26" s="184"/>
      <c r="F26" s="184"/>
      <c r="G26" s="187"/>
      <c r="I26" s="186"/>
      <c r="J26" s="184"/>
    </row>
    <row r="27" spans="1:10">
      <c r="A27" s="174"/>
      <c r="B27" s="184"/>
      <c r="C27" s="184"/>
      <c r="D27" s="184"/>
      <c r="E27" s="184"/>
      <c r="F27" s="184"/>
      <c r="G27" s="187"/>
      <c r="I27" s="186"/>
      <c r="J27" s="184"/>
    </row>
    <row r="28" spans="1:10">
      <c r="A28" s="174"/>
      <c r="B28" s="184"/>
      <c r="C28" s="184"/>
      <c r="D28" s="184"/>
      <c r="E28" s="184"/>
      <c r="F28" s="184"/>
      <c r="G28" s="187"/>
      <c r="I28" s="186"/>
      <c r="J28" s="184"/>
    </row>
    <row r="29" spans="1:10">
      <c r="A29" s="174"/>
      <c r="B29" s="184"/>
      <c r="C29" s="184"/>
      <c r="D29" s="184"/>
      <c r="E29" s="184"/>
      <c r="F29" s="184"/>
      <c r="G29" s="187"/>
      <c r="I29" s="186"/>
      <c r="J29" s="184"/>
    </row>
    <row r="30" spans="1:10">
      <c r="A30" s="174"/>
      <c r="B30" s="184"/>
      <c r="C30" s="184"/>
      <c r="D30" s="184"/>
      <c r="E30" s="184"/>
      <c r="F30" s="184"/>
      <c r="G30" s="187"/>
      <c r="I30" s="186"/>
      <c r="J30" s="184"/>
    </row>
    <row r="31" spans="1:10">
      <c r="A31" s="174"/>
      <c r="B31" s="184"/>
      <c r="C31" s="184"/>
      <c r="D31" s="184"/>
      <c r="E31" s="184"/>
      <c r="F31" s="184"/>
      <c r="G31" s="187"/>
      <c r="I31" s="186"/>
      <c r="J31" s="184"/>
    </row>
    <row r="32" spans="1:10">
      <c r="A32" s="174"/>
      <c r="B32" s="184"/>
      <c r="C32" s="184"/>
      <c r="D32" s="184"/>
      <c r="E32" s="184"/>
      <c r="F32" s="184"/>
      <c r="G32" s="187"/>
      <c r="I32" s="186"/>
      <c r="J32" s="184"/>
    </row>
    <row r="33" spans="1:10">
      <c r="A33" s="174"/>
      <c r="B33" s="184"/>
      <c r="C33" s="184"/>
      <c r="D33" s="184"/>
      <c r="E33" s="184"/>
      <c r="F33" s="184"/>
      <c r="G33" s="187"/>
      <c r="I33" s="186"/>
      <c r="J33" s="184"/>
    </row>
    <row r="34" spans="1:10">
      <c r="A34" s="174"/>
      <c r="B34" s="184"/>
      <c r="C34" s="184"/>
      <c r="D34" s="184"/>
      <c r="E34" s="184"/>
      <c r="F34" s="184"/>
      <c r="G34" s="187"/>
      <c r="I34" s="186"/>
      <c r="J34" s="184"/>
    </row>
    <row r="35" spans="1:10">
      <c r="A35" s="174"/>
      <c r="B35" s="184"/>
      <c r="C35" s="184"/>
      <c r="D35" s="184"/>
      <c r="E35" s="184"/>
      <c r="F35" s="184"/>
      <c r="G35" s="187"/>
      <c r="I35" s="186"/>
      <c r="J35" s="184"/>
    </row>
    <row r="36" spans="1:10">
      <c r="A36" s="174"/>
      <c r="B36" s="184"/>
      <c r="C36" s="184"/>
      <c r="D36" s="184"/>
      <c r="E36" s="184"/>
      <c r="F36" s="184"/>
      <c r="G36" s="187"/>
      <c r="I36" s="186"/>
      <c r="J36" s="184"/>
    </row>
    <row r="37" spans="1:10">
      <c r="A37" s="174"/>
      <c r="B37" s="184"/>
      <c r="C37" s="184"/>
      <c r="D37" s="184"/>
      <c r="E37" s="184"/>
      <c r="F37" s="184"/>
      <c r="G37" s="187"/>
      <c r="I37" s="186"/>
      <c r="J37" s="184"/>
    </row>
    <row r="38" spans="1:10">
      <c r="A38" s="174"/>
      <c r="B38" s="184"/>
      <c r="C38" s="184"/>
      <c r="D38" s="184"/>
      <c r="E38" s="184"/>
      <c r="F38" s="184"/>
      <c r="G38" s="187"/>
      <c r="I38" s="186"/>
      <c r="J38" s="184"/>
    </row>
    <row r="39" spans="1:10">
      <c r="A39" s="174"/>
      <c r="B39" s="184"/>
      <c r="C39" s="184"/>
      <c r="D39" s="184"/>
      <c r="E39" s="184"/>
      <c r="F39" s="184"/>
      <c r="G39" s="187"/>
      <c r="I39" s="186"/>
      <c r="J39" s="184"/>
    </row>
    <row r="40" spans="1:10">
      <c r="A40" s="174"/>
      <c r="B40" s="184"/>
      <c r="C40" s="184"/>
      <c r="D40" s="184"/>
      <c r="E40" s="184"/>
      <c r="F40" s="184"/>
      <c r="G40" s="187"/>
      <c r="I40" s="186"/>
      <c r="J40" s="184"/>
    </row>
    <row r="41" spans="1:10">
      <c r="A41" s="174"/>
      <c r="B41" s="184"/>
      <c r="C41" s="184"/>
      <c r="D41" s="184"/>
      <c r="E41" s="184"/>
      <c r="F41" s="184"/>
      <c r="G41" s="187"/>
      <c r="I41" s="186"/>
      <c r="J41" s="184"/>
    </row>
    <row r="42" spans="1:10">
      <c r="A42" s="174"/>
      <c r="B42" s="184"/>
      <c r="C42" s="184"/>
      <c r="D42" s="184"/>
      <c r="E42" s="184"/>
      <c r="F42" s="184"/>
      <c r="G42" s="187"/>
      <c r="I42" s="186"/>
      <c r="J42" s="184"/>
    </row>
    <row r="43" spans="1:10">
      <c r="A43" s="174"/>
      <c r="B43" s="184"/>
      <c r="C43" s="184"/>
      <c r="D43" s="184"/>
      <c r="E43" s="184"/>
      <c r="F43" s="184"/>
      <c r="G43" s="187"/>
      <c r="I43" s="186"/>
      <c r="J43" s="184"/>
    </row>
    <row r="44" spans="1:10">
      <c r="A44" s="174"/>
      <c r="B44" s="184"/>
      <c r="C44" s="184"/>
      <c r="D44" s="184"/>
      <c r="E44" s="184"/>
      <c r="F44" s="184"/>
      <c r="G44" s="187"/>
      <c r="I44" s="186"/>
      <c r="J44" s="184"/>
    </row>
    <row r="45" spans="1:10">
      <c r="A45" s="174"/>
      <c r="B45" s="184"/>
      <c r="C45" s="184"/>
      <c r="D45" s="184"/>
      <c r="E45" s="184"/>
      <c r="F45" s="184"/>
      <c r="G45" s="187"/>
      <c r="I45" s="186"/>
      <c r="J45" s="184"/>
    </row>
    <row r="46" spans="1:10">
      <c r="A46" s="174"/>
      <c r="B46" s="184"/>
      <c r="C46" s="184"/>
      <c r="D46" s="184"/>
      <c r="E46" s="184"/>
      <c r="F46" s="184"/>
      <c r="G46" s="187"/>
      <c r="I46" s="186"/>
      <c r="J46" s="184"/>
    </row>
    <row r="47" spans="1:10">
      <c r="A47" s="174"/>
      <c r="B47" s="184"/>
      <c r="C47" s="184"/>
      <c r="D47" s="184"/>
      <c r="E47" s="184"/>
      <c r="F47" s="184"/>
      <c r="G47" s="187"/>
      <c r="I47" s="186"/>
      <c r="J47" s="184"/>
    </row>
    <row r="48" spans="1:10">
      <c r="A48" s="174"/>
      <c r="B48" s="184"/>
      <c r="C48" s="184"/>
      <c r="D48" s="184"/>
      <c r="E48" s="184"/>
      <c r="F48" s="184"/>
      <c r="G48" s="187"/>
      <c r="I48" s="186"/>
      <c r="J48" s="184"/>
    </row>
    <row r="49" spans="1:10">
      <c r="A49" s="174"/>
      <c r="B49" s="184"/>
      <c r="C49" s="184"/>
      <c r="D49" s="184"/>
      <c r="E49" s="184"/>
      <c r="F49" s="184"/>
      <c r="I49" s="186"/>
      <c r="J49" s="184"/>
    </row>
    <row r="50" spans="1:10">
      <c r="A50" s="174"/>
      <c r="B50" s="184"/>
      <c r="C50" s="184"/>
      <c r="D50" s="184"/>
      <c r="E50" s="184"/>
      <c r="F50" s="184"/>
      <c r="I50" s="186"/>
      <c r="J50" s="184"/>
    </row>
    <row r="51" spans="1:10">
      <c r="A51" s="174"/>
      <c r="B51" s="184"/>
      <c r="C51" s="184"/>
      <c r="D51" s="184"/>
      <c r="E51" s="184"/>
      <c r="F51" s="184"/>
      <c r="G51" s="187"/>
      <c r="I51" s="186"/>
      <c r="J51" s="184"/>
    </row>
    <row r="52" spans="1:10">
      <c r="A52" s="174"/>
      <c r="B52" s="184"/>
      <c r="C52" s="184"/>
      <c r="D52" s="184"/>
      <c r="E52" s="184"/>
      <c r="F52" s="184"/>
      <c r="G52" s="187"/>
      <c r="I52" s="186"/>
      <c r="J52" s="184"/>
    </row>
    <row r="53" spans="1:10">
      <c r="A53" s="174"/>
      <c r="B53" s="184"/>
      <c r="C53" s="184"/>
      <c r="D53" s="184"/>
      <c r="E53" s="184"/>
      <c r="F53" s="184"/>
      <c r="G53" s="187"/>
      <c r="I53" s="186"/>
      <c r="J53" s="184"/>
    </row>
    <row r="54" spans="1:10">
      <c r="A54" s="174"/>
      <c r="B54" s="184"/>
      <c r="C54" s="184"/>
      <c r="D54" s="184"/>
      <c r="E54" s="184"/>
      <c r="F54" s="184"/>
      <c r="G54" s="187"/>
      <c r="I54" s="186"/>
      <c r="J54" s="184"/>
    </row>
    <row r="55" spans="1:10">
      <c r="A55" s="174"/>
      <c r="B55" s="184"/>
      <c r="C55" s="184"/>
      <c r="D55" s="184"/>
      <c r="E55" s="184"/>
      <c r="F55" s="184"/>
      <c r="G55" s="187"/>
      <c r="I55" s="186"/>
      <c r="J55" s="184"/>
    </row>
    <row r="56" spans="1:10">
      <c r="A56" s="174"/>
      <c r="B56" s="184"/>
      <c r="C56" s="184"/>
      <c r="D56" s="184"/>
      <c r="E56" s="184"/>
      <c r="F56" s="184"/>
      <c r="G56" s="187"/>
      <c r="I56" s="186"/>
      <c r="J56" s="184"/>
    </row>
    <row r="57" spans="1:10">
      <c r="A57" s="174"/>
      <c r="B57" s="184"/>
      <c r="C57" s="184"/>
      <c r="D57" s="184"/>
      <c r="E57" s="184"/>
      <c r="F57" s="184"/>
      <c r="G57" s="187"/>
      <c r="I57" s="186"/>
      <c r="J57" s="184"/>
    </row>
    <row r="58" spans="1:10">
      <c r="A58" s="174"/>
      <c r="B58" s="184"/>
      <c r="C58" s="184"/>
      <c r="D58" s="184"/>
      <c r="E58" s="184"/>
      <c r="F58" s="184"/>
      <c r="G58" s="187"/>
      <c r="I58" s="186"/>
      <c r="J58" s="184"/>
    </row>
    <row r="59" spans="1:10">
      <c r="A59" s="174"/>
      <c r="B59" s="184"/>
      <c r="C59" s="184"/>
      <c r="D59" s="184"/>
      <c r="E59" s="184"/>
      <c r="F59" s="184"/>
      <c r="G59" s="187"/>
      <c r="I59" s="186"/>
      <c r="J59" s="184"/>
    </row>
    <row r="60" spans="1:10">
      <c r="A60" s="174"/>
      <c r="B60" s="184"/>
      <c r="C60" s="184"/>
      <c r="D60" s="184"/>
      <c r="E60" s="184"/>
      <c r="F60" s="184"/>
      <c r="G60" s="187"/>
      <c r="I60" s="186"/>
      <c r="J60" s="184"/>
    </row>
    <row r="61" spans="1:10">
      <c r="A61" s="174"/>
      <c r="B61" s="184"/>
      <c r="C61" s="184"/>
      <c r="D61" s="184"/>
      <c r="E61" s="184"/>
      <c r="F61" s="184"/>
      <c r="G61" s="187"/>
      <c r="I61" s="186"/>
      <c r="J61" s="184"/>
    </row>
    <row r="62" spans="1:10">
      <c r="A62" s="174"/>
      <c r="B62" s="184"/>
      <c r="C62" s="184"/>
      <c r="D62" s="184"/>
      <c r="E62" s="184"/>
      <c r="F62" s="184"/>
      <c r="G62" s="187"/>
      <c r="I62" s="186"/>
      <c r="J62" s="184"/>
    </row>
    <row r="63" spans="1:10">
      <c r="A63" s="174"/>
      <c r="B63" s="184"/>
      <c r="C63" s="184"/>
      <c r="D63" s="184"/>
      <c r="E63" s="184"/>
      <c r="F63" s="184"/>
      <c r="G63" s="187"/>
      <c r="I63" s="186"/>
      <c r="J63" s="184"/>
    </row>
    <row r="64" spans="1:10">
      <c r="A64" s="174"/>
      <c r="B64" s="184"/>
      <c r="C64" s="184"/>
      <c r="D64" s="184"/>
      <c r="E64" s="184"/>
      <c r="F64" s="184"/>
      <c r="G64" s="187"/>
      <c r="I64" s="186"/>
      <c r="J64" s="184"/>
    </row>
    <row r="65" spans="1:10">
      <c r="A65" s="174"/>
      <c r="B65" s="184"/>
      <c r="C65" s="184"/>
      <c r="D65" s="184"/>
      <c r="E65" s="184"/>
      <c r="F65" s="184"/>
      <c r="G65" s="187"/>
      <c r="I65" s="186"/>
      <c r="J65" s="184"/>
    </row>
    <row r="66" spans="1:10">
      <c r="A66" s="174"/>
      <c r="B66" s="184"/>
      <c r="C66" s="184"/>
      <c r="D66" s="184"/>
      <c r="E66" s="184"/>
      <c r="F66" s="184"/>
      <c r="G66" s="187"/>
      <c r="I66" s="186"/>
      <c r="J66" s="184"/>
    </row>
    <row r="67" spans="1:10">
      <c r="A67" s="174"/>
      <c r="B67" s="184"/>
      <c r="C67" s="184"/>
      <c r="D67" s="184"/>
      <c r="E67" s="184"/>
      <c r="F67" s="184"/>
      <c r="G67" s="187"/>
      <c r="I67" s="186"/>
      <c r="J67" s="184"/>
    </row>
    <row r="68" spans="1:10">
      <c r="A68" s="174"/>
      <c r="B68" s="184"/>
      <c r="C68" s="184"/>
      <c r="D68" s="184"/>
      <c r="E68" s="184"/>
      <c r="F68" s="184"/>
      <c r="G68" s="187"/>
      <c r="I68" s="186"/>
      <c r="J68" s="184"/>
    </row>
    <row r="69" spans="1:10">
      <c r="A69" s="174"/>
      <c r="B69" s="184"/>
      <c r="C69" s="184"/>
      <c r="D69" s="184"/>
      <c r="E69" s="184"/>
      <c r="F69" s="184"/>
      <c r="I69" s="186"/>
      <c r="J69" s="184"/>
    </row>
    <row r="70" spans="1:10">
      <c r="A70" s="174"/>
      <c r="B70" s="184"/>
      <c r="C70" s="184"/>
      <c r="D70" s="184"/>
      <c r="E70" s="184"/>
      <c r="F70" s="184"/>
      <c r="I70" s="186"/>
      <c r="J70" s="184"/>
    </row>
    <row r="71" spans="1:10">
      <c r="A71" s="174"/>
      <c r="B71" s="184"/>
      <c r="C71" s="184"/>
      <c r="D71" s="184"/>
      <c r="E71" s="184"/>
      <c r="F71" s="184"/>
      <c r="G71" s="187"/>
      <c r="I71" s="186"/>
      <c r="J71" s="184"/>
    </row>
    <row r="72" spans="1:10">
      <c r="A72" s="174"/>
      <c r="B72" s="184"/>
      <c r="C72" s="184"/>
      <c r="D72" s="184"/>
      <c r="E72" s="184"/>
      <c r="F72" s="184"/>
      <c r="G72" s="187"/>
      <c r="I72" s="186"/>
      <c r="J72" s="184"/>
    </row>
    <row r="73" spans="1:10">
      <c r="A73" s="174"/>
      <c r="B73" s="184"/>
      <c r="C73" s="184"/>
      <c r="D73" s="184"/>
      <c r="E73" s="184"/>
      <c r="F73" s="184"/>
      <c r="G73" s="187"/>
      <c r="I73" s="186"/>
      <c r="J73" s="184"/>
    </row>
    <row r="74" spans="1:10">
      <c r="A74" s="174"/>
      <c r="B74" s="184"/>
      <c r="C74" s="184"/>
      <c r="D74" s="184"/>
      <c r="E74" s="184"/>
      <c r="F74" s="184"/>
      <c r="G74" s="187"/>
      <c r="I74" s="186"/>
      <c r="J74" s="184"/>
    </row>
    <row r="75" spans="1:10">
      <c r="A75" s="174"/>
      <c r="B75" s="184"/>
      <c r="C75" s="184"/>
      <c r="D75" s="184"/>
      <c r="E75" s="184"/>
      <c r="F75" s="184"/>
      <c r="G75" s="187"/>
      <c r="I75" s="186"/>
      <c r="J75" s="184"/>
    </row>
    <row r="76" spans="1:10">
      <c r="A76" s="174"/>
      <c r="B76" s="184"/>
      <c r="C76" s="184"/>
      <c r="D76" s="184"/>
      <c r="E76" s="184"/>
      <c r="F76" s="184"/>
      <c r="G76" s="187"/>
      <c r="I76" s="186"/>
      <c r="J76" s="184"/>
    </row>
    <row r="77" spans="1:10">
      <c r="A77" s="174"/>
      <c r="B77" s="184"/>
      <c r="C77" s="184"/>
      <c r="D77" s="184"/>
      <c r="E77" s="184"/>
      <c r="F77" s="184"/>
      <c r="G77" s="187"/>
      <c r="I77" s="186"/>
      <c r="J77" s="184"/>
    </row>
    <row r="78" spans="1:10">
      <c r="A78" s="174"/>
      <c r="B78" s="184"/>
      <c r="C78" s="184"/>
      <c r="D78" s="184"/>
      <c r="E78" s="184"/>
      <c r="F78" s="184"/>
      <c r="I78" s="186"/>
      <c r="J78" s="184"/>
    </row>
    <row r="79" spans="1:10">
      <c r="A79" s="174"/>
      <c r="B79" s="184"/>
      <c r="C79" s="184"/>
      <c r="D79" s="184"/>
      <c r="E79" s="184"/>
      <c r="F79" s="184"/>
      <c r="G79" s="187"/>
      <c r="I79" s="186"/>
      <c r="J79" s="184"/>
    </row>
    <row r="80" spans="1:10">
      <c r="A80" s="174"/>
      <c r="B80" s="184"/>
      <c r="C80" s="184"/>
      <c r="D80" s="184"/>
      <c r="E80" s="184"/>
      <c r="F80" s="184"/>
      <c r="G80" s="187"/>
      <c r="I80" s="186"/>
      <c r="J80" s="184"/>
    </row>
    <row r="81" spans="1:10">
      <c r="A81" s="174"/>
      <c r="B81" s="184"/>
      <c r="C81" s="184"/>
      <c r="D81" s="184"/>
      <c r="E81" s="184"/>
      <c r="F81" s="184"/>
      <c r="G81" s="187"/>
      <c r="I81" s="186"/>
      <c r="J81" s="184"/>
    </row>
    <row r="82" spans="1:10">
      <c r="A82" s="174"/>
      <c r="B82" s="184"/>
      <c r="C82" s="184"/>
      <c r="D82" s="184"/>
      <c r="E82" s="184"/>
      <c r="F82" s="184"/>
      <c r="I82" s="186"/>
      <c r="J82" s="184"/>
    </row>
    <row r="83" spans="1:10">
      <c r="A83" s="174"/>
      <c r="B83" s="184"/>
      <c r="C83" s="184"/>
      <c r="D83" s="184"/>
      <c r="E83" s="184"/>
      <c r="F83" s="184"/>
      <c r="G83" s="187"/>
      <c r="I83" s="186"/>
      <c r="J83" s="184"/>
    </row>
    <row r="84" spans="1:10">
      <c r="A84" s="174"/>
      <c r="B84" s="184"/>
      <c r="C84" s="184"/>
      <c r="D84" s="184"/>
      <c r="E84" s="184"/>
      <c r="F84" s="184"/>
      <c r="I84" s="186"/>
      <c r="J84" s="184"/>
    </row>
    <row r="85" spans="1:10">
      <c r="A85" s="174"/>
      <c r="B85" s="184"/>
      <c r="C85" s="184"/>
      <c r="D85" s="184"/>
      <c r="E85" s="184"/>
      <c r="F85" s="184"/>
      <c r="G85" s="187"/>
      <c r="I85" s="186"/>
      <c r="J85" s="184"/>
    </row>
    <row r="86" spans="1:10">
      <c r="A86" s="174"/>
      <c r="B86" s="184"/>
      <c r="C86" s="184"/>
      <c r="D86" s="184"/>
      <c r="E86" s="184"/>
      <c r="F86" s="184"/>
      <c r="G86" s="187"/>
      <c r="I86" s="186"/>
      <c r="J86" s="184"/>
    </row>
    <row r="87" spans="1:10">
      <c r="A87" s="174"/>
      <c r="B87" s="184"/>
      <c r="C87" s="184"/>
      <c r="D87" s="184"/>
      <c r="E87" s="184"/>
      <c r="F87" s="184"/>
      <c r="G87" s="187"/>
      <c r="I87" s="186"/>
      <c r="J87" s="184"/>
    </row>
    <row r="88" spans="1:10">
      <c r="A88" s="174"/>
      <c r="B88" s="184"/>
      <c r="C88" s="184"/>
      <c r="D88" s="184"/>
      <c r="E88" s="184"/>
      <c r="F88" s="184"/>
      <c r="G88" s="187"/>
      <c r="I88" s="186"/>
      <c r="J88" s="184"/>
    </row>
    <row r="89" spans="1:10">
      <c r="A89" s="174"/>
      <c r="B89" s="184"/>
      <c r="C89" s="184"/>
      <c r="D89" s="184"/>
      <c r="E89" s="184"/>
      <c r="F89" s="184"/>
      <c r="G89" s="187"/>
      <c r="I89" s="186"/>
      <c r="J89" s="184"/>
    </row>
    <row r="90" spans="1:10">
      <c r="A90" s="174"/>
      <c r="B90" s="184"/>
      <c r="C90" s="184"/>
      <c r="D90" s="184"/>
      <c r="E90" s="184"/>
      <c r="F90" s="184"/>
      <c r="G90" s="187"/>
      <c r="I90" s="186"/>
      <c r="J90" s="184"/>
    </row>
    <row r="91" spans="1:10">
      <c r="A91" s="174"/>
      <c r="B91" s="184"/>
      <c r="C91" s="184"/>
      <c r="D91" s="184"/>
      <c r="E91" s="184"/>
      <c r="F91" s="184"/>
      <c r="G91" s="187"/>
      <c r="I91" s="186"/>
      <c r="J91" s="184"/>
    </row>
    <row r="92" spans="1:10">
      <c r="A92" s="174"/>
      <c r="B92" s="184"/>
      <c r="C92" s="184"/>
      <c r="D92" s="184"/>
      <c r="E92" s="184"/>
      <c r="F92" s="184"/>
      <c r="G92" s="187"/>
      <c r="I92" s="186"/>
      <c r="J92" s="184"/>
    </row>
    <row r="93" spans="1:10">
      <c r="A93" s="174"/>
      <c r="B93" s="184"/>
      <c r="C93" s="184"/>
      <c r="D93" s="184"/>
      <c r="E93" s="184"/>
      <c r="F93" s="184"/>
      <c r="G93" s="187"/>
      <c r="I93" s="186"/>
      <c r="J93" s="184"/>
    </row>
    <row r="94" spans="1:10">
      <c r="A94" s="174"/>
      <c r="B94" s="184"/>
      <c r="C94" s="184"/>
      <c r="D94" s="184"/>
      <c r="E94" s="184"/>
      <c r="F94" s="184"/>
      <c r="G94" s="187"/>
      <c r="I94" s="186"/>
      <c r="J94" s="184"/>
    </row>
    <row r="95" spans="1:10">
      <c r="A95" s="174"/>
      <c r="B95" s="184"/>
      <c r="C95" s="184"/>
      <c r="D95" s="184"/>
      <c r="E95" s="184"/>
      <c r="F95" s="184"/>
      <c r="G95" s="187"/>
      <c r="I95" s="186"/>
      <c r="J95" s="184"/>
    </row>
    <row r="96" spans="1:10">
      <c r="A96" s="174"/>
      <c r="B96" s="184"/>
      <c r="C96" s="184"/>
      <c r="D96" s="184"/>
      <c r="E96" s="184"/>
      <c r="F96" s="184"/>
      <c r="G96" s="187"/>
      <c r="I96" s="186"/>
      <c r="J96" s="184"/>
    </row>
    <row r="97" spans="1:10">
      <c r="A97" s="174"/>
      <c r="B97" s="184"/>
      <c r="C97" s="184"/>
      <c r="D97" s="184"/>
      <c r="E97" s="184"/>
      <c r="F97" s="184"/>
      <c r="G97" s="187"/>
      <c r="I97" s="186"/>
      <c r="J97" s="184"/>
    </row>
    <row r="98" spans="1:10">
      <c r="A98" s="174"/>
      <c r="B98" s="184"/>
      <c r="C98" s="184"/>
      <c r="D98" s="184"/>
      <c r="E98" s="184"/>
      <c r="F98" s="184"/>
      <c r="G98" s="187"/>
      <c r="I98" s="186"/>
      <c r="J98" s="184"/>
    </row>
    <row r="99" spans="1:10">
      <c r="A99" s="174"/>
      <c r="B99" s="184"/>
      <c r="C99" s="184"/>
      <c r="D99" s="184"/>
      <c r="E99" s="184"/>
      <c r="F99" s="184"/>
      <c r="G99" s="187"/>
      <c r="I99" s="186"/>
      <c r="J99" s="184"/>
    </row>
    <row r="100" spans="1:10">
      <c r="A100" s="174"/>
      <c r="B100" s="184"/>
      <c r="C100" s="184"/>
      <c r="D100" s="184"/>
      <c r="E100" s="184"/>
      <c r="F100" s="184"/>
      <c r="G100" s="187"/>
      <c r="I100" s="186"/>
      <c r="J100" s="184"/>
    </row>
    <row r="101" spans="1:10">
      <c r="A101" s="174"/>
      <c r="B101" s="184"/>
      <c r="C101" s="184"/>
      <c r="D101" s="184"/>
      <c r="E101" s="184"/>
      <c r="F101" s="184"/>
      <c r="G101" s="187"/>
      <c r="I101" s="186"/>
      <c r="J101" s="184"/>
    </row>
    <row r="102" spans="1:10">
      <c r="A102" s="174"/>
      <c r="B102" s="184"/>
      <c r="C102" s="184"/>
      <c r="D102" s="184"/>
      <c r="E102" s="184"/>
      <c r="F102" s="184"/>
      <c r="G102" s="187"/>
      <c r="I102" s="186"/>
      <c r="J102" s="184"/>
    </row>
    <row r="103" spans="1:10">
      <c r="A103" s="174"/>
      <c r="B103" s="184"/>
      <c r="C103" s="184"/>
      <c r="D103" s="184"/>
      <c r="E103" s="184"/>
      <c r="F103" s="184"/>
      <c r="G103" s="187"/>
      <c r="I103" s="186"/>
      <c r="J103" s="184"/>
    </row>
    <row r="104" spans="1:10">
      <c r="A104" s="174"/>
      <c r="B104" s="184"/>
      <c r="C104" s="184"/>
      <c r="D104" s="184"/>
      <c r="E104" s="184"/>
      <c r="F104" s="184"/>
      <c r="G104" s="187"/>
      <c r="I104" s="186"/>
      <c r="J104" s="184"/>
    </row>
    <row r="105" spans="1:10">
      <c r="A105" s="174"/>
      <c r="B105" s="184"/>
      <c r="C105" s="184"/>
      <c r="D105" s="184"/>
      <c r="E105" s="184"/>
      <c r="F105" s="184"/>
      <c r="G105" s="187"/>
      <c r="I105" s="186"/>
      <c r="J105" s="184"/>
    </row>
    <row r="106" spans="1:10">
      <c r="A106" s="174"/>
      <c r="B106" s="184"/>
      <c r="C106" s="184"/>
      <c r="D106" s="184"/>
      <c r="E106" s="184"/>
      <c r="F106" s="184"/>
      <c r="G106" s="187"/>
      <c r="I106" s="186"/>
      <c r="J106" s="184"/>
    </row>
    <row r="107" spans="1:10">
      <c r="A107" s="174"/>
      <c r="B107" s="184"/>
      <c r="C107" s="184"/>
      <c r="D107" s="184"/>
      <c r="E107" s="184"/>
      <c r="F107" s="184"/>
      <c r="G107" s="187"/>
      <c r="I107" s="186"/>
      <c r="J107" s="184"/>
    </row>
    <row r="108" spans="1:10">
      <c r="A108" s="174"/>
      <c r="B108" s="184"/>
      <c r="C108" s="184"/>
      <c r="D108" s="184"/>
      <c r="E108" s="184"/>
      <c r="F108" s="184"/>
      <c r="G108" s="187"/>
      <c r="I108" s="186"/>
      <c r="J108" s="184"/>
    </row>
    <row r="109" spans="1:10">
      <c r="A109" s="174"/>
      <c r="B109" s="184"/>
      <c r="C109" s="184"/>
      <c r="D109" s="184"/>
      <c r="E109" s="184"/>
      <c r="F109" s="184"/>
      <c r="G109" s="187"/>
      <c r="I109" s="186"/>
      <c r="J109" s="184"/>
    </row>
    <row r="110" spans="1:10">
      <c r="A110" s="174"/>
      <c r="B110" s="184"/>
      <c r="C110" s="184"/>
      <c r="D110" s="184"/>
      <c r="E110" s="184"/>
      <c r="F110" s="184"/>
      <c r="G110" s="187"/>
      <c r="I110" s="186"/>
      <c r="J110" s="184"/>
    </row>
    <row r="111" spans="1:10">
      <c r="A111" s="174"/>
      <c r="B111" s="184"/>
      <c r="C111" s="184"/>
      <c r="D111" s="184"/>
      <c r="E111" s="184"/>
      <c r="F111" s="184"/>
      <c r="G111" s="187"/>
      <c r="I111" s="186"/>
      <c r="J111" s="184"/>
    </row>
    <row r="112" spans="1:10">
      <c r="A112" s="174"/>
      <c r="B112" s="184"/>
      <c r="C112" s="184"/>
      <c r="D112" s="184"/>
      <c r="E112" s="184"/>
      <c r="F112" s="184"/>
      <c r="G112" s="187"/>
      <c r="I112" s="186"/>
      <c r="J112" s="184"/>
    </row>
    <row r="113" spans="1:10">
      <c r="A113" s="174"/>
      <c r="B113" s="184"/>
      <c r="C113" s="184"/>
      <c r="D113" s="184"/>
      <c r="E113" s="184"/>
      <c r="F113" s="184"/>
      <c r="G113" s="187"/>
      <c r="I113" s="186"/>
      <c r="J113" s="184"/>
    </row>
    <row r="114" spans="1:10">
      <c r="A114" s="174"/>
      <c r="B114" s="184"/>
      <c r="C114" s="184"/>
      <c r="D114" s="184"/>
      <c r="E114" s="184"/>
      <c r="F114" s="184"/>
      <c r="G114" s="187"/>
      <c r="I114" s="186"/>
      <c r="J114" s="184"/>
    </row>
    <row r="115" spans="1:10">
      <c r="A115" s="174"/>
      <c r="B115" s="184"/>
      <c r="C115" s="184"/>
      <c r="D115" s="184"/>
      <c r="E115" s="184"/>
      <c r="F115" s="184"/>
      <c r="G115" s="187"/>
      <c r="I115" s="186"/>
      <c r="J115" s="184"/>
    </row>
    <row r="116" spans="1:10">
      <c r="A116" s="174"/>
      <c r="B116" s="184"/>
      <c r="C116" s="184"/>
      <c r="D116" s="184"/>
      <c r="E116" s="184"/>
      <c r="F116" s="184"/>
      <c r="G116" s="187"/>
      <c r="I116" s="186"/>
      <c r="J116" s="184"/>
    </row>
    <row r="117" spans="1:10">
      <c r="A117" s="174"/>
      <c r="B117" s="184"/>
      <c r="C117" s="184"/>
      <c r="D117" s="184"/>
      <c r="E117" s="184"/>
      <c r="F117" s="184"/>
      <c r="I117" s="186"/>
      <c r="J117" s="184"/>
    </row>
    <row r="118" spans="1:10">
      <c r="A118" s="174"/>
      <c r="B118" s="184"/>
      <c r="C118" s="184"/>
      <c r="D118" s="184"/>
      <c r="E118" s="184"/>
      <c r="F118" s="184"/>
      <c r="G118" s="187"/>
      <c r="I118" s="186"/>
      <c r="J118" s="184"/>
    </row>
    <row r="119" spans="1:10">
      <c r="A119" s="174"/>
      <c r="B119" s="184"/>
      <c r="C119" s="184"/>
      <c r="D119" s="184"/>
      <c r="E119" s="184"/>
      <c r="F119" s="184"/>
      <c r="G119" s="187"/>
      <c r="I119" s="186"/>
      <c r="J119" s="184"/>
    </row>
    <row r="120" spans="1:10">
      <c r="A120" s="174"/>
      <c r="B120" s="184"/>
      <c r="C120" s="184"/>
      <c r="D120" s="184"/>
      <c r="E120" s="184"/>
      <c r="F120" s="184"/>
      <c r="G120" s="187"/>
      <c r="I120" s="186"/>
      <c r="J120" s="184"/>
    </row>
    <row r="121" spans="1:10">
      <c r="A121" s="174"/>
      <c r="B121" s="184"/>
      <c r="C121" s="184"/>
      <c r="D121" s="184"/>
      <c r="E121" s="184"/>
      <c r="F121" s="184"/>
      <c r="G121" s="187"/>
      <c r="I121" s="186"/>
      <c r="J121" s="184"/>
    </row>
    <row r="122" spans="1:10">
      <c r="A122" s="174"/>
      <c r="B122" s="184"/>
      <c r="C122" s="184"/>
      <c r="D122" s="184"/>
      <c r="E122" s="184"/>
      <c r="F122" s="184"/>
      <c r="G122" s="187"/>
      <c r="I122" s="186"/>
      <c r="J122" s="184"/>
    </row>
    <row r="123" spans="1:10">
      <c r="A123" s="174"/>
      <c r="B123" s="184"/>
      <c r="C123" s="184"/>
      <c r="D123" s="184"/>
      <c r="E123" s="184"/>
      <c r="F123" s="184"/>
      <c r="G123" s="187"/>
      <c r="I123" s="186"/>
      <c r="J123" s="184"/>
    </row>
    <row r="124" spans="1:10">
      <c r="A124" s="174"/>
      <c r="B124" s="184"/>
      <c r="C124" s="184"/>
      <c r="D124" s="184"/>
      <c r="E124" s="184"/>
      <c r="F124" s="184"/>
      <c r="G124" s="187"/>
      <c r="I124" s="186"/>
      <c r="J124" s="184"/>
    </row>
    <row r="125" spans="1:10">
      <c r="A125" s="174"/>
      <c r="B125" s="184"/>
      <c r="C125" s="184"/>
      <c r="D125" s="184"/>
      <c r="E125" s="184"/>
      <c r="F125" s="184"/>
      <c r="I125" s="186"/>
      <c r="J125" s="184"/>
    </row>
    <row r="126" spans="1:10">
      <c r="A126" s="174"/>
      <c r="B126" s="184"/>
      <c r="C126" s="184"/>
      <c r="D126" s="184"/>
      <c r="E126" s="184"/>
      <c r="F126" s="184"/>
      <c r="I126" s="186"/>
      <c r="J126" s="184"/>
    </row>
    <row r="127" spans="1:10">
      <c r="A127" s="174"/>
      <c r="B127" s="184"/>
      <c r="C127" s="184"/>
      <c r="D127" s="184"/>
      <c r="E127" s="184"/>
      <c r="F127" s="184"/>
      <c r="G127" s="187"/>
      <c r="I127" s="186"/>
      <c r="J127" s="184"/>
    </row>
    <row r="128" spans="1:10">
      <c r="A128" s="174"/>
      <c r="B128" s="184"/>
      <c r="C128" s="184"/>
      <c r="D128" s="184"/>
      <c r="E128" s="184"/>
      <c r="F128" s="184"/>
      <c r="G128" s="187"/>
      <c r="I128" s="186"/>
      <c r="J128" s="184"/>
    </row>
    <row r="129" spans="1:10">
      <c r="A129" s="174"/>
      <c r="B129" s="184"/>
      <c r="C129" s="184"/>
      <c r="D129" s="184"/>
      <c r="E129" s="184"/>
      <c r="F129" s="184"/>
      <c r="G129" s="187"/>
      <c r="I129" s="186"/>
      <c r="J129" s="184"/>
    </row>
    <row r="130" spans="1:10">
      <c r="A130" s="174"/>
      <c r="B130" s="184"/>
      <c r="C130" s="184"/>
      <c r="D130" s="184"/>
      <c r="E130" s="184"/>
      <c r="F130" s="184"/>
      <c r="G130" s="187"/>
      <c r="I130" s="186"/>
      <c r="J130" s="184"/>
    </row>
    <row r="131" spans="1:10">
      <c r="A131" s="174"/>
      <c r="B131" s="184"/>
      <c r="C131" s="184"/>
      <c r="D131" s="184"/>
      <c r="E131" s="184"/>
      <c r="F131" s="184"/>
      <c r="G131" s="187"/>
      <c r="I131" s="186"/>
      <c r="J131" s="184"/>
    </row>
    <row r="132" spans="1:10">
      <c r="A132" s="174"/>
      <c r="B132" s="184"/>
      <c r="C132" s="184"/>
      <c r="D132" s="184"/>
      <c r="E132" s="184"/>
      <c r="F132" s="184"/>
      <c r="G132" s="187"/>
      <c r="I132" s="186"/>
      <c r="J132" s="184"/>
    </row>
    <row r="133" spans="1:10">
      <c r="A133" s="174"/>
      <c r="B133" s="184"/>
      <c r="C133" s="184"/>
      <c r="D133" s="184"/>
      <c r="E133" s="184"/>
      <c r="F133" s="184"/>
      <c r="G133" s="187"/>
      <c r="I133" s="186"/>
      <c r="J133" s="184"/>
    </row>
    <row r="134" spans="1:10">
      <c r="A134" s="174"/>
      <c r="B134" s="184"/>
      <c r="C134" s="184"/>
      <c r="D134" s="184"/>
      <c r="E134" s="184"/>
      <c r="F134" s="184"/>
      <c r="G134" s="187"/>
      <c r="I134" s="186"/>
      <c r="J134" s="184"/>
    </row>
    <row r="135" spans="1:10">
      <c r="A135" s="174"/>
      <c r="B135" s="184"/>
      <c r="C135" s="184"/>
      <c r="D135" s="184"/>
      <c r="E135" s="184"/>
      <c r="F135" s="184"/>
      <c r="G135" s="187"/>
      <c r="I135" s="186"/>
      <c r="J135" s="184"/>
    </row>
    <row r="136" spans="1:10">
      <c r="A136" s="174"/>
      <c r="B136" s="184"/>
      <c r="C136" s="184"/>
      <c r="D136" s="184"/>
      <c r="E136" s="184"/>
      <c r="F136" s="184"/>
      <c r="G136" s="187"/>
      <c r="I136" s="186"/>
      <c r="J136" s="184"/>
    </row>
    <row r="137" spans="1:10">
      <c r="A137" s="174"/>
      <c r="B137" s="184"/>
      <c r="C137" s="184"/>
      <c r="D137" s="184"/>
      <c r="E137" s="184"/>
      <c r="F137" s="184"/>
      <c r="G137" s="187"/>
      <c r="I137" s="186"/>
      <c r="J137" s="184"/>
    </row>
    <row r="138" spans="1:10">
      <c r="A138" s="174"/>
      <c r="B138" s="184"/>
      <c r="C138" s="184"/>
      <c r="D138" s="184"/>
      <c r="E138" s="184"/>
      <c r="F138" s="184"/>
      <c r="G138" s="187"/>
      <c r="I138" s="186"/>
      <c r="J138" s="184"/>
    </row>
    <row r="139" spans="1:10">
      <c r="A139" s="174"/>
      <c r="B139" s="184"/>
      <c r="C139" s="184"/>
      <c r="D139" s="184"/>
      <c r="E139" s="184"/>
      <c r="F139" s="184"/>
      <c r="G139" s="187"/>
      <c r="I139" s="186"/>
      <c r="J139" s="184"/>
    </row>
    <row r="140" spans="1:10">
      <c r="A140" s="174"/>
      <c r="B140" s="184"/>
      <c r="C140" s="184"/>
      <c r="D140" s="184"/>
      <c r="E140" s="184"/>
      <c r="F140" s="184"/>
      <c r="G140" s="187"/>
      <c r="I140" s="186"/>
      <c r="J140" s="184"/>
    </row>
    <row r="141" spans="1:10">
      <c r="A141" s="174"/>
      <c r="B141" s="184"/>
      <c r="C141" s="184"/>
      <c r="D141" s="184"/>
      <c r="E141" s="184"/>
      <c r="F141" s="184"/>
      <c r="G141" s="187"/>
      <c r="I141" s="186"/>
      <c r="J141" s="184"/>
    </row>
    <row r="142" spans="1:10">
      <c r="A142" s="174"/>
      <c r="B142" s="184"/>
      <c r="C142" s="184"/>
      <c r="D142" s="184"/>
      <c r="E142" s="184"/>
      <c r="F142" s="184"/>
      <c r="G142" s="187"/>
      <c r="I142" s="186"/>
      <c r="J142" s="184"/>
    </row>
    <row r="143" spans="1:10">
      <c r="A143" s="174"/>
      <c r="B143" s="184"/>
      <c r="C143" s="184"/>
      <c r="D143" s="184"/>
      <c r="E143" s="184"/>
      <c r="F143" s="184"/>
      <c r="G143" s="187"/>
      <c r="I143" s="186"/>
      <c r="J143" s="184"/>
    </row>
    <row r="144" spans="1:10">
      <c r="A144" s="174"/>
      <c r="B144" s="184"/>
      <c r="C144" s="184"/>
      <c r="D144" s="184"/>
      <c r="E144" s="184"/>
      <c r="F144" s="184"/>
      <c r="G144" s="187"/>
      <c r="I144" s="186"/>
      <c r="J144" s="184"/>
    </row>
    <row r="145" spans="1:10">
      <c r="A145" s="174"/>
      <c r="B145" s="184"/>
      <c r="C145" s="184"/>
      <c r="D145" s="184"/>
      <c r="E145" s="184"/>
      <c r="F145" s="184"/>
      <c r="G145" s="187"/>
      <c r="I145" s="186"/>
      <c r="J145" s="184"/>
    </row>
    <row r="146" spans="1:10">
      <c r="A146" s="174"/>
      <c r="B146" s="184"/>
      <c r="C146" s="184"/>
      <c r="D146" s="184"/>
      <c r="E146" s="184"/>
      <c r="F146" s="184"/>
      <c r="G146" s="187"/>
      <c r="I146" s="186"/>
      <c r="J146" s="184"/>
    </row>
    <row r="147" spans="1:10">
      <c r="A147" s="174"/>
      <c r="B147" s="184"/>
      <c r="C147" s="184"/>
      <c r="D147" s="184"/>
      <c r="E147" s="184"/>
      <c r="F147" s="184"/>
      <c r="G147" s="187"/>
      <c r="I147" s="186"/>
      <c r="J147" s="184"/>
    </row>
    <row r="148" spans="1:10">
      <c r="A148" s="174"/>
      <c r="B148" s="184"/>
      <c r="C148" s="184"/>
      <c r="D148" s="184"/>
      <c r="E148" s="184"/>
      <c r="F148" s="184"/>
      <c r="G148" s="187"/>
      <c r="I148" s="186"/>
      <c r="J148" s="184"/>
    </row>
    <row r="149" spans="1:10">
      <c r="A149" s="174"/>
      <c r="B149" s="184"/>
      <c r="C149" s="184"/>
      <c r="D149" s="184"/>
      <c r="E149" s="184"/>
      <c r="F149" s="184"/>
      <c r="G149" s="187"/>
      <c r="I149" s="186"/>
      <c r="J149" s="184"/>
    </row>
    <row r="150" spans="1:10">
      <c r="A150" s="174"/>
      <c r="B150" s="184"/>
      <c r="C150" s="184"/>
      <c r="D150" s="184"/>
      <c r="E150" s="184"/>
      <c r="F150" s="184"/>
      <c r="G150" s="187"/>
      <c r="I150" s="186"/>
      <c r="J150" s="184"/>
    </row>
    <row r="151" spans="1:10">
      <c r="A151" s="174"/>
      <c r="B151" s="184"/>
      <c r="C151" s="184"/>
      <c r="D151" s="184"/>
      <c r="E151" s="184"/>
      <c r="F151" s="184"/>
      <c r="G151" s="187"/>
      <c r="I151" s="186"/>
      <c r="J151" s="184"/>
    </row>
    <row r="152" spans="1:10">
      <c r="A152" s="174"/>
      <c r="B152" s="184"/>
      <c r="C152" s="184"/>
      <c r="D152" s="184"/>
      <c r="E152" s="184"/>
      <c r="F152" s="184"/>
      <c r="I152" s="186"/>
      <c r="J152" s="184"/>
    </row>
    <row r="153" spans="1:10">
      <c r="A153" s="174"/>
      <c r="B153" s="184"/>
      <c r="C153" s="184"/>
      <c r="D153" s="184"/>
      <c r="E153" s="184"/>
      <c r="F153" s="184"/>
      <c r="G153" s="187"/>
      <c r="I153" s="186"/>
      <c r="J153" s="184"/>
    </row>
    <row r="154" spans="1:10">
      <c r="A154" s="174"/>
      <c r="B154" s="184"/>
      <c r="C154" s="184"/>
      <c r="D154" s="184"/>
      <c r="E154" s="184"/>
      <c r="F154" s="184"/>
      <c r="G154" s="187"/>
      <c r="I154" s="186"/>
      <c r="J154" s="184"/>
    </row>
    <row r="155" spans="1:10">
      <c r="A155" s="174"/>
      <c r="B155" s="184"/>
      <c r="C155" s="184"/>
      <c r="D155" s="184"/>
      <c r="E155" s="184"/>
      <c r="F155" s="184"/>
      <c r="G155" s="187"/>
      <c r="I155" s="186"/>
      <c r="J155" s="184"/>
    </row>
    <row r="156" spans="1:10">
      <c r="A156" s="174"/>
      <c r="B156" s="184"/>
      <c r="C156" s="184"/>
      <c r="D156" s="184"/>
      <c r="E156" s="184"/>
      <c r="F156" s="184"/>
      <c r="G156" s="187"/>
      <c r="I156" s="186"/>
      <c r="J156" s="184"/>
    </row>
    <row r="157" spans="1:10">
      <c r="A157" s="174"/>
      <c r="B157" s="184"/>
      <c r="C157" s="184"/>
      <c r="D157" s="184"/>
      <c r="E157" s="184"/>
      <c r="F157" s="184"/>
      <c r="I157" s="186"/>
      <c r="J157" s="184"/>
    </row>
    <row r="158" spans="1:10">
      <c r="A158" s="174"/>
      <c r="B158" s="184"/>
      <c r="C158" s="184"/>
      <c r="D158" s="184"/>
      <c r="E158" s="184"/>
      <c r="F158" s="184"/>
      <c r="G158" s="187"/>
      <c r="I158" s="186"/>
      <c r="J158" s="184"/>
    </row>
    <row r="159" spans="1:10">
      <c r="A159" s="174"/>
      <c r="B159" s="184"/>
      <c r="C159" s="184"/>
      <c r="D159" s="184"/>
      <c r="E159" s="184"/>
      <c r="F159" s="184"/>
      <c r="G159" s="187"/>
      <c r="I159" s="186"/>
      <c r="J159" s="184"/>
    </row>
    <row r="160" spans="1:10">
      <c r="A160" s="174"/>
      <c r="B160" s="184"/>
      <c r="C160" s="184"/>
      <c r="D160" s="184"/>
      <c r="E160" s="184"/>
      <c r="F160" s="184"/>
      <c r="I160" s="186"/>
      <c r="J160" s="184"/>
    </row>
    <row r="161" spans="1:10">
      <c r="A161" s="174"/>
      <c r="B161" s="184"/>
      <c r="C161" s="184"/>
      <c r="D161" s="184"/>
      <c r="E161" s="184"/>
      <c r="F161" s="184"/>
      <c r="I161" s="186"/>
      <c r="J161" s="184"/>
    </row>
    <row r="162" spans="1:10">
      <c r="A162" s="174"/>
      <c r="B162" s="184"/>
      <c r="C162" s="184"/>
      <c r="D162" s="184"/>
      <c r="E162" s="184"/>
      <c r="F162" s="184"/>
      <c r="I162" s="186"/>
      <c r="J162" s="184"/>
    </row>
    <row r="163" spans="1:10">
      <c r="A163" s="174"/>
      <c r="B163" s="184"/>
      <c r="C163" s="184"/>
      <c r="D163" s="184"/>
      <c r="E163" s="184"/>
      <c r="F163" s="184"/>
      <c r="G163" s="187"/>
      <c r="I163" s="186"/>
      <c r="J163" s="184"/>
    </row>
    <row r="164" spans="1:10">
      <c r="A164" s="174"/>
      <c r="B164" s="184"/>
      <c r="C164" s="184"/>
      <c r="D164" s="184"/>
      <c r="E164" s="184"/>
      <c r="F164" s="184"/>
      <c r="G164" s="187"/>
      <c r="I164" s="186"/>
      <c r="J164" s="184"/>
    </row>
    <row r="165" spans="1:10">
      <c r="A165" s="174"/>
      <c r="B165" s="184"/>
      <c r="C165" s="184"/>
      <c r="D165" s="184"/>
      <c r="E165" s="184"/>
      <c r="F165" s="184"/>
      <c r="G165" s="187"/>
      <c r="I165" s="186"/>
      <c r="J165" s="184"/>
    </row>
    <row r="166" spans="1:10">
      <c r="A166" s="174"/>
      <c r="B166" s="184"/>
      <c r="C166" s="184"/>
      <c r="D166" s="184"/>
      <c r="E166" s="184"/>
      <c r="F166" s="184"/>
      <c r="G166" s="187"/>
      <c r="I166" s="186"/>
      <c r="J166" s="184"/>
    </row>
    <row r="167" spans="1:10">
      <c r="A167" s="174"/>
      <c r="B167" s="184"/>
      <c r="C167" s="184"/>
      <c r="D167" s="184"/>
      <c r="E167" s="184"/>
      <c r="F167" s="184"/>
      <c r="G167" s="187"/>
      <c r="I167" s="186"/>
      <c r="J167" s="184"/>
    </row>
    <row r="168" spans="1:10">
      <c r="A168" s="174"/>
      <c r="B168" s="184"/>
      <c r="C168" s="184"/>
      <c r="D168" s="184"/>
      <c r="E168" s="184"/>
      <c r="F168" s="184"/>
      <c r="G168" s="187"/>
      <c r="I168" s="186"/>
      <c r="J168" s="184"/>
    </row>
    <row r="169" spans="1:10">
      <c r="A169" s="174"/>
      <c r="B169" s="184"/>
      <c r="C169" s="184"/>
      <c r="D169" s="184"/>
      <c r="E169" s="184"/>
      <c r="F169" s="184"/>
      <c r="G169" s="187"/>
      <c r="I169" s="186"/>
      <c r="J169" s="184"/>
    </row>
    <row r="170" spans="1:10">
      <c r="A170" s="174"/>
      <c r="B170" s="184"/>
      <c r="C170" s="184"/>
      <c r="D170" s="184"/>
      <c r="E170" s="184"/>
      <c r="F170" s="184"/>
      <c r="G170" s="187"/>
      <c r="I170" s="186"/>
      <c r="J170" s="184"/>
    </row>
    <row r="171" spans="1:10">
      <c r="A171" s="174"/>
      <c r="B171" s="184"/>
      <c r="C171" s="184"/>
      <c r="D171" s="184"/>
      <c r="E171" s="184"/>
      <c r="F171" s="184"/>
      <c r="G171" s="187"/>
      <c r="I171" s="186"/>
      <c r="J171" s="184"/>
    </row>
    <row r="172" spans="1:10">
      <c r="A172" s="174"/>
      <c r="B172" s="184"/>
      <c r="C172" s="184"/>
      <c r="D172" s="184"/>
      <c r="E172" s="184"/>
      <c r="F172" s="184"/>
      <c r="G172" s="187"/>
      <c r="I172" s="186"/>
      <c r="J172" s="184"/>
    </row>
    <row r="173" spans="1:10">
      <c r="A173" s="174"/>
      <c r="B173" s="184"/>
      <c r="C173" s="184"/>
      <c r="D173" s="184"/>
      <c r="E173" s="184"/>
      <c r="F173" s="184"/>
      <c r="I173" s="186"/>
      <c r="J173" s="184"/>
    </row>
    <row r="174" spans="1:10">
      <c r="A174" s="174"/>
      <c r="B174" s="184"/>
      <c r="C174" s="184"/>
      <c r="D174" s="184"/>
      <c r="E174" s="184"/>
      <c r="F174" s="184"/>
      <c r="I174" s="186"/>
      <c r="J174" s="184"/>
    </row>
    <row r="175" spans="1:10">
      <c r="A175" s="174"/>
      <c r="B175" s="184"/>
      <c r="C175" s="184"/>
      <c r="D175" s="184"/>
      <c r="E175" s="184"/>
      <c r="F175" s="184"/>
      <c r="G175" s="187"/>
      <c r="I175" s="186"/>
      <c r="J175" s="184"/>
    </row>
    <row r="176" spans="1:10">
      <c r="A176" s="174"/>
      <c r="B176" s="184"/>
      <c r="C176" s="184"/>
      <c r="D176" s="184"/>
      <c r="E176" s="184"/>
      <c r="F176" s="184"/>
      <c r="G176" s="187"/>
      <c r="I176" s="186"/>
      <c r="J176" s="184"/>
    </row>
    <row r="177" spans="1:10">
      <c r="A177" s="174"/>
      <c r="B177" s="184"/>
      <c r="C177" s="184"/>
      <c r="D177" s="184"/>
      <c r="E177" s="184"/>
      <c r="F177" s="184"/>
      <c r="I177" s="186"/>
      <c r="J177" s="184"/>
    </row>
    <row r="178" spans="1:10">
      <c r="A178" s="174"/>
      <c r="B178" s="184"/>
      <c r="C178" s="184"/>
      <c r="D178" s="184"/>
      <c r="E178" s="184"/>
      <c r="F178" s="184"/>
      <c r="I178" s="186"/>
      <c r="J178" s="184"/>
    </row>
    <row r="179" spans="1:10">
      <c r="A179" s="174"/>
      <c r="B179" s="184"/>
      <c r="C179" s="184"/>
      <c r="D179" s="184"/>
      <c r="E179" s="184"/>
      <c r="F179" s="184"/>
      <c r="I179" s="186"/>
      <c r="J179" s="184"/>
    </row>
    <row r="180" spans="1:10">
      <c r="A180" s="174"/>
      <c r="B180" s="184"/>
      <c r="C180" s="184"/>
      <c r="D180" s="184"/>
      <c r="E180" s="184"/>
      <c r="F180" s="184"/>
      <c r="I180" s="186"/>
      <c r="J180" s="184"/>
    </row>
    <row r="181" spans="1:10">
      <c r="A181" s="174"/>
      <c r="B181" s="184"/>
      <c r="C181" s="184"/>
      <c r="D181" s="184"/>
      <c r="E181" s="184"/>
      <c r="F181" s="184"/>
      <c r="G181" s="187"/>
      <c r="I181" s="186"/>
      <c r="J181" s="184"/>
    </row>
    <row r="182" spans="1:10">
      <c r="A182" s="174"/>
      <c r="B182" s="184"/>
      <c r="C182" s="184"/>
      <c r="D182" s="184"/>
      <c r="E182" s="184"/>
      <c r="F182" s="184"/>
      <c r="I182" s="186"/>
      <c r="J182" s="184"/>
    </row>
    <row r="183" spans="1:10">
      <c r="A183" s="174"/>
      <c r="B183" s="184"/>
      <c r="C183" s="184"/>
      <c r="D183" s="184"/>
      <c r="E183" s="184"/>
      <c r="F183" s="184"/>
      <c r="I183" s="186"/>
      <c r="J183" s="184"/>
    </row>
    <row r="184" spans="1:10">
      <c r="A184" s="174"/>
      <c r="B184" s="184"/>
      <c r="C184" s="184"/>
      <c r="D184" s="184"/>
      <c r="E184" s="184"/>
      <c r="F184" s="184"/>
      <c r="I184" s="186"/>
      <c r="J184" s="184"/>
    </row>
    <row r="185" spans="1:10">
      <c r="A185" s="174"/>
      <c r="B185" s="184"/>
      <c r="C185" s="184"/>
      <c r="D185" s="184"/>
      <c r="E185" s="184"/>
      <c r="F185" s="184"/>
      <c r="I185" s="186"/>
      <c r="J185" s="184"/>
    </row>
    <row r="186" spans="1:10">
      <c r="A186" s="174"/>
      <c r="B186" s="184"/>
      <c r="C186" s="184"/>
      <c r="D186" s="184"/>
      <c r="E186" s="184"/>
      <c r="F186" s="184"/>
      <c r="I186" s="186"/>
      <c r="J186" s="184"/>
    </row>
    <row r="187" spans="1:10">
      <c r="A187" s="174"/>
      <c r="B187" s="184"/>
      <c r="C187" s="184"/>
      <c r="D187" s="184"/>
      <c r="E187" s="184"/>
      <c r="F187" s="184"/>
      <c r="G187" s="187"/>
      <c r="I187" s="186"/>
      <c r="J187" s="184"/>
    </row>
    <row r="188" spans="1:10">
      <c r="A188" s="174"/>
      <c r="B188" s="184"/>
      <c r="C188" s="184"/>
      <c r="D188" s="184"/>
      <c r="E188" s="184"/>
      <c r="F188" s="184"/>
      <c r="I188" s="186"/>
      <c r="J188" s="184"/>
    </row>
    <row r="189" spans="1:10">
      <c r="A189" s="174"/>
      <c r="B189" s="184"/>
      <c r="C189" s="184"/>
      <c r="D189" s="184"/>
      <c r="E189" s="184"/>
      <c r="F189" s="184"/>
      <c r="I189" s="186"/>
      <c r="J189" s="184"/>
    </row>
    <row r="190" spans="1:10">
      <c r="A190" s="174"/>
      <c r="B190" s="184"/>
      <c r="C190" s="184"/>
      <c r="D190" s="184"/>
      <c r="E190" s="184"/>
      <c r="F190" s="184"/>
      <c r="I190" s="186"/>
      <c r="J190" s="184"/>
    </row>
    <row r="191" spans="1:10">
      <c r="A191" s="174"/>
      <c r="B191" s="184"/>
      <c r="C191" s="184"/>
      <c r="D191" s="184"/>
      <c r="E191" s="184"/>
      <c r="F191" s="184"/>
      <c r="I191" s="186"/>
      <c r="J191" s="184"/>
    </row>
    <row r="192" spans="1:10">
      <c r="A192" s="174"/>
      <c r="B192" s="184"/>
      <c r="C192" s="184"/>
      <c r="D192" s="184"/>
      <c r="E192" s="184"/>
      <c r="F192" s="184"/>
      <c r="I192" s="186"/>
      <c r="J192" s="184"/>
    </row>
    <row r="193" spans="1:10">
      <c r="A193" s="174"/>
      <c r="B193" s="184"/>
      <c r="C193" s="184"/>
      <c r="D193" s="184"/>
      <c r="E193" s="184"/>
      <c r="F193" s="184"/>
      <c r="I193" s="186"/>
      <c r="J193" s="184"/>
    </row>
    <row r="194" spans="1:10">
      <c r="A194" s="174"/>
      <c r="B194" s="184"/>
      <c r="C194" s="184"/>
      <c r="D194" s="184"/>
      <c r="E194" s="184"/>
      <c r="F194" s="184"/>
      <c r="I194" s="186"/>
      <c r="J194" s="184"/>
    </row>
    <row r="195" spans="1:10">
      <c r="A195" s="174"/>
      <c r="B195" s="184"/>
      <c r="C195" s="184"/>
      <c r="D195" s="184"/>
      <c r="E195" s="184"/>
      <c r="F195" s="184"/>
      <c r="I195" s="186"/>
      <c r="J195" s="184"/>
    </row>
    <row r="196" spans="1:10">
      <c r="A196" s="174"/>
      <c r="B196" s="184"/>
      <c r="C196" s="184"/>
      <c r="D196" s="184"/>
      <c r="E196" s="184"/>
      <c r="F196" s="184"/>
      <c r="G196" s="187"/>
      <c r="I196" s="186"/>
      <c r="J196" s="184"/>
    </row>
    <row r="197" spans="1:10">
      <c r="A197" s="174"/>
      <c r="B197" s="184"/>
      <c r="C197" s="184"/>
      <c r="D197" s="184"/>
      <c r="E197" s="184"/>
      <c r="F197" s="184"/>
      <c r="I197" s="186"/>
      <c r="J197" s="184"/>
    </row>
    <row r="198" spans="1:10">
      <c r="A198" s="174"/>
      <c r="B198" s="184"/>
      <c r="C198" s="184"/>
      <c r="D198" s="184"/>
      <c r="E198" s="184"/>
      <c r="F198" s="184"/>
      <c r="I198" s="186"/>
      <c r="J198" s="184"/>
    </row>
    <row r="199" spans="1:10">
      <c r="A199" s="174"/>
      <c r="B199" s="184"/>
      <c r="C199" s="184"/>
      <c r="D199" s="184"/>
      <c r="E199" s="184"/>
      <c r="F199" s="184"/>
      <c r="G199" s="187"/>
      <c r="I199" s="186"/>
      <c r="J199" s="184"/>
    </row>
    <row r="200" spans="1:10">
      <c r="A200" s="174"/>
      <c r="B200" s="184"/>
      <c r="C200" s="184"/>
      <c r="D200" s="184"/>
      <c r="E200" s="184"/>
      <c r="F200" s="184"/>
      <c r="I200" s="186"/>
      <c r="J200" s="184"/>
    </row>
    <row r="201" spans="1:10">
      <c r="A201" s="174"/>
      <c r="B201" s="184"/>
      <c r="C201" s="184"/>
      <c r="D201" s="184"/>
      <c r="E201" s="184"/>
      <c r="F201" s="184"/>
      <c r="I201" s="186"/>
      <c r="J201" s="184"/>
    </row>
    <row r="202" spans="1:10">
      <c r="A202" s="174"/>
      <c r="B202" s="184"/>
      <c r="C202" s="184"/>
      <c r="D202" s="184"/>
      <c r="E202" s="184"/>
      <c r="F202" s="184"/>
      <c r="I202" s="186"/>
      <c r="J202" s="184"/>
    </row>
    <row r="203" spans="1:10">
      <c r="A203" s="174"/>
      <c r="B203" s="184"/>
      <c r="C203" s="184"/>
      <c r="D203" s="184"/>
      <c r="E203" s="184"/>
      <c r="F203" s="184"/>
      <c r="I203" s="186"/>
      <c r="J203" s="184"/>
    </row>
    <row r="204" spans="1:10">
      <c r="A204" s="174"/>
      <c r="B204" s="184"/>
      <c r="C204" s="184"/>
      <c r="D204" s="184"/>
      <c r="E204" s="184"/>
      <c r="F204" s="184"/>
      <c r="I204" s="186"/>
      <c r="J204" s="184"/>
    </row>
    <row r="205" spans="1:10">
      <c r="A205" s="174"/>
      <c r="B205" s="184"/>
      <c r="C205" s="184"/>
      <c r="D205" s="184"/>
      <c r="E205" s="184"/>
      <c r="F205" s="184"/>
      <c r="I205" s="186"/>
      <c r="J205" s="184"/>
    </row>
    <row r="206" spans="1:10">
      <c r="A206" s="174"/>
      <c r="B206" s="184"/>
      <c r="C206" s="184"/>
      <c r="D206" s="184"/>
      <c r="E206" s="184"/>
      <c r="F206" s="184"/>
      <c r="G206" s="187"/>
      <c r="I206" s="186"/>
      <c r="J206" s="184"/>
    </row>
    <row r="207" spans="1:10">
      <c r="A207" s="174"/>
      <c r="B207" s="184"/>
      <c r="C207" s="184"/>
      <c r="D207" s="184"/>
      <c r="E207" s="184"/>
      <c r="F207" s="184"/>
      <c r="I207" s="186"/>
      <c r="J207" s="184"/>
    </row>
    <row r="208" spans="1:10">
      <c r="A208" s="174"/>
      <c r="B208" s="184"/>
      <c r="C208" s="184"/>
      <c r="D208" s="184"/>
      <c r="E208" s="184"/>
      <c r="F208" s="184"/>
      <c r="I208" s="186"/>
      <c r="J208" s="184"/>
    </row>
    <row r="209" spans="1:10">
      <c r="A209" s="174"/>
      <c r="B209" s="184"/>
      <c r="C209" s="184"/>
      <c r="D209" s="184"/>
      <c r="E209" s="184"/>
      <c r="F209" s="184"/>
      <c r="I209" s="186"/>
      <c r="J209" s="184"/>
    </row>
    <row r="210" spans="1:10">
      <c r="A210" s="174"/>
      <c r="B210" s="184"/>
      <c r="C210" s="184"/>
      <c r="D210" s="184"/>
      <c r="E210" s="184"/>
      <c r="F210" s="184"/>
      <c r="I210" s="186"/>
      <c r="J210" s="184"/>
    </row>
    <row r="211" spans="1:10">
      <c r="A211" s="174"/>
      <c r="B211" s="184"/>
      <c r="C211" s="184"/>
      <c r="D211" s="184"/>
      <c r="E211" s="184"/>
      <c r="F211" s="184"/>
      <c r="I211" s="186"/>
      <c r="J211" s="184"/>
    </row>
    <row r="212" spans="1:10">
      <c r="A212" s="174"/>
      <c r="B212" s="184"/>
      <c r="C212" s="184"/>
      <c r="D212" s="184"/>
      <c r="E212" s="184"/>
      <c r="F212" s="184"/>
      <c r="I212" s="186"/>
      <c r="J212" s="184"/>
    </row>
    <row r="213" spans="1:10">
      <c r="A213" s="174"/>
      <c r="B213" s="184"/>
      <c r="C213" s="184"/>
      <c r="D213" s="184"/>
      <c r="E213" s="184"/>
      <c r="F213" s="184"/>
      <c r="I213" s="186"/>
      <c r="J213" s="184"/>
    </row>
    <row r="214" spans="1:10">
      <c r="A214" s="174"/>
      <c r="B214" s="184"/>
      <c r="C214" s="184"/>
      <c r="D214" s="184"/>
      <c r="E214" s="184"/>
      <c r="F214" s="184"/>
      <c r="I214" s="186"/>
      <c r="J214" s="184"/>
    </row>
    <row r="215" spans="1:10">
      <c r="A215" s="174"/>
      <c r="B215" s="184"/>
      <c r="C215" s="184"/>
      <c r="D215" s="184"/>
      <c r="E215" s="184"/>
      <c r="F215" s="184"/>
      <c r="I215" s="186"/>
      <c r="J215" s="184"/>
    </row>
    <row r="216" spans="1:10">
      <c r="A216" s="174"/>
      <c r="B216" s="184"/>
      <c r="C216" s="184"/>
      <c r="D216" s="184"/>
      <c r="E216" s="184"/>
      <c r="F216" s="184"/>
      <c r="G216" s="187"/>
      <c r="I216" s="186"/>
      <c r="J216" s="184"/>
    </row>
    <row r="217" spans="1:10">
      <c r="A217" s="174"/>
      <c r="B217" s="184"/>
      <c r="C217" s="184"/>
      <c r="D217" s="184"/>
      <c r="E217" s="184"/>
      <c r="F217" s="184"/>
      <c r="I217" s="186"/>
      <c r="J217" s="184"/>
    </row>
    <row r="218" spans="1:10">
      <c r="A218" s="174"/>
      <c r="B218" s="184"/>
      <c r="C218" s="184"/>
      <c r="D218" s="184"/>
      <c r="E218" s="184"/>
      <c r="F218" s="184"/>
      <c r="I218" s="186"/>
      <c r="J218" s="184"/>
    </row>
    <row r="219" spans="1:10">
      <c r="A219" s="174"/>
      <c r="B219" s="184"/>
      <c r="C219" s="184"/>
      <c r="D219" s="184"/>
      <c r="E219" s="184"/>
      <c r="F219" s="184"/>
      <c r="G219" s="187"/>
      <c r="I219" s="186"/>
      <c r="J219" s="184"/>
    </row>
    <row r="220" spans="1:10">
      <c r="A220" s="174"/>
      <c r="B220" s="184"/>
      <c r="C220" s="184"/>
      <c r="D220" s="184"/>
      <c r="E220" s="184"/>
      <c r="F220" s="184"/>
      <c r="G220" s="187"/>
      <c r="I220" s="186"/>
      <c r="J220" s="184"/>
    </row>
    <row r="221" spans="1:10">
      <c r="A221" s="174"/>
      <c r="B221" s="184"/>
      <c r="C221" s="184"/>
      <c r="D221" s="184"/>
      <c r="E221" s="184"/>
      <c r="F221" s="184"/>
      <c r="G221" s="187"/>
      <c r="I221" s="186"/>
      <c r="J221" s="184"/>
    </row>
    <row r="222" spans="1:10">
      <c r="A222" s="174"/>
      <c r="B222" s="184"/>
      <c r="C222" s="184"/>
      <c r="D222" s="184"/>
      <c r="E222" s="184"/>
      <c r="F222" s="184"/>
      <c r="G222" s="187"/>
      <c r="I222" s="186"/>
      <c r="J222" s="184"/>
    </row>
    <row r="223" spans="1:10">
      <c r="A223" s="174"/>
      <c r="B223" s="184"/>
      <c r="C223" s="184"/>
      <c r="D223" s="184"/>
      <c r="E223" s="184"/>
      <c r="F223" s="184"/>
      <c r="G223" s="187"/>
      <c r="I223" s="186"/>
      <c r="J223" s="184"/>
    </row>
    <row r="224" spans="1:10">
      <c r="A224" s="174"/>
      <c r="B224" s="184"/>
      <c r="C224" s="184"/>
      <c r="D224" s="184"/>
      <c r="E224" s="184"/>
      <c r="F224" s="184"/>
      <c r="G224" s="187"/>
      <c r="I224" s="186"/>
      <c r="J224" s="184"/>
    </row>
    <row r="225" spans="1:10">
      <c r="A225" s="174"/>
      <c r="B225" s="184"/>
      <c r="C225" s="184"/>
      <c r="D225" s="184"/>
      <c r="E225" s="184"/>
      <c r="F225" s="184"/>
      <c r="G225" s="187"/>
      <c r="I225" s="186"/>
      <c r="J225" s="184"/>
    </row>
    <row r="226" spans="1:10">
      <c r="A226" s="174"/>
      <c r="B226" s="184"/>
      <c r="C226" s="184"/>
      <c r="D226" s="184"/>
      <c r="E226" s="184"/>
      <c r="F226" s="184"/>
      <c r="G226" s="187"/>
      <c r="I226" s="186"/>
      <c r="J226" s="184"/>
    </row>
    <row r="227" spans="1:10">
      <c r="A227" s="174"/>
      <c r="B227" s="184"/>
      <c r="C227" s="184"/>
      <c r="D227" s="184"/>
      <c r="E227" s="184"/>
      <c r="F227" s="184"/>
      <c r="G227" s="187"/>
      <c r="I227" s="186"/>
      <c r="J227" s="184"/>
    </row>
    <row r="228" spans="1:10">
      <c r="A228" s="174"/>
      <c r="B228" s="184"/>
      <c r="C228" s="184"/>
      <c r="D228" s="184"/>
      <c r="E228" s="184"/>
      <c r="F228" s="184"/>
      <c r="G228" s="187"/>
      <c r="I228" s="186"/>
      <c r="J228" s="184"/>
    </row>
    <row r="229" spans="1:10">
      <c r="A229" s="174"/>
      <c r="B229" s="184"/>
      <c r="C229" s="184"/>
      <c r="D229" s="184"/>
      <c r="E229" s="184"/>
      <c r="F229" s="184"/>
      <c r="G229" s="187"/>
      <c r="I229" s="186"/>
      <c r="J229" s="184"/>
    </row>
    <row r="230" spans="1:10">
      <c r="A230" s="174"/>
      <c r="B230" s="184"/>
      <c r="C230" s="184"/>
      <c r="D230" s="184"/>
      <c r="E230" s="184"/>
      <c r="F230" s="184"/>
      <c r="G230" s="187"/>
      <c r="I230" s="186"/>
      <c r="J230" s="184"/>
    </row>
    <row r="231" spans="1:10">
      <c r="A231" s="174"/>
      <c r="B231" s="184"/>
      <c r="C231" s="184"/>
      <c r="D231" s="184"/>
      <c r="E231" s="184"/>
      <c r="F231" s="184"/>
      <c r="G231" s="187"/>
      <c r="I231" s="186"/>
      <c r="J231" s="184"/>
    </row>
    <row r="232" spans="1:10">
      <c r="A232" s="174"/>
      <c r="B232" s="184"/>
      <c r="C232" s="184"/>
      <c r="D232" s="184"/>
      <c r="E232" s="184"/>
      <c r="F232" s="184"/>
      <c r="G232" s="187"/>
      <c r="I232" s="186"/>
      <c r="J232" s="184"/>
    </row>
    <row r="233" spans="1:10">
      <c r="A233" s="174"/>
      <c r="B233" s="184"/>
      <c r="C233" s="184"/>
      <c r="D233" s="184"/>
      <c r="E233" s="184"/>
      <c r="F233" s="184"/>
      <c r="G233" s="187"/>
      <c r="I233" s="186"/>
      <c r="J233" s="184"/>
    </row>
    <row r="234" spans="1:10">
      <c r="A234" s="174"/>
      <c r="B234" s="184"/>
      <c r="C234" s="184"/>
      <c r="D234" s="184"/>
      <c r="E234" s="184"/>
      <c r="F234" s="184"/>
      <c r="G234" s="187"/>
      <c r="I234" s="186"/>
      <c r="J234" s="184"/>
    </row>
    <row r="235" spans="1:10">
      <c r="A235" s="174"/>
      <c r="B235" s="184"/>
      <c r="C235" s="184"/>
      <c r="D235" s="184"/>
      <c r="E235" s="184"/>
      <c r="F235" s="184"/>
      <c r="G235" s="187"/>
      <c r="I235" s="186"/>
      <c r="J235" s="184"/>
    </row>
    <row r="236" spans="1:10">
      <c r="A236" s="174"/>
      <c r="B236" s="184"/>
      <c r="C236" s="184"/>
      <c r="D236" s="184"/>
      <c r="E236" s="184"/>
      <c r="F236" s="184"/>
      <c r="G236" s="187"/>
      <c r="I236" s="186"/>
      <c r="J236" s="184"/>
    </row>
    <row r="237" spans="1:10">
      <c r="A237" s="174"/>
      <c r="B237" s="184"/>
      <c r="C237" s="184"/>
      <c r="D237" s="184"/>
      <c r="E237" s="184"/>
      <c r="F237" s="184"/>
      <c r="G237" s="187"/>
      <c r="I237" s="186"/>
      <c r="J237" s="184"/>
    </row>
    <row r="238" spans="1:10">
      <c r="A238" s="174"/>
      <c r="B238" s="184"/>
      <c r="C238" s="184"/>
      <c r="D238" s="184"/>
      <c r="E238" s="184"/>
      <c r="F238" s="184"/>
      <c r="G238" s="187"/>
      <c r="I238" s="186"/>
      <c r="J238" s="184"/>
    </row>
    <row r="239" spans="1:10">
      <c r="A239" s="174"/>
      <c r="B239" s="184"/>
      <c r="C239" s="184"/>
      <c r="D239" s="184"/>
      <c r="E239" s="184"/>
      <c r="F239" s="184"/>
      <c r="G239" s="187"/>
      <c r="I239" s="186"/>
      <c r="J239" s="184"/>
    </row>
    <row r="240" spans="1:10">
      <c r="A240" s="174"/>
      <c r="B240" s="184"/>
      <c r="C240" s="184"/>
      <c r="D240" s="184"/>
      <c r="E240" s="184"/>
      <c r="F240" s="184"/>
      <c r="G240" s="187"/>
      <c r="I240" s="186"/>
      <c r="J240" s="184"/>
    </row>
    <row r="241" spans="1:10">
      <c r="A241" s="174"/>
      <c r="B241" s="184"/>
      <c r="C241" s="184"/>
      <c r="D241" s="184"/>
      <c r="E241" s="184"/>
      <c r="F241" s="184"/>
      <c r="G241" s="187"/>
      <c r="I241" s="186"/>
      <c r="J241" s="184"/>
    </row>
    <row r="242" spans="1:10">
      <c r="A242" s="174"/>
      <c r="B242" s="184"/>
      <c r="C242" s="184"/>
      <c r="D242" s="184"/>
      <c r="E242" s="184"/>
      <c r="F242" s="184"/>
      <c r="G242" s="187"/>
      <c r="I242" s="186"/>
      <c r="J242" s="184"/>
    </row>
    <row r="243" spans="1:10">
      <c r="A243" s="174"/>
      <c r="B243" s="184"/>
      <c r="C243" s="184"/>
      <c r="D243" s="184"/>
      <c r="E243" s="184"/>
      <c r="F243" s="184"/>
      <c r="G243" s="187"/>
      <c r="I243" s="186"/>
      <c r="J243" s="184"/>
    </row>
    <row r="244" spans="1:10">
      <c r="A244" s="174"/>
      <c r="B244" s="184"/>
      <c r="C244" s="184"/>
      <c r="D244" s="184"/>
      <c r="E244" s="184"/>
      <c r="F244" s="184"/>
      <c r="G244" s="187"/>
      <c r="I244" s="186"/>
      <c r="J244" s="184"/>
    </row>
    <row r="245" spans="1:10">
      <c r="A245" s="174"/>
      <c r="B245" s="184"/>
      <c r="C245" s="184"/>
      <c r="D245" s="184"/>
      <c r="E245" s="184"/>
      <c r="F245" s="184"/>
      <c r="G245" s="187"/>
      <c r="I245" s="186"/>
      <c r="J245" s="184"/>
    </row>
    <row r="246" spans="1:10">
      <c r="A246" s="174"/>
      <c r="B246" s="184"/>
      <c r="C246" s="184"/>
      <c r="D246" s="184"/>
      <c r="E246" s="184"/>
      <c r="F246" s="184"/>
      <c r="G246" s="187"/>
      <c r="I246" s="186"/>
      <c r="J246" s="184"/>
    </row>
    <row r="247" spans="1:10">
      <c r="A247" s="174"/>
      <c r="B247" s="184"/>
      <c r="C247" s="184"/>
      <c r="D247" s="184"/>
      <c r="E247" s="184"/>
      <c r="F247" s="184"/>
      <c r="G247" s="187"/>
      <c r="I247" s="186"/>
      <c r="J247" s="184"/>
    </row>
    <row r="248" spans="1:10">
      <c r="A248" s="174"/>
      <c r="B248" s="184"/>
      <c r="C248" s="184"/>
      <c r="D248" s="184"/>
      <c r="E248" s="184"/>
      <c r="F248" s="184"/>
      <c r="G248" s="187"/>
      <c r="I248" s="186"/>
      <c r="J248" s="184"/>
    </row>
    <row r="249" spans="1:10">
      <c r="A249" s="174"/>
      <c r="B249" s="184"/>
      <c r="C249" s="184"/>
      <c r="D249" s="184"/>
      <c r="E249" s="184"/>
      <c r="F249" s="184"/>
      <c r="G249" s="187"/>
      <c r="I249" s="186"/>
      <c r="J249" s="184"/>
    </row>
    <row r="250" spans="1:10">
      <c r="A250" s="174"/>
      <c r="B250" s="184"/>
      <c r="C250" s="184"/>
      <c r="D250" s="184"/>
      <c r="E250" s="184"/>
      <c r="F250" s="184"/>
      <c r="G250" s="187"/>
      <c r="I250" s="186"/>
      <c r="J250" s="184"/>
    </row>
    <row r="251" spans="1:10">
      <c r="A251" s="174"/>
      <c r="B251" s="184"/>
      <c r="C251" s="184"/>
      <c r="D251" s="184"/>
      <c r="E251" s="184"/>
      <c r="F251" s="184"/>
      <c r="G251" s="187"/>
      <c r="I251" s="186"/>
      <c r="J251" s="184"/>
    </row>
    <row r="252" spans="1:10">
      <c r="A252" s="174"/>
      <c r="B252" s="184"/>
      <c r="C252" s="184"/>
      <c r="D252" s="184"/>
      <c r="E252" s="184"/>
      <c r="F252" s="184"/>
      <c r="G252" s="187"/>
      <c r="I252" s="186"/>
      <c r="J252" s="184"/>
    </row>
    <row r="253" spans="1:10">
      <c r="A253" s="174"/>
      <c r="B253" s="184"/>
      <c r="C253" s="184"/>
      <c r="D253" s="184"/>
      <c r="E253" s="184"/>
      <c r="F253" s="184"/>
      <c r="G253" s="187"/>
      <c r="I253" s="186"/>
      <c r="J253" s="184"/>
    </row>
    <row r="254" spans="1:10">
      <c r="A254" s="174"/>
      <c r="B254" s="184"/>
      <c r="C254" s="184"/>
      <c r="D254" s="184"/>
      <c r="E254" s="184"/>
      <c r="F254" s="184"/>
      <c r="G254" s="187"/>
      <c r="I254" s="186"/>
      <c r="J254" s="184"/>
    </row>
    <row r="255" spans="1:10">
      <c r="A255" s="174"/>
      <c r="B255" s="184"/>
      <c r="C255" s="184"/>
      <c r="D255" s="184"/>
      <c r="E255" s="184"/>
      <c r="F255" s="184"/>
      <c r="G255" s="187"/>
      <c r="I255" s="186"/>
      <c r="J255" s="184"/>
    </row>
    <row r="256" spans="1:10">
      <c r="A256" s="174"/>
      <c r="B256" s="184"/>
      <c r="C256" s="184"/>
      <c r="D256" s="184"/>
      <c r="E256" s="184"/>
      <c r="F256" s="184"/>
      <c r="G256" s="187"/>
      <c r="I256" s="186"/>
      <c r="J256" s="184"/>
    </row>
    <row r="257" spans="1:10">
      <c r="A257" s="174"/>
      <c r="B257" s="184"/>
      <c r="C257" s="184"/>
      <c r="D257" s="184"/>
      <c r="E257" s="184"/>
      <c r="F257" s="184"/>
      <c r="G257" s="187"/>
      <c r="I257" s="186"/>
      <c r="J257" s="184"/>
    </row>
    <row r="258" spans="1:10">
      <c r="A258" s="174"/>
      <c r="B258" s="184"/>
      <c r="C258" s="184"/>
      <c r="D258" s="184"/>
      <c r="E258" s="184"/>
      <c r="F258" s="184"/>
      <c r="G258" s="187"/>
      <c r="I258" s="186"/>
      <c r="J258" s="184"/>
    </row>
    <row r="259" spans="1:10">
      <c r="A259" s="174"/>
      <c r="B259" s="184"/>
      <c r="C259" s="184"/>
      <c r="D259" s="184"/>
      <c r="E259" s="184"/>
      <c r="F259" s="184"/>
      <c r="G259" s="187"/>
      <c r="I259" s="186"/>
      <c r="J259" s="184"/>
    </row>
    <row r="260" spans="1:10">
      <c r="A260" s="174"/>
      <c r="B260" s="184"/>
      <c r="C260" s="184"/>
      <c r="D260" s="184"/>
      <c r="E260" s="184"/>
      <c r="F260" s="184"/>
      <c r="G260" s="187"/>
      <c r="I260" s="186"/>
      <c r="J260" s="184"/>
    </row>
    <row r="261" spans="1:10">
      <c r="A261" s="174"/>
      <c r="B261" s="184"/>
      <c r="C261" s="184"/>
      <c r="D261" s="184"/>
      <c r="E261" s="184"/>
      <c r="F261" s="184"/>
      <c r="G261" s="187"/>
      <c r="I261" s="186"/>
      <c r="J261" s="184"/>
    </row>
    <row r="262" spans="1:10">
      <c r="A262" s="174"/>
      <c r="B262" s="184"/>
      <c r="C262" s="184"/>
      <c r="D262" s="184"/>
      <c r="E262" s="184"/>
      <c r="F262" s="184"/>
      <c r="G262" s="187"/>
      <c r="I262" s="186"/>
      <c r="J262" s="184"/>
    </row>
    <row r="263" spans="1:10">
      <c r="A263" s="174"/>
      <c r="B263" s="184"/>
      <c r="C263" s="184"/>
      <c r="D263" s="184"/>
      <c r="E263" s="184"/>
      <c r="F263" s="184"/>
      <c r="G263" s="187"/>
      <c r="I263" s="186"/>
      <c r="J263" s="184"/>
    </row>
    <row r="264" spans="1:10">
      <c r="A264" s="174"/>
      <c r="B264" s="184"/>
      <c r="C264" s="184"/>
      <c r="D264" s="184"/>
      <c r="E264" s="184"/>
      <c r="F264" s="184"/>
      <c r="G264" s="187"/>
      <c r="I264" s="186"/>
      <c r="J264" s="184"/>
    </row>
    <row r="265" spans="1:10">
      <c r="A265" s="174"/>
      <c r="B265" s="184"/>
      <c r="C265" s="184"/>
      <c r="D265" s="184"/>
      <c r="E265" s="184"/>
      <c r="F265" s="184"/>
      <c r="G265" s="187"/>
      <c r="I265" s="186"/>
      <c r="J265" s="184"/>
    </row>
    <row r="266" spans="1:10">
      <c r="A266" s="174"/>
      <c r="B266" s="184"/>
      <c r="C266" s="184"/>
      <c r="D266" s="184"/>
      <c r="E266" s="184"/>
      <c r="F266" s="184"/>
      <c r="G266" s="187"/>
      <c r="I266" s="186"/>
      <c r="J266" s="184"/>
    </row>
    <row r="267" spans="1:10">
      <c r="A267" s="174"/>
      <c r="B267" s="184"/>
      <c r="C267" s="184"/>
      <c r="D267" s="184"/>
      <c r="E267" s="184"/>
      <c r="F267" s="184"/>
      <c r="G267" s="187"/>
      <c r="I267" s="186"/>
      <c r="J267" s="184"/>
    </row>
    <row r="268" spans="1:10">
      <c r="A268" s="174"/>
      <c r="B268" s="184"/>
      <c r="C268" s="184"/>
      <c r="D268" s="184"/>
      <c r="E268" s="184"/>
      <c r="F268" s="184"/>
      <c r="G268" s="187"/>
      <c r="I268" s="186"/>
      <c r="J268" s="184"/>
    </row>
    <row r="269" spans="1:10">
      <c r="A269" s="174"/>
      <c r="B269" s="184"/>
      <c r="C269" s="184"/>
      <c r="D269" s="184"/>
      <c r="E269" s="184"/>
      <c r="F269" s="184"/>
      <c r="G269" s="187"/>
      <c r="I269" s="186"/>
      <c r="J269" s="184"/>
    </row>
    <row r="270" spans="1:10">
      <c r="A270" s="174"/>
      <c r="B270" s="184"/>
      <c r="C270" s="184"/>
      <c r="D270" s="184"/>
      <c r="E270" s="184"/>
      <c r="F270" s="184"/>
      <c r="G270" s="187"/>
      <c r="I270" s="186"/>
      <c r="J270" s="184"/>
    </row>
    <row r="271" spans="1:10">
      <c r="A271" s="174"/>
      <c r="B271" s="184"/>
      <c r="C271" s="184"/>
      <c r="D271" s="184"/>
      <c r="E271" s="184"/>
      <c r="F271" s="184"/>
      <c r="G271" s="187"/>
      <c r="I271" s="186"/>
      <c r="J271" s="184"/>
    </row>
    <row r="272" spans="1:10">
      <c r="A272" s="174"/>
      <c r="B272" s="184"/>
      <c r="C272" s="184"/>
      <c r="D272" s="184"/>
      <c r="E272" s="184"/>
      <c r="F272" s="184"/>
      <c r="G272" s="187"/>
      <c r="I272" s="186"/>
      <c r="J272" s="184"/>
    </row>
    <row r="273" spans="1:10">
      <c r="A273" s="174"/>
      <c r="B273" s="184"/>
      <c r="C273" s="184"/>
      <c r="D273" s="184"/>
      <c r="E273" s="184"/>
      <c r="F273" s="184"/>
      <c r="G273" s="187"/>
      <c r="I273" s="186"/>
      <c r="J273" s="184"/>
    </row>
    <row r="274" spans="1:10">
      <c r="A274" s="174"/>
      <c r="B274" s="184"/>
      <c r="C274" s="184"/>
      <c r="D274" s="184"/>
      <c r="E274" s="184"/>
      <c r="F274" s="184"/>
      <c r="G274" s="187"/>
      <c r="I274" s="186"/>
      <c r="J274" s="184"/>
    </row>
    <row r="275" spans="1:10">
      <c r="A275" s="174"/>
      <c r="B275" s="184"/>
      <c r="C275" s="184"/>
      <c r="D275" s="184"/>
      <c r="E275" s="184"/>
      <c r="F275" s="184"/>
      <c r="G275" s="187"/>
      <c r="I275" s="186"/>
      <c r="J275" s="184"/>
    </row>
    <row r="276" spans="1:10">
      <c r="A276" s="174"/>
      <c r="B276" s="184"/>
      <c r="C276" s="184"/>
      <c r="D276" s="184"/>
      <c r="E276" s="184"/>
      <c r="F276" s="184"/>
      <c r="G276" s="187"/>
      <c r="I276" s="186"/>
      <c r="J276" s="184"/>
    </row>
    <row r="277" spans="1:10">
      <c r="A277" s="174"/>
      <c r="B277" s="184"/>
      <c r="C277" s="184"/>
      <c r="D277" s="184"/>
      <c r="E277" s="184"/>
      <c r="F277" s="184"/>
      <c r="G277" s="187"/>
      <c r="I277" s="186"/>
      <c r="J277" s="184"/>
    </row>
    <row r="278" spans="1:10">
      <c r="A278" s="174"/>
      <c r="B278" s="184"/>
      <c r="C278" s="184"/>
      <c r="D278" s="184"/>
      <c r="E278" s="184"/>
      <c r="F278" s="184"/>
      <c r="G278" s="187"/>
      <c r="I278" s="186"/>
      <c r="J278" s="184"/>
    </row>
    <row r="279" spans="1:10">
      <c r="A279" s="174"/>
      <c r="B279" s="184"/>
      <c r="C279" s="184"/>
      <c r="D279" s="184"/>
      <c r="E279" s="184"/>
      <c r="F279" s="184"/>
      <c r="G279" s="187"/>
      <c r="I279" s="186"/>
      <c r="J279" s="184"/>
    </row>
    <row r="280" spans="1:10">
      <c r="A280" s="174"/>
      <c r="B280" s="184"/>
      <c r="C280" s="184"/>
      <c r="D280" s="184"/>
      <c r="E280" s="184"/>
      <c r="F280" s="184"/>
      <c r="G280" s="187"/>
      <c r="I280" s="186"/>
      <c r="J280" s="184"/>
    </row>
    <row r="281" spans="1:10">
      <c r="A281" s="174"/>
      <c r="B281" s="184"/>
      <c r="C281" s="184"/>
      <c r="D281" s="184"/>
      <c r="E281" s="184"/>
      <c r="F281" s="184"/>
      <c r="G281" s="187"/>
      <c r="I281" s="186"/>
      <c r="J281" s="184"/>
    </row>
    <row r="282" spans="1:10">
      <c r="A282" s="174"/>
      <c r="B282" s="184"/>
      <c r="C282" s="184"/>
      <c r="D282" s="184"/>
      <c r="E282" s="184"/>
      <c r="F282" s="184"/>
      <c r="G282" s="187"/>
      <c r="I282" s="186"/>
      <c r="J282" s="184"/>
    </row>
    <row r="283" spans="1:10">
      <c r="A283" s="174"/>
      <c r="B283" s="184"/>
      <c r="C283" s="184"/>
      <c r="D283" s="184"/>
      <c r="E283" s="184"/>
      <c r="F283" s="184"/>
      <c r="G283" s="187"/>
      <c r="I283" s="186"/>
      <c r="J283" s="184"/>
    </row>
    <row r="284" spans="1:10">
      <c r="A284" s="174"/>
      <c r="B284" s="184"/>
      <c r="C284" s="184"/>
      <c r="D284" s="184"/>
      <c r="E284" s="184"/>
      <c r="F284" s="184"/>
      <c r="G284" s="187"/>
      <c r="I284" s="186"/>
      <c r="J284" s="184"/>
    </row>
    <row r="285" spans="1:10">
      <c r="A285" s="174"/>
      <c r="B285" s="184"/>
      <c r="C285" s="184"/>
      <c r="D285" s="184"/>
      <c r="E285" s="184"/>
      <c r="F285" s="184"/>
      <c r="G285" s="187"/>
      <c r="I285" s="186"/>
      <c r="J285" s="184"/>
    </row>
    <row r="286" spans="1:10">
      <c r="A286" s="174"/>
      <c r="B286" s="184"/>
      <c r="C286" s="184"/>
      <c r="D286" s="184"/>
      <c r="E286" s="184"/>
      <c r="F286" s="184"/>
      <c r="G286" s="187"/>
      <c r="I286" s="186"/>
      <c r="J286" s="184"/>
    </row>
    <row r="287" spans="1:10">
      <c r="A287" s="174"/>
      <c r="B287" s="184"/>
      <c r="C287" s="184"/>
      <c r="D287" s="184"/>
      <c r="E287" s="184"/>
      <c r="F287" s="184"/>
      <c r="G287" s="187"/>
      <c r="I287" s="186"/>
      <c r="J287" s="184"/>
    </row>
    <row r="288" spans="1:10">
      <c r="A288" s="174"/>
      <c r="B288" s="184"/>
      <c r="C288" s="184"/>
      <c r="D288" s="184"/>
      <c r="E288" s="184"/>
      <c r="F288" s="184"/>
      <c r="G288" s="187"/>
      <c r="I288" s="186"/>
      <c r="J288" s="184"/>
    </row>
    <row r="289" spans="1:10">
      <c r="A289" s="174"/>
      <c r="B289" s="184"/>
      <c r="C289" s="184"/>
      <c r="D289" s="184"/>
      <c r="E289" s="184"/>
      <c r="F289" s="184"/>
      <c r="G289" s="187"/>
      <c r="I289" s="186"/>
      <c r="J289" s="184"/>
    </row>
    <row r="290" spans="1:10">
      <c r="A290" s="174"/>
      <c r="B290" s="184"/>
      <c r="C290" s="184"/>
      <c r="D290" s="184"/>
      <c r="E290" s="184"/>
      <c r="F290" s="184"/>
      <c r="G290" s="187"/>
      <c r="I290" s="186"/>
      <c r="J290" s="184"/>
    </row>
    <row r="291" spans="1:10">
      <c r="A291" s="174"/>
      <c r="B291" s="184"/>
      <c r="C291" s="184"/>
      <c r="D291" s="184"/>
      <c r="E291" s="184"/>
      <c r="F291" s="184"/>
      <c r="G291" s="187"/>
      <c r="I291" s="186"/>
      <c r="J291" s="184"/>
    </row>
    <row r="292" spans="1:10">
      <c r="A292" s="174"/>
      <c r="B292" s="184"/>
      <c r="C292" s="184"/>
      <c r="D292" s="184"/>
      <c r="E292" s="184"/>
      <c r="F292" s="184"/>
      <c r="G292" s="187"/>
      <c r="I292" s="186"/>
      <c r="J292" s="184"/>
    </row>
    <row r="293" spans="1:10">
      <c r="A293" s="174"/>
      <c r="B293" s="184"/>
      <c r="C293" s="184"/>
      <c r="D293" s="184"/>
      <c r="E293" s="184"/>
      <c r="F293" s="184"/>
      <c r="G293" s="187"/>
      <c r="I293" s="186"/>
      <c r="J293" s="184"/>
    </row>
    <row r="294" spans="1:10">
      <c r="A294" s="174"/>
      <c r="B294" s="184"/>
      <c r="C294" s="184"/>
      <c r="D294" s="184"/>
      <c r="E294" s="184"/>
      <c r="F294" s="184"/>
      <c r="G294" s="187"/>
      <c r="I294" s="186"/>
      <c r="J294" s="184"/>
    </row>
    <row r="295" spans="1:10">
      <c r="A295" s="174"/>
      <c r="B295" s="184"/>
      <c r="C295" s="184"/>
      <c r="D295" s="184"/>
      <c r="E295" s="184"/>
      <c r="F295" s="184"/>
      <c r="G295" s="187"/>
      <c r="I295" s="186"/>
      <c r="J295" s="184"/>
    </row>
    <row r="296" spans="1:10">
      <c r="A296" s="174"/>
      <c r="B296" s="184"/>
      <c r="C296" s="184"/>
      <c r="D296" s="184"/>
      <c r="E296" s="184"/>
      <c r="F296" s="184"/>
      <c r="I296" s="186"/>
      <c r="J296" s="184"/>
    </row>
    <row r="297" spans="1:10">
      <c r="A297" s="174"/>
      <c r="B297" s="184"/>
      <c r="C297" s="184"/>
      <c r="D297" s="184"/>
      <c r="E297" s="184"/>
      <c r="F297" s="184"/>
      <c r="I297" s="186"/>
      <c r="J297" s="184"/>
    </row>
    <row r="298" spans="1:10">
      <c r="A298" s="174"/>
      <c r="B298" s="184"/>
      <c r="C298" s="184"/>
      <c r="D298" s="184"/>
      <c r="E298" s="184"/>
      <c r="F298" s="184"/>
      <c r="I298" s="186"/>
      <c r="J298" s="184"/>
    </row>
    <row r="299" spans="1:10">
      <c r="A299" s="174"/>
      <c r="B299" s="184"/>
      <c r="C299" s="184"/>
      <c r="D299" s="184"/>
      <c r="E299" s="184"/>
      <c r="F299" s="184"/>
      <c r="G299" s="187"/>
      <c r="I299" s="186"/>
      <c r="J299" s="184"/>
    </row>
    <row r="300" spans="1:10">
      <c r="A300" s="174"/>
      <c r="B300" s="184"/>
      <c r="C300" s="184"/>
      <c r="D300" s="184"/>
      <c r="E300" s="184"/>
      <c r="F300" s="184"/>
      <c r="G300" s="187"/>
      <c r="I300" s="186"/>
      <c r="J300" s="184"/>
    </row>
    <row r="301" spans="1:10">
      <c r="A301" s="174"/>
      <c r="B301" s="184"/>
      <c r="C301" s="184"/>
      <c r="D301" s="184"/>
      <c r="E301" s="184"/>
      <c r="F301" s="184"/>
      <c r="G301" s="187"/>
      <c r="I301" s="186"/>
      <c r="J301" s="184"/>
    </row>
    <row r="302" spans="1:10">
      <c r="A302" s="174"/>
      <c r="B302" s="184"/>
      <c r="C302" s="184"/>
      <c r="D302" s="184"/>
      <c r="E302" s="184"/>
      <c r="F302" s="184"/>
      <c r="G302" s="187"/>
      <c r="I302" s="186"/>
      <c r="J302" s="184"/>
    </row>
    <row r="303" spans="1:10">
      <c r="A303" s="174"/>
      <c r="B303" s="184"/>
      <c r="C303" s="184"/>
      <c r="D303" s="184"/>
      <c r="E303" s="184"/>
      <c r="F303" s="184"/>
      <c r="G303" s="187"/>
      <c r="I303" s="186"/>
      <c r="J303" s="184"/>
    </row>
    <row r="304" spans="1:10">
      <c r="A304" s="174"/>
      <c r="B304" s="184"/>
      <c r="C304" s="184"/>
      <c r="D304" s="184"/>
      <c r="E304" s="184"/>
      <c r="F304" s="184"/>
      <c r="G304" s="187"/>
      <c r="I304" s="186"/>
      <c r="J304" s="184"/>
    </row>
    <row r="305" spans="1:10">
      <c r="A305" s="174"/>
      <c r="B305" s="184"/>
      <c r="C305" s="184"/>
      <c r="D305" s="184"/>
      <c r="E305" s="184"/>
      <c r="F305" s="184"/>
      <c r="G305" s="187"/>
      <c r="I305" s="186"/>
      <c r="J305" s="184"/>
    </row>
    <row r="306" spans="1:10">
      <c r="A306" s="174"/>
      <c r="B306" s="184"/>
      <c r="C306" s="184"/>
      <c r="D306" s="184"/>
      <c r="E306" s="184"/>
      <c r="F306" s="184"/>
      <c r="G306" s="187"/>
      <c r="I306" s="186"/>
      <c r="J306" s="184"/>
    </row>
    <row r="307" spans="1:10">
      <c r="A307" s="174"/>
      <c r="B307" s="184"/>
      <c r="C307" s="184"/>
      <c r="D307" s="184"/>
      <c r="E307" s="184"/>
      <c r="F307" s="184"/>
      <c r="G307" s="187"/>
      <c r="I307" s="186"/>
      <c r="J307" s="184"/>
    </row>
    <row r="308" spans="1:10">
      <c r="A308" s="174"/>
      <c r="B308" s="184"/>
      <c r="C308" s="184"/>
      <c r="D308" s="184"/>
      <c r="E308" s="184"/>
      <c r="F308" s="184"/>
      <c r="G308" s="187"/>
      <c r="I308" s="186"/>
      <c r="J308" s="184"/>
    </row>
    <row r="309" spans="1:10">
      <c r="A309" s="174"/>
      <c r="B309" s="184"/>
      <c r="C309" s="184"/>
      <c r="D309" s="184"/>
      <c r="E309" s="184"/>
      <c r="F309" s="184"/>
      <c r="I309" s="186"/>
      <c r="J309" s="184"/>
    </row>
    <row r="310" spans="1:10">
      <c r="A310" s="174"/>
      <c r="B310" s="184"/>
      <c r="C310" s="184"/>
      <c r="D310" s="184"/>
      <c r="E310" s="184"/>
      <c r="F310" s="184"/>
      <c r="I310" s="186"/>
      <c r="J310" s="184"/>
    </row>
    <row r="311" spans="1:10">
      <c r="A311" s="174"/>
      <c r="B311" s="184"/>
      <c r="C311" s="184"/>
      <c r="D311" s="184"/>
      <c r="E311" s="184"/>
      <c r="F311" s="184"/>
      <c r="I311" s="186"/>
      <c r="J311" s="184"/>
    </row>
    <row r="312" spans="1:10">
      <c r="A312" s="174"/>
      <c r="B312" s="184"/>
      <c r="C312" s="184"/>
      <c r="D312" s="184"/>
      <c r="E312" s="184"/>
      <c r="F312" s="184"/>
      <c r="I312" s="186"/>
      <c r="J312" s="184"/>
    </row>
    <row r="313" spans="1:10">
      <c r="A313" s="174"/>
      <c r="B313" s="184"/>
      <c r="C313" s="184"/>
      <c r="D313" s="184"/>
      <c r="E313" s="184"/>
      <c r="F313" s="184"/>
      <c r="I313" s="186"/>
      <c r="J313" s="184"/>
    </row>
    <row r="314" spans="1:10">
      <c r="A314" s="174"/>
      <c r="B314" s="184"/>
      <c r="C314" s="184"/>
      <c r="D314" s="184"/>
      <c r="E314" s="184"/>
      <c r="F314" s="184"/>
      <c r="I314" s="186"/>
      <c r="J314" s="184"/>
    </row>
    <row r="315" spans="1:10">
      <c r="A315" s="174"/>
      <c r="B315" s="184"/>
      <c r="C315" s="184"/>
      <c r="D315" s="184"/>
      <c r="E315" s="184"/>
      <c r="F315" s="184"/>
      <c r="I315" s="186"/>
      <c r="J315" s="184"/>
    </row>
    <row r="316" spans="1:10">
      <c r="A316" s="174"/>
      <c r="B316" s="184"/>
      <c r="C316" s="184"/>
      <c r="D316" s="184"/>
      <c r="E316" s="184"/>
      <c r="F316" s="184"/>
      <c r="I316" s="186"/>
      <c r="J316" s="184"/>
    </row>
    <row r="317" spans="1:10">
      <c r="A317" s="174"/>
      <c r="B317" s="184"/>
      <c r="C317" s="184"/>
      <c r="D317" s="184"/>
      <c r="E317" s="184"/>
      <c r="F317" s="184"/>
      <c r="I317" s="186"/>
      <c r="J317" s="184"/>
    </row>
    <row r="318" spans="1:10">
      <c r="A318" s="174"/>
      <c r="B318" s="184"/>
      <c r="C318" s="184"/>
      <c r="D318" s="184"/>
      <c r="E318" s="184"/>
      <c r="F318" s="184"/>
      <c r="G318" s="187"/>
      <c r="I318" s="186"/>
      <c r="J318" s="184"/>
    </row>
    <row r="319" spans="1:10">
      <c r="A319" s="174"/>
      <c r="B319" s="184"/>
      <c r="C319" s="184"/>
      <c r="D319" s="184"/>
      <c r="E319" s="184"/>
      <c r="F319" s="184"/>
      <c r="G319" s="187"/>
      <c r="I319" s="186"/>
      <c r="J319" s="184"/>
    </row>
    <row r="320" spans="1:10">
      <c r="A320" s="174"/>
      <c r="B320" s="184"/>
      <c r="C320" s="184"/>
      <c r="D320" s="184"/>
      <c r="E320" s="184"/>
      <c r="F320" s="184"/>
      <c r="I320" s="186"/>
      <c r="J320" s="184"/>
    </row>
    <row r="321" spans="1:10">
      <c r="A321" s="174"/>
      <c r="B321" s="184"/>
      <c r="C321" s="184"/>
      <c r="D321" s="184"/>
      <c r="E321" s="184"/>
      <c r="F321" s="184"/>
      <c r="I321" s="186"/>
      <c r="J321" s="184"/>
    </row>
    <row r="322" spans="1:10">
      <c r="A322" s="174"/>
      <c r="B322" s="184"/>
      <c r="C322" s="184"/>
      <c r="D322" s="184"/>
      <c r="E322" s="184"/>
      <c r="F322" s="184"/>
      <c r="G322" s="187"/>
      <c r="I322" s="186"/>
      <c r="J322" s="184"/>
    </row>
    <row r="323" spans="1:10">
      <c r="A323" s="174"/>
      <c r="B323" s="184"/>
      <c r="C323" s="184"/>
      <c r="D323" s="184"/>
      <c r="E323" s="184"/>
      <c r="F323" s="184"/>
      <c r="I323" s="186"/>
      <c r="J323" s="184"/>
    </row>
    <row r="324" spans="1:10">
      <c r="A324" s="174"/>
      <c r="B324" s="184"/>
      <c r="C324" s="184"/>
      <c r="D324" s="184"/>
      <c r="E324" s="184"/>
      <c r="F324" s="184"/>
      <c r="I324" s="186"/>
      <c r="J324" s="184"/>
    </row>
    <row r="325" spans="1:10">
      <c r="A325" s="174"/>
      <c r="B325" s="184"/>
      <c r="C325" s="184"/>
      <c r="D325" s="184"/>
      <c r="E325" s="184"/>
      <c r="F325" s="184"/>
      <c r="I325" s="186"/>
      <c r="J325" s="184"/>
    </row>
    <row r="326" spans="1:10">
      <c r="A326" s="174"/>
      <c r="B326" s="184"/>
      <c r="C326" s="184"/>
      <c r="D326" s="184"/>
      <c r="E326" s="184"/>
      <c r="F326" s="184"/>
      <c r="I326" s="186"/>
      <c r="J326" s="184"/>
    </row>
    <row r="327" spans="1:10">
      <c r="A327" s="174"/>
      <c r="B327" s="184"/>
      <c r="C327" s="184"/>
      <c r="D327" s="184"/>
      <c r="E327" s="184"/>
      <c r="F327" s="184"/>
      <c r="I327" s="186"/>
      <c r="J327" s="184"/>
    </row>
    <row r="328" spans="1:10">
      <c r="A328" s="174"/>
      <c r="B328" s="184"/>
      <c r="C328" s="184"/>
      <c r="D328" s="184"/>
      <c r="E328" s="184"/>
      <c r="F328" s="184"/>
      <c r="I328" s="186"/>
      <c r="J328" s="184"/>
    </row>
    <row r="329" spans="1:10">
      <c r="A329" s="174"/>
      <c r="B329" s="184"/>
      <c r="C329" s="184"/>
      <c r="D329" s="184"/>
      <c r="E329" s="184"/>
      <c r="F329" s="184"/>
      <c r="I329" s="186"/>
      <c r="J329" s="184"/>
    </row>
    <row r="330" spans="1:10">
      <c r="A330" s="174"/>
      <c r="B330" s="184"/>
      <c r="C330" s="184"/>
      <c r="D330" s="184"/>
      <c r="E330" s="184"/>
      <c r="F330" s="184"/>
      <c r="I330" s="186"/>
      <c r="J330" s="184"/>
    </row>
    <row r="331" spans="1:10">
      <c r="A331" s="174"/>
      <c r="B331" s="184"/>
      <c r="C331" s="184"/>
      <c r="D331" s="184"/>
      <c r="E331" s="184"/>
      <c r="F331" s="184"/>
      <c r="I331" s="186"/>
      <c r="J331" s="184"/>
    </row>
    <row r="332" spans="1:10">
      <c r="A332" s="174"/>
      <c r="B332" s="184"/>
      <c r="C332" s="184"/>
      <c r="D332" s="184"/>
      <c r="E332" s="184"/>
      <c r="F332" s="184"/>
      <c r="I332" s="186"/>
      <c r="J332" s="184"/>
    </row>
    <row r="333" spans="1:10">
      <c r="A333" s="174"/>
      <c r="B333" s="184"/>
      <c r="C333" s="184"/>
      <c r="D333" s="184"/>
      <c r="E333" s="184"/>
      <c r="F333" s="184"/>
      <c r="I333" s="186"/>
      <c r="J333" s="184"/>
    </row>
    <row r="334" spans="1:10">
      <c r="A334" s="174"/>
      <c r="B334" s="184"/>
      <c r="C334" s="184"/>
      <c r="D334" s="184"/>
      <c r="E334" s="184"/>
      <c r="F334" s="184"/>
      <c r="I334" s="186"/>
      <c r="J334" s="184"/>
    </row>
    <row r="335" spans="1:10">
      <c r="A335" s="174"/>
      <c r="B335" s="184"/>
      <c r="C335" s="184"/>
      <c r="D335" s="184"/>
      <c r="E335" s="184"/>
      <c r="F335" s="184"/>
      <c r="I335" s="186"/>
      <c r="J335" s="184"/>
    </row>
    <row r="336" spans="1:10">
      <c r="A336" s="174"/>
      <c r="B336" s="184"/>
      <c r="C336" s="184"/>
      <c r="D336" s="184"/>
      <c r="E336" s="184"/>
      <c r="F336" s="184"/>
      <c r="I336" s="186"/>
      <c r="J336" s="184"/>
    </row>
    <row r="337" spans="1:10">
      <c r="A337" s="174"/>
      <c r="B337" s="184"/>
      <c r="C337" s="184"/>
      <c r="D337" s="184"/>
      <c r="E337" s="184"/>
      <c r="F337" s="184"/>
      <c r="G337" s="187"/>
      <c r="I337" s="186"/>
      <c r="J337" s="184"/>
    </row>
    <row r="338" spans="1:10">
      <c r="A338" s="174"/>
      <c r="B338" s="184"/>
      <c r="C338" s="184"/>
      <c r="D338" s="184"/>
      <c r="E338" s="184"/>
      <c r="F338" s="184"/>
      <c r="I338" s="186"/>
      <c r="J338" s="184"/>
    </row>
    <row r="339" spans="1:10">
      <c r="A339" s="174"/>
      <c r="B339" s="184"/>
      <c r="C339" s="184"/>
      <c r="D339" s="184"/>
      <c r="E339" s="184"/>
      <c r="F339" s="184"/>
      <c r="I339" s="186"/>
      <c r="J339" s="184"/>
    </row>
    <row r="340" spans="1:10">
      <c r="A340" s="174"/>
      <c r="B340" s="184"/>
      <c r="C340" s="184"/>
      <c r="D340" s="184"/>
      <c r="E340" s="184"/>
      <c r="F340" s="184"/>
      <c r="I340" s="186"/>
      <c r="J340" s="184"/>
    </row>
    <row r="341" spans="1:10">
      <c r="A341" s="174"/>
      <c r="B341" s="184"/>
      <c r="C341" s="184"/>
      <c r="D341" s="184"/>
      <c r="E341" s="184"/>
      <c r="F341" s="184"/>
      <c r="I341" s="186"/>
      <c r="J341" s="184"/>
    </row>
    <row r="342" spans="1:10">
      <c r="A342" s="174"/>
      <c r="B342" s="184"/>
      <c r="C342" s="184"/>
      <c r="D342" s="184"/>
      <c r="E342" s="184"/>
      <c r="F342" s="184"/>
      <c r="I342" s="186"/>
      <c r="J342" s="184"/>
    </row>
    <row r="343" spans="1:10">
      <c r="A343" s="174"/>
      <c r="B343" s="184"/>
      <c r="C343" s="184"/>
      <c r="D343" s="184"/>
      <c r="E343" s="184"/>
      <c r="F343" s="184"/>
      <c r="G343" s="187"/>
      <c r="I343" s="186"/>
      <c r="J343" s="184"/>
    </row>
    <row r="344" spans="1:10">
      <c r="A344" s="174"/>
      <c r="B344" s="184"/>
      <c r="C344" s="184"/>
      <c r="D344" s="184"/>
      <c r="E344" s="184"/>
      <c r="F344" s="184"/>
      <c r="G344" s="187"/>
      <c r="I344" s="186"/>
      <c r="J344" s="184"/>
    </row>
    <row r="345" spans="1:10">
      <c r="A345" s="174"/>
      <c r="B345" s="184"/>
      <c r="C345" s="184"/>
      <c r="D345" s="184"/>
      <c r="E345" s="184"/>
      <c r="F345" s="184"/>
      <c r="G345" s="187"/>
      <c r="I345" s="186"/>
      <c r="J345" s="184"/>
    </row>
    <row r="346" spans="1:10">
      <c r="A346" s="174"/>
      <c r="B346" s="184"/>
      <c r="C346" s="184"/>
      <c r="D346" s="184"/>
      <c r="E346" s="184"/>
      <c r="F346" s="184"/>
      <c r="I346" s="186"/>
      <c r="J346" s="184"/>
    </row>
    <row r="347" spans="1:10">
      <c r="A347" s="174"/>
      <c r="B347" s="184"/>
      <c r="C347" s="184"/>
      <c r="D347" s="184"/>
      <c r="E347" s="184"/>
      <c r="F347" s="184"/>
      <c r="I347" s="186"/>
      <c r="J347" s="184"/>
    </row>
    <row r="348" spans="1:10">
      <c r="A348" s="174"/>
      <c r="B348" s="184"/>
      <c r="C348" s="184"/>
      <c r="D348" s="184"/>
      <c r="E348" s="184"/>
      <c r="F348" s="184"/>
      <c r="I348" s="186"/>
      <c r="J348" s="184"/>
    </row>
    <row r="349" spans="1:10">
      <c r="A349" s="174"/>
      <c r="B349" s="184"/>
      <c r="C349" s="184"/>
      <c r="D349" s="184"/>
      <c r="E349" s="184"/>
      <c r="F349" s="184"/>
      <c r="I349" s="186"/>
      <c r="J349" s="184"/>
    </row>
    <row r="350" spans="1:10">
      <c r="A350" s="174"/>
      <c r="B350" s="184"/>
      <c r="C350" s="184"/>
      <c r="D350" s="184"/>
      <c r="E350" s="184"/>
      <c r="F350" s="184"/>
      <c r="I350" s="186"/>
      <c r="J350" s="184"/>
    </row>
    <row r="351" spans="1:10">
      <c r="A351" s="174"/>
      <c r="B351" s="184"/>
      <c r="C351" s="184"/>
      <c r="D351" s="184"/>
      <c r="E351" s="184"/>
      <c r="F351" s="184"/>
      <c r="G351" s="187"/>
      <c r="I351" s="186"/>
      <c r="J351" s="184"/>
    </row>
    <row r="352" spans="1:10">
      <c r="A352" s="174"/>
      <c r="B352" s="184"/>
      <c r="C352" s="184"/>
      <c r="D352" s="184"/>
      <c r="E352" s="184"/>
      <c r="F352" s="184"/>
      <c r="G352" s="187"/>
      <c r="I352" s="186"/>
      <c r="J352" s="184"/>
    </row>
    <row r="353" spans="1:10">
      <c r="A353" s="174"/>
      <c r="B353" s="184"/>
      <c r="C353" s="184"/>
      <c r="D353" s="184"/>
      <c r="E353" s="184"/>
      <c r="F353" s="184"/>
      <c r="G353" s="187"/>
      <c r="I353" s="186"/>
      <c r="J353" s="184"/>
    </row>
    <row r="354" spans="1:10">
      <c r="A354" s="174"/>
      <c r="B354" s="184"/>
      <c r="C354" s="184"/>
      <c r="D354" s="184"/>
      <c r="E354" s="184"/>
      <c r="F354" s="184"/>
      <c r="G354" s="187"/>
      <c r="I354" s="186"/>
      <c r="J354" s="184"/>
    </row>
    <row r="355" spans="1:10">
      <c r="A355" s="174"/>
      <c r="B355" s="184"/>
      <c r="C355" s="184"/>
      <c r="D355" s="184"/>
      <c r="E355" s="184"/>
      <c r="F355" s="184"/>
      <c r="G355" s="187"/>
      <c r="I355" s="186"/>
      <c r="J355" s="184"/>
    </row>
    <row r="356" spans="1:10">
      <c r="A356" s="174"/>
      <c r="B356" s="184"/>
      <c r="C356" s="184"/>
      <c r="D356" s="184"/>
      <c r="E356" s="184"/>
      <c r="F356" s="184"/>
      <c r="G356" s="187"/>
      <c r="I356" s="186"/>
      <c r="J356" s="184"/>
    </row>
    <row r="357" spans="1:10">
      <c r="A357" s="174"/>
      <c r="B357" s="184"/>
      <c r="C357" s="184"/>
      <c r="D357" s="184"/>
      <c r="E357" s="184"/>
      <c r="F357" s="184"/>
      <c r="G357" s="187"/>
      <c r="I357" s="186"/>
      <c r="J357" s="184"/>
    </row>
    <row r="358" spans="1:10">
      <c r="A358" s="174"/>
      <c r="B358" s="184"/>
      <c r="C358" s="184"/>
      <c r="D358" s="184"/>
      <c r="E358" s="184"/>
      <c r="F358" s="184"/>
      <c r="G358" s="187"/>
      <c r="I358" s="186"/>
      <c r="J358" s="184"/>
    </row>
    <row r="359" spans="1:10">
      <c r="A359" s="174"/>
      <c r="B359" s="184"/>
      <c r="C359" s="184"/>
      <c r="D359" s="184"/>
      <c r="E359" s="184"/>
      <c r="F359" s="184"/>
      <c r="G359" s="187"/>
      <c r="I359" s="186"/>
      <c r="J359" s="184"/>
    </row>
    <row r="360" spans="1:10">
      <c r="A360" s="174"/>
      <c r="B360" s="184"/>
      <c r="C360" s="184"/>
      <c r="D360" s="184"/>
      <c r="E360" s="184"/>
      <c r="F360" s="184"/>
      <c r="G360" s="187"/>
      <c r="I360" s="186"/>
      <c r="J360" s="184"/>
    </row>
    <row r="361" spans="1:10">
      <c r="A361" s="174"/>
      <c r="B361" s="184"/>
      <c r="C361" s="184"/>
      <c r="D361" s="184"/>
      <c r="E361" s="184"/>
      <c r="F361" s="184"/>
      <c r="G361" s="187"/>
      <c r="I361" s="186"/>
      <c r="J361" s="184"/>
    </row>
    <row r="362" spans="1:10">
      <c r="A362" s="174"/>
      <c r="B362" s="184"/>
      <c r="C362" s="184"/>
      <c r="D362" s="184"/>
      <c r="E362" s="184"/>
      <c r="F362" s="184"/>
      <c r="I362" s="186"/>
      <c r="J362" s="184"/>
    </row>
    <row r="363" spans="1:10">
      <c r="A363" s="174"/>
      <c r="B363" s="184"/>
      <c r="C363" s="184"/>
      <c r="D363" s="184"/>
      <c r="E363" s="184"/>
      <c r="F363" s="184"/>
      <c r="G363" s="187"/>
      <c r="I363" s="186"/>
      <c r="J363" s="184"/>
    </row>
    <row r="364" spans="1:10">
      <c r="A364" s="174"/>
      <c r="B364" s="184"/>
      <c r="C364" s="184"/>
      <c r="D364" s="184"/>
      <c r="E364" s="184"/>
      <c r="F364" s="184"/>
      <c r="I364" s="186"/>
      <c r="J364" s="184"/>
    </row>
    <row r="365" spans="1:10">
      <c r="A365" s="174"/>
      <c r="B365" s="184"/>
      <c r="C365" s="184"/>
      <c r="D365" s="184"/>
      <c r="E365" s="184"/>
      <c r="F365" s="184"/>
      <c r="G365" s="187"/>
      <c r="I365" s="186"/>
      <c r="J365" s="184"/>
    </row>
    <row r="366" spans="1:10">
      <c r="A366" s="174"/>
      <c r="B366" s="184"/>
      <c r="C366" s="184"/>
      <c r="D366" s="184"/>
      <c r="E366" s="184"/>
      <c r="F366" s="184"/>
      <c r="I366" s="186"/>
      <c r="J366" s="184"/>
    </row>
    <row r="367" spans="1:10">
      <c r="A367" s="174"/>
      <c r="B367" s="184"/>
      <c r="C367" s="184"/>
      <c r="D367" s="184"/>
      <c r="E367" s="184"/>
      <c r="F367" s="184"/>
      <c r="G367" s="187"/>
      <c r="I367" s="186"/>
      <c r="J367" s="184"/>
    </row>
    <row r="368" spans="1:10">
      <c r="A368" s="174"/>
      <c r="B368" s="184"/>
      <c r="C368" s="184"/>
      <c r="D368" s="184"/>
      <c r="E368" s="184"/>
      <c r="F368" s="184"/>
      <c r="I368" s="186"/>
      <c r="J368" s="184"/>
    </row>
    <row r="369" spans="1:10">
      <c r="A369" s="174"/>
      <c r="B369" s="184"/>
      <c r="C369" s="184"/>
      <c r="D369" s="184"/>
      <c r="E369" s="184"/>
      <c r="F369" s="184"/>
      <c r="I369" s="186"/>
      <c r="J369" s="184"/>
    </row>
    <row r="370" spans="1:10">
      <c r="A370" s="174"/>
      <c r="B370" s="184"/>
      <c r="C370" s="184"/>
      <c r="D370" s="184"/>
      <c r="E370" s="184"/>
      <c r="F370" s="184"/>
      <c r="I370" s="186"/>
      <c r="J370" s="184"/>
    </row>
    <row r="371" spans="1:10">
      <c r="A371" s="174"/>
      <c r="B371" s="184"/>
      <c r="C371" s="184"/>
      <c r="D371" s="184"/>
      <c r="E371" s="184"/>
      <c r="F371" s="184"/>
      <c r="I371" s="186"/>
      <c r="J371" s="184"/>
    </row>
    <row r="372" spans="1:10">
      <c r="A372" s="174"/>
      <c r="B372" s="184"/>
      <c r="C372" s="184"/>
      <c r="D372" s="184"/>
      <c r="E372" s="184"/>
      <c r="F372" s="184"/>
      <c r="I372" s="186"/>
      <c r="J372" s="184"/>
    </row>
    <row r="373" spans="1:10">
      <c r="A373" s="174"/>
      <c r="B373" s="184"/>
      <c r="C373" s="184"/>
      <c r="D373" s="184"/>
      <c r="E373" s="184"/>
      <c r="F373" s="184"/>
      <c r="G373" s="187"/>
      <c r="I373" s="186"/>
      <c r="J373" s="184"/>
    </row>
    <row r="374" spans="1:10">
      <c r="A374" s="174"/>
      <c r="B374" s="184"/>
      <c r="C374" s="184"/>
      <c r="D374" s="184"/>
      <c r="E374" s="184"/>
      <c r="F374" s="184"/>
      <c r="I374" s="186"/>
      <c r="J374" s="184"/>
    </row>
    <row r="375" spans="1:10">
      <c r="A375" s="174"/>
      <c r="B375" s="184"/>
      <c r="C375" s="184"/>
      <c r="D375" s="184"/>
      <c r="E375" s="184"/>
      <c r="F375" s="184"/>
      <c r="I375" s="186"/>
      <c r="J375" s="184"/>
    </row>
    <row r="376" spans="1:10">
      <c r="A376" s="174"/>
      <c r="B376" s="184"/>
      <c r="C376" s="184"/>
      <c r="D376" s="184"/>
      <c r="E376" s="184"/>
      <c r="F376" s="184"/>
      <c r="I376" s="186"/>
      <c r="J376" s="184"/>
    </row>
    <row r="377" spans="1:10">
      <c r="A377" s="174"/>
      <c r="B377" s="184"/>
      <c r="C377" s="184"/>
      <c r="D377" s="184"/>
      <c r="E377" s="184"/>
      <c r="F377" s="184"/>
      <c r="G377" s="187"/>
      <c r="I377" s="186"/>
      <c r="J377" s="184"/>
    </row>
    <row r="378" spans="1:10">
      <c r="A378" s="174"/>
      <c r="B378" s="184"/>
      <c r="C378" s="184"/>
      <c r="D378" s="184"/>
      <c r="E378" s="184"/>
      <c r="F378" s="184"/>
      <c r="G378" s="187"/>
      <c r="I378" s="186"/>
      <c r="J378" s="184"/>
    </row>
    <row r="379" spans="1:10">
      <c r="A379" s="174"/>
      <c r="B379" s="184"/>
      <c r="C379" s="184"/>
      <c r="D379" s="184"/>
      <c r="E379" s="184"/>
      <c r="F379" s="184"/>
      <c r="G379" s="187"/>
      <c r="I379" s="186"/>
      <c r="J379" s="184"/>
    </row>
    <row r="380" spans="1:10">
      <c r="A380" s="174"/>
      <c r="B380" s="184"/>
      <c r="C380" s="184"/>
      <c r="D380" s="184"/>
      <c r="E380" s="184"/>
      <c r="F380" s="184"/>
      <c r="I380" s="186"/>
      <c r="J380" s="184"/>
    </row>
    <row r="381" spans="1:10">
      <c r="A381" s="174"/>
      <c r="B381" s="184"/>
      <c r="C381" s="184"/>
      <c r="D381" s="184"/>
      <c r="E381" s="184"/>
      <c r="F381" s="184"/>
      <c r="G381" s="187"/>
      <c r="I381" s="186"/>
      <c r="J381" s="184"/>
    </row>
    <row r="382" spans="1:10">
      <c r="A382" s="174"/>
      <c r="B382" s="184"/>
      <c r="C382" s="184"/>
      <c r="D382" s="184"/>
      <c r="E382" s="184"/>
      <c r="F382" s="184"/>
      <c r="I382" s="186"/>
      <c r="J382" s="184"/>
    </row>
    <row r="383" spans="1:10">
      <c r="A383" s="174"/>
      <c r="B383" s="184"/>
      <c r="C383" s="184"/>
      <c r="D383" s="184"/>
      <c r="E383" s="184"/>
      <c r="F383" s="184"/>
      <c r="G383" s="187"/>
      <c r="I383" s="186"/>
      <c r="J383" s="184"/>
    </row>
    <row r="384" spans="1:10">
      <c r="A384" s="174"/>
      <c r="B384" s="184"/>
      <c r="C384" s="184"/>
      <c r="D384" s="184"/>
      <c r="E384" s="184"/>
      <c r="F384" s="184"/>
      <c r="I384" s="186"/>
      <c r="J384" s="184"/>
    </row>
    <row r="385" spans="1:10">
      <c r="A385" s="174"/>
      <c r="B385" s="184"/>
      <c r="C385" s="184"/>
      <c r="D385" s="184"/>
      <c r="E385" s="184"/>
      <c r="F385" s="184"/>
      <c r="I385" s="186"/>
      <c r="J385" s="184"/>
    </row>
    <row r="386" spans="1:10">
      <c r="A386" s="174"/>
      <c r="B386" s="184"/>
      <c r="C386" s="184"/>
      <c r="D386" s="184"/>
      <c r="E386" s="184"/>
      <c r="F386" s="184"/>
      <c r="I386" s="186"/>
      <c r="J386" s="184"/>
    </row>
    <row r="387" spans="1:10">
      <c r="A387" s="174"/>
      <c r="B387" s="184"/>
      <c r="C387" s="184"/>
      <c r="D387" s="184"/>
      <c r="E387" s="184"/>
      <c r="F387" s="184"/>
      <c r="I387" s="186"/>
      <c r="J387" s="184"/>
    </row>
    <row r="388" spans="1:10">
      <c r="A388" s="174"/>
      <c r="B388" s="184"/>
      <c r="C388" s="184"/>
      <c r="D388" s="184"/>
      <c r="E388" s="184"/>
      <c r="F388" s="184"/>
      <c r="I388" s="186"/>
      <c r="J388" s="184"/>
    </row>
    <row r="389" spans="1:10">
      <c r="A389" s="174"/>
      <c r="B389" s="184"/>
      <c r="C389" s="184"/>
      <c r="D389" s="184"/>
      <c r="E389" s="184"/>
      <c r="F389" s="184"/>
      <c r="G389" s="187"/>
      <c r="I389" s="186"/>
      <c r="J389" s="184"/>
    </row>
    <row r="390" spans="1:10">
      <c r="A390" s="174"/>
      <c r="B390" s="184"/>
      <c r="C390" s="184"/>
      <c r="D390" s="184"/>
      <c r="E390" s="184"/>
      <c r="F390" s="184"/>
      <c r="I390" s="186"/>
      <c r="J390" s="184"/>
    </row>
    <row r="391" spans="1:10">
      <c r="A391" s="174"/>
      <c r="B391" s="184"/>
      <c r="C391" s="184"/>
      <c r="D391" s="184"/>
      <c r="E391" s="184"/>
      <c r="F391" s="184"/>
      <c r="G391" s="187"/>
      <c r="I391" s="186"/>
      <c r="J391" s="184"/>
    </row>
    <row r="392" spans="1:10">
      <c r="A392" s="174"/>
      <c r="B392" s="184"/>
      <c r="C392" s="184"/>
      <c r="D392" s="184"/>
      <c r="E392" s="184"/>
      <c r="F392" s="184"/>
      <c r="I392" s="186"/>
      <c r="J392" s="184"/>
    </row>
    <row r="393" spans="1:10">
      <c r="A393" s="174"/>
      <c r="B393" s="184"/>
      <c r="C393" s="184"/>
      <c r="D393" s="184"/>
      <c r="E393" s="184"/>
      <c r="F393" s="184"/>
      <c r="I393" s="186"/>
      <c r="J393" s="184"/>
    </row>
    <row r="394" spans="1:10">
      <c r="A394" s="174"/>
      <c r="B394" s="184"/>
      <c r="C394" s="184"/>
      <c r="D394" s="184"/>
      <c r="E394" s="184"/>
      <c r="F394" s="184"/>
      <c r="I394" s="186"/>
      <c r="J394" s="184"/>
    </row>
    <row r="395" spans="1:10">
      <c r="A395" s="174"/>
      <c r="B395" s="184"/>
      <c r="C395" s="184"/>
      <c r="D395" s="184"/>
      <c r="E395" s="184"/>
      <c r="F395" s="184"/>
      <c r="I395" s="186"/>
      <c r="J395" s="184"/>
    </row>
    <row r="396" spans="1:10">
      <c r="A396" s="174"/>
      <c r="B396" s="184"/>
      <c r="C396" s="184"/>
      <c r="D396" s="184"/>
      <c r="E396" s="184"/>
      <c r="F396" s="184"/>
      <c r="I396" s="186"/>
      <c r="J396" s="184"/>
    </row>
    <row r="397" spans="1:10">
      <c r="A397" s="174"/>
      <c r="B397" s="184"/>
      <c r="C397" s="184"/>
      <c r="D397" s="184"/>
      <c r="E397" s="184"/>
      <c r="F397" s="184"/>
      <c r="I397" s="186"/>
      <c r="J397" s="184"/>
    </row>
    <row r="398" spans="1:10">
      <c r="A398" s="174"/>
      <c r="B398" s="184"/>
      <c r="C398" s="184"/>
      <c r="D398" s="184"/>
      <c r="E398" s="184"/>
      <c r="F398" s="184"/>
      <c r="I398" s="186"/>
      <c r="J398" s="184"/>
    </row>
    <row r="399" spans="1:10">
      <c r="A399" s="174"/>
      <c r="B399" s="184"/>
      <c r="C399" s="184"/>
      <c r="D399" s="184"/>
      <c r="E399" s="184"/>
      <c r="F399" s="184"/>
      <c r="G399" s="187"/>
      <c r="I399" s="186"/>
      <c r="J399" s="184"/>
    </row>
    <row r="400" spans="1:10">
      <c r="A400" s="174"/>
      <c r="B400" s="184"/>
      <c r="C400" s="184"/>
      <c r="D400" s="184"/>
      <c r="E400" s="184"/>
      <c r="F400" s="184"/>
      <c r="I400" s="186"/>
      <c r="J400" s="184"/>
    </row>
    <row r="401" spans="1:10">
      <c r="A401" s="174"/>
      <c r="B401" s="184"/>
      <c r="C401" s="184"/>
      <c r="D401" s="184"/>
      <c r="E401" s="184"/>
      <c r="F401" s="184"/>
      <c r="I401" s="186"/>
      <c r="J401" s="184"/>
    </row>
    <row r="402" spans="1:10">
      <c r="A402" s="174"/>
      <c r="B402" s="184"/>
      <c r="C402" s="184"/>
      <c r="D402" s="184"/>
      <c r="E402" s="184"/>
      <c r="F402" s="184"/>
      <c r="I402" s="186"/>
      <c r="J402" s="184"/>
    </row>
    <row r="403" spans="1:10">
      <c r="A403" s="174"/>
      <c r="B403" s="184"/>
      <c r="C403" s="184"/>
      <c r="D403" s="184"/>
      <c r="E403" s="184"/>
      <c r="F403" s="184"/>
      <c r="I403" s="186"/>
      <c r="J403" s="184"/>
    </row>
    <row r="404" spans="1:10">
      <c r="A404" s="174"/>
      <c r="B404" s="184"/>
      <c r="C404" s="184"/>
      <c r="D404" s="184"/>
      <c r="E404" s="184"/>
      <c r="F404" s="184"/>
      <c r="I404" s="186"/>
      <c r="J404" s="184"/>
    </row>
    <row r="405" spans="1:10">
      <c r="A405" s="174"/>
      <c r="B405" s="184"/>
      <c r="C405" s="184"/>
      <c r="D405" s="184"/>
      <c r="E405" s="184"/>
      <c r="F405" s="184"/>
      <c r="I405" s="186"/>
      <c r="J405" s="184"/>
    </row>
    <row r="406" spans="1:10">
      <c r="A406" s="174"/>
      <c r="B406" s="184"/>
      <c r="C406" s="184"/>
      <c r="D406" s="184"/>
      <c r="E406" s="184"/>
      <c r="F406" s="184"/>
      <c r="I406" s="186"/>
      <c r="J406" s="184"/>
    </row>
    <row r="407" spans="1:10">
      <c r="A407" s="174"/>
      <c r="B407" s="184"/>
      <c r="C407" s="184"/>
      <c r="D407" s="184"/>
      <c r="E407" s="184"/>
      <c r="F407" s="184"/>
      <c r="I407" s="186"/>
      <c r="J407" s="184"/>
    </row>
    <row r="408" spans="1:10">
      <c r="A408" s="174"/>
      <c r="B408" s="184"/>
      <c r="C408" s="184"/>
      <c r="D408" s="184"/>
      <c r="E408" s="184"/>
      <c r="F408" s="184"/>
      <c r="I408" s="186"/>
      <c r="J408" s="184"/>
    </row>
    <row r="409" spans="1:10">
      <c r="A409" s="174"/>
      <c r="B409" s="184"/>
      <c r="C409" s="184"/>
      <c r="D409" s="184"/>
      <c r="E409" s="184"/>
      <c r="F409" s="184"/>
      <c r="I409" s="186"/>
      <c r="J409" s="184"/>
    </row>
    <row r="410" spans="1:10">
      <c r="A410" s="174"/>
      <c r="B410" s="184"/>
      <c r="C410" s="184"/>
      <c r="D410" s="184"/>
      <c r="E410" s="184"/>
      <c r="F410" s="184"/>
      <c r="I410" s="186"/>
      <c r="J410" s="184"/>
    </row>
    <row r="411" spans="1:10">
      <c r="A411" s="174"/>
      <c r="B411" s="184"/>
      <c r="C411" s="184"/>
      <c r="D411" s="184"/>
      <c r="E411" s="184"/>
      <c r="F411" s="184"/>
      <c r="I411" s="186"/>
      <c r="J411" s="184"/>
    </row>
    <row r="412" spans="1:10">
      <c r="A412" s="174"/>
      <c r="B412" s="184"/>
      <c r="C412" s="184"/>
      <c r="D412" s="184"/>
      <c r="E412" s="184"/>
      <c r="F412" s="184"/>
      <c r="I412" s="186"/>
      <c r="J412" s="184"/>
    </row>
    <row r="413" spans="1:10">
      <c r="A413" s="174"/>
      <c r="B413" s="184"/>
      <c r="C413" s="184"/>
      <c r="D413" s="184"/>
      <c r="E413" s="184"/>
      <c r="F413" s="184"/>
      <c r="I413" s="186"/>
      <c r="J413" s="184"/>
    </row>
    <row r="414" spans="1:10">
      <c r="A414" s="174"/>
      <c r="B414" s="184"/>
      <c r="C414" s="184"/>
      <c r="D414" s="184"/>
      <c r="E414" s="184"/>
      <c r="F414" s="184"/>
      <c r="I414" s="186"/>
      <c r="J414" s="184"/>
    </row>
    <row r="415" spans="1:10">
      <c r="A415" s="174"/>
      <c r="B415" s="184"/>
      <c r="C415" s="184"/>
      <c r="D415" s="184"/>
      <c r="E415" s="184"/>
      <c r="F415" s="184"/>
      <c r="I415" s="186"/>
      <c r="J415" s="184"/>
    </row>
    <row r="416" spans="1:10">
      <c r="A416" s="174"/>
      <c r="B416" s="184"/>
      <c r="C416" s="184"/>
      <c r="D416" s="184"/>
      <c r="E416" s="184"/>
      <c r="F416" s="184"/>
      <c r="I416" s="186"/>
      <c r="J416" s="184"/>
    </row>
    <row r="417" spans="1:10">
      <c r="A417" s="174"/>
      <c r="B417" s="184"/>
      <c r="C417" s="184"/>
      <c r="D417" s="184"/>
      <c r="E417" s="184"/>
      <c r="F417" s="184"/>
      <c r="I417" s="186"/>
      <c r="J417" s="184"/>
    </row>
    <row r="418" spans="1:10">
      <c r="A418" s="174"/>
      <c r="B418" s="184"/>
      <c r="C418" s="184"/>
      <c r="D418" s="184"/>
      <c r="E418" s="184"/>
      <c r="F418" s="184"/>
      <c r="I418" s="186"/>
      <c r="J418" s="184"/>
    </row>
    <row r="419" spans="1:10">
      <c r="A419" s="174"/>
      <c r="B419" s="184"/>
      <c r="C419" s="184"/>
      <c r="D419" s="184"/>
      <c r="E419" s="184"/>
      <c r="F419" s="184"/>
      <c r="I419" s="186"/>
      <c r="J419" s="184"/>
    </row>
    <row r="420" spans="1:10">
      <c r="A420" s="174"/>
      <c r="B420" s="184"/>
      <c r="C420" s="184"/>
      <c r="D420" s="184"/>
      <c r="E420" s="184"/>
      <c r="F420" s="184"/>
      <c r="I420" s="186"/>
      <c r="J420" s="184"/>
    </row>
    <row r="421" spans="1:10">
      <c r="A421" s="174"/>
      <c r="B421" s="184"/>
      <c r="C421" s="184"/>
      <c r="D421" s="184"/>
      <c r="E421" s="184"/>
      <c r="F421" s="184"/>
      <c r="I421" s="186"/>
      <c r="J421" s="184"/>
    </row>
    <row r="422" spans="1:10">
      <c r="A422" s="174"/>
      <c r="B422" s="184"/>
      <c r="C422" s="184"/>
      <c r="D422" s="184"/>
      <c r="E422" s="184"/>
      <c r="F422" s="184"/>
      <c r="I422" s="186"/>
      <c r="J422" s="184"/>
    </row>
    <row r="423" spans="1:10">
      <c r="A423" s="174"/>
      <c r="B423" s="184"/>
      <c r="C423" s="184"/>
      <c r="D423" s="184"/>
      <c r="E423" s="184"/>
      <c r="F423" s="184"/>
      <c r="I423" s="186"/>
      <c r="J423" s="184"/>
    </row>
    <row r="424" spans="1:10">
      <c r="A424" s="174"/>
      <c r="B424" s="184"/>
      <c r="C424" s="184"/>
      <c r="D424" s="184"/>
      <c r="E424" s="184"/>
      <c r="F424" s="184"/>
      <c r="I424" s="186"/>
      <c r="J424" s="184"/>
    </row>
    <row r="425" spans="1:10">
      <c r="A425" s="174"/>
      <c r="B425" s="184"/>
      <c r="C425" s="184"/>
      <c r="D425" s="184"/>
      <c r="E425" s="184"/>
      <c r="F425" s="184"/>
      <c r="I425" s="186"/>
      <c r="J425" s="184"/>
    </row>
    <row r="426" spans="1:10">
      <c r="A426" s="174"/>
      <c r="B426" s="184"/>
      <c r="C426" s="184"/>
      <c r="D426" s="184"/>
      <c r="E426" s="184"/>
      <c r="F426" s="184"/>
      <c r="G426" s="187"/>
      <c r="I426" s="186"/>
      <c r="J426" s="184"/>
    </row>
    <row r="427" spans="1:10">
      <c r="A427" s="174"/>
      <c r="B427" s="184"/>
      <c r="C427" s="184"/>
      <c r="D427" s="184"/>
      <c r="E427" s="184"/>
      <c r="F427" s="184"/>
      <c r="I427" s="186"/>
      <c r="J427" s="184"/>
    </row>
    <row r="428" spans="1:10">
      <c r="A428" s="174"/>
      <c r="B428" s="184"/>
      <c r="C428" s="184"/>
      <c r="D428" s="184"/>
      <c r="E428" s="184"/>
      <c r="F428" s="184"/>
      <c r="I428" s="186"/>
      <c r="J428" s="184"/>
    </row>
    <row r="429" spans="1:10">
      <c r="A429" s="174"/>
      <c r="B429" s="184"/>
      <c r="C429" s="184"/>
      <c r="D429" s="184"/>
      <c r="E429" s="184"/>
      <c r="F429" s="184"/>
      <c r="I429" s="186"/>
      <c r="J429" s="184"/>
    </row>
    <row r="430" spans="1:10">
      <c r="A430" s="174"/>
      <c r="B430" s="184"/>
      <c r="C430" s="184"/>
      <c r="D430" s="184"/>
      <c r="E430" s="184"/>
      <c r="F430" s="184"/>
      <c r="I430" s="186"/>
      <c r="J430" s="184"/>
    </row>
    <row r="431" spans="1:10">
      <c r="A431" s="174"/>
      <c r="B431" s="184"/>
      <c r="C431" s="184"/>
      <c r="D431" s="184"/>
      <c r="E431" s="184"/>
      <c r="F431" s="184"/>
      <c r="I431" s="186"/>
      <c r="J431" s="184"/>
    </row>
    <row r="432" spans="1:10">
      <c r="A432" s="174"/>
      <c r="B432" s="184"/>
      <c r="C432" s="184"/>
      <c r="D432" s="184"/>
      <c r="E432" s="184"/>
      <c r="F432" s="184"/>
      <c r="I432" s="186"/>
      <c r="J432" s="184"/>
    </row>
    <row r="433" spans="1:10">
      <c r="A433" s="174"/>
      <c r="B433" s="184"/>
      <c r="C433" s="184"/>
      <c r="D433" s="184"/>
      <c r="E433" s="184"/>
      <c r="F433" s="184"/>
      <c r="I433" s="186"/>
      <c r="J433" s="184"/>
    </row>
    <row r="434" spans="1:10">
      <c r="A434" s="174"/>
      <c r="B434" s="184"/>
      <c r="C434" s="184"/>
      <c r="D434" s="184"/>
      <c r="E434" s="184"/>
      <c r="F434" s="184"/>
      <c r="I434" s="186"/>
      <c r="J434" s="184"/>
    </row>
    <row r="435" spans="1:10">
      <c r="A435" s="174"/>
      <c r="B435" s="184"/>
      <c r="C435" s="184"/>
      <c r="D435" s="184"/>
      <c r="E435" s="184"/>
      <c r="F435" s="184"/>
      <c r="I435" s="186"/>
      <c r="J435" s="184"/>
    </row>
    <row r="436" spans="1:10">
      <c r="A436" s="174"/>
      <c r="B436" s="184"/>
      <c r="C436" s="184"/>
      <c r="D436" s="184"/>
      <c r="E436" s="184"/>
      <c r="F436" s="184"/>
      <c r="I436" s="186"/>
      <c r="J436" s="184"/>
    </row>
    <row r="437" spans="1:10">
      <c r="A437" s="174"/>
      <c r="B437" s="184"/>
      <c r="C437" s="184"/>
      <c r="D437" s="184"/>
      <c r="E437" s="184"/>
      <c r="F437" s="184"/>
      <c r="I437" s="186"/>
      <c r="J437" s="184"/>
    </row>
    <row r="438" spans="1:10">
      <c r="A438" s="174"/>
      <c r="B438" s="184"/>
      <c r="C438" s="184"/>
      <c r="D438" s="184"/>
      <c r="E438" s="184"/>
      <c r="F438" s="184"/>
      <c r="I438" s="186"/>
      <c r="J438" s="184"/>
    </row>
    <row r="439" spans="1:10">
      <c r="A439" s="174"/>
      <c r="B439" s="184"/>
      <c r="C439" s="184"/>
      <c r="D439" s="184"/>
      <c r="E439" s="184"/>
      <c r="F439" s="184"/>
      <c r="I439" s="186"/>
      <c r="J439" s="184"/>
    </row>
    <row r="440" spans="1:10">
      <c r="A440" s="174"/>
      <c r="B440" s="184"/>
      <c r="C440" s="184"/>
      <c r="D440" s="184"/>
      <c r="E440" s="184"/>
      <c r="F440" s="184"/>
      <c r="I440" s="186"/>
      <c r="J440" s="184"/>
    </row>
    <row r="441" spans="1:10">
      <c r="A441" s="174"/>
      <c r="B441" s="184"/>
      <c r="C441" s="184"/>
      <c r="D441" s="184"/>
      <c r="E441" s="184"/>
      <c r="F441" s="184"/>
      <c r="I441" s="186"/>
      <c r="J441" s="184"/>
    </row>
    <row r="442" spans="1:10">
      <c r="A442" s="174"/>
      <c r="B442" s="184"/>
      <c r="C442" s="184"/>
      <c r="D442" s="184"/>
      <c r="E442" s="184"/>
      <c r="F442" s="184"/>
      <c r="I442" s="186"/>
      <c r="J442" s="184"/>
    </row>
    <row r="443" spans="1:10">
      <c r="A443" s="174"/>
      <c r="B443" s="184"/>
      <c r="C443" s="184"/>
      <c r="D443" s="184"/>
      <c r="E443" s="184"/>
      <c r="F443" s="184"/>
      <c r="I443" s="186"/>
      <c r="J443" s="184"/>
    </row>
    <row r="444" spans="1:10">
      <c r="A444" s="174"/>
      <c r="B444" s="184"/>
      <c r="C444" s="184"/>
      <c r="D444" s="184"/>
      <c r="E444" s="184"/>
      <c r="F444" s="184"/>
      <c r="I444" s="186"/>
      <c r="J444" s="184"/>
    </row>
    <row r="445" spans="1:10">
      <c r="A445" s="174"/>
      <c r="B445" s="184"/>
      <c r="C445" s="184"/>
      <c r="D445" s="184"/>
      <c r="E445" s="184"/>
      <c r="F445" s="184"/>
      <c r="I445" s="186"/>
      <c r="J445" s="184"/>
    </row>
    <row r="446" spans="1:10">
      <c r="A446" s="174"/>
      <c r="B446" s="184"/>
      <c r="C446" s="184"/>
      <c r="D446" s="184"/>
      <c r="E446" s="184"/>
      <c r="F446" s="184"/>
      <c r="I446" s="186"/>
      <c r="J446" s="184"/>
    </row>
    <row r="447" spans="1:10">
      <c r="A447" s="174"/>
      <c r="B447" s="184"/>
      <c r="C447" s="184"/>
      <c r="D447" s="184"/>
      <c r="E447" s="184"/>
      <c r="F447" s="184"/>
      <c r="I447" s="186"/>
      <c r="J447" s="184"/>
    </row>
    <row r="448" spans="1:10">
      <c r="A448" s="174"/>
      <c r="B448" s="184"/>
      <c r="C448" s="184"/>
      <c r="D448" s="184"/>
      <c r="E448" s="184"/>
      <c r="F448" s="184"/>
      <c r="I448" s="186"/>
      <c r="J448" s="184"/>
    </row>
    <row r="449" spans="1:10">
      <c r="A449" s="174"/>
      <c r="B449" s="184"/>
      <c r="C449" s="184"/>
      <c r="D449" s="184"/>
      <c r="E449" s="184"/>
      <c r="F449" s="184"/>
      <c r="G449" s="187"/>
      <c r="I449" s="186"/>
      <c r="J449" s="184"/>
    </row>
    <row r="450" spans="1:10">
      <c r="A450" s="174"/>
      <c r="B450" s="184"/>
      <c r="C450" s="184"/>
      <c r="D450" s="184"/>
      <c r="E450" s="184"/>
      <c r="F450" s="184"/>
      <c r="G450" s="187"/>
      <c r="I450" s="186"/>
      <c r="J450" s="184"/>
    </row>
    <row r="451" spans="1:10">
      <c r="A451" s="174"/>
      <c r="B451" s="184"/>
      <c r="C451" s="184"/>
      <c r="D451" s="184"/>
      <c r="E451" s="184"/>
      <c r="F451" s="184"/>
      <c r="G451" s="187"/>
      <c r="I451" s="186"/>
      <c r="J451" s="184"/>
    </row>
    <row r="452" spans="1:10">
      <c r="A452" s="174"/>
      <c r="B452" s="184"/>
      <c r="C452" s="184"/>
      <c r="D452" s="184"/>
      <c r="E452" s="184"/>
      <c r="F452" s="184"/>
      <c r="I452" s="186"/>
      <c r="J452" s="184"/>
    </row>
    <row r="453" spans="1:10">
      <c r="A453" s="174"/>
      <c r="B453" s="184"/>
      <c r="C453" s="184"/>
      <c r="D453" s="184"/>
      <c r="E453" s="184"/>
      <c r="F453" s="184"/>
      <c r="I453" s="186"/>
      <c r="J453" s="184"/>
    </row>
    <row r="454" spans="1:10">
      <c r="A454" s="174"/>
      <c r="B454" s="184"/>
      <c r="C454" s="184"/>
      <c r="D454" s="184"/>
      <c r="E454" s="184"/>
      <c r="F454" s="184"/>
      <c r="I454" s="186"/>
      <c r="J454" s="184"/>
    </row>
    <row r="455" spans="1:10">
      <c r="A455" s="174"/>
      <c r="B455" s="184"/>
      <c r="C455" s="184"/>
      <c r="D455" s="184"/>
      <c r="E455" s="184"/>
      <c r="F455" s="184"/>
      <c r="I455" s="186"/>
      <c r="J455" s="184"/>
    </row>
    <row r="456" spans="1:10">
      <c r="A456" s="174"/>
      <c r="B456" s="184"/>
      <c r="C456" s="184"/>
      <c r="D456" s="184"/>
      <c r="E456" s="184"/>
      <c r="F456" s="184"/>
      <c r="I456" s="186"/>
      <c r="J456" s="184"/>
    </row>
    <row r="457" spans="1:10">
      <c r="A457" s="174"/>
      <c r="B457" s="184"/>
      <c r="C457" s="184"/>
      <c r="D457" s="184"/>
      <c r="E457" s="184"/>
      <c r="F457" s="184"/>
      <c r="I457" s="186"/>
      <c r="J457" s="184"/>
    </row>
    <row r="458" spans="1:10">
      <c r="A458" s="174"/>
      <c r="B458" s="184"/>
      <c r="C458" s="184"/>
      <c r="D458" s="184"/>
      <c r="E458" s="184"/>
      <c r="F458" s="184"/>
      <c r="I458" s="186"/>
      <c r="J458" s="184"/>
    </row>
    <row r="459" spans="1:10">
      <c r="A459" s="174"/>
      <c r="B459" s="184"/>
      <c r="C459" s="184"/>
      <c r="D459" s="184"/>
      <c r="E459" s="184"/>
      <c r="F459" s="184"/>
      <c r="I459" s="186"/>
      <c r="J459" s="184"/>
    </row>
    <row r="460" spans="1:10">
      <c r="A460" s="174"/>
      <c r="B460" s="184"/>
      <c r="C460" s="184"/>
      <c r="D460" s="184"/>
      <c r="E460" s="184"/>
      <c r="F460" s="184"/>
      <c r="I460" s="186"/>
      <c r="J460" s="184"/>
    </row>
    <row r="461" spans="1:10">
      <c r="A461" s="174"/>
      <c r="B461" s="184"/>
      <c r="C461" s="184"/>
      <c r="D461" s="184"/>
      <c r="E461" s="184"/>
      <c r="F461" s="184"/>
      <c r="I461" s="186"/>
      <c r="J461" s="184"/>
    </row>
    <row r="462" spans="1:10">
      <c r="A462" s="174"/>
      <c r="B462" s="184"/>
      <c r="C462" s="184"/>
      <c r="D462" s="184"/>
      <c r="E462" s="184"/>
      <c r="F462" s="184"/>
      <c r="I462" s="186"/>
      <c r="J462" s="184"/>
    </row>
    <row r="463" spans="1:10">
      <c r="A463" s="174"/>
      <c r="B463" s="184"/>
      <c r="C463" s="184"/>
      <c r="D463" s="184"/>
      <c r="E463" s="184"/>
      <c r="F463" s="184"/>
      <c r="I463" s="186"/>
      <c r="J463" s="184"/>
    </row>
    <row r="464" spans="1:10">
      <c r="A464" s="174"/>
      <c r="B464" s="184"/>
      <c r="C464" s="184"/>
      <c r="D464" s="184"/>
      <c r="E464" s="184"/>
      <c r="F464" s="184"/>
      <c r="I464" s="186"/>
      <c r="J464" s="184"/>
    </row>
    <row r="465" spans="1:10">
      <c r="A465" s="174"/>
      <c r="B465" s="184"/>
      <c r="C465" s="184"/>
      <c r="D465" s="184"/>
      <c r="E465" s="184"/>
      <c r="F465" s="184"/>
      <c r="I465" s="186"/>
      <c r="J465" s="184"/>
    </row>
    <row r="466" spans="1:10">
      <c r="A466" s="174"/>
      <c r="B466" s="184"/>
      <c r="C466" s="184"/>
      <c r="D466" s="184"/>
      <c r="E466" s="184"/>
      <c r="F466" s="184"/>
      <c r="I466" s="186"/>
      <c r="J466" s="184"/>
    </row>
    <row r="467" spans="1:10">
      <c r="A467" s="174"/>
      <c r="B467" s="184"/>
      <c r="C467" s="184"/>
      <c r="D467" s="184"/>
      <c r="E467" s="184"/>
      <c r="F467" s="184"/>
      <c r="I467" s="186"/>
      <c r="J467" s="184"/>
    </row>
    <row r="468" spans="1:10">
      <c r="A468" s="174"/>
      <c r="B468" s="184"/>
      <c r="C468" s="184"/>
      <c r="D468" s="184"/>
      <c r="E468" s="184"/>
      <c r="F468" s="184"/>
      <c r="I468" s="186"/>
      <c r="J468" s="184"/>
    </row>
    <row r="469" spans="1:10">
      <c r="A469" s="174"/>
      <c r="B469" s="184"/>
      <c r="C469" s="184"/>
      <c r="D469" s="184"/>
      <c r="E469" s="184"/>
      <c r="F469" s="184"/>
      <c r="I469" s="186"/>
      <c r="J469" s="184"/>
    </row>
    <row r="470" spans="1:10">
      <c r="A470" s="174"/>
      <c r="B470" s="184"/>
      <c r="C470" s="184"/>
      <c r="D470" s="184"/>
      <c r="E470" s="184"/>
      <c r="F470" s="184"/>
      <c r="I470" s="186"/>
      <c r="J470" s="184"/>
    </row>
    <row r="471" spans="1:10">
      <c r="A471" s="174"/>
      <c r="B471" s="184"/>
      <c r="C471" s="184"/>
      <c r="D471" s="184"/>
      <c r="E471" s="184"/>
      <c r="F471" s="184"/>
      <c r="G471" s="187"/>
      <c r="I471" s="186"/>
      <c r="J471" s="184"/>
    </row>
    <row r="472" spans="1:10">
      <c r="A472" s="174"/>
      <c r="B472" s="184"/>
      <c r="C472" s="184"/>
      <c r="D472" s="184"/>
      <c r="E472" s="184"/>
      <c r="F472" s="184"/>
      <c r="I472" s="186"/>
      <c r="J472" s="184"/>
    </row>
    <row r="473" spans="1:10">
      <c r="A473" s="174"/>
      <c r="B473" s="184"/>
      <c r="C473" s="184"/>
      <c r="D473" s="184"/>
      <c r="E473" s="184"/>
      <c r="F473" s="184"/>
      <c r="G473" s="187"/>
      <c r="I473" s="186"/>
      <c r="J473" s="184"/>
    </row>
    <row r="474" spans="1:10">
      <c r="A474" s="174"/>
      <c r="B474" s="184"/>
      <c r="C474" s="184"/>
      <c r="D474" s="184"/>
      <c r="E474" s="184"/>
      <c r="F474" s="184"/>
      <c r="I474" s="186"/>
      <c r="J474" s="184"/>
    </row>
    <row r="475" spans="1:10">
      <c r="A475" s="174"/>
      <c r="B475" s="184"/>
      <c r="C475" s="184"/>
      <c r="D475" s="184"/>
      <c r="E475" s="184"/>
      <c r="F475" s="184"/>
      <c r="I475" s="186"/>
      <c r="J475" s="184"/>
    </row>
    <row r="476" spans="1:10">
      <c r="A476" s="174"/>
      <c r="B476" s="184"/>
      <c r="C476" s="184"/>
      <c r="D476" s="184"/>
      <c r="E476" s="184"/>
      <c r="F476" s="184"/>
      <c r="I476" s="186"/>
      <c r="J476" s="184"/>
    </row>
    <row r="477" spans="1:10">
      <c r="A477" s="174"/>
      <c r="B477" s="184"/>
      <c r="C477" s="184"/>
      <c r="D477" s="184"/>
      <c r="E477" s="184"/>
      <c r="F477" s="184"/>
      <c r="I477" s="186"/>
      <c r="J477" s="184"/>
    </row>
    <row r="478" spans="1:10">
      <c r="A478" s="174"/>
      <c r="B478" s="184"/>
      <c r="C478" s="184"/>
      <c r="D478" s="184"/>
      <c r="E478" s="184"/>
      <c r="F478" s="184"/>
      <c r="I478" s="186"/>
      <c r="J478" s="184"/>
    </row>
    <row r="479" spans="1:10">
      <c r="A479" s="174"/>
      <c r="B479" s="184"/>
      <c r="C479" s="184"/>
      <c r="D479" s="184"/>
      <c r="E479" s="184"/>
      <c r="F479" s="184"/>
      <c r="I479" s="186"/>
      <c r="J479" s="184"/>
    </row>
    <row r="480" spans="1:10">
      <c r="A480" s="174"/>
      <c r="B480" s="184"/>
      <c r="C480" s="184"/>
      <c r="D480" s="184"/>
      <c r="E480" s="184"/>
      <c r="F480" s="184"/>
      <c r="I480" s="186"/>
      <c r="J480" s="184"/>
    </row>
    <row r="481" spans="1:10">
      <c r="A481" s="174"/>
      <c r="B481" s="184"/>
      <c r="C481" s="184"/>
      <c r="D481" s="184"/>
      <c r="E481" s="184"/>
      <c r="F481" s="184"/>
      <c r="I481" s="186"/>
      <c r="J481" s="184"/>
    </row>
    <row r="482" spans="1:10">
      <c r="A482" s="174"/>
      <c r="B482" s="184"/>
      <c r="C482" s="184"/>
      <c r="D482" s="184"/>
      <c r="E482" s="184"/>
      <c r="F482" s="184"/>
      <c r="I482" s="186"/>
      <c r="J482" s="184"/>
    </row>
    <row r="483" spans="1:10">
      <c r="A483" s="174"/>
      <c r="B483" s="184"/>
      <c r="C483" s="184"/>
      <c r="D483" s="184"/>
      <c r="E483" s="184"/>
      <c r="F483" s="184"/>
      <c r="I483" s="186"/>
      <c r="J483" s="184"/>
    </row>
    <row r="484" spans="1:10">
      <c r="A484" s="174"/>
      <c r="B484" s="184"/>
      <c r="C484" s="184"/>
      <c r="D484" s="184"/>
      <c r="E484" s="184"/>
      <c r="F484" s="184"/>
      <c r="I484" s="186"/>
      <c r="J484" s="184"/>
    </row>
    <row r="485" spans="1:10">
      <c r="A485" s="174"/>
      <c r="B485" s="184"/>
      <c r="C485" s="184"/>
      <c r="D485" s="184"/>
      <c r="E485" s="184"/>
      <c r="F485" s="184"/>
      <c r="I485" s="186"/>
      <c r="J485" s="184"/>
    </row>
    <row r="486" spans="1:10">
      <c r="A486" s="174"/>
      <c r="B486" s="184"/>
      <c r="C486" s="184"/>
      <c r="D486" s="184"/>
      <c r="E486" s="184"/>
      <c r="F486" s="184"/>
      <c r="G486" s="187"/>
      <c r="I486" s="186"/>
      <c r="J486" s="184"/>
    </row>
    <row r="487" spans="1:10">
      <c r="A487" s="174"/>
      <c r="B487" s="184"/>
      <c r="C487" s="184"/>
      <c r="D487" s="184"/>
      <c r="E487" s="184"/>
      <c r="F487" s="184"/>
      <c r="G487" s="187"/>
      <c r="I487" s="186"/>
      <c r="J487" s="184"/>
    </row>
    <row r="488" spans="1:10">
      <c r="A488" s="174"/>
      <c r="B488" s="184"/>
      <c r="C488" s="184"/>
      <c r="D488" s="184"/>
      <c r="E488" s="184"/>
      <c r="F488" s="184"/>
      <c r="G488" s="187"/>
      <c r="I488" s="186"/>
      <c r="J488" s="184"/>
    </row>
    <row r="489" spans="1:10">
      <c r="A489" s="174"/>
      <c r="B489" s="184"/>
      <c r="C489" s="184"/>
      <c r="D489" s="184"/>
      <c r="E489" s="184"/>
      <c r="F489" s="184"/>
      <c r="G489" s="187"/>
      <c r="I489" s="186"/>
      <c r="J489" s="184"/>
    </row>
    <row r="490" spans="1:10">
      <c r="A490" s="174"/>
      <c r="B490" s="184"/>
      <c r="C490" s="184"/>
      <c r="D490" s="184"/>
      <c r="E490" s="184"/>
      <c r="F490" s="184"/>
      <c r="I490" s="186"/>
      <c r="J490" s="184"/>
    </row>
    <row r="491" spans="1:10">
      <c r="A491" s="174"/>
      <c r="B491" s="184"/>
      <c r="C491" s="184"/>
      <c r="D491" s="184"/>
      <c r="E491" s="184"/>
      <c r="F491" s="184"/>
      <c r="I491" s="186"/>
      <c r="J491" s="184"/>
    </row>
    <row r="492" spans="1:10">
      <c r="A492" s="174"/>
      <c r="B492" s="184"/>
      <c r="C492" s="184"/>
      <c r="D492" s="184"/>
      <c r="E492" s="184"/>
      <c r="F492" s="184"/>
      <c r="I492" s="186"/>
      <c r="J492" s="184"/>
    </row>
    <row r="493" spans="1:10">
      <c r="A493" s="174"/>
      <c r="B493" s="184"/>
      <c r="C493" s="184"/>
      <c r="D493" s="184"/>
      <c r="E493" s="184"/>
      <c r="F493" s="184"/>
      <c r="I493" s="186"/>
      <c r="J493" s="184"/>
    </row>
    <row r="494" spans="1:10">
      <c r="A494" s="174"/>
      <c r="B494" s="184"/>
      <c r="C494" s="184"/>
      <c r="D494" s="184"/>
      <c r="E494" s="184"/>
      <c r="F494" s="184"/>
      <c r="I494" s="186"/>
      <c r="J494" s="184"/>
    </row>
    <row r="495" spans="1:10">
      <c r="A495" s="174"/>
      <c r="B495" s="184"/>
      <c r="C495" s="184"/>
      <c r="D495" s="184"/>
      <c r="E495" s="184"/>
      <c r="F495" s="184"/>
      <c r="I495" s="186"/>
      <c r="J495" s="184"/>
    </row>
    <row r="496" spans="1:10">
      <c r="A496" s="174"/>
      <c r="B496" s="184"/>
      <c r="C496" s="184"/>
      <c r="D496" s="184"/>
      <c r="E496" s="184"/>
      <c r="F496" s="184"/>
      <c r="I496" s="186"/>
      <c r="J496" s="184"/>
    </row>
    <row r="497" spans="1:10">
      <c r="A497" s="174"/>
      <c r="B497" s="184"/>
      <c r="C497" s="184"/>
      <c r="D497" s="184"/>
      <c r="E497" s="184"/>
      <c r="F497" s="184"/>
      <c r="I497" s="186"/>
      <c r="J497" s="184"/>
    </row>
    <row r="498" spans="1:10">
      <c r="A498" s="174"/>
      <c r="B498" s="184"/>
      <c r="C498" s="184"/>
      <c r="D498" s="184"/>
      <c r="E498" s="184"/>
      <c r="F498" s="184"/>
      <c r="I498" s="186"/>
      <c r="J498" s="184"/>
    </row>
    <row r="499" spans="1:10">
      <c r="A499" s="174"/>
      <c r="B499" s="184"/>
      <c r="C499" s="184"/>
      <c r="D499" s="184"/>
      <c r="E499" s="184"/>
      <c r="F499" s="184"/>
      <c r="I499" s="186"/>
      <c r="J499" s="184"/>
    </row>
    <row r="500" spans="1:10">
      <c r="A500" s="174"/>
      <c r="B500" s="184"/>
      <c r="C500" s="184"/>
      <c r="D500" s="184"/>
      <c r="E500" s="184"/>
      <c r="F500" s="184"/>
      <c r="I500" s="186"/>
      <c r="J500" s="184"/>
    </row>
    <row r="501" spans="1:10">
      <c r="A501" s="174"/>
      <c r="B501" s="184"/>
      <c r="C501" s="184"/>
      <c r="D501" s="184"/>
      <c r="E501" s="184"/>
      <c r="F501" s="184"/>
      <c r="I501" s="186"/>
      <c r="J501" s="184"/>
    </row>
    <row r="502" spans="1:10">
      <c r="A502" s="174"/>
      <c r="B502" s="184"/>
      <c r="C502" s="184"/>
      <c r="D502" s="184"/>
      <c r="E502" s="184"/>
      <c r="F502" s="184"/>
      <c r="I502" s="186"/>
      <c r="J502" s="184"/>
    </row>
    <row r="503" spans="1:10">
      <c r="A503" s="174"/>
      <c r="B503" s="184"/>
      <c r="C503" s="184"/>
      <c r="D503" s="184"/>
      <c r="E503" s="184"/>
      <c r="F503" s="184"/>
      <c r="G503" s="187"/>
      <c r="I503" s="186"/>
      <c r="J503" s="184"/>
    </row>
    <row r="504" spans="1:10">
      <c r="A504" s="174"/>
      <c r="B504" s="184"/>
      <c r="C504" s="184"/>
      <c r="D504" s="184"/>
      <c r="E504" s="184"/>
      <c r="F504" s="184"/>
      <c r="G504" s="187"/>
      <c r="I504" s="186"/>
      <c r="J504" s="184"/>
    </row>
    <row r="505" spans="1:10">
      <c r="A505" s="174"/>
      <c r="B505" s="184"/>
      <c r="C505" s="184"/>
      <c r="D505" s="184"/>
      <c r="E505" s="184"/>
      <c r="F505" s="184"/>
      <c r="G505" s="187"/>
      <c r="I505" s="186"/>
      <c r="J505" s="184"/>
    </row>
    <row r="506" spans="1:10">
      <c r="A506" s="174"/>
      <c r="B506" s="184"/>
      <c r="C506" s="184"/>
      <c r="D506" s="184"/>
      <c r="E506" s="184"/>
      <c r="F506" s="184"/>
      <c r="G506" s="187"/>
      <c r="I506" s="186"/>
      <c r="J506" s="184"/>
    </row>
    <row r="507" spans="1:10">
      <c r="A507" s="174"/>
      <c r="B507" s="184"/>
      <c r="C507" s="184"/>
      <c r="D507" s="184"/>
      <c r="E507" s="184"/>
      <c r="F507" s="184"/>
      <c r="G507" s="187"/>
      <c r="I507" s="186"/>
      <c r="J507" s="184"/>
    </row>
    <row r="508" spans="1:10">
      <c r="A508" s="174"/>
      <c r="B508" s="184"/>
      <c r="C508" s="184"/>
      <c r="D508" s="184"/>
      <c r="E508" s="184"/>
      <c r="F508" s="184"/>
      <c r="G508" s="187"/>
      <c r="I508" s="186"/>
      <c r="J508" s="184"/>
    </row>
    <row r="509" spans="1:10">
      <c r="A509" s="174"/>
      <c r="B509" s="184"/>
      <c r="C509" s="184"/>
      <c r="D509" s="184"/>
      <c r="E509" s="184"/>
      <c r="F509" s="184"/>
      <c r="G509" s="187"/>
      <c r="I509" s="186"/>
      <c r="J509" s="184"/>
    </row>
    <row r="510" spans="1:10">
      <c r="A510" s="174"/>
      <c r="B510" s="184"/>
      <c r="C510" s="184"/>
      <c r="D510" s="184"/>
      <c r="E510" s="184"/>
      <c r="F510" s="184"/>
      <c r="I510" s="186"/>
      <c r="J510" s="184"/>
    </row>
    <row r="511" spans="1:10">
      <c r="A511" s="174"/>
      <c r="B511" s="184"/>
      <c r="C511" s="184"/>
      <c r="D511" s="184"/>
      <c r="E511" s="184"/>
      <c r="F511" s="184"/>
      <c r="I511" s="186"/>
      <c r="J511" s="184"/>
    </row>
    <row r="512" spans="1:10">
      <c r="A512" s="174"/>
      <c r="B512" s="184"/>
      <c r="C512" s="184"/>
      <c r="D512" s="184"/>
      <c r="E512" s="184"/>
      <c r="F512" s="184"/>
      <c r="I512" s="186"/>
      <c r="J512" s="184"/>
    </row>
    <row r="513" spans="1:10">
      <c r="A513" s="174"/>
      <c r="B513" s="184"/>
      <c r="C513" s="184"/>
      <c r="D513" s="184"/>
      <c r="E513" s="184"/>
      <c r="F513" s="184"/>
      <c r="I513" s="186"/>
      <c r="J513" s="184"/>
    </row>
    <row r="514" spans="1:10">
      <c r="A514" s="174"/>
      <c r="B514" s="184"/>
      <c r="C514" s="184"/>
      <c r="D514" s="184"/>
      <c r="E514" s="184"/>
      <c r="F514" s="184"/>
      <c r="I514" s="186"/>
      <c r="J514" s="184"/>
    </row>
    <row r="515" spans="1:10">
      <c r="A515" s="174"/>
      <c r="B515" s="184"/>
      <c r="C515" s="184"/>
      <c r="D515" s="184"/>
      <c r="E515" s="184"/>
      <c r="F515" s="184"/>
      <c r="I515" s="186"/>
      <c r="J515" s="184"/>
    </row>
    <row r="516" spans="1:10">
      <c r="A516" s="174"/>
      <c r="B516" s="184"/>
      <c r="C516" s="184"/>
      <c r="D516" s="184"/>
      <c r="E516" s="184"/>
      <c r="F516" s="184"/>
      <c r="I516" s="186"/>
      <c r="J516" s="184"/>
    </row>
    <row r="517" spans="1:10">
      <c r="A517" s="174"/>
      <c r="B517" s="184"/>
      <c r="C517" s="184"/>
      <c r="D517" s="184"/>
      <c r="E517" s="184"/>
      <c r="F517" s="184"/>
      <c r="I517" s="186"/>
      <c r="J517" s="184"/>
    </row>
    <row r="518" spans="1:10">
      <c r="A518" s="174"/>
      <c r="B518" s="184"/>
      <c r="C518" s="184"/>
      <c r="D518" s="184"/>
      <c r="E518" s="184"/>
      <c r="F518" s="184"/>
      <c r="G518" s="187"/>
      <c r="I518" s="186"/>
      <c r="J518" s="184"/>
    </row>
    <row r="519" spans="1:10">
      <c r="A519" s="174"/>
      <c r="B519" s="184"/>
      <c r="C519" s="184"/>
      <c r="D519" s="184"/>
      <c r="E519" s="184"/>
      <c r="F519" s="184"/>
      <c r="G519" s="187"/>
      <c r="I519" s="186"/>
      <c r="J519" s="184"/>
    </row>
    <row r="520" spans="1:10">
      <c r="A520" s="174"/>
      <c r="B520" s="184"/>
      <c r="C520" s="184"/>
      <c r="D520" s="184"/>
      <c r="E520" s="184"/>
      <c r="F520" s="184"/>
      <c r="G520" s="187"/>
      <c r="I520" s="186"/>
      <c r="J520" s="184"/>
    </row>
    <row r="521" spans="1:10">
      <c r="A521" s="174"/>
      <c r="B521" s="184"/>
      <c r="C521" s="184"/>
      <c r="D521" s="184"/>
      <c r="E521" s="184"/>
      <c r="F521" s="184"/>
      <c r="I521" s="186"/>
      <c r="J521" s="184"/>
    </row>
    <row r="522" spans="1:10">
      <c r="A522" s="174"/>
      <c r="B522" s="184"/>
      <c r="C522" s="184"/>
      <c r="D522" s="184"/>
      <c r="E522" s="184"/>
      <c r="F522" s="184"/>
      <c r="G522" s="187"/>
      <c r="I522" s="186"/>
      <c r="J522" s="184"/>
    </row>
    <row r="523" spans="1:10">
      <c r="A523" s="174"/>
      <c r="B523" s="184"/>
      <c r="C523" s="184"/>
      <c r="D523" s="184"/>
      <c r="E523" s="184"/>
      <c r="F523" s="184"/>
      <c r="I523" s="186"/>
      <c r="J523" s="184"/>
    </row>
    <row r="524" spans="1:10">
      <c r="A524" s="174"/>
      <c r="B524" s="184"/>
      <c r="C524" s="184"/>
      <c r="D524" s="184"/>
      <c r="E524" s="184"/>
      <c r="F524" s="184"/>
      <c r="I524" s="186"/>
      <c r="J524" s="184"/>
    </row>
    <row r="525" spans="1:10">
      <c r="A525" s="174"/>
      <c r="B525" s="184"/>
      <c r="C525" s="184"/>
      <c r="D525" s="184"/>
      <c r="E525" s="184"/>
      <c r="F525" s="184"/>
      <c r="I525" s="186"/>
      <c r="J525" s="184"/>
    </row>
    <row r="526" spans="1:10">
      <c r="A526" s="174"/>
      <c r="B526" s="184"/>
      <c r="C526" s="184"/>
      <c r="D526" s="184"/>
      <c r="E526" s="184"/>
      <c r="F526" s="184"/>
      <c r="I526" s="186"/>
      <c r="J526" s="184"/>
    </row>
    <row r="527" spans="1:10">
      <c r="A527" s="174"/>
      <c r="B527" s="184"/>
      <c r="C527" s="184"/>
      <c r="D527" s="184"/>
      <c r="E527" s="184"/>
      <c r="F527" s="184"/>
      <c r="I527" s="186"/>
      <c r="J527" s="184"/>
    </row>
    <row r="528" spans="1:10">
      <c r="A528" s="174"/>
      <c r="B528" s="184"/>
      <c r="C528" s="184"/>
      <c r="D528" s="184"/>
      <c r="E528" s="184"/>
      <c r="F528" s="184"/>
      <c r="I528" s="186"/>
      <c r="J528" s="184"/>
    </row>
    <row r="529" spans="1:10">
      <c r="A529" s="174"/>
      <c r="B529" s="184"/>
      <c r="C529" s="184"/>
      <c r="D529" s="184"/>
      <c r="E529" s="184"/>
      <c r="F529" s="184"/>
      <c r="I529" s="186"/>
      <c r="J529" s="184"/>
    </row>
    <row r="530" spans="1:10">
      <c r="A530" s="174"/>
      <c r="B530" s="184"/>
      <c r="C530" s="184"/>
      <c r="D530" s="184"/>
      <c r="E530" s="184"/>
      <c r="F530" s="184"/>
      <c r="I530" s="186"/>
      <c r="J530" s="184"/>
    </row>
    <row r="531" spans="1:10">
      <c r="A531" s="174"/>
      <c r="B531" s="184"/>
      <c r="C531" s="184"/>
      <c r="D531" s="184"/>
      <c r="E531" s="184"/>
      <c r="F531" s="184"/>
      <c r="I531" s="186"/>
      <c r="J531" s="184"/>
    </row>
    <row r="532" spans="1:10">
      <c r="A532" s="174"/>
      <c r="B532" s="184"/>
      <c r="C532" s="184"/>
      <c r="D532" s="184"/>
      <c r="E532" s="184"/>
      <c r="F532" s="184"/>
      <c r="I532" s="186"/>
      <c r="J532" s="184"/>
    </row>
    <row r="533" spans="1:10">
      <c r="A533" s="174"/>
      <c r="B533" s="184"/>
      <c r="C533" s="184"/>
      <c r="D533" s="184"/>
      <c r="E533" s="184"/>
      <c r="F533" s="184"/>
      <c r="I533" s="186"/>
      <c r="J533" s="184"/>
    </row>
    <row r="534" spans="1:10">
      <c r="A534" s="174"/>
      <c r="B534" s="184"/>
      <c r="C534" s="184"/>
      <c r="D534" s="184"/>
      <c r="E534" s="184"/>
      <c r="F534" s="184"/>
      <c r="I534" s="186"/>
      <c r="J534" s="184"/>
    </row>
    <row r="535" spans="1:10">
      <c r="A535" s="174"/>
      <c r="B535" s="184"/>
      <c r="C535" s="184"/>
      <c r="D535" s="184"/>
      <c r="E535" s="184"/>
      <c r="F535" s="184"/>
      <c r="G535" s="187"/>
      <c r="I535" s="186"/>
      <c r="J535" s="184"/>
    </row>
    <row r="536" spans="1:10">
      <c r="A536" s="174"/>
      <c r="B536" s="184"/>
      <c r="C536" s="184"/>
      <c r="D536" s="184"/>
      <c r="E536" s="184"/>
      <c r="F536" s="184"/>
      <c r="I536" s="186"/>
      <c r="J536" s="184"/>
    </row>
    <row r="537" spans="1:10">
      <c r="A537" s="174"/>
      <c r="B537" s="184"/>
      <c r="C537" s="184"/>
      <c r="D537" s="184"/>
      <c r="E537" s="184"/>
      <c r="F537" s="184"/>
      <c r="G537" s="187"/>
      <c r="I537" s="186"/>
      <c r="J537" s="184"/>
    </row>
    <row r="538" spans="1:10">
      <c r="A538" s="174"/>
      <c r="B538" s="184"/>
      <c r="C538" s="184"/>
      <c r="D538" s="184"/>
      <c r="E538" s="184"/>
      <c r="F538" s="184"/>
      <c r="I538" s="186"/>
      <c r="J538" s="184"/>
    </row>
    <row r="539" spans="1:10">
      <c r="A539" s="174"/>
      <c r="B539" s="184"/>
      <c r="C539" s="184"/>
      <c r="D539" s="184"/>
      <c r="E539" s="184"/>
      <c r="F539" s="184"/>
      <c r="I539" s="186"/>
      <c r="J539" s="184"/>
    </row>
    <row r="540" spans="1:10">
      <c r="A540" s="174"/>
      <c r="B540" s="184"/>
      <c r="C540" s="184"/>
      <c r="D540" s="184"/>
      <c r="E540" s="184"/>
      <c r="F540" s="184"/>
      <c r="I540" s="186"/>
      <c r="J540" s="184"/>
    </row>
    <row r="541" spans="1:10">
      <c r="A541" s="174"/>
      <c r="B541" s="184"/>
      <c r="C541" s="184"/>
      <c r="D541" s="184"/>
      <c r="E541" s="184"/>
      <c r="F541" s="184"/>
      <c r="I541" s="186"/>
      <c r="J541" s="184"/>
    </row>
    <row r="542" spans="1:10">
      <c r="A542" s="174"/>
      <c r="B542" s="184"/>
      <c r="C542" s="184"/>
      <c r="D542" s="184"/>
      <c r="E542" s="184"/>
      <c r="F542" s="184"/>
      <c r="I542" s="186"/>
      <c r="J542" s="184"/>
    </row>
    <row r="543" spans="1:10">
      <c r="A543" s="174"/>
      <c r="B543" s="184"/>
      <c r="C543" s="184"/>
      <c r="D543" s="184"/>
      <c r="E543" s="184"/>
      <c r="F543" s="184"/>
      <c r="I543" s="186"/>
      <c r="J543" s="184"/>
    </row>
    <row r="544" spans="1:10">
      <c r="A544" s="174"/>
      <c r="B544" s="184"/>
      <c r="C544" s="184"/>
      <c r="D544" s="184"/>
      <c r="E544" s="184"/>
      <c r="F544" s="184"/>
      <c r="I544" s="186"/>
      <c r="J544" s="184"/>
    </row>
    <row r="545" spans="1:10">
      <c r="A545" s="174"/>
      <c r="B545" s="184"/>
      <c r="C545" s="184"/>
      <c r="D545" s="184"/>
      <c r="E545" s="184"/>
      <c r="F545" s="184"/>
      <c r="I545" s="186"/>
      <c r="J545" s="184"/>
    </row>
    <row r="546" spans="1:10">
      <c r="A546" s="174"/>
      <c r="B546" s="184"/>
      <c r="C546" s="184"/>
      <c r="D546" s="184"/>
      <c r="E546" s="184"/>
      <c r="F546" s="184"/>
      <c r="I546" s="186"/>
      <c r="J546" s="184"/>
    </row>
    <row r="547" spans="1:10">
      <c r="A547" s="174"/>
      <c r="B547" s="184"/>
      <c r="C547" s="184"/>
      <c r="D547" s="184"/>
      <c r="E547" s="184"/>
      <c r="F547" s="184"/>
      <c r="I547" s="186"/>
      <c r="J547" s="184"/>
    </row>
    <row r="548" spans="1:10">
      <c r="A548" s="174"/>
      <c r="B548" s="184"/>
      <c r="C548" s="184"/>
      <c r="D548" s="184"/>
      <c r="E548" s="184"/>
      <c r="F548" s="184"/>
      <c r="I548" s="186"/>
      <c r="J548" s="184"/>
    </row>
    <row r="549" spans="1:10">
      <c r="A549" s="174"/>
      <c r="B549" s="184"/>
      <c r="C549" s="184"/>
      <c r="D549" s="184"/>
      <c r="E549" s="184"/>
      <c r="F549" s="184"/>
      <c r="I549" s="186"/>
      <c r="J549" s="184"/>
    </row>
    <row r="550" spans="1:10">
      <c r="A550" s="174"/>
      <c r="B550" s="184"/>
      <c r="C550" s="184"/>
      <c r="D550" s="184"/>
      <c r="E550" s="184"/>
      <c r="F550" s="184"/>
      <c r="I550" s="186"/>
      <c r="J550" s="184"/>
    </row>
    <row r="551" spans="1:10">
      <c r="A551" s="174"/>
      <c r="B551" s="184"/>
      <c r="C551" s="184"/>
      <c r="D551" s="184"/>
      <c r="E551" s="184"/>
      <c r="F551" s="184"/>
      <c r="G551" s="187"/>
      <c r="I551" s="186"/>
      <c r="J551" s="184"/>
    </row>
    <row r="552" spans="1:10">
      <c r="A552" s="174"/>
      <c r="B552" s="184"/>
      <c r="C552" s="184"/>
      <c r="D552" s="184"/>
      <c r="E552" s="184"/>
      <c r="F552" s="184"/>
      <c r="G552" s="187"/>
      <c r="I552" s="186"/>
      <c r="J552" s="184"/>
    </row>
    <row r="553" spans="1:10">
      <c r="A553" s="174"/>
      <c r="B553" s="184"/>
      <c r="C553" s="184"/>
      <c r="D553" s="184"/>
      <c r="E553" s="184"/>
      <c r="F553" s="184"/>
      <c r="I553" s="186"/>
      <c r="J553" s="184"/>
    </row>
    <row r="554" spans="1:10">
      <c r="A554" s="174"/>
      <c r="B554" s="184"/>
      <c r="C554" s="184"/>
      <c r="D554" s="184"/>
      <c r="E554" s="184"/>
      <c r="F554" s="184"/>
      <c r="G554" s="187"/>
      <c r="I554" s="186"/>
      <c r="J554" s="184"/>
    </row>
    <row r="555" spans="1:10">
      <c r="A555" s="174"/>
      <c r="B555" s="184"/>
      <c r="C555" s="184"/>
      <c r="D555" s="184"/>
      <c r="E555" s="184"/>
      <c r="F555" s="184"/>
      <c r="I555" s="186"/>
      <c r="J555" s="184"/>
    </row>
    <row r="556" spans="1:10">
      <c r="A556" s="174"/>
      <c r="B556" s="184"/>
      <c r="C556" s="184"/>
      <c r="D556" s="184"/>
      <c r="E556" s="184"/>
      <c r="F556" s="184"/>
      <c r="G556" s="187"/>
      <c r="I556" s="186"/>
      <c r="J556" s="184"/>
    </row>
    <row r="557" spans="1:10">
      <c r="A557" s="174"/>
      <c r="B557" s="184"/>
      <c r="C557" s="184"/>
      <c r="D557" s="184"/>
      <c r="E557" s="184"/>
      <c r="F557" s="184"/>
      <c r="G557" s="187"/>
      <c r="I557" s="186"/>
      <c r="J557" s="184"/>
    </row>
    <row r="558" spans="1:10">
      <c r="A558" s="174"/>
      <c r="B558" s="184"/>
      <c r="C558" s="184"/>
      <c r="D558" s="184"/>
      <c r="E558" s="184"/>
      <c r="F558" s="184"/>
      <c r="G558" s="187"/>
      <c r="I558" s="186"/>
      <c r="J558" s="184"/>
    </row>
    <row r="559" spans="1:10">
      <c r="A559" s="174"/>
      <c r="B559" s="184"/>
      <c r="C559" s="184"/>
      <c r="D559" s="184"/>
      <c r="E559" s="184"/>
      <c r="F559" s="184"/>
      <c r="G559" s="187"/>
      <c r="I559" s="186"/>
      <c r="J559" s="184"/>
    </row>
    <row r="560" spans="1:10">
      <c r="A560" s="174"/>
      <c r="B560" s="184"/>
      <c r="C560" s="184"/>
      <c r="D560" s="184"/>
      <c r="E560" s="184"/>
      <c r="F560" s="184"/>
      <c r="G560" s="187"/>
      <c r="I560" s="186"/>
      <c r="J560" s="184"/>
    </row>
    <row r="561" spans="1:10">
      <c r="A561" s="174"/>
      <c r="B561" s="184"/>
      <c r="C561" s="184"/>
      <c r="D561" s="184"/>
      <c r="E561" s="184"/>
      <c r="F561" s="184"/>
      <c r="G561" s="187"/>
      <c r="I561" s="186"/>
      <c r="J561" s="184"/>
    </row>
    <row r="562" spans="1:10">
      <c r="A562" s="174"/>
      <c r="B562" s="184"/>
      <c r="C562" s="184"/>
      <c r="D562" s="184"/>
      <c r="E562" s="184"/>
      <c r="F562" s="184"/>
      <c r="G562" s="187"/>
      <c r="I562" s="186"/>
      <c r="J562" s="184"/>
    </row>
    <row r="563" spans="1:10">
      <c r="A563" s="174"/>
      <c r="B563" s="184"/>
      <c r="C563" s="184"/>
      <c r="D563" s="184"/>
      <c r="E563" s="184"/>
      <c r="F563" s="184"/>
      <c r="G563" s="187"/>
      <c r="I563" s="186"/>
      <c r="J563" s="184"/>
    </row>
    <row r="564" spans="1:10">
      <c r="A564" s="174"/>
      <c r="B564" s="184"/>
      <c r="C564" s="184"/>
      <c r="D564" s="184"/>
      <c r="E564" s="184"/>
      <c r="F564" s="184"/>
      <c r="I564" s="186"/>
      <c r="J564" s="184"/>
    </row>
    <row r="565" spans="1:10">
      <c r="A565" s="174"/>
      <c r="B565" s="184"/>
      <c r="C565" s="184"/>
      <c r="D565" s="184"/>
      <c r="E565" s="184"/>
      <c r="F565" s="184"/>
      <c r="I565" s="186"/>
      <c r="J565" s="184"/>
    </row>
    <row r="566" spans="1:10">
      <c r="A566" s="174"/>
      <c r="B566" s="184"/>
      <c r="C566" s="184"/>
      <c r="D566" s="184"/>
      <c r="E566" s="184"/>
      <c r="F566" s="184"/>
      <c r="I566" s="186"/>
      <c r="J566" s="184"/>
    </row>
    <row r="567" spans="1:10">
      <c r="A567" s="174"/>
      <c r="B567" s="184"/>
      <c r="C567" s="184"/>
      <c r="D567" s="184"/>
      <c r="E567" s="184"/>
      <c r="F567" s="184"/>
      <c r="I567" s="186"/>
      <c r="J567" s="184"/>
    </row>
    <row r="568" spans="1:10">
      <c r="A568" s="174"/>
      <c r="B568" s="184"/>
      <c r="C568" s="184"/>
      <c r="D568" s="184"/>
      <c r="E568" s="184"/>
      <c r="F568" s="184"/>
      <c r="I568" s="186"/>
      <c r="J568" s="184"/>
    </row>
    <row r="569" spans="1:10">
      <c r="A569" s="174"/>
      <c r="B569" s="184"/>
      <c r="C569" s="184"/>
      <c r="D569" s="184"/>
      <c r="E569" s="184"/>
      <c r="F569" s="184"/>
      <c r="I569" s="186"/>
      <c r="J569" s="184"/>
    </row>
    <row r="570" spans="1:10">
      <c r="A570" s="174"/>
      <c r="B570" s="184"/>
      <c r="C570" s="184"/>
      <c r="D570" s="184"/>
      <c r="E570" s="184"/>
      <c r="F570" s="184"/>
      <c r="I570" s="186"/>
      <c r="J570" s="184"/>
    </row>
    <row r="571" spans="1:10">
      <c r="A571" s="174"/>
      <c r="B571" s="184"/>
      <c r="C571" s="184"/>
      <c r="D571" s="184"/>
      <c r="E571" s="184"/>
      <c r="F571" s="184"/>
      <c r="I571" s="186"/>
      <c r="J571" s="184"/>
    </row>
    <row r="572" spans="1:10">
      <c r="A572" s="174"/>
      <c r="B572" s="184"/>
      <c r="C572" s="184"/>
      <c r="D572" s="184"/>
      <c r="E572" s="184"/>
      <c r="F572" s="184"/>
      <c r="I572" s="186"/>
      <c r="J572" s="184"/>
    </row>
    <row r="573" spans="1:10">
      <c r="A573" s="174"/>
      <c r="B573" s="184"/>
      <c r="C573" s="184"/>
      <c r="D573" s="184"/>
      <c r="E573" s="184"/>
      <c r="F573" s="184"/>
      <c r="I573" s="186"/>
      <c r="J573" s="184"/>
    </row>
    <row r="574" spans="1:10">
      <c r="A574" s="174"/>
      <c r="B574" s="184"/>
      <c r="C574" s="184"/>
      <c r="D574" s="184"/>
      <c r="E574" s="184"/>
      <c r="F574" s="184"/>
      <c r="I574" s="186"/>
      <c r="J574" s="184"/>
    </row>
    <row r="575" spans="1:10">
      <c r="A575" s="174"/>
      <c r="B575" s="184"/>
      <c r="C575" s="184"/>
      <c r="D575" s="184"/>
      <c r="E575" s="184"/>
      <c r="F575" s="184"/>
      <c r="I575" s="186"/>
      <c r="J575" s="184"/>
    </row>
    <row r="576" spans="1:10">
      <c r="A576" s="174"/>
      <c r="B576" s="184"/>
      <c r="C576" s="184"/>
      <c r="D576" s="184"/>
      <c r="E576" s="184"/>
      <c r="F576" s="184"/>
      <c r="G576" s="187"/>
      <c r="I576" s="186"/>
      <c r="J576" s="184"/>
    </row>
    <row r="577" spans="1:10">
      <c r="A577" s="174"/>
      <c r="B577" s="184"/>
      <c r="C577" s="184"/>
      <c r="D577" s="184"/>
      <c r="E577" s="184"/>
      <c r="F577" s="184"/>
      <c r="I577" s="186"/>
      <c r="J577" s="184"/>
    </row>
    <row r="578" spans="1:10">
      <c r="A578" s="174"/>
      <c r="B578" s="184"/>
      <c r="C578" s="184"/>
      <c r="D578" s="184"/>
      <c r="E578" s="184"/>
      <c r="F578" s="184"/>
      <c r="I578" s="186"/>
      <c r="J578" s="184"/>
    </row>
    <row r="579" spans="1:10">
      <c r="A579" s="174"/>
      <c r="B579" s="184"/>
      <c r="C579" s="184"/>
      <c r="D579" s="184"/>
      <c r="E579" s="184"/>
      <c r="F579" s="184"/>
      <c r="I579" s="186"/>
      <c r="J579" s="184"/>
    </row>
    <row r="580" spans="1:10">
      <c r="A580" s="174"/>
      <c r="B580" s="184"/>
      <c r="C580" s="184"/>
      <c r="D580" s="184"/>
      <c r="E580" s="184"/>
      <c r="F580" s="184"/>
      <c r="I580" s="186"/>
      <c r="J580" s="184"/>
    </row>
    <row r="581" spans="1:10">
      <c r="A581" s="174"/>
      <c r="B581" s="184"/>
      <c r="C581" s="184"/>
      <c r="D581" s="184"/>
      <c r="E581" s="184"/>
      <c r="F581" s="184"/>
      <c r="I581" s="186"/>
      <c r="J581" s="184"/>
    </row>
    <row r="582" spans="1:10">
      <c r="A582" s="174"/>
      <c r="B582" s="184"/>
      <c r="C582" s="184"/>
      <c r="D582" s="184"/>
      <c r="E582" s="184"/>
      <c r="F582" s="184"/>
      <c r="G582" s="187"/>
      <c r="I582" s="186"/>
      <c r="J582" s="184"/>
    </row>
    <row r="583" spans="1:10">
      <c r="A583" s="174"/>
      <c r="B583" s="184"/>
      <c r="C583" s="184"/>
      <c r="D583" s="184"/>
      <c r="E583" s="184"/>
      <c r="F583" s="184"/>
      <c r="I583" s="186"/>
      <c r="J583" s="184"/>
    </row>
    <row r="584" spans="1:10">
      <c r="A584" s="174"/>
      <c r="B584" s="184"/>
      <c r="C584" s="184"/>
      <c r="D584" s="184"/>
      <c r="E584" s="184"/>
      <c r="F584" s="184"/>
      <c r="I584" s="186"/>
      <c r="J584" s="184"/>
    </row>
    <row r="585" spans="1:10">
      <c r="A585" s="174"/>
      <c r="B585" s="184"/>
      <c r="C585" s="184"/>
      <c r="D585" s="184"/>
      <c r="E585" s="184"/>
      <c r="F585" s="184"/>
      <c r="I585" s="186"/>
      <c r="J585" s="184"/>
    </row>
    <row r="586" spans="1:10">
      <c r="A586" s="174"/>
      <c r="B586" s="184"/>
      <c r="C586" s="184"/>
      <c r="D586" s="184"/>
      <c r="E586" s="184"/>
      <c r="F586" s="184"/>
      <c r="I586" s="186"/>
      <c r="J586" s="184"/>
    </row>
    <row r="587" spans="1:10">
      <c r="A587" s="174"/>
      <c r="B587" s="184"/>
      <c r="C587" s="184"/>
      <c r="D587" s="184"/>
      <c r="E587" s="184"/>
      <c r="F587" s="184"/>
      <c r="I587" s="186"/>
      <c r="J587" s="184"/>
    </row>
    <row r="588" spans="1:10">
      <c r="A588" s="174"/>
      <c r="B588" s="184"/>
      <c r="C588" s="184"/>
      <c r="D588" s="184"/>
      <c r="E588" s="184"/>
      <c r="F588" s="184"/>
      <c r="I588" s="186"/>
      <c r="J588" s="184"/>
    </row>
    <row r="589" spans="1:10">
      <c r="A589" s="174"/>
      <c r="B589" s="184"/>
      <c r="C589" s="184"/>
      <c r="D589" s="184"/>
      <c r="E589" s="184"/>
      <c r="F589" s="184"/>
      <c r="I589" s="186"/>
      <c r="J589" s="184"/>
    </row>
    <row r="590" spans="1:10">
      <c r="A590" s="174"/>
      <c r="B590" s="184"/>
      <c r="C590" s="184"/>
      <c r="D590" s="184"/>
      <c r="E590" s="184"/>
      <c r="F590" s="184"/>
      <c r="I590" s="186"/>
      <c r="J590" s="184"/>
    </row>
    <row r="591" spans="1:10">
      <c r="A591" s="174"/>
      <c r="B591" s="184"/>
      <c r="C591" s="184"/>
      <c r="D591" s="184"/>
      <c r="E591" s="184"/>
      <c r="F591" s="184"/>
      <c r="I591" s="186"/>
      <c r="J591" s="184"/>
    </row>
    <row r="592" spans="1:10">
      <c r="A592" s="174"/>
      <c r="B592" s="184"/>
      <c r="C592" s="184"/>
      <c r="D592" s="184"/>
      <c r="E592" s="184"/>
      <c r="F592" s="184"/>
      <c r="I592" s="186"/>
      <c r="J592" s="184"/>
    </row>
    <row r="593" spans="1:10">
      <c r="A593" s="174"/>
      <c r="B593" s="184"/>
      <c r="C593" s="184"/>
      <c r="D593" s="184"/>
      <c r="E593" s="184"/>
      <c r="F593" s="184"/>
      <c r="I593" s="186"/>
      <c r="J593" s="184"/>
    </row>
    <row r="594" spans="1:10">
      <c r="A594" s="174"/>
      <c r="B594" s="184"/>
      <c r="C594" s="184"/>
      <c r="D594" s="184"/>
      <c r="E594" s="184"/>
      <c r="F594" s="184"/>
      <c r="I594" s="186"/>
      <c r="J594" s="184"/>
    </row>
    <row r="595" spans="1:10">
      <c r="A595" s="174"/>
      <c r="B595" s="184"/>
      <c r="C595" s="184"/>
      <c r="D595" s="184"/>
      <c r="E595" s="184"/>
      <c r="F595" s="184"/>
      <c r="I595" s="186"/>
      <c r="J595" s="184"/>
    </row>
    <row r="596" spans="1:10">
      <c r="A596" s="174"/>
      <c r="B596" s="184"/>
      <c r="C596" s="184"/>
      <c r="D596" s="184"/>
      <c r="E596" s="184"/>
      <c r="F596" s="184"/>
      <c r="I596" s="186"/>
      <c r="J596" s="184"/>
    </row>
    <row r="597" spans="1:10">
      <c r="A597" s="174"/>
      <c r="B597" s="184"/>
      <c r="C597" s="184"/>
      <c r="D597" s="184"/>
      <c r="E597" s="184"/>
      <c r="F597" s="184"/>
      <c r="I597" s="186"/>
      <c r="J597" s="184"/>
    </row>
    <row r="598" spans="1:10">
      <c r="A598" s="174"/>
      <c r="B598" s="184"/>
      <c r="C598" s="184"/>
      <c r="D598" s="184"/>
      <c r="E598" s="184"/>
      <c r="F598" s="184"/>
      <c r="I598" s="186"/>
      <c r="J598" s="184"/>
    </row>
    <row r="599" spans="1:10">
      <c r="A599" s="174"/>
      <c r="B599" s="184"/>
      <c r="C599" s="184"/>
      <c r="D599" s="184"/>
      <c r="E599" s="184"/>
      <c r="F599" s="184"/>
      <c r="I599" s="186"/>
      <c r="J599" s="184"/>
    </row>
    <row r="600" spans="1:10">
      <c r="A600" s="174"/>
      <c r="B600" s="184"/>
      <c r="C600" s="184"/>
      <c r="D600" s="184"/>
      <c r="E600" s="184"/>
      <c r="F600" s="184"/>
      <c r="I600" s="186"/>
      <c r="J600" s="184"/>
    </row>
    <row r="601" spans="1:10">
      <c r="A601" s="174"/>
      <c r="B601" s="184"/>
      <c r="C601" s="184"/>
      <c r="D601" s="184"/>
      <c r="E601" s="184"/>
      <c r="F601" s="184"/>
      <c r="I601" s="186"/>
      <c r="J601" s="184"/>
    </row>
    <row r="602" spans="1:10">
      <c r="A602" s="174"/>
      <c r="B602" s="184"/>
      <c r="C602" s="184"/>
      <c r="D602" s="184"/>
      <c r="E602" s="184"/>
      <c r="F602" s="184"/>
      <c r="I602" s="186"/>
      <c r="J602" s="184"/>
    </row>
    <row r="603" spans="1:10">
      <c r="A603" s="174"/>
      <c r="B603" s="184"/>
      <c r="C603" s="184"/>
      <c r="D603" s="184"/>
      <c r="E603" s="184"/>
      <c r="F603" s="184"/>
      <c r="I603" s="186"/>
      <c r="J603" s="184"/>
    </row>
    <row r="604" spans="1:10">
      <c r="A604" s="174"/>
      <c r="B604" s="184"/>
      <c r="C604" s="184"/>
      <c r="D604" s="184"/>
      <c r="E604" s="184"/>
      <c r="F604" s="184"/>
      <c r="I604" s="186"/>
      <c r="J604" s="184"/>
    </row>
    <row r="605" spans="1:10">
      <c r="A605" s="174"/>
      <c r="B605" s="184"/>
      <c r="C605" s="184"/>
      <c r="D605" s="184"/>
      <c r="E605" s="184"/>
      <c r="F605" s="184"/>
      <c r="I605" s="186"/>
      <c r="J605" s="184"/>
    </row>
    <row r="606" spans="1:10">
      <c r="A606" s="174"/>
      <c r="B606" s="184"/>
      <c r="C606" s="184"/>
      <c r="D606" s="184"/>
      <c r="E606" s="184"/>
      <c r="F606" s="184"/>
      <c r="I606" s="186"/>
      <c r="J606" s="184"/>
    </row>
    <row r="607" spans="1:10">
      <c r="A607" s="174"/>
      <c r="B607" s="184"/>
      <c r="C607" s="184"/>
      <c r="D607" s="184"/>
      <c r="E607" s="184"/>
      <c r="F607" s="184"/>
      <c r="I607" s="186"/>
      <c r="J607" s="184"/>
    </row>
    <row r="608" spans="1:10">
      <c r="A608" s="174"/>
      <c r="B608" s="184"/>
      <c r="C608" s="184"/>
      <c r="D608" s="184"/>
      <c r="E608" s="184"/>
      <c r="F608" s="184"/>
      <c r="I608" s="186"/>
      <c r="J608" s="184"/>
    </row>
    <row r="609" spans="1:10">
      <c r="A609" s="174"/>
      <c r="B609" s="184"/>
      <c r="C609" s="184"/>
      <c r="D609" s="184"/>
      <c r="E609" s="184"/>
      <c r="F609" s="184"/>
      <c r="I609" s="186"/>
      <c r="J609" s="184"/>
    </row>
    <row r="610" spans="1:10">
      <c r="A610" s="174"/>
      <c r="B610" s="184"/>
      <c r="C610" s="184"/>
      <c r="D610" s="184"/>
      <c r="E610" s="184"/>
      <c r="F610" s="184"/>
      <c r="I610" s="186"/>
      <c r="J610" s="184"/>
    </row>
    <row r="611" spans="1:10">
      <c r="A611" s="174"/>
      <c r="B611" s="184"/>
      <c r="C611" s="184"/>
      <c r="D611" s="184"/>
      <c r="E611" s="184"/>
      <c r="F611" s="184"/>
      <c r="I611" s="186"/>
      <c r="J611" s="184"/>
    </row>
    <row r="612" spans="1:10">
      <c r="A612" s="174"/>
      <c r="B612" s="184"/>
      <c r="C612" s="184"/>
      <c r="D612" s="184"/>
      <c r="E612" s="184"/>
      <c r="F612" s="184"/>
      <c r="I612" s="186"/>
      <c r="J612" s="184"/>
    </row>
    <row r="613" spans="1:10">
      <c r="A613" s="174"/>
      <c r="B613" s="184"/>
      <c r="C613" s="184"/>
      <c r="D613" s="184"/>
      <c r="E613" s="184"/>
      <c r="F613" s="184"/>
      <c r="I613" s="186"/>
      <c r="J613" s="184"/>
    </row>
    <row r="614" spans="1:10">
      <c r="A614" s="174"/>
      <c r="B614" s="184"/>
      <c r="C614" s="184"/>
      <c r="D614" s="184"/>
      <c r="E614" s="184"/>
      <c r="F614" s="184"/>
      <c r="I614" s="186"/>
      <c r="J614" s="184"/>
    </row>
    <row r="615" spans="1:10">
      <c r="A615" s="174"/>
      <c r="B615" s="184"/>
      <c r="C615" s="184"/>
      <c r="D615" s="184"/>
      <c r="E615" s="184"/>
      <c r="F615" s="184"/>
      <c r="I615" s="186"/>
      <c r="J615" s="184"/>
    </row>
    <row r="616" spans="1:10">
      <c r="A616" s="174"/>
      <c r="B616" s="184"/>
      <c r="C616" s="184"/>
      <c r="D616" s="184"/>
      <c r="E616" s="184"/>
      <c r="F616" s="184"/>
      <c r="I616" s="186"/>
      <c r="J616" s="184"/>
    </row>
    <row r="617" spans="1:10">
      <c r="A617" s="174"/>
      <c r="B617" s="184"/>
      <c r="C617" s="184"/>
      <c r="D617" s="184"/>
      <c r="E617" s="184"/>
      <c r="F617" s="184"/>
      <c r="I617" s="186"/>
      <c r="J617" s="184"/>
    </row>
    <row r="618" spans="1:10">
      <c r="A618" s="174"/>
      <c r="B618" s="184"/>
      <c r="C618" s="184"/>
      <c r="D618" s="184"/>
      <c r="E618" s="184"/>
      <c r="F618" s="184"/>
      <c r="I618" s="186"/>
      <c r="J618" s="184"/>
    </row>
    <row r="619" spans="1:10">
      <c r="A619" s="174"/>
      <c r="B619" s="184"/>
      <c r="C619" s="184"/>
      <c r="D619" s="184"/>
      <c r="E619" s="184"/>
      <c r="F619" s="184"/>
      <c r="I619" s="186"/>
      <c r="J619" s="184"/>
    </row>
    <row r="620" spans="1:10">
      <c r="A620" s="174"/>
      <c r="B620" s="184"/>
      <c r="C620" s="184"/>
      <c r="D620" s="184"/>
      <c r="E620" s="184"/>
      <c r="F620" s="184"/>
      <c r="I620" s="186"/>
      <c r="J620" s="184"/>
    </row>
    <row r="621" spans="1:10">
      <c r="A621" s="174"/>
      <c r="B621" s="184"/>
      <c r="C621" s="184"/>
      <c r="D621" s="184"/>
      <c r="E621" s="184"/>
      <c r="F621" s="184"/>
      <c r="I621" s="186"/>
      <c r="J621" s="184"/>
    </row>
    <row r="622" spans="1:10">
      <c r="A622" s="174"/>
      <c r="B622" s="184"/>
      <c r="C622" s="184"/>
      <c r="D622" s="184"/>
      <c r="E622" s="184"/>
      <c r="F622" s="184"/>
      <c r="I622" s="186"/>
      <c r="J622" s="184"/>
    </row>
    <row r="623" spans="1:10">
      <c r="A623" s="174"/>
      <c r="B623" s="184"/>
      <c r="C623" s="184"/>
      <c r="D623" s="184"/>
      <c r="E623" s="184"/>
      <c r="F623" s="184"/>
      <c r="I623" s="186"/>
      <c r="J623" s="184"/>
    </row>
    <row r="624" spans="1:10">
      <c r="A624" s="174"/>
      <c r="B624" s="184"/>
      <c r="C624" s="184"/>
      <c r="D624" s="184"/>
      <c r="E624" s="184"/>
      <c r="F624" s="184"/>
      <c r="I624" s="186"/>
      <c r="J624" s="184"/>
    </row>
    <row r="625" spans="1:10">
      <c r="A625" s="174"/>
      <c r="B625" s="184"/>
      <c r="C625" s="184"/>
      <c r="D625" s="184"/>
      <c r="E625" s="184"/>
      <c r="F625" s="184"/>
      <c r="I625" s="186"/>
      <c r="J625" s="184"/>
    </row>
    <row r="626" spans="1:10">
      <c r="A626" s="174"/>
      <c r="B626" s="184"/>
      <c r="C626" s="184"/>
      <c r="D626" s="184"/>
      <c r="E626" s="184"/>
      <c r="F626" s="184"/>
      <c r="I626" s="186"/>
      <c r="J626" s="184"/>
    </row>
    <row r="627" spans="1:10">
      <c r="A627" s="174"/>
      <c r="B627" s="184"/>
      <c r="C627" s="184"/>
      <c r="D627" s="184"/>
      <c r="E627" s="184"/>
      <c r="F627" s="184"/>
      <c r="I627" s="186"/>
      <c r="J627" s="184"/>
    </row>
    <row r="628" spans="1:10">
      <c r="A628" s="174"/>
      <c r="B628" s="184"/>
      <c r="C628" s="184"/>
      <c r="D628" s="184"/>
      <c r="E628" s="184"/>
      <c r="F628" s="184"/>
      <c r="I628" s="186"/>
      <c r="J628" s="184"/>
    </row>
    <row r="629" spans="1:10">
      <c r="A629" s="174"/>
      <c r="B629" s="184"/>
      <c r="C629" s="184"/>
      <c r="D629" s="184"/>
      <c r="E629" s="184"/>
      <c r="F629" s="184"/>
      <c r="I629" s="186"/>
      <c r="J629" s="184"/>
    </row>
    <row r="630" spans="1:10">
      <c r="A630" s="174"/>
      <c r="B630" s="184"/>
      <c r="C630" s="184"/>
      <c r="D630" s="184"/>
      <c r="E630" s="184"/>
      <c r="F630" s="184"/>
      <c r="I630" s="186"/>
      <c r="J630" s="184"/>
    </row>
    <row r="631" spans="1:10">
      <c r="A631" s="174"/>
      <c r="B631" s="184"/>
      <c r="C631" s="184"/>
      <c r="D631" s="184"/>
      <c r="E631" s="184"/>
      <c r="F631" s="184"/>
      <c r="I631" s="186"/>
      <c r="J631" s="184"/>
    </row>
    <row r="632" spans="1:10">
      <c r="A632" s="174"/>
      <c r="B632" s="184"/>
      <c r="C632" s="184"/>
      <c r="D632" s="184"/>
      <c r="E632" s="184"/>
      <c r="F632" s="184"/>
      <c r="I632" s="186"/>
      <c r="J632" s="184"/>
    </row>
    <row r="633" spans="1:10">
      <c r="A633" s="174"/>
      <c r="B633" s="184"/>
      <c r="C633" s="184"/>
      <c r="D633" s="184"/>
      <c r="E633" s="184"/>
      <c r="F633" s="184"/>
      <c r="I633" s="186"/>
      <c r="J633" s="184"/>
    </row>
    <row r="634" spans="1:10">
      <c r="A634" s="174"/>
      <c r="B634" s="184"/>
      <c r="C634" s="184"/>
      <c r="D634" s="184"/>
      <c r="E634" s="184"/>
      <c r="F634" s="184"/>
      <c r="I634" s="186"/>
      <c r="J634" s="184"/>
    </row>
    <row r="635" spans="1:10">
      <c r="A635" s="174"/>
      <c r="B635" s="184"/>
      <c r="C635" s="184"/>
      <c r="D635" s="184"/>
      <c r="E635" s="184"/>
      <c r="F635" s="184"/>
      <c r="I635" s="186"/>
      <c r="J635" s="184"/>
    </row>
    <row r="636" spans="1:10">
      <c r="A636" s="174"/>
      <c r="B636" s="184"/>
      <c r="C636" s="184"/>
      <c r="D636" s="184"/>
      <c r="E636" s="184"/>
      <c r="F636" s="184"/>
      <c r="I636" s="186"/>
      <c r="J636" s="184"/>
    </row>
    <row r="637" spans="1:10">
      <c r="A637" s="174"/>
      <c r="B637" s="184"/>
      <c r="C637" s="184"/>
      <c r="D637" s="184"/>
      <c r="E637" s="184"/>
      <c r="F637" s="184"/>
      <c r="I637" s="186"/>
      <c r="J637" s="184"/>
    </row>
    <row r="638" spans="1:10">
      <c r="A638" s="174"/>
      <c r="B638" s="184"/>
      <c r="C638" s="184"/>
      <c r="D638" s="184"/>
      <c r="E638" s="184"/>
      <c r="F638" s="184"/>
      <c r="I638" s="186"/>
      <c r="J638" s="184"/>
    </row>
    <row r="639" spans="1:10">
      <c r="A639" s="174"/>
      <c r="B639" s="184"/>
      <c r="C639" s="184"/>
      <c r="D639" s="184"/>
      <c r="E639" s="184"/>
      <c r="F639" s="184"/>
      <c r="I639" s="186"/>
      <c r="J639" s="184"/>
    </row>
    <row r="640" spans="1:10">
      <c r="A640" s="174"/>
      <c r="B640" s="184"/>
      <c r="C640" s="184"/>
      <c r="D640" s="184"/>
      <c r="E640" s="184"/>
      <c r="F640" s="184"/>
      <c r="I640" s="186"/>
      <c r="J640" s="184"/>
    </row>
    <row r="641" spans="1:10">
      <c r="A641" s="174"/>
      <c r="B641" s="184"/>
      <c r="C641" s="184"/>
      <c r="D641" s="184"/>
      <c r="E641" s="184"/>
      <c r="F641" s="184"/>
      <c r="I641" s="186"/>
      <c r="J641" s="184"/>
    </row>
    <row r="642" spans="1:10">
      <c r="A642" s="174"/>
      <c r="B642" s="184"/>
      <c r="C642" s="184"/>
      <c r="D642" s="184"/>
      <c r="E642" s="184"/>
      <c r="F642" s="184"/>
      <c r="I642" s="186"/>
      <c r="J642" s="184"/>
    </row>
    <row r="643" spans="1:10">
      <c r="A643" s="174"/>
      <c r="B643" s="184"/>
      <c r="C643" s="184"/>
      <c r="D643" s="184"/>
      <c r="E643" s="184"/>
      <c r="F643" s="184"/>
      <c r="I643" s="186"/>
      <c r="J643" s="184"/>
    </row>
    <row r="644" spans="1:10">
      <c r="A644" s="174"/>
      <c r="B644" s="184"/>
      <c r="C644" s="184"/>
      <c r="D644" s="184"/>
      <c r="E644" s="184"/>
      <c r="F644" s="184"/>
      <c r="I644" s="186"/>
      <c r="J644" s="184"/>
    </row>
    <row r="645" spans="1:10">
      <c r="A645" s="174"/>
      <c r="B645" s="184"/>
      <c r="C645" s="184"/>
      <c r="D645" s="184"/>
      <c r="E645" s="184"/>
      <c r="F645" s="184"/>
      <c r="I645" s="186"/>
      <c r="J645" s="184"/>
    </row>
    <row r="646" spans="1:10">
      <c r="A646" s="174"/>
      <c r="B646" s="184"/>
      <c r="C646" s="184"/>
      <c r="D646" s="184"/>
      <c r="E646" s="184"/>
      <c r="F646" s="184"/>
      <c r="I646" s="186"/>
      <c r="J646" s="184"/>
    </row>
    <row r="647" spans="1:10">
      <c r="A647" s="174"/>
      <c r="B647" s="184"/>
      <c r="C647" s="184"/>
      <c r="D647" s="184"/>
      <c r="E647" s="184"/>
      <c r="F647" s="184"/>
      <c r="I647" s="186"/>
      <c r="J647" s="184"/>
    </row>
    <row r="648" spans="1:10">
      <c r="A648" s="174"/>
      <c r="B648" s="184"/>
      <c r="C648" s="184"/>
      <c r="D648" s="184"/>
      <c r="E648" s="184"/>
      <c r="F648" s="184"/>
      <c r="I648" s="186"/>
      <c r="J648" s="184"/>
    </row>
    <row r="649" spans="1:10">
      <c r="A649" s="174"/>
      <c r="B649" s="184"/>
      <c r="C649" s="184"/>
      <c r="D649" s="184"/>
      <c r="E649" s="184"/>
      <c r="F649" s="184"/>
      <c r="I649" s="186"/>
      <c r="J649" s="184"/>
    </row>
    <row r="650" spans="1:10">
      <c r="A650" s="174"/>
      <c r="B650" s="184"/>
      <c r="C650" s="184"/>
      <c r="D650" s="184"/>
      <c r="E650" s="184"/>
      <c r="F650" s="184"/>
      <c r="I650" s="186"/>
      <c r="J650" s="184"/>
    </row>
    <row r="651" spans="1:10">
      <c r="A651" s="174"/>
      <c r="B651" s="184"/>
      <c r="C651" s="184"/>
      <c r="D651" s="184"/>
      <c r="E651" s="184"/>
      <c r="F651" s="184"/>
      <c r="I651" s="186"/>
      <c r="J651" s="184"/>
    </row>
    <row r="652" spans="1:10">
      <c r="A652" s="174"/>
      <c r="B652" s="184"/>
      <c r="C652" s="184"/>
      <c r="D652" s="184"/>
      <c r="E652" s="184"/>
      <c r="F652" s="184"/>
      <c r="I652" s="186"/>
      <c r="J652" s="184"/>
    </row>
    <row r="653" spans="1:10">
      <c r="A653" s="174"/>
      <c r="B653" s="184"/>
      <c r="C653" s="184"/>
      <c r="D653" s="184"/>
      <c r="E653" s="184"/>
      <c r="F653" s="184"/>
      <c r="I653" s="186"/>
      <c r="J653" s="184"/>
    </row>
    <row r="654" spans="1:10">
      <c r="A654" s="174"/>
      <c r="B654" s="184"/>
      <c r="C654" s="184"/>
      <c r="D654" s="184"/>
      <c r="E654" s="184"/>
      <c r="F654" s="184"/>
      <c r="I654" s="186"/>
      <c r="J654" s="184"/>
    </row>
    <row r="655" spans="1:10">
      <c r="A655" s="174"/>
      <c r="B655" s="184"/>
      <c r="C655" s="184"/>
      <c r="D655" s="184"/>
      <c r="E655" s="184"/>
      <c r="F655" s="184"/>
      <c r="I655" s="186"/>
      <c r="J655" s="184"/>
    </row>
    <row r="656" spans="1:10">
      <c r="A656" s="174"/>
      <c r="B656" s="184"/>
      <c r="C656" s="184"/>
      <c r="D656" s="184"/>
      <c r="E656" s="184"/>
      <c r="F656" s="184"/>
      <c r="I656" s="186"/>
      <c r="J656" s="184"/>
    </row>
    <row r="657" spans="1:10">
      <c r="A657" s="174"/>
      <c r="B657" s="184"/>
      <c r="C657" s="184"/>
      <c r="D657" s="184"/>
      <c r="E657" s="184"/>
      <c r="F657" s="184"/>
      <c r="I657" s="186"/>
      <c r="J657" s="184"/>
    </row>
    <row r="658" spans="1:10">
      <c r="A658" s="174"/>
      <c r="B658" s="184"/>
      <c r="C658" s="184"/>
      <c r="D658" s="184"/>
      <c r="E658" s="184"/>
      <c r="F658" s="184"/>
      <c r="I658" s="186"/>
      <c r="J658" s="184"/>
    </row>
    <row r="659" spans="1:10">
      <c r="A659" s="174"/>
      <c r="B659" s="184"/>
      <c r="C659" s="184"/>
      <c r="D659" s="184"/>
      <c r="E659" s="184"/>
      <c r="F659" s="184"/>
      <c r="I659" s="186"/>
      <c r="J659" s="184"/>
    </row>
    <row r="660" spans="1:10">
      <c r="A660" s="174"/>
      <c r="B660" s="184"/>
      <c r="C660" s="184"/>
      <c r="D660" s="184"/>
      <c r="E660" s="184"/>
      <c r="F660" s="184"/>
      <c r="I660" s="186"/>
      <c r="J660" s="184"/>
    </row>
    <row r="661" spans="1:10">
      <c r="A661" s="174"/>
      <c r="B661" s="184"/>
      <c r="C661" s="184"/>
      <c r="D661" s="184"/>
      <c r="E661" s="184"/>
      <c r="F661" s="184"/>
      <c r="I661" s="186"/>
      <c r="J661" s="184"/>
    </row>
    <row r="662" spans="1:10">
      <c r="A662" s="174"/>
      <c r="B662" s="184"/>
      <c r="C662" s="184"/>
      <c r="D662" s="184"/>
      <c r="E662" s="184"/>
      <c r="F662" s="184"/>
      <c r="I662" s="186"/>
      <c r="J662" s="184"/>
    </row>
    <row r="663" spans="1:10">
      <c r="A663" s="174"/>
      <c r="B663" s="184"/>
      <c r="C663" s="184"/>
      <c r="D663" s="184"/>
      <c r="E663" s="184"/>
      <c r="F663" s="184"/>
      <c r="I663" s="186"/>
      <c r="J663" s="184"/>
    </row>
    <row r="664" spans="1:10">
      <c r="A664" s="174"/>
      <c r="B664" s="184"/>
      <c r="C664" s="184"/>
      <c r="D664" s="184"/>
      <c r="E664" s="184"/>
      <c r="F664" s="184"/>
      <c r="I664" s="186"/>
      <c r="J664" s="184"/>
    </row>
    <row r="665" spans="1:10">
      <c r="A665" s="174"/>
      <c r="B665" s="184"/>
      <c r="C665" s="184"/>
      <c r="D665" s="184"/>
      <c r="E665" s="184"/>
      <c r="F665" s="184"/>
      <c r="G665" s="187"/>
      <c r="I665" s="186"/>
      <c r="J665" s="184"/>
    </row>
    <row r="666" spans="1:10">
      <c r="A666" s="174"/>
      <c r="B666" s="184"/>
      <c r="C666" s="184"/>
      <c r="D666" s="184"/>
      <c r="E666" s="184"/>
      <c r="F666" s="184"/>
      <c r="I666" s="186"/>
      <c r="J666" s="184"/>
    </row>
    <row r="667" spans="1:10">
      <c r="A667" s="174"/>
      <c r="B667" s="184"/>
      <c r="C667" s="184"/>
      <c r="D667" s="184"/>
      <c r="E667" s="184"/>
      <c r="F667" s="184"/>
      <c r="I667" s="186"/>
      <c r="J667" s="184"/>
    </row>
    <row r="668" spans="1:10">
      <c r="A668" s="174"/>
      <c r="B668" s="184"/>
      <c r="C668" s="184"/>
      <c r="D668" s="184"/>
      <c r="E668" s="184"/>
      <c r="F668" s="184"/>
      <c r="I668" s="186"/>
      <c r="J668" s="184"/>
    </row>
    <row r="669" spans="1:10">
      <c r="A669" s="174"/>
      <c r="B669" s="184"/>
      <c r="C669" s="184"/>
      <c r="D669" s="184"/>
      <c r="E669" s="184"/>
      <c r="F669" s="184"/>
      <c r="I669" s="186"/>
      <c r="J669" s="184"/>
    </row>
    <row r="670" spans="1:10">
      <c r="A670" s="174"/>
      <c r="B670" s="184"/>
      <c r="C670" s="184"/>
      <c r="D670" s="184"/>
      <c r="E670" s="184"/>
      <c r="F670" s="184"/>
      <c r="I670" s="186"/>
      <c r="J670" s="184"/>
    </row>
    <row r="671" spans="1:10">
      <c r="A671" s="174"/>
      <c r="B671" s="184"/>
      <c r="C671" s="184"/>
      <c r="D671" s="184"/>
      <c r="E671" s="184"/>
      <c r="F671" s="184"/>
      <c r="I671" s="186"/>
      <c r="J671" s="184"/>
    </row>
    <row r="672" spans="1:10">
      <c r="A672" s="174"/>
      <c r="B672" s="184"/>
      <c r="C672" s="184"/>
      <c r="D672" s="184"/>
      <c r="E672" s="184"/>
      <c r="F672" s="184"/>
      <c r="I672" s="186"/>
      <c r="J672" s="184"/>
    </row>
    <row r="673" spans="1:10">
      <c r="A673" s="174"/>
      <c r="B673" s="184"/>
      <c r="C673" s="184"/>
      <c r="D673" s="184"/>
      <c r="E673" s="184"/>
      <c r="F673" s="184"/>
      <c r="I673" s="186"/>
      <c r="J673" s="184"/>
    </row>
    <row r="674" spans="1:10">
      <c r="A674" s="174"/>
      <c r="B674" s="184"/>
      <c r="C674" s="184"/>
      <c r="D674" s="184"/>
      <c r="E674" s="184"/>
      <c r="F674" s="184"/>
      <c r="I674" s="186"/>
      <c r="J674" s="184"/>
    </row>
    <row r="675" spans="1:10">
      <c r="A675" s="174"/>
      <c r="B675" s="184"/>
      <c r="C675" s="184"/>
      <c r="D675" s="184"/>
      <c r="E675" s="184"/>
      <c r="F675" s="184"/>
      <c r="I675" s="186"/>
      <c r="J675" s="184"/>
    </row>
    <row r="676" spans="1:10">
      <c r="A676" s="174"/>
      <c r="B676" s="184"/>
      <c r="C676" s="184"/>
      <c r="D676" s="184"/>
      <c r="E676" s="184"/>
      <c r="F676" s="184"/>
      <c r="I676" s="186"/>
      <c r="J676" s="184"/>
    </row>
    <row r="677" spans="1:10">
      <c r="A677" s="174"/>
      <c r="B677" s="184"/>
      <c r="C677" s="184"/>
      <c r="D677" s="184"/>
      <c r="E677" s="184"/>
      <c r="F677" s="184"/>
      <c r="I677" s="186"/>
      <c r="J677" s="184"/>
    </row>
    <row r="678" spans="1:10">
      <c r="A678" s="174"/>
      <c r="B678" s="184"/>
      <c r="C678" s="184"/>
      <c r="D678" s="184"/>
      <c r="E678" s="184"/>
      <c r="F678" s="184"/>
      <c r="I678" s="186"/>
      <c r="J678" s="184"/>
    </row>
    <row r="679" spans="1:10">
      <c r="A679" s="174"/>
      <c r="B679" s="184"/>
      <c r="C679" s="184"/>
      <c r="D679" s="184"/>
      <c r="E679" s="184"/>
      <c r="F679" s="184"/>
      <c r="I679" s="186"/>
      <c r="J679" s="184"/>
    </row>
    <row r="680" spans="1:10">
      <c r="A680" s="174"/>
      <c r="B680" s="184"/>
      <c r="C680" s="184"/>
      <c r="D680" s="184"/>
      <c r="E680" s="184"/>
      <c r="F680" s="184"/>
      <c r="I680" s="186"/>
      <c r="J680" s="184"/>
    </row>
    <row r="681" spans="1:10">
      <c r="A681" s="174"/>
      <c r="B681" s="184"/>
      <c r="C681" s="184"/>
      <c r="D681" s="184"/>
      <c r="E681" s="184"/>
      <c r="F681" s="184"/>
      <c r="I681" s="186"/>
      <c r="J681" s="184"/>
    </row>
    <row r="682" spans="1:10">
      <c r="A682" s="174"/>
      <c r="B682" s="184"/>
      <c r="C682" s="184"/>
      <c r="D682" s="184"/>
      <c r="E682" s="184"/>
      <c r="F682" s="184"/>
      <c r="G682" s="187"/>
      <c r="I682" s="186"/>
      <c r="J682" s="184"/>
    </row>
    <row r="683" spans="1:10">
      <c r="A683" s="174"/>
      <c r="B683" s="184"/>
      <c r="C683" s="184"/>
      <c r="D683" s="184"/>
      <c r="E683" s="184"/>
      <c r="F683" s="184"/>
      <c r="G683" s="187"/>
      <c r="I683" s="186"/>
      <c r="J683" s="184"/>
    </row>
    <row r="684" spans="1:10">
      <c r="A684" s="174"/>
      <c r="B684" s="184"/>
      <c r="C684" s="184"/>
      <c r="D684" s="184"/>
      <c r="E684" s="184"/>
      <c r="F684" s="184"/>
      <c r="G684" s="187"/>
      <c r="I684" s="186"/>
      <c r="J684" s="184"/>
    </row>
    <row r="685" spans="1:10">
      <c r="A685" s="174"/>
      <c r="B685" s="184"/>
      <c r="C685" s="184"/>
      <c r="D685" s="184"/>
      <c r="E685" s="184"/>
      <c r="F685" s="184"/>
      <c r="I685" s="186"/>
      <c r="J685" s="184"/>
    </row>
    <row r="686" spans="1:10">
      <c r="A686" s="174"/>
      <c r="B686" s="184"/>
      <c r="C686" s="184"/>
      <c r="D686" s="184"/>
      <c r="E686" s="184"/>
      <c r="F686" s="184"/>
      <c r="I686" s="186"/>
      <c r="J686" s="184"/>
    </row>
    <row r="687" spans="1:10">
      <c r="A687" s="174"/>
      <c r="B687" s="184"/>
      <c r="C687" s="184"/>
      <c r="D687" s="184"/>
      <c r="E687" s="184"/>
      <c r="F687" s="184"/>
      <c r="G687" s="187"/>
      <c r="I687" s="186"/>
      <c r="J687" s="184"/>
    </row>
    <row r="688" spans="1:10">
      <c r="A688" s="174"/>
      <c r="B688" s="184"/>
      <c r="C688" s="184"/>
      <c r="D688" s="184"/>
      <c r="E688" s="184"/>
      <c r="F688" s="184"/>
      <c r="I688" s="186"/>
      <c r="J688" s="184"/>
    </row>
    <row r="689" spans="1:10">
      <c r="A689" s="174"/>
      <c r="B689" s="184"/>
      <c r="C689" s="184"/>
      <c r="D689" s="184"/>
      <c r="E689" s="184"/>
      <c r="F689" s="184"/>
      <c r="G689" s="187"/>
      <c r="I689" s="186"/>
      <c r="J689" s="184"/>
    </row>
    <row r="690" spans="1:10">
      <c r="A690" s="174"/>
      <c r="B690" s="184"/>
      <c r="C690" s="184"/>
      <c r="D690" s="184"/>
      <c r="E690" s="184"/>
      <c r="F690" s="184"/>
      <c r="I690" s="186"/>
      <c r="J690" s="184"/>
    </row>
    <row r="691" spans="1:10">
      <c r="A691" s="174"/>
      <c r="B691" s="184"/>
      <c r="C691" s="184"/>
      <c r="D691" s="184"/>
      <c r="E691" s="184"/>
      <c r="F691" s="184"/>
      <c r="I691" s="186"/>
      <c r="J691" s="184"/>
    </row>
    <row r="692" spans="1:10">
      <c r="A692" s="174"/>
      <c r="B692" s="184"/>
      <c r="C692" s="184"/>
      <c r="D692" s="184"/>
      <c r="E692" s="184"/>
      <c r="F692" s="184"/>
      <c r="I692" s="186"/>
      <c r="J692" s="184"/>
    </row>
    <row r="693" spans="1:10">
      <c r="A693" s="174"/>
      <c r="B693" s="184"/>
      <c r="C693" s="184"/>
      <c r="D693" s="184"/>
      <c r="E693" s="184"/>
      <c r="F693" s="184"/>
      <c r="I693" s="186"/>
      <c r="J693" s="184"/>
    </row>
    <row r="694" spans="1:10">
      <c r="A694" s="174"/>
      <c r="B694" s="184"/>
      <c r="C694" s="184"/>
      <c r="D694" s="184"/>
      <c r="E694" s="184"/>
      <c r="F694" s="184"/>
      <c r="I694" s="186"/>
      <c r="J694" s="184"/>
    </row>
    <row r="695" spans="1:10">
      <c r="A695" s="174"/>
      <c r="B695" s="184"/>
      <c r="C695" s="184"/>
      <c r="D695" s="184"/>
      <c r="E695" s="184"/>
      <c r="F695" s="184"/>
      <c r="G695" s="187"/>
      <c r="I695" s="186"/>
      <c r="J695" s="184"/>
    </row>
    <row r="696" spans="1:10">
      <c r="A696" s="174"/>
      <c r="B696" s="184"/>
      <c r="C696" s="184"/>
      <c r="D696" s="184"/>
      <c r="E696" s="184"/>
      <c r="F696" s="184"/>
      <c r="I696" s="186"/>
      <c r="J696" s="184"/>
    </row>
    <row r="697" spans="1:10">
      <c r="A697" s="174"/>
      <c r="B697" s="184"/>
      <c r="C697" s="184"/>
      <c r="D697" s="184"/>
      <c r="E697" s="184"/>
      <c r="F697" s="184"/>
      <c r="I697" s="186"/>
      <c r="J697" s="184"/>
    </row>
    <row r="698" spans="1:10">
      <c r="A698" s="174"/>
      <c r="B698" s="184"/>
      <c r="C698" s="184"/>
      <c r="D698" s="184"/>
      <c r="E698" s="184"/>
      <c r="F698" s="184"/>
      <c r="G698" s="187"/>
      <c r="I698" s="186"/>
      <c r="J698" s="184"/>
    </row>
    <row r="699" spans="1:10">
      <c r="A699" s="174"/>
      <c r="B699" s="184"/>
      <c r="C699" s="184"/>
      <c r="D699" s="184"/>
      <c r="E699" s="184"/>
      <c r="F699" s="184"/>
      <c r="I699" s="186"/>
      <c r="J699" s="184"/>
    </row>
    <row r="700" spans="1:10">
      <c r="A700" s="174"/>
      <c r="B700" s="184"/>
      <c r="C700" s="184"/>
      <c r="D700" s="184"/>
      <c r="E700" s="184"/>
      <c r="F700" s="184"/>
      <c r="I700" s="186"/>
      <c r="J700" s="184"/>
    </row>
    <row r="701" spans="1:10">
      <c r="A701" s="174"/>
      <c r="B701" s="184"/>
      <c r="C701" s="184"/>
      <c r="D701" s="184"/>
      <c r="E701" s="184"/>
      <c r="F701" s="184"/>
      <c r="I701" s="186"/>
      <c r="J701" s="184"/>
    </row>
    <row r="702" spans="1:10">
      <c r="A702" s="174"/>
      <c r="B702" s="184"/>
      <c r="C702" s="184"/>
      <c r="D702" s="184"/>
      <c r="E702" s="184"/>
      <c r="F702" s="184"/>
      <c r="I702" s="186"/>
      <c r="J702" s="184"/>
    </row>
    <row r="703" spans="1:10">
      <c r="A703" s="174"/>
      <c r="B703" s="184"/>
      <c r="C703" s="184"/>
      <c r="D703" s="184"/>
      <c r="E703" s="184"/>
      <c r="F703" s="184"/>
      <c r="I703" s="186"/>
      <c r="J703" s="184"/>
    </row>
    <row r="704" spans="1:10">
      <c r="A704" s="174"/>
      <c r="B704" s="184"/>
      <c r="C704" s="184"/>
      <c r="D704" s="184"/>
      <c r="E704" s="184"/>
      <c r="F704" s="184"/>
      <c r="I704" s="186"/>
      <c r="J704" s="184"/>
    </row>
    <row r="705" spans="1:10">
      <c r="A705" s="174"/>
      <c r="B705" s="184"/>
      <c r="C705" s="184"/>
      <c r="D705" s="184"/>
      <c r="E705" s="184"/>
      <c r="F705" s="184"/>
      <c r="I705" s="186"/>
      <c r="J705" s="184"/>
    </row>
    <row r="706" spans="1:10">
      <c r="A706" s="174"/>
      <c r="B706" s="184"/>
      <c r="C706" s="184"/>
      <c r="D706" s="184"/>
      <c r="E706" s="184"/>
      <c r="F706" s="184"/>
      <c r="I706" s="186"/>
      <c r="J706" s="184"/>
    </row>
    <row r="707" spans="1:10">
      <c r="A707" s="174"/>
      <c r="B707" s="184"/>
      <c r="C707" s="184"/>
      <c r="D707" s="184"/>
      <c r="E707" s="184"/>
      <c r="F707" s="184"/>
      <c r="I707" s="186"/>
      <c r="J707" s="184"/>
    </row>
    <row r="708" spans="1:10">
      <c r="A708" s="174"/>
      <c r="B708" s="184"/>
      <c r="C708" s="184"/>
      <c r="D708" s="184"/>
      <c r="E708" s="184"/>
      <c r="F708" s="184"/>
      <c r="I708" s="186"/>
      <c r="J708" s="184"/>
    </row>
    <row r="709" spans="1:10">
      <c r="A709" s="174"/>
      <c r="B709" s="184"/>
      <c r="C709" s="184"/>
      <c r="D709" s="184"/>
      <c r="E709" s="184"/>
      <c r="F709" s="184"/>
      <c r="I709" s="186"/>
      <c r="J709" s="184"/>
    </row>
    <row r="710" spans="1:10">
      <c r="A710" s="174"/>
      <c r="B710" s="184"/>
      <c r="C710" s="184"/>
      <c r="D710" s="184"/>
      <c r="E710" s="184"/>
      <c r="F710" s="184"/>
      <c r="I710" s="186"/>
      <c r="J710" s="184"/>
    </row>
    <row r="711" spans="1:10">
      <c r="A711" s="174"/>
      <c r="B711" s="184"/>
      <c r="C711" s="184"/>
      <c r="D711" s="184"/>
      <c r="E711" s="184"/>
      <c r="F711" s="184"/>
      <c r="I711" s="186"/>
      <c r="J711" s="184"/>
    </row>
    <row r="712" spans="1:10">
      <c r="A712" s="174"/>
      <c r="B712" s="184"/>
      <c r="C712" s="184"/>
      <c r="D712" s="184"/>
      <c r="E712" s="184"/>
      <c r="F712" s="184"/>
      <c r="I712" s="186"/>
      <c r="J712" s="184"/>
    </row>
    <row r="713" spans="1:10">
      <c r="A713" s="174"/>
      <c r="B713" s="184"/>
      <c r="C713" s="184"/>
      <c r="D713" s="184"/>
      <c r="E713" s="184"/>
      <c r="F713" s="184"/>
      <c r="G713" s="187"/>
      <c r="I713" s="186"/>
      <c r="J713" s="184"/>
    </row>
    <row r="714" spans="1:10">
      <c r="A714" s="174"/>
      <c r="B714" s="184"/>
      <c r="C714" s="184"/>
      <c r="D714" s="184"/>
      <c r="E714" s="184"/>
      <c r="F714" s="184"/>
      <c r="I714" s="186"/>
      <c r="J714" s="184"/>
    </row>
    <row r="715" spans="1:10">
      <c r="A715" s="174"/>
      <c r="B715" s="184"/>
      <c r="C715" s="184"/>
      <c r="D715" s="184"/>
      <c r="E715" s="184"/>
      <c r="F715" s="184"/>
      <c r="I715" s="186"/>
      <c r="J715" s="184"/>
    </row>
    <row r="716" spans="1:10">
      <c r="A716" s="174"/>
      <c r="B716" s="184"/>
      <c r="C716" s="184"/>
      <c r="D716" s="184"/>
      <c r="E716" s="184"/>
      <c r="F716" s="184"/>
      <c r="I716" s="186"/>
      <c r="J716" s="184"/>
    </row>
    <row r="717" spans="1:10">
      <c r="A717" s="174"/>
      <c r="B717" s="184"/>
      <c r="C717" s="184"/>
      <c r="D717" s="184"/>
      <c r="E717" s="184"/>
      <c r="F717" s="184"/>
      <c r="I717" s="186"/>
      <c r="J717" s="184"/>
    </row>
    <row r="718" spans="1:10">
      <c r="A718" s="174"/>
      <c r="B718" s="184"/>
      <c r="C718" s="184"/>
      <c r="D718" s="184"/>
      <c r="E718" s="184"/>
      <c r="F718" s="184"/>
      <c r="I718" s="186"/>
      <c r="J718" s="184"/>
    </row>
    <row r="719" spans="1:10">
      <c r="A719" s="174"/>
      <c r="B719" s="184"/>
      <c r="C719" s="184"/>
      <c r="D719" s="184"/>
      <c r="E719" s="184"/>
      <c r="F719" s="184"/>
      <c r="I719" s="186"/>
      <c r="J719" s="184"/>
    </row>
    <row r="720" spans="1:10">
      <c r="A720" s="174"/>
      <c r="B720" s="184"/>
      <c r="C720" s="184"/>
      <c r="D720" s="184"/>
      <c r="E720" s="184"/>
      <c r="F720" s="184"/>
      <c r="G720" s="187"/>
      <c r="I720" s="186"/>
      <c r="J720" s="184"/>
    </row>
    <row r="721" spans="1:10">
      <c r="A721" s="174"/>
      <c r="B721" s="184"/>
      <c r="C721" s="184"/>
      <c r="D721" s="184"/>
      <c r="E721" s="184"/>
      <c r="F721" s="184"/>
      <c r="I721" s="186"/>
      <c r="J721" s="184"/>
    </row>
    <row r="722" spans="1:10">
      <c r="A722" s="174"/>
      <c r="B722" s="184"/>
      <c r="C722" s="184"/>
      <c r="D722" s="184"/>
      <c r="E722" s="184"/>
      <c r="F722" s="184"/>
      <c r="I722" s="186"/>
      <c r="J722" s="184"/>
    </row>
    <row r="723" spans="1:10">
      <c r="A723" s="174"/>
      <c r="B723" s="184"/>
      <c r="C723" s="184"/>
      <c r="D723" s="184"/>
      <c r="E723" s="184"/>
      <c r="F723" s="184"/>
      <c r="I723" s="186"/>
      <c r="J723" s="184"/>
    </row>
    <row r="724" spans="1:10">
      <c r="A724" s="174"/>
      <c r="B724" s="184"/>
      <c r="C724" s="184"/>
      <c r="D724" s="184"/>
      <c r="E724" s="184"/>
      <c r="F724" s="184"/>
      <c r="I724" s="186"/>
      <c r="J724" s="184"/>
    </row>
    <row r="725" spans="1:10">
      <c r="A725" s="174"/>
      <c r="B725" s="184"/>
      <c r="C725" s="184"/>
      <c r="D725" s="184"/>
      <c r="E725" s="184"/>
      <c r="F725" s="184"/>
      <c r="I725" s="186"/>
      <c r="J725" s="184"/>
    </row>
    <row r="726" spans="1:10">
      <c r="A726" s="174"/>
      <c r="B726" s="184"/>
      <c r="C726" s="184"/>
      <c r="D726" s="184"/>
      <c r="E726" s="184"/>
      <c r="F726" s="184"/>
      <c r="I726" s="186"/>
      <c r="J726" s="184"/>
    </row>
    <row r="727" spans="1:10">
      <c r="A727" s="174"/>
      <c r="B727" s="184"/>
      <c r="C727" s="184"/>
      <c r="D727" s="184"/>
      <c r="E727" s="184"/>
      <c r="F727" s="184"/>
      <c r="I727" s="186"/>
      <c r="J727" s="184"/>
    </row>
    <row r="728" spans="1:10">
      <c r="A728" s="174"/>
      <c r="B728" s="184"/>
      <c r="C728" s="184"/>
      <c r="D728" s="184"/>
      <c r="E728" s="184"/>
      <c r="F728" s="184"/>
      <c r="I728" s="186"/>
      <c r="J728" s="184"/>
    </row>
    <row r="729" spans="1:10">
      <c r="A729" s="174"/>
      <c r="B729" s="184"/>
      <c r="C729" s="184"/>
      <c r="D729" s="184"/>
      <c r="E729" s="184"/>
      <c r="F729" s="184"/>
      <c r="G729" s="187"/>
      <c r="I729" s="186"/>
      <c r="J729" s="184"/>
    </row>
    <row r="730" spans="1:10">
      <c r="A730" s="174"/>
      <c r="B730" s="184"/>
      <c r="C730" s="184"/>
      <c r="D730" s="184"/>
      <c r="E730" s="184"/>
      <c r="F730" s="184"/>
      <c r="I730" s="186"/>
      <c r="J730" s="184"/>
    </row>
    <row r="731" spans="1:10">
      <c r="A731" s="174"/>
      <c r="B731" s="184"/>
      <c r="C731" s="184"/>
      <c r="D731" s="184"/>
      <c r="E731" s="184"/>
      <c r="F731" s="184"/>
      <c r="I731" s="186"/>
      <c r="J731" s="184"/>
    </row>
    <row r="732" spans="1:10">
      <c r="A732" s="174"/>
      <c r="B732" s="184"/>
      <c r="C732" s="184"/>
      <c r="D732" s="184"/>
      <c r="E732" s="184"/>
      <c r="F732" s="184"/>
      <c r="I732" s="186"/>
      <c r="J732" s="184"/>
    </row>
    <row r="733" spans="1:10">
      <c r="A733" s="174"/>
      <c r="B733" s="184"/>
      <c r="C733" s="184"/>
      <c r="D733" s="184"/>
      <c r="E733" s="184"/>
      <c r="F733" s="184"/>
      <c r="I733" s="186"/>
      <c r="J733" s="184"/>
    </row>
    <row r="734" spans="1:10">
      <c r="A734" s="174"/>
      <c r="B734" s="184"/>
      <c r="C734" s="184"/>
      <c r="D734" s="184"/>
      <c r="E734" s="184"/>
      <c r="F734" s="184"/>
      <c r="I734" s="186"/>
      <c r="J734" s="184"/>
    </row>
    <row r="735" spans="1:10">
      <c r="A735" s="174"/>
      <c r="B735" s="184"/>
      <c r="C735" s="184"/>
      <c r="D735" s="184"/>
      <c r="E735" s="184"/>
      <c r="F735" s="184"/>
      <c r="I735" s="186"/>
      <c r="J735" s="184"/>
    </row>
    <row r="736" spans="1:10">
      <c r="A736" s="174"/>
      <c r="B736" s="184"/>
      <c r="C736" s="184"/>
      <c r="D736" s="184"/>
      <c r="E736" s="184"/>
      <c r="F736" s="184"/>
      <c r="I736" s="186"/>
      <c r="J736" s="184"/>
    </row>
    <row r="737" spans="1:10">
      <c r="A737" s="174"/>
      <c r="B737" s="184"/>
      <c r="C737" s="184"/>
      <c r="D737" s="184"/>
      <c r="E737" s="184"/>
      <c r="F737" s="184"/>
      <c r="I737" s="186"/>
      <c r="J737" s="184"/>
    </row>
    <row r="738" spans="1:10">
      <c r="A738" s="174"/>
      <c r="B738" s="184"/>
      <c r="C738" s="184"/>
      <c r="D738" s="184"/>
      <c r="E738" s="184"/>
      <c r="F738" s="184"/>
      <c r="I738" s="186"/>
      <c r="J738" s="184"/>
    </row>
    <row r="739" spans="1:10">
      <c r="A739" s="174"/>
      <c r="B739" s="184"/>
      <c r="C739" s="184"/>
      <c r="D739" s="184"/>
      <c r="E739" s="184"/>
      <c r="F739" s="184"/>
      <c r="I739" s="186"/>
      <c r="J739" s="184"/>
    </row>
    <row r="740" spans="1:10">
      <c r="A740" s="174"/>
      <c r="B740" s="184"/>
      <c r="C740" s="184"/>
      <c r="D740" s="184"/>
      <c r="E740" s="184"/>
      <c r="F740" s="184"/>
      <c r="I740" s="186"/>
      <c r="J740" s="184"/>
    </row>
    <row r="741" spans="1:10">
      <c r="A741" s="174"/>
      <c r="B741" s="184"/>
      <c r="C741" s="184"/>
      <c r="D741" s="184"/>
      <c r="E741" s="184"/>
      <c r="F741" s="184"/>
      <c r="I741" s="186"/>
      <c r="J741" s="184"/>
    </row>
    <row r="742" spans="1:10">
      <c r="A742" s="174"/>
      <c r="B742" s="184"/>
      <c r="C742" s="184"/>
      <c r="D742" s="184"/>
      <c r="E742" s="184"/>
      <c r="F742" s="184"/>
      <c r="I742" s="186"/>
      <c r="J742" s="184"/>
    </row>
    <row r="743" spans="1:10">
      <c r="A743" s="174"/>
      <c r="B743" s="184"/>
      <c r="C743" s="184"/>
      <c r="D743" s="184"/>
      <c r="E743" s="184"/>
      <c r="F743" s="184"/>
      <c r="I743" s="186"/>
      <c r="J743" s="184"/>
    </row>
    <row r="744" spans="1:10">
      <c r="A744" s="174"/>
      <c r="B744" s="184"/>
      <c r="C744" s="184"/>
      <c r="D744" s="184"/>
      <c r="E744" s="184"/>
      <c r="F744" s="184"/>
      <c r="I744" s="186"/>
      <c r="J744" s="184"/>
    </row>
    <row r="745" spans="1:10">
      <c r="A745" s="174"/>
      <c r="B745" s="184"/>
      <c r="C745" s="184"/>
      <c r="D745" s="184"/>
      <c r="E745" s="184"/>
      <c r="F745" s="184"/>
      <c r="I745" s="186"/>
      <c r="J745" s="184"/>
    </row>
    <row r="746" spans="1:10">
      <c r="A746" s="174"/>
      <c r="B746" s="184"/>
      <c r="C746" s="184"/>
      <c r="D746" s="184"/>
      <c r="E746" s="184"/>
      <c r="F746" s="184"/>
      <c r="G746" s="187"/>
      <c r="I746" s="186"/>
      <c r="J746" s="184"/>
    </row>
    <row r="747" spans="1:10">
      <c r="A747" s="174"/>
      <c r="B747" s="184"/>
      <c r="C747" s="184"/>
      <c r="D747" s="184"/>
      <c r="E747" s="184"/>
      <c r="F747" s="184"/>
      <c r="G747" s="187"/>
      <c r="I747" s="186"/>
      <c r="J747" s="184"/>
    </row>
    <row r="748" spans="1:10">
      <c r="A748" s="174"/>
      <c r="B748" s="184"/>
      <c r="C748" s="184"/>
      <c r="D748" s="184"/>
      <c r="E748" s="184"/>
      <c r="F748" s="184"/>
      <c r="G748" s="187"/>
      <c r="I748" s="186"/>
      <c r="J748" s="184"/>
    </row>
    <row r="749" spans="1:10">
      <c r="A749" s="174"/>
      <c r="B749" s="184"/>
      <c r="C749" s="184"/>
      <c r="D749" s="184"/>
      <c r="E749" s="184"/>
      <c r="F749" s="184"/>
      <c r="G749" s="187"/>
      <c r="I749" s="186"/>
      <c r="J749" s="184"/>
    </row>
    <row r="750" spans="1:10">
      <c r="A750" s="174"/>
      <c r="B750" s="184"/>
      <c r="C750" s="184"/>
      <c r="D750" s="184"/>
      <c r="E750" s="184"/>
      <c r="F750" s="184"/>
      <c r="G750" s="187"/>
      <c r="I750" s="186"/>
      <c r="J750" s="184"/>
    </row>
    <row r="751" spans="1:10">
      <c r="A751" s="174"/>
      <c r="B751" s="184"/>
      <c r="C751" s="184"/>
      <c r="D751" s="184"/>
      <c r="E751" s="184"/>
      <c r="F751" s="184"/>
      <c r="G751" s="187"/>
      <c r="I751" s="186"/>
      <c r="J751" s="184"/>
    </row>
    <row r="752" spans="1:10">
      <c r="A752" s="174"/>
      <c r="B752" s="184"/>
      <c r="C752" s="184"/>
      <c r="D752" s="184"/>
      <c r="E752" s="184"/>
      <c r="F752" s="184"/>
      <c r="I752" s="186"/>
      <c r="J752" s="184"/>
    </row>
    <row r="753" spans="1:10">
      <c r="A753" s="174"/>
      <c r="B753" s="184"/>
      <c r="C753" s="184"/>
      <c r="D753" s="184"/>
      <c r="E753" s="184"/>
      <c r="F753" s="184"/>
      <c r="G753" s="187"/>
      <c r="I753" s="186"/>
      <c r="J753" s="184"/>
    </row>
    <row r="754" spans="1:10">
      <c r="A754" s="174"/>
      <c r="B754" s="184"/>
      <c r="C754" s="184"/>
      <c r="D754" s="184"/>
      <c r="E754" s="184"/>
      <c r="F754" s="184"/>
      <c r="I754" s="186"/>
      <c r="J754" s="184"/>
    </row>
    <row r="755" spans="1:10">
      <c r="A755" s="174"/>
      <c r="B755" s="184"/>
      <c r="C755" s="184"/>
      <c r="D755" s="184"/>
      <c r="E755" s="184"/>
      <c r="F755" s="184"/>
      <c r="I755" s="186"/>
      <c r="J755" s="184"/>
    </row>
    <row r="756" spans="1:10">
      <c r="A756" s="174"/>
      <c r="B756" s="184"/>
      <c r="C756" s="184"/>
      <c r="D756" s="184"/>
      <c r="E756" s="184"/>
      <c r="F756" s="184"/>
      <c r="I756" s="186"/>
      <c r="J756" s="184"/>
    </row>
    <row r="757" spans="1:10">
      <c r="A757" s="174"/>
      <c r="B757" s="184"/>
      <c r="C757" s="184"/>
      <c r="D757" s="184"/>
      <c r="E757" s="184"/>
      <c r="F757" s="184"/>
      <c r="I757" s="186"/>
      <c r="J757" s="184"/>
    </row>
    <row r="758" spans="1:10">
      <c r="A758" s="174"/>
      <c r="B758" s="184"/>
      <c r="C758" s="184"/>
      <c r="D758" s="184"/>
      <c r="E758" s="184"/>
      <c r="F758" s="184"/>
      <c r="I758" s="186"/>
      <c r="J758" s="184"/>
    </row>
    <row r="759" spans="1:10">
      <c r="A759" s="174"/>
      <c r="B759" s="184"/>
      <c r="C759" s="184"/>
      <c r="D759" s="184"/>
      <c r="E759" s="184"/>
      <c r="F759" s="184"/>
      <c r="I759" s="186"/>
      <c r="J759" s="184"/>
    </row>
    <row r="760" spans="1:10">
      <c r="A760" s="174"/>
      <c r="B760" s="184"/>
      <c r="C760" s="184"/>
      <c r="D760" s="184"/>
      <c r="E760" s="184"/>
      <c r="F760" s="184"/>
      <c r="I760" s="186"/>
      <c r="J760" s="184"/>
    </row>
    <row r="761" spans="1:10">
      <c r="A761" s="174"/>
      <c r="B761" s="184"/>
      <c r="C761" s="184"/>
      <c r="D761" s="184"/>
      <c r="E761" s="184"/>
      <c r="F761" s="184"/>
      <c r="I761" s="186"/>
      <c r="J761" s="184"/>
    </row>
    <row r="762" spans="1:10">
      <c r="A762" s="174"/>
      <c r="B762" s="184"/>
      <c r="C762" s="184"/>
      <c r="D762" s="184"/>
      <c r="E762" s="184"/>
      <c r="F762" s="184"/>
      <c r="G762" s="187"/>
      <c r="I762" s="186"/>
      <c r="J762" s="184"/>
    </row>
    <row r="763" spans="1:10">
      <c r="A763" s="174"/>
      <c r="B763" s="184"/>
      <c r="C763" s="184"/>
      <c r="D763" s="184"/>
      <c r="E763" s="184"/>
      <c r="F763" s="184"/>
      <c r="I763" s="186"/>
      <c r="J763" s="184"/>
    </row>
    <row r="764" spans="1:10">
      <c r="A764" s="174"/>
      <c r="B764" s="184"/>
      <c r="C764" s="184"/>
      <c r="D764" s="184"/>
      <c r="E764" s="184"/>
      <c r="F764" s="184"/>
      <c r="I764" s="186"/>
      <c r="J764" s="184"/>
    </row>
    <row r="765" spans="1:10">
      <c r="A765" s="174"/>
      <c r="B765" s="184"/>
      <c r="C765" s="184"/>
      <c r="D765" s="184"/>
      <c r="E765" s="184"/>
      <c r="F765" s="184"/>
      <c r="I765" s="186"/>
      <c r="J765" s="184"/>
    </row>
    <row r="766" spans="1:10">
      <c r="A766" s="174"/>
      <c r="B766" s="184"/>
      <c r="C766" s="184"/>
      <c r="D766" s="184"/>
      <c r="E766" s="184"/>
      <c r="F766" s="184"/>
      <c r="I766" s="186"/>
      <c r="J766" s="184"/>
    </row>
    <row r="767" spans="1:10">
      <c r="A767" s="174"/>
      <c r="B767" s="184"/>
      <c r="C767" s="184"/>
      <c r="D767" s="184"/>
      <c r="E767" s="184"/>
      <c r="F767" s="184"/>
      <c r="I767" s="186"/>
      <c r="J767" s="184"/>
    </row>
    <row r="768" spans="1:10">
      <c r="A768" s="174"/>
      <c r="B768" s="184"/>
      <c r="C768" s="184"/>
      <c r="D768" s="184"/>
      <c r="E768" s="184"/>
      <c r="F768" s="184"/>
      <c r="I768" s="186"/>
      <c r="J768" s="184"/>
    </row>
    <row r="769" spans="1:10">
      <c r="A769" s="174"/>
      <c r="B769" s="184"/>
      <c r="C769" s="184"/>
      <c r="D769" s="184"/>
      <c r="E769" s="184"/>
      <c r="F769" s="184"/>
      <c r="I769" s="186"/>
      <c r="J769" s="184"/>
    </row>
    <row r="770" spans="1:10">
      <c r="A770" s="174"/>
      <c r="B770" s="184"/>
      <c r="C770" s="184"/>
      <c r="D770" s="184"/>
      <c r="E770" s="184"/>
      <c r="F770" s="184"/>
      <c r="I770" s="186"/>
      <c r="J770" s="184"/>
    </row>
    <row r="771" spans="1:10">
      <c r="A771" s="174"/>
      <c r="B771" s="184"/>
      <c r="C771" s="184"/>
      <c r="D771" s="184"/>
      <c r="E771" s="184"/>
      <c r="F771" s="184"/>
      <c r="I771" s="186"/>
      <c r="J771" s="184"/>
    </row>
    <row r="772" spans="1:10">
      <c r="A772" s="174"/>
      <c r="B772" s="184"/>
      <c r="C772" s="184"/>
      <c r="D772" s="184"/>
      <c r="E772" s="184"/>
      <c r="F772" s="184"/>
      <c r="I772" s="186"/>
      <c r="J772" s="184"/>
    </row>
    <row r="773" spans="1:10">
      <c r="A773" s="174"/>
      <c r="B773" s="184"/>
      <c r="C773" s="184"/>
      <c r="D773" s="184"/>
      <c r="E773" s="184"/>
      <c r="F773" s="184"/>
      <c r="I773" s="186"/>
      <c r="J773" s="184"/>
    </row>
    <row r="774" spans="1:10">
      <c r="A774" s="174"/>
      <c r="B774" s="184"/>
      <c r="C774" s="184"/>
      <c r="D774" s="184"/>
      <c r="E774" s="184"/>
      <c r="F774" s="184"/>
      <c r="G774" s="187"/>
      <c r="I774" s="186"/>
      <c r="J774" s="184"/>
    </row>
    <row r="775" spans="1:10">
      <c r="A775" s="174"/>
      <c r="B775" s="184"/>
      <c r="C775" s="184"/>
      <c r="D775" s="184"/>
      <c r="E775" s="184"/>
      <c r="F775" s="184"/>
      <c r="G775" s="187"/>
      <c r="I775" s="186"/>
      <c r="J775" s="184"/>
    </row>
    <row r="776" spans="1:10">
      <c r="A776" s="174"/>
      <c r="B776" s="184"/>
      <c r="C776" s="184"/>
      <c r="D776" s="184"/>
      <c r="E776" s="184"/>
      <c r="F776" s="184"/>
      <c r="I776" s="186"/>
      <c r="J776" s="184"/>
    </row>
    <row r="777" spans="1:10">
      <c r="A777" s="174"/>
      <c r="B777" s="184"/>
      <c r="C777" s="184"/>
      <c r="D777" s="184"/>
      <c r="E777" s="184"/>
      <c r="F777" s="184"/>
      <c r="I777" s="186"/>
      <c r="J777" s="184"/>
    </row>
    <row r="778" spans="1:10">
      <c r="A778" s="174"/>
      <c r="B778" s="184"/>
      <c r="C778" s="184"/>
      <c r="D778" s="184"/>
      <c r="E778" s="184"/>
      <c r="F778" s="184"/>
      <c r="I778" s="186"/>
      <c r="J778" s="184"/>
    </row>
    <row r="779" spans="1:10">
      <c r="A779" s="174"/>
      <c r="B779" s="184"/>
      <c r="C779" s="184"/>
      <c r="D779" s="184"/>
      <c r="E779" s="184"/>
      <c r="F779" s="184"/>
      <c r="I779" s="186"/>
      <c r="J779" s="184"/>
    </row>
    <row r="780" spans="1:10">
      <c r="A780" s="174"/>
      <c r="B780" s="184"/>
      <c r="C780" s="184"/>
      <c r="D780" s="184"/>
      <c r="E780" s="184"/>
      <c r="F780" s="184"/>
      <c r="I780" s="186"/>
      <c r="J780" s="184"/>
    </row>
    <row r="781" spans="1:10">
      <c r="A781" s="174"/>
      <c r="B781" s="184"/>
      <c r="C781" s="184"/>
      <c r="D781" s="184"/>
      <c r="E781" s="184"/>
      <c r="F781" s="184"/>
      <c r="I781" s="186"/>
      <c r="J781" s="184"/>
    </row>
    <row r="782" spans="1:10">
      <c r="A782" s="174"/>
      <c r="B782" s="184"/>
      <c r="C782" s="184"/>
      <c r="D782" s="184"/>
      <c r="E782" s="184"/>
      <c r="F782" s="184"/>
      <c r="I782" s="186"/>
      <c r="J782" s="184"/>
    </row>
    <row r="783" spans="1:10">
      <c r="A783" s="174"/>
      <c r="B783" s="184"/>
      <c r="C783" s="184"/>
      <c r="D783" s="184"/>
      <c r="E783" s="184"/>
      <c r="F783" s="184"/>
      <c r="G783" s="187"/>
      <c r="I783" s="186"/>
      <c r="J783" s="184"/>
    </row>
    <row r="784" spans="1:10">
      <c r="A784" s="174"/>
      <c r="B784" s="184"/>
      <c r="C784" s="184"/>
      <c r="D784" s="184"/>
      <c r="E784" s="184"/>
      <c r="F784" s="184"/>
      <c r="G784" s="187"/>
      <c r="I784" s="186"/>
      <c r="J784" s="184"/>
    </row>
    <row r="785" spans="1:10">
      <c r="A785" s="174"/>
      <c r="B785" s="184"/>
      <c r="C785" s="184"/>
      <c r="D785" s="184"/>
      <c r="E785" s="184"/>
      <c r="F785" s="184"/>
      <c r="G785" s="187"/>
      <c r="I785" s="186"/>
      <c r="J785" s="184"/>
    </row>
    <row r="786" spans="1:10">
      <c r="A786" s="174"/>
      <c r="B786" s="184"/>
      <c r="C786" s="184"/>
      <c r="D786" s="184"/>
      <c r="E786" s="184"/>
      <c r="F786" s="184"/>
      <c r="G786" s="187"/>
      <c r="I786" s="186"/>
      <c r="J786" s="184"/>
    </row>
    <row r="787" spans="1:10">
      <c r="A787" s="174"/>
      <c r="B787" s="184"/>
      <c r="C787" s="184"/>
      <c r="D787" s="184"/>
      <c r="E787" s="184"/>
      <c r="F787" s="184"/>
      <c r="G787" s="187"/>
      <c r="I787" s="186"/>
      <c r="J787" s="184"/>
    </row>
    <row r="788" spans="1:10">
      <c r="A788" s="174"/>
      <c r="B788" s="184"/>
      <c r="C788" s="184"/>
      <c r="D788" s="184"/>
      <c r="E788" s="184"/>
      <c r="F788" s="184"/>
      <c r="G788" s="187"/>
      <c r="I788" s="186"/>
      <c r="J788" s="184"/>
    </row>
    <row r="789" spans="1:10">
      <c r="A789" s="174"/>
      <c r="B789" s="184"/>
      <c r="C789" s="184"/>
      <c r="D789" s="184"/>
      <c r="E789" s="184"/>
      <c r="F789" s="184"/>
      <c r="G789" s="187"/>
      <c r="I789" s="186"/>
      <c r="J789" s="184"/>
    </row>
    <row r="790" spans="1:10">
      <c r="A790" s="174"/>
      <c r="B790" s="184"/>
      <c r="C790" s="184"/>
      <c r="D790" s="184"/>
      <c r="E790" s="184"/>
      <c r="F790" s="184"/>
      <c r="G790" s="187"/>
      <c r="I790" s="186"/>
      <c r="J790" s="184"/>
    </row>
    <row r="791" spans="1:10">
      <c r="A791" s="174"/>
      <c r="B791" s="184"/>
      <c r="C791" s="184"/>
      <c r="D791" s="184"/>
      <c r="E791" s="184"/>
      <c r="F791" s="184"/>
      <c r="I791" s="186"/>
      <c r="J791" s="184"/>
    </row>
    <row r="792" spans="1:10">
      <c r="A792" s="174"/>
      <c r="B792" s="184"/>
      <c r="C792" s="184"/>
      <c r="D792" s="184"/>
      <c r="E792" s="184"/>
      <c r="F792" s="184"/>
      <c r="G792" s="187"/>
      <c r="I792" s="186"/>
      <c r="J792" s="184"/>
    </row>
    <row r="793" spans="1:10">
      <c r="A793" s="174"/>
      <c r="B793" s="184"/>
      <c r="C793" s="184"/>
      <c r="D793" s="184"/>
      <c r="E793" s="184"/>
      <c r="F793" s="184"/>
      <c r="G793" s="187"/>
      <c r="I793" s="186"/>
      <c r="J793" s="184"/>
    </row>
    <row r="794" spans="1:10">
      <c r="A794" s="174"/>
      <c r="B794" s="184"/>
      <c r="C794" s="184"/>
      <c r="D794" s="184"/>
      <c r="E794" s="184"/>
      <c r="F794" s="184"/>
      <c r="G794" s="187"/>
      <c r="I794" s="186"/>
      <c r="J794" s="184"/>
    </row>
    <row r="795" spans="1:10">
      <c r="A795" s="174"/>
      <c r="B795" s="184"/>
      <c r="C795" s="184"/>
      <c r="D795" s="184"/>
      <c r="E795" s="184"/>
      <c r="F795" s="184"/>
      <c r="G795" s="187"/>
      <c r="I795" s="186"/>
      <c r="J795" s="184"/>
    </row>
    <row r="796" spans="1:10">
      <c r="A796" s="174"/>
      <c r="B796" s="184"/>
      <c r="C796" s="184"/>
      <c r="D796" s="184"/>
      <c r="E796" s="184"/>
      <c r="F796" s="184"/>
      <c r="G796" s="187"/>
      <c r="I796" s="186"/>
      <c r="J796" s="184"/>
    </row>
    <row r="797" spans="1:10">
      <c r="A797" s="174"/>
      <c r="B797" s="184"/>
      <c r="C797" s="184"/>
      <c r="D797" s="184"/>
      <c r="E797" s="184"/>
      <c r="F797" s="184"/>
      <c r="G797" s="187"/>
      <c r="I797" s="186"/>
      <c r="J797" s="184"/>
    </row>
    <row r="798" spans="1:10">
      <c r="A798" s="174"/>
      <c r="B798" s="184"/>
      <c r="C798" s="184"/>
      <c r="D798" s="184"/>
      <c r="E798" s="184"/>
      <c r="F798" s="184"/>
      <c r="G798" s="187"/>
      <c r="I798" s="186"/>
      <c r="J798" s="184"/>
    </row>
    <row r="799" spans="1:10">
      <c r="A799" s="174"/>
      <c r="B799" s="184"/>
      <c r="C799" s="184"/>
      <c r="D799" s="184"/>
      <c r="E799" s="184"/>
      <c r="F799" s="184"/>
      <c r="G799" s="187"/>
      <c r="I799" s="186"/>
      <c r="J799" s="184"/>
    </row>
    <row r="800" spans="1:10">
      <c r="A800" s="174"/>
      <c r="B800" s="184"/>
      <c r="C800" s="184"/>
      <c r="D800" s="184"/>
      <c r="E800" s="184"/>
      <c r="F800" s="184"/>
      <c r="G800" s="187"/>
      <c r="I800" s="186"/>
      <c r="J800" s="184"/>
    </row>
    <row r="801" spans="1:10">
      <c r="A801" s="174"/>
      <c r="B801" s="184"/>
      <c r="C801" s="184"/>
      <c r="D801" s="184"/>
      <c r="E801" s="184"/>
      <c r="F801" s="184"/>
      <c r="G801" s="187"/>
      <c r="I801" s="186"/>
      <c r="J801" s="184"/>
    </row>
    <row r="802" spans="1:10">
      <c r="A802" s="174"/>
      <c r="B802" s="184"/>
      <c r="C802" s="184"/>
      <c r="D802" s="184"/>
      <c r="E802" s="184"/>
      <c r="F802" s="184"/>
      <c r="G802" s="187"/>
      <c r="I802" s="186"/>
      <c r="J802" s="184"/>
    </row>
    <row r="803" spans="1:10">
      <c r="A803" s="174"/>
      <c r="B803" s="184"/>
      <c r="C803" s="184"/>
      <c r="D803" s="184"/>
      <c r="E803" s="184"/>
      <c r="F803" s="184"/>
      <c r="I803" s="186"/>
      <c r="J803" s="184"/>
    </row>
    <row r="804" spans="1:10">
      <c r="A804" s="174"/>
      <c r="B804" s="184"/>
      <c r="C804" s="184"/>
      <c r="D804" s="184"/>
      <c r="E804" s="184"/>
      <c r="F804" s="184"/>
      <c r="G804" s="187"/>
      <c r="I804" s="186"/>
      <c r="J804" s="184"/>
    </row>
    <row r="805" spans="1:10">
      <c r="A805" s="174"/>
      <c r="B805" s="184"/>
      <c r="C805" s="184"/>
      <c r="D805" s="184"/>
      <c r="E805" s="184"/>
      <c r="F805" s="184"/>
      <c r="G805" s="187"/>
      <c r="I805" s="186"/>
      <c r="J805" s="184"/>
    </row>
    <row r="806" spans="1:10">
      <c r="A806" s="174"/>
      <c r="B806" s="184"/>
      <c r="C806" s="184"/>
      <c r="D806" s="184"/>
      <c r="E806" s="184"/>
      <c r="F806" s="184"/>
      <c r="G806" s="187"/>
      <c r="I806" s="186"/>
      <c r="J806" s="184"/>
    </row>
    <row r="807" spans="1:10">
      <c r="A807" s="174"/>
      <c r="B807" s="184"/>
      <c r="C807" s="184"/>
      <c r="D807" s="184"/>
      <c r="E807" s="184"/>
      <c r="F807" s="184"/>
      <c r="G807" s="187"/>
      <c r="I807" s="186"/>
      <c r="J807" s="184"/>
    </row>
    <row r="808" spans="1:10">
      <c r="A808" s="174"/>
      <c r="B808" s="184"/>
      <c r="C808" s="184"/>
      <c r="D808" s="184"/>
      <c r="E808" s="184"/>
      <c r="F808" s="184"/>
      <c r="G808" s="187"/>
      <c r="I808" s="186"/>
      <c r="J808" s="184"/>
    </row>
    <row r="809" spans="1:10">
      <c r="A809" s="174"/>
      <c r="B809" s="184"/>
      <c r="C809" s="184"/>
      <c r="D809" s="184"/>
      <c r="E809" s="184"/>
      <c r="F809" s="184"/>
      <c r="G809" s="187"/>
      <c r="I809" s="186"/>
      <c r="J809" s="184"/>
    </row>
    <row r="810" spans="1:10">
      <c r="A810" s="174"/>
      <c r="B810" s="184"/>
      <c r="C810" s="184"/>
      <c r="D810" s="184"/>
      <c r="E810" s="184"/>
      <c r="F810" s="184"/>
      <c r="G810" s="187"/>
      <c r="I810" s="186"/>
      <c r="J810" s="184"/>
    </row>
    <row r="811" spans="1:10">
      <c r="A811" s="174"/>
      <c r="B811" s="184"/>
      <c r="C811" s="184"/>
      <c r="D811" s="184"/>
      <c r="E811" s="184"/>
      <c r="F811" s="184"/>
      <c r="G811" s="187"/>
      <c r="I811" s="186"/>
      <c r="J811" s="184"/>
    </row>
    <row r="812" spans="1:10">
      <c r="A812" s="174"/>
      <c r="B812" s="184"/>
      <c r="C812" s="184"/>
      <c r="D812" s="184"/>
      <c r="E812" s="184"/>
      <c r="F812" s="184"/>
      <c r="G812" s="187"/>
      <c r="I812" s="186"/>
      <c r="J812" s="184"/>
    </row>
    <row r="813" spans="1:10">
      <c r="A813" s="174"/>
      <c r="B813" s="184"/>
      <c r="C813" s="184"/>
      <c r="D813" s="184"/>
      <c r="E813" s="184"/>
      <c r="F813" s="184"/>
      <c r="G813" s="187"/>
      <c r="I813" s="186"/>
      <c r="J813" s="184"/>
    </row>
    <row r="814" spans="1:10">
      <c r="A814" s="174"/>
      <c r="B814" s="184"/>
      <c r="C814" s="184"/>
      <c r="D814" s="184"/>
      <c r="E814" s="184"/>
      <c r="F814" s="184"/>
      <c r="G814" s="187"/>
      <c r="I814" s="186"/>
      <c r="J814" s="184"/>
    </row>
    <row r="815" spans="1:10">
      <c r="A815" s="174"/>
      <c r="B815" s="184"/>
      <c r="C815" s="184"/>
      <c r="D815" s="184"/>
      <c r="E815" s="184"/>
      <c r="F815" s="184"/>
      <c r="I815" s="186"/>
      <c r="J815" s="184"/>
    </row>
    <row r="816" spans="1:10">
      <c r="A816" s="174"/>
      <c r="B816" s="184"/>
      <c r="C816" s="184"/>
      <c r="D816" s="184"/>
      <c r="E816" s="184"/>
      <c r="F816" s="184"/>
      <c r="G816" s="187"/>
      <c r="I816" s="186"/>
      <c r="J816" s="184"/>
    </row>
    <row r="817" spans="1:10">
      <c r="A817" s="174"/>
      <c r="B817" s="184"/>
      <c r="C817" s="184"/>
      <c r="D817" s="184"/>
      <c r="E817" s="184"/>
      <c r="F817" s="184"/>
      <c r="G817" s="187"/>
      <c r="I817" s="186"/>
      <c r="J817" s="184"/>
    </row>
    <row r="818" spans="1:10">
      <c r="A818" s="174"/>
      <c r="B818" s="184"/>
      <c r="C818" s="184"/>
      <c r="D818" s="184"/>
      <c r="E818" s="184"/>
      <c r="F818" s="184"/>
      <c r="G818" s="187"/>
      <c r="I818" s="186"/>
      <c r="J818" s="184"/>
    </row>
    <row r="819" spans="1:10">
      <c r="A819" s="174"/>
      <c r="B819" s="184"/>
      <c r="C819" s="184"/>
      <c r="D819" s="184"/>
      <c r="E819" s="184"/>
      <c r="F819" s="184"/>
      <c r="G819" s="187"/>
      <c r="I819" s="186"/>
      <c r="J819" s="184"/>
    </row>
    <row r="820" spans="1:10">
      <c r="A820" s="174"/>
      <c r="B820" s="184"/>
      <c r="C820" s="184"/>
      <c r="D820" s="184"/>
      <c r="E820" s="184"/>
      <c r="F820" s="184"/>
      <c r="G820" s="187"/>
      <c r="I820" s="186"/>
      <c r="J820" s="184"/>
    </row>
    <row r="821" spans="1:10">
      <c r="A821" s="174"/>
      <c r="B821" s="184"/>
      <c r="C821" s="184"/>
      <c r="D821" s="184"/>
      <c r="E821" s="184"/>
      <c r="F821" s="184"/>
      <c r="G821" s="187"/>
      <c r="I821" s="186"/>
      <c r="J821" s="184"/>
    </row>
    <row r="822" spans="1:10">
      <c r="A822" s="174"/>
      <c r="B822" s="184"/>
      <c r="C822" s="184"/>
      <c r="D822" s="184"/>
      <c r="E822" s="184"/>
      <c r="F822" s="184"/>
      <c r="G822" s="187"/>
      <c r="I822" s="186"/>
      <c r="J822" s="184"/>
    </row>
    <row r="823" spans="1:10">
      <c r="A823" s="174"/>
      <c r="B823" s="184"/>
      <c r="C823" s="184"/>
      <c r="D823" s="184"/>
      <c r="E823" s="184"/>
      <c r="F823" s="184"/>
      <c r="G823" s="187"/>
      <c r="I823" s="186"/>
      <c r="J823" s="184"/>
    </row>
    <row r="824" spans="1:10">
      <c r="A824" s="174"/>
      <c r="B824" s="184"/>
      <c r="C824" s="184"/>
      <c r="D824" s="184"/>
      <c r="E824" s="184"/>
      <c r="F824" s="184"/>
      <c r="G824" s="187"/>
      <c r="I824" s="186"/>
      <c r="J824" s="184"/>
    </row>
    <row r="825" spans="1:10">
      <c r="A825" s="174"/>
      <c r="B825" s="184"/>
      <c r="C825" s="184"/>
      <c r="D825" s="184"/>
      <c r="E825" s="184"/>
      <c r="F825" s="184"/>
      <c r="G825" s="187"/>
      <c r="I825" s="186"/>
      <c r="J825" s="184"/>
    </row>
    <row r="826" spans="1:10">
      <c r="A826" s="174"/>
      <c r="B826" s="184"/>
      <c r="C826" s="184"/>
      <c r="D826" s="184"/>
      <c r="E826" s="184"/>
      <c r="F826" s="184"/>
      <c r="G826" s="187"/>
      <c r="I826" s="186"/>
      <c r="J826" s="184"/>
    </row>
    <row r="827" spans="1:10">
      <c r="A827" s="174"/>
      <c r="B827" s="184"/>
      <c r="C827" s="184"/>
      <c r="D827" s="184"/>
      <c r="E827" s="184"/>
      <c r="F827" s="184"/>
      <c r="G827" s="187"/>
      <c r="I827" s="186"/>
      <c r="J827" s="184"/>
    </row>
    <row r="828" spans="1:10">
      <c r="A828" s="174"/>
      <c r="B828" s="184"/>
      <c r="C828" s="184"/>
      <c r="D828" s="184"/>
      <c r="E828" s="184"/>
      <c r="F828" s="184"/>
      <c r="I828" s="186"/>
      <c r="J828" s="184"/>
    </row>
    <row r="829" spans="1:10">
      <c r="A829" s="174"/>
      <c r="B829" s="184"/>
      <c r="C829" s="184"/>
      <c r="D829" s="184"/>
      <c r="E829" s="184"/>
      <c r="F829" s="184"/>
      <c r="G829" s="187"/>
      <c r="I829" s="186"/>
      <c r="J829" s="184"/>
    </row>
    <row r="830" spans="1:10">
      <c r="A830" s="174"/>
      <c r="B830" s="184"/>
      <c r="C830" s="184"/>
      <c r="D830" s="184"/>
      <c r="E830" s="184"/>
      <c r="F830" s="184"/>
      <c r="G830" s="187"/>
      <c r="I830" s="186"/>
      <c r="J830" s="184"/>
    </row>
    <row r="831" spans="1:10">
      <c r="A831" s="174"/>
      <c r="B831" s="184"/>
      <c r="C831" s="184"/>
      <c r="D831" s="184"/>
      <c r="E831" s="184"/>
      <c r="F831" s="184"/>
      <c r="G831" s="187"/>
      <c r="I831" s="186"/>
      <c r="J831" s="184"/>
    </row>
    <row r="832" spans="1:10">
      <c r="A832" s="174"/>
      <c r="B832" s="184"/>
      <c r="C832" s="184"/>
      <c r="D832" s="184"/>
      <c r="E832" s="184"/>
      <c r="F832" s="184"/>
      <c r="G832" s="187"/>
      <c r="I832" s="186"/>
      <c r="J832" s="184"/>
    </row>
    <row r="833" spans="1:10">
      <c r="A833" s="174"/>
      <c r="B833" s="184"/>
      <c r="C833" s="184"/>
      <c r="D833" s="184"/>
      <c r="E833" s="184"/>
      <c r="F833" s="184"/>
      <c r="G833" s="187"/>
      <c r="I833" s="186"/>
      <c r="J833" s="184"/>
    </row>
    <row r="834" spans="1:10">
      <c r="A834" s="174"/>
      <c r="B834" s="184"/>
      <c r="C834" s="184"/>
      <c r="D834" s="184"/>
      <c r="E834" s="184"/>
      <c r="F834" s="184"/>
      <c r="G834" s="187"/>
      <c r="I834" s="186"/>
      <c r="J834" s="184"/>
    </row>
    <row r="835" spans="1:10">
      <c r="A835" s="174"/>
      <c r="B835" s="184"/>
      <c r="C835" s="184"/>
      <c r="D835" s="184"/>
      <c r="E835" s="184"/>
      <c r="F835" s="184"/>
      <c r="G835" s="187"/>
      <c r="I835" s="186"/>
      <c r="J835" s="184"/>
    </row>
    <row r="836" spans="1:10">
      <c r="A836" s="174"/>
      <c r="B836" s="184"/>
      <c r="C836" s="184"/>
      <c r="D836" s="184"/>
      <c r="E836" s="184"/>
      <c r="F836" s="184"/>
      <c r="G836" s="187"/>
      <c r="I836" s="186"/>
      <c r="J836" s="184"/>
    </row>
    <row r="837" spans="1:10">
      <c r="A837" s="174"/>
      <c r="B837" s="184"/>
      <c r="C837" s="184"/>
      <c r="D837" s="184"/>
      <c r="E837" s="184"/>
      <c r="F837" s="184"/>
      <c r="I837" s="186"/>
      <c r="J837" s="184"/>
    </row>
    <row r="838" spans="1:10">
      <c r="A838" s="174"/>
      <c r="B838" s="184"/>
      <c r="C838" s="184"/>
      <c r="D838" s="184"/>
      <c r="E838" s="184"/>
      <c r="F838" s="184"/>
      <c r="G838" s="187"/>
      <c r="I838" s="186"/>
      <c r="J838" s="184"/>
    </row>
    <row r="839" spans="1:10">
      <c r="A839" s="174"/>
      <c r="B839" s="184"/>
      <c r="C839" s="184"/>
      <c r="D839" s="184"/>
      <c r="E839" s="184"/>
      <c r="F839" s="184"/>
      <c r="G839" s="187"/>
      <c r="I839" s="186"/>
      <c r="J839" s="184"/>
    </row>
    <row r="840" spans="1:10">
      <c r="A840" s="174"/>
      <c r="B840" s="184"/>
      <c r="C840" s="184"/>
      <c r="D840" s="184"/>
      <c r="E840" s="184"/>
      <c r="F840" s="184"/>
      <c r="G840" s="187"/>
      <c r="I840" s="186"/>
      <c r="J840" s="184"/>
    </row>
    <row r="841" spans="1:10">
      <c r="A841" s="174"/>
      <c r="B841" s="184"/>
      <c r="C841" s="184"/>
      <c r="D841" s="184"/>
      <c r="E841" s="184"/>
      <c r="F841" s="184"/>
      <c r="G841" s="187"/>
      <c r="I841" s="186"/>
      <c r="J841" s="184"/>
    </row>
    <row r="842" spans="1:10">
      <c r="A842" s="174"/>
      <c r="B842" s="184"/>
      <c r="C842" s="184"/>
      <c r="D842" s="184"/>
      <c r="E842" s="184"/>
      <c r="F842" s="184"/>
      <c r="G842" s="187"/>
      <c r="I842" s="186"/>
      <c r="J842" s="184"/>
    </row>
    <row r="843" spans="1:10">
      <c r="A843" s="174"/>
      <c r="B843" s="184"/>
      <c r="C843" s="184"/>
      <c r="D843" s="184"/>
      <c r="E843" s="184"/>
      <c r="F843" s="184"/>
      <c r="G843" s="187"/>
      <c r="I843" s="186"/>
      <c r="J843" s="184"/>
    </row>
    <row r="844" spans="1:10">
      <c r="A844" s="174"/>
      <c r="B844" s="184"/>
      <c r="C844" s="184"/>
      <c r="D844" s="184"/>
      <c r="E844" s="184"/>
      <c r="F844" s="184"/>
      <c r="G844" s="187"/>
      <c r="I844" s="186"/>
      <c r="J844" s="184"/>
    </row>
    <row r="845" spans="1:10">
      <c r="A845" s="174"/>
      <c r="B845" s="184"/>
      <c r="C845" s="184"/>
      <c r="D845" s="184"/>
      <c r="E845" s="184"/>
      <c r="F845" s="184"/>
      <c r="G845" s="187"/>
      <c r="I845" s="186"/>
      <c r="J845" s="184"/>
    </row>
    <row r="846" spans="1:10">
      <c r="A846" s="174"/>
      <c r="B846" s="184"/>
      <c r="C846" s="184"/>
      <c r="D846" s="184"/>
      <c r="E846" s="184"/>
      <c r="F846" s="184"/>
      <c r="G846" s="187"/>
      <c r="I846" s="186"/>
      <c r="J846" s="184"/>
    </row>
    <row r="847" spans="1:10">
      <c r="A847" s="174"/>
      <c r="B847" s="184"/>
      <c r="C847" s="184"/>
      <c r="D847" s="184"/>
      <c r="E847" s="184"/>
      <c r="F847" s="184"/>
      <c r="G847" s="187"/>
      <c r="I847" s="186"/>
      <c r="J847" s="184"/>
    </row>
    <row r="848" spans="1:10">
      <c r="A848" s="174"/>
      <c r="B848" s="184"/>
      <c r="C848" s="184"/>
      <c r="D848" s="184"/>
      <c r="E848" s="184"/>
      <c r="F848" s="184"/>
      <c r="G848" s="187"/>
      <c r="I848" s="186"/>
      <c r="J848" s="184"/>
    </row>
    <row r="849" spans="1:10">
      <c r="A849" s="174"/>
      <c r="B849" s="184"/>
      <c r="C849" s="184"/>
      <c r="D849" s="184"/>
      <c r="E849" s="184"/>
      <c r="F849" s="184"/>
      <c r="G849" s="187"/>
      <c r="I849" s="186"/>
      <c r="J849" s="184"/>
    </row>
    <row r="850" spans="1:10">
      <c r="A850" s="174"/>
      <c r="B850" s="184"/>
      <c r="C850" s="184"/>
      <c r="D850" s="184"/>
      <c r="E850" s="184"/>
      <c r="F850" s="184"/>
      <c r="G850" s="187"/>
      <c r="I850" s="186"/>
      <c r="J850" s="184"/>
    </row>
    <row r="851" spans="1:10">
      <c r="A851" s="174"/>
      <c r="B851" s="184"/>
      <c r="C851" s="184"/>
      <c r="D851" s="184"/>
      <c r="E851" s="184"/>
      <c r="F851" s="184"/>
      <c r="G851" s="187"/>
      <c r="I851" s="186"/>
      <c r="J851" s="184"/>
    </row>
    <row r="852" spans="1:10">
      <c r="A852" s="174"/>
      <c r="B852" s="184"/>
      <c r="C852" s="184"/>
      <c r="D852" s="184"/>
      <c r="E852" s="184"/>
      <c r="F852" s="184"/>
      <c r="G852" s="187"/>
      <c r="I852" s="186"/>
      <c r="J852" s="184"/>
    </row>
    <row r="853" spans="1:10">
      <c r="A853" s="174"/>
      <c r="B853" s="184"/>
      <c r="C853" s="184"/>
      <c r="D853" s="184"/>
      <c r="E853" s="184"/>
      <c r="F853" s="184"/>
      <c r="G853" s="187"/>
      <c r="I853" s="186"/>
      <c r="J853" s="184"/>
    </row>
    <row r="854" spans="1:10">
      <c r="A854" s="174"/>
      <c r="B854" s="184"/>
      <c r="C854" s="184"/>
      <c r="D854" s="184"/>
      <c r="E854" s="184"/>
      <c r="F854" s="184"/>
      <c r="G854" s="187"/>
      <c r="I854" s="186"/>
      <c r="J854" s="184"/>
    </row>
    <row r="855" spans="1:10">
      <c r="A855" s="174"/>
      <c r="B855" s="184"/>
      <c r="C855" s="184"/>
      <c r="D855" s="184"/>
      <c r="E855" s="184"/>
      <c r="F855" s="184"/>
      <c r="G855" s="187"/>
      <c r="I855" s="186"/>
      <c r="J855" s="184"/>
    </row>
    <row r="856" spans="1:10">
      <c r="A856" s="174"/>
      <c r="B856" s="184"/>
      <c r="C856" s="184"/>
      <c r="D856" s="184"/>
      <c r="E856" s="184"/>
      <c r="F856" s="184"/>
      <c r="G856" s="187"/>
      <c r="I856" s="186"/>
      <c r="J856" s="184"/>
    </row>
    <row r="857" spans="1:10">
      <c r="A857" s="174"/>
      <c r="B857" s="184"/>
      <c r="C857" s="184"/>
      <c r="D857" s="184"/>
      <c r="E857" s="184"/>
      <c r="F857" s="184"/>
      <c r="G857" s="187"/>
      <c r="I857" s="186"/>
      <c r="J857" s="184"/>
    </row>
    <row r="858" spans="1:10">
      <c r="A858" s="174"/>
      <c r="B858" s="184"/>
      <c r="C858" s="184"/>
      <c r="D858" s="184"/>
      <c r="E858" s="184"/>
      <c r="F858" s="184"/>
      <c r="G858" s="187"/>
      <c r="I858" s="186"/>
      <c r="J858" s="184"/>
    </row>
    <row r="859" spans="1:10">
      <c r="A859" s="174"/>
      <c r="B859" s="184"/>
      <c r="C859" s="184"/>
      <c r="D859" s="184"/>
      <c r="E859" s="184"/>
      <c r="F859" s="184"/>
      <c r="G859" s="187"/>
      <c r="I859" s="186"/>
      <c r="J859" s="184"/>
    </row>
    <row r="860" spans="1:10">
      <c r="A860" s="174"/>
      <c r="B860" s="184"/>
      <c r="C860" s="184"/>
      <c r="D860" s="184"/>
      <c r="E860" s="184"/>
      <c r="F860" s="184"/>
      <c r="I860" s="186"/>
      <c r="J860" s="184"/>
    </row>
    <row r="861" spans="1:10">
      <c r="A861" s="174"/>
      <c r="B861" s="184"/>
      <c r="C861" s="184"/>
      <c r="D861" s="184"/>
      <c r="E861" s="184"/>
      <c r="F861" s="184"/>
      <c r="G861" s="187"/>
      <c r="I861" s="186"/>
      <c r="J861" s="184"/>
    </row>
    <row r="862" spans="1:10">
      <c r="A862" s="174"/>
      <c r="B862" s="184"/>
      <c r="C862" s="184"/>
      <c r="D862" s="184"/>
      <c r="E862" s="184"/>
      <c r="F862" s="184"/>
      <c r="G862" s="187"/>
      <c r="I862" s="186"/>
      <c r="J862" s="184"/>
    </row>
    <row r="863" spans="1:10">
      <c r="A863" s="174"/>
      <c r="B863" s="184"/>
      <c r="C863" s="184"/>
      <c r="D863" s="184"/>
      <c r="E863" s="184"/>
      <c r="F863" s="184"/>
      <c r="G863" s="187"/>
      <c r="I863" s="186"/>
      <c r="J863" s="184"/>
    </row>
    <row r="864" spans="1:10">
      <c r="A864" s="174"/>
      <c r="B864" s="184"/>
      <c r="C864" s="184"/>
      <c r="D864" s="184"/>
      <c r="E864" s="184"/>
      <c r="F864" s="184"/>
      <c r="G864" s="187"/>
      <c r="I864" s="186"/>
      <c r="J864" s="184"/>
    </row>
    <row r="865" spans="1:10">
      <c r="A865" s="174"/>
      <c r="B865" s="184"/>
      <c r="C865" s="184"/>
      <c r="D865" s="184"/>
      <c r="E865" s="184"/>
      <c r="F865" s="184"/>
      <c r="G865" s="187"/>
      <c r="I865" s="186"/>
      <c r="J865" s="184"/>
    </row>
    <row r="866" spans="1:10">
      <c r="A866" s="174"/>
      <c r="B866" s="184"/>
      <c r="C866" s="184"/>
      <c r="D866" s="184"/>
      <c r="E866" s="184"/>
      <c r="F866" s="184"/>
      <c r="G866" s="187"/>
      <c r="I866" s="186"/>
      <c r="J866" s="184"/>
    </row>
    <row r="867" spans="1:10">
      <c r="A867" s="174"/>
      <c r="B867" s="184"/>
      <c r="C867" s="184"/>
      <c r="D867" s="184"/>
      <c r="E867" s="184"/>
      <c r="F867" s="184"/>
      <c r="G867" s="187"/>
      <c r="I867" s="186"/>
      <c r="J867" s="184"/>
    </row>
    <row r="868" spans="1:10">
      <c r="A868" s="174"/>
      <c r="B868" s="184"/>
      <c r="C868" s="184"/>
      <c r="D868" s="184"/>
      <c r="E868" s="184"/>
      <c r="F868" s="184"/>
      <c r="G868" s="187"/>
      <c r="I868" s="186"/>
      <c r="J868" s="184"/>
    </row>
    <row r="869" spans="1:10">
      <c r="A869" s="174"/>
      <c r="B869" s="184"/>
      <c r="C869" s="184"/>
      <c r="D869" s="184"/>
      <c r="E869" s="184"/>
      <c r="F869" s="184"/>
      <c r="I869" s="186"/>
      <c r="J869" s="184"/>
    </row>
    <row r="870" spans="1:10">
      <c r="A870" s="174"/>
      <c r="B870" s="184"/>
      <c r="C870" s="184"/>
      <c r="D870" s="184"/>
      <c r="E870" s="184"/>
      <c r="F870" s="184"/>
      <c r="G870" s="187"/>
      <c r="I870" s="186"/>
      <c r="J870" s="184"/>
    </row>
    <row r="871" spans="1:10">
      <c r="A871" s="174"/>
      <c r="B871" s="184"/>
      <c r="C871" s="184"/>
      <c r="D871" s="184"/>
      <c r="E871" s="184"/>
      <c r="F871" s="184"/>
      <c r="G871" s="187"/>
      <c r="I871" s="186"/>
      <c r="J871" s="184"/>
    </row>
    <row r="872" spans="1:10">
      <c r="A872" s="174"/>
      <c r="B872" s="184"/>
      <c r="C872" s="184"/>
      <c r="D872" s="184"/>
      <c r="E872" s="184"/>
      <c r="F872" s="184"/>
      <c r="G872" s="187"/>
      <c r="I872" s="186"/>
      <c r="J872" s="184"/>
    </row>
    <row r="873" spans="1:10">
      <c r="A873" s="174"/>
      <c r="B873" s="184"/>
      <c r="C873" s="184"/>
      <c r="D873" s="184"/>
      <c r="E873" s="184"/>
      <c r="F873" s="184"/>
      <c r="G873" s="187"/>
      <c r="I873" s="186"/>
      <c r="J873" s="184"/>
    </row>
    <row r="874" spans="1:10">
      <c r="A874" s="174"/>
      <c r="B874" s="184"/>
      <c r="C874" s="184"/>
      <c r="D874" s="184"/>
      <c r="E874" s="184"/>
      <c r="F874" s="184"/>
      <c r="G874" s="187"/>
      <c r="I874" s="186"/>
      <c r="J874" s="184"/>
    </row>
    <row r="875" spans="1:10">
      <c r="A875" s="174"/>
      <c r="B875" s="184"/>
      <c r="C875" s="184"/>
      <c r="D875" s="184"/>
      <c r="E875" s="184"/>
      <c r="F875" s="184"/>
      <c r="G875" s="187"/>
      <c r="I875" s="186"/>
      <c r="J875" s="184"/>
    </row>
    <row r="876" spans="1:10">
      <c r="A876" s="174"/>
      <c r="B876" s="184"/>
      <c r="C876" s="184"/>
      <c r="D876" s="184"/>
      <c r="E876" s="184"/>
      <c r="F876" s="184"/>
      <c r="G876" s="187"/>
      <c r="I876" s="186"/>
      <c r="J876" s="184"/>
    </row>
    <row r="877" spans="1:10">
      <c r="A877" s="174"/>
      <c r="B877" s="184"/>
      <c r="C877" s="184"/>
      <c r="D877" s="184"/>
      <c r="E877" s="184"/>
      <c r="F877" s="184"/>
      <c r="G877" s="187"/>
      <c r="I877" s="186"/>
      <c r="J877" s="184"/>
    </row>
    <row r="878" spans="1:10">
      <c r="A878" s="174"/>
      <c r="B878" s="184"/>
      <c r="C878" s="184"/>
      <c r="D878" s="184"/>
      <c r="E878" s="184"/>
      <c r="F878" s="184"/>
      <c r="G878" s="187"/>
      <c r="I878" s="186"/>
      <c r="J878" s="184"/>
    </row>
    <row r="879" spans="1:10">
      <c r="A879" s="174"/>
      <c r="B879" s="184"/>
      <c r="C879" s="184"/>
      <c r="D879" s="184"/>
      <c r="E879" s="184"/>
      <c r="F879" s="184"/>
      <c r="G879" s="187"/>
      <c r="I879" s="186"/>
      <c r="J879" s="184"/>
    </row>
    <row r="880" spans="1:10">
      <c r="A880" s="174"/>
      <c r="B880" s="184"/>
      <c r="C880" s="184"/>
      <c r="D880" s="184"/>
      <c r="E880" s="184"/>
      <c r="F880" s="184"/>
      <c r="I880" s="186"/>
      <c r="J880" s="184"/>
    </row>
    <row r="881" spans="1:10">
      <c r="A881" s="174"/>
      <c r="B881" s="184"/>
      <c r="C881" s="184"/>
      <c r="D881" s="184"/>
      <c r="E881" s="184"/>
      <c r="F881" s="184"/>
      <c r="G881" s="187"/>
      <c r="H881" s="174"/>
      <c r="I881" s="186"/>
      <c r="J881" s="184"/>
    </row>
    <row r="882" spans="1:10">
      <c r="A882" s="174"/>
      <c r="B882" s="184"/>
      <c r="C882" s="184"/>
      <c r="D882" s="184"/>
      <c r="E882" s="184"/>
      <c r="F882" s="184"/>
      <c r="I882" s="186"/>
      <c r="J882" s="184"/>
    </row>
    <row r="883" spans="1:10">
      <c r="A883" s="174"/>
      <c r="B883" s="184"/>
      <c r="C883" s="184"/>
      <c r="D883" s="184"/>
      <c r="E883" s="184"/>
      <c r="F883" s="184"/>
      <c r="G883" s="187"/>
      <c r="H883" s="174"/>
      <c r="I883" s="186"/>
      <c r="J883" s="184"/>
    </row>
    <row r="884" spans="1:10">
      <c r="A884" s="174"/>
      <c r="B884" s="184"/>
      <c r="C884" s="184"/>
      <c r="D884" s="184"/>
      <c r="E884" s="184"/>
      <c r="F884" s="184"/>
      <c r="G884" s="187"/>
      <c r="H884" s="174"/>
      <c r="I884" s="186"/>
      <c r="J884" s="184"/>
    </row>
    <row r="885" spans="1:10">
      <c r="A885" s="174"/>
      <c r="B885" s="184"/>
      <c r="C885" s="184"/>
      <c r="D885" s="184"/>
      <c r="E885" s="184"/>
      <c r="F885" s="184"/>
      <c r="G885" s="187"/>
      <c r="I885" s="186"/>
      <c r="J885" s="184"/>
    </row>
    <row r="886" spans="1:10">
      <c r="A886" s="174"/>
      <c r="B886" s="184"/>
      <c r="C886" s="184"/>
      <c r="D886" s="184"/>
      <c r="E886" s="184"/>
      <c r="F886" s="184"/>
      <c r="G886" s="187"/>
      <c r="I886" s="186"/>
      <c r="J886" s="184"/>
    </row>
    <row r="887" spans="1:10">
      <c r="A887" s="174"/>
      <c r="B887" s="184"/>
      <c r="C887" s="184"/>
      <c r="D887" s="184"/>
      <c r="E887" s="184"/>
      <c r="F887" s="184"/>
      <c r="G887" s="187"/>
      <c r="I887" s="186"/>
      <c r="J887" s="184"/>
    </row>
    <row r="888" spans="1:10">
      <c r="A888" s="174"/>
      <c r="B888" s="184"/>
      <c r="C888" s="184"/>
      <c r="D888" s="184"/>
      <c r="E888" s="184"/>
      <c r="F888" s="184"/>
      <c r="G888" s="187"/>
      <c r="I888" s="186"/>
      <c r="J888" s="184"/>
    </row>
    <row r="889" spans="1:10">
      <c r="A889" s="174"/>
      <c r="B889" s="184"/>
      <c r="C889" s="184"/>
      <c r="D889" s="184"/>
      <c r="E889" s="184"/>
      <c r="F889" s="184"/>
      <c r="I889" s="186"/>
      <c r="J889" s="184"/>
    </row>
    <row r="890" spans="1:10">
      <c r="A890" s="174"/>
      <c r="B890" s="184"/>
      <c r="C890" s="184"/>
      <c r="D890" s="184"/>
      <c r="E890" s="184"/>
      <c r="F890" s="184"/>
      <c r="G890" s="187"/>
      <c r="I890" s="186"/>
      <c r="J890" s="184"/>
    </row>
    <row r="891" spans="1:10">
      <c r="A891" s="174"/>
      <c r="B891" s="184"/>
      <c r="C891" s="184"/>
      <c r="D891" s="184"/>
      <c r="E891" s="184"/>
      <c r="F891" s="184"/>
      <c r="I891" s="186"/>
      <c r="J891" s="184"/>
    </row>
    <row r="892" spans="1:10">
      <c r="A892" s="174"/>
      <c r="B892" s="184"/>
      <c r="C892" s="184"/>
      <c r="D892" s="184"/>
      <c r="E892" s="184"/>
      <c r="F892" s="184"/>
      <c r="I892" s="186"/>
      <c r="J892" s="184"/>
    </row>
    <row r="893" spans="1:10">
      <c r="A893" s="174"/>
      <c r="B893" s="184"/>
      <c r="C893" s="184"/>
      <c r="D893" s="184"/>
      <c r="E893" s="184"/>
      <c r="F893" s="184"/>
      <c r="I893" s="186"/>
      <c r="J893" s="184"/>
    </row>
    <row r="894" spans="1:10">
      <c r="A894" s="174"/>
      <c r="B894" s="184"/>
      <c r="C894" s="184"/>
      <c r="D894" s="184"/>
      <c r="E894" s="184"/>
      <c r="F894" s="184"/>
      <c r="I894" s="186"/>
      <c r="J894" s="184"/>
    </row>
    <row r="895" spans="1:10">
      <c r="A895" s="174"/>
      <c r="B895" s="184"/>
      <c r="C895" s="184"/>
      <c r="D895" s="184"/>
      <c r="E895" s="184"/>
      <c r="F895" s="184"/>
      <c r="G895" s="187"/>
      <c r="I895" s="186"/>
      <c r="J895" s="184"/>
    </row>
    <row r="896" spans="1:10">
      <c r="A896" s="174"/>
      <c r="B896" s="184"/>
      <c r="C896" s="184"/>
      <c r="D896" s="184"/>
      <c r="E896" s="184"/>
      <c r="F896" s="184"/>
      <c r="I896" s="186"/>
      <c r="J896" s="184"/>
    </row>
    <row r="897" spans="1:10">
      <c r="A897" s="174"/>
      <c r="B897" s="184"/>
      <c r="C897" s="184"/>
      <c r="D897" s="184"/>
      <c r="E897" s="184"/>
      <c r="F897" s="184"/>
      <c r="G897" s="187"/>
      <c r="I897" s="186"/>
      <c r="J897" s="184"/>
    </row>
    <row r="898" spans="1:10">
      <c r="A898" s="174"/>
      <c r="B898" s="184"/>
      <c r="C898" s="184"/>
      <c r="D898" s="184"/>
      <c r="E898" s="184"/>
      <c r="F898" s="184"/>
      <c r="I898" s="186"/>
      <c r="J898" s="184"/>
    </row>
    <row r="899" spans="1:10">
      <c r="A899" s="174"/>
      <c r="B899" s="184"/>
      <c r="C899" s="184"/>
      <c r="D899" s="184"/>
      <c r="E899" s="184"/>
      <c r="F899" s="184"/>
      <c r="I899" s="186"/>
      <c r="J899" s="184"/>
    </row>
    <row r="900" spans="1:10">
      <c r="A900" s="174"/>
      <c r="B900" s="184"/>
      <c r="C900" s="184"/>
      <c r="D900" s="184"/>
      <c r="E900" s="184"/>
      <c r="F900" s="184"/>
      <c r="G900" s="187"/>
      <c r="I900" s="186"/>
      <c r="J900" s="184"/>
    </row>
    <row r="901" spans="1:10">
      <c r="A901" s="174"/>
      <c r="B901" s="184"/>
      <c r="C901" s="184"/>
      <c r="D901" s="184"/>
      <c r="E901" s="184"/>
      <c r="F901" s="184"/>
      <c r="G901" s="187"/>
      <c r="I901" s="186"/>
      <c r="J901" s="184"/>
    </row>
    <row r="902" spans="1:10">
      <c r="A902" s="174"/>
      <c r="B902" s="184"/>
      <c r="C902" s="184"/>
      <c r="D902" s="184"/>
      <c r="E902" s="184"/>
      <c r="F902" s="184"/>
      <c r="I902" s="186"/>
      <c r="J902" s="184"/>
    </row>
    <row r="903" spans="1:10">
      <c r="A903" s="174"/>
      <c r="B903" s="184"/>
      <c r="C903" s="184"/>
      <c r="D903" s="184"/>
      <c r="E903" s="184"/>
      <c r="F903" s="184"/>
      <c r="I903" s="186"/>
      <c r="J903" s="184"/>
    </row>
    <row r="904" spans="1:10">
      <c r="A904" s="174"/>
      <c r="B904" s="184"/>
      <c r="C904" s="184"/>
      <c r="D904" s="184"/>
      <c r="E904" s="184"/>
      <c r="F904" s="184"/>
      <c r="G904" s="187"/>
      <c r="I904" s="186"/>
      <c r="J904" s="184"/>
    </row>
    <row r="905" spans="1:10">
      <c r="A905" s="174"/>
      <c r="B905" s="184"/>
      <c r="C905" s="184"/>
      <c r="D905" s="184"/>
      <c r="E905" s="184"/>
      <c r="F905" s="184"/>
      <c r="I905" s="186"/>
      <c r="J905" s="184"/>
    </row>
    <row r="906" spans="1:10">
      <c r="A906" s="174"/>
      <c r="B906" s="184"/>
      <c r="C906" s="184"/>
      <c r="D906" s="184"/>
      <c r="E906" s="184"/>
      <c r="F906" s="184"/>
      <c r="G906" s="187"/>
      <c r="I906" s="186"/>
      <c r="J906" s="184"/>
    </row>
    <row r="907" spans="1:10">
      <c r="A907" s="174"/>
      <c r="B907" s="184"/>
      <c r="C907" s="184"/>
      <c r="D907" s="184"/>
      <c r="E907" s="184"/>
      <c r="F907" s="184"/>
      <c r="G907" s="187"/>
      <c r="I907" s="186"/>
      <c r="J907" s="184"/>
    </row>
    <row r="908" spans="1:10">
      <c r="A908" s="174"/>
      <c r="B908" s="184"/>
      <c r="C908" s="184"/>
      <c r="D908" s="184"/>
      <c r="E908" s="184"/>
      <c r="F908" s="184"/>
      <c r="G908" s="187"/>
      <c r="I908" s="186"/>
      <c r="J908" s="184"/>
    </row>
    <row r="909" spans="1:10">
      <c r="A909" s="174"/>
      <c r="B909" s="184"/>
      <c r="C909" s="184"/>
      <c r="D909" s="184"/>
      <c r="E909" s="184"/>
      <c r="F909" s="184"/>
      <c r="G909" s="187"/>
      <c r="I909" s="186"/>
      <c r="J909" s="184"/>
    </row>
    <row r="910" spans="1:10">
      <c r="A910" s="174"/>
      <c r="B910" s="184"/>
      <c r="C910" s="184"/>
      <c r="D910" s="184"/>
      <c r="E910" s="184"/>
      <c r="F910" s="184"/>
      <c r="G910" s="187"/>
      <c r="I910" s="186"/>
      <c r="J910" s="184"/>
    </row>
    <row r="911" spans="1:10">
      <c r="A911" s="174"/>
      <c r="B911" s="184"/>
      <c r="C911" s="184"/>
      <c r="D911" s="184"/>
      <c r="E911" s="184"/>
      <c r="F911" s="184"/>
      <c r="G911" s="187"/>
      <c r="I911" s="186"/>
      <c r="J911" s="184"/>
    </row>
    <row r="912" spans="1:10">
      <c r="A912" s="174"/>
      <c r="B912" s="184"/>
      <c r="C912" s="184"/>
      <c r="D912" s="184"/>
      <c r="E912" s="184"/>
      <c r="F912" s="184"/>
      <c r="I912" s="186"/>
      <c r="J912" s="184"/>
    </row>
    <row r="913" spans="1:10">
      <c r="A913" s="174"/>
      <c r="B913" s="184"/>
      <c r="C913" s="184"/>
      <c r="D913" s="184"/>
      <c r="E913" s="184"/>
      <c r="F913" s="184"/>
      <c r="G913" s="187"/>
      <c r="I913" s="186"/>
      <c r="J913" s="184"/>
    </row>
    <row r="914" spans="1:10">
      <c r="A914" s="174"/>
      <c r="B914" s="184"/>
      <c r="C914" s="184"/>
      <c r="D914" s="184"/>
      <c r="E914" s="184"/>
      <c r="F914" s="184"/>
      <c r="G914" s="187"/>
      <c r="I914" s="186"/>
      <c r="J914" s="184"/>
    </row>
    <row r="915" spans="1:10">
      <c r="A915" s="174"/>
      <c r="B915" s="184"/>
      <c r="C915" s="184"/>
      <c r="D915" s="184"/>
      <c r="E915" s="184"/>
      <c r="F915" s="184"/>
      <c r="G915" s="187"/>
      <c r="I915" s="186"/>
      <c r="J915" s="184"/>
    </row>
    <row r="916" spans="1:10">
      <c r="A916" s="174"/>
      <c r="B916" s="184"/>
      <c r="C916" s="184"/>
      <c r="D916" s="184"/>
      <c r="E916" s="184"/>
      <c r="F916" s="184"/>
      <c r="I916" s="186"/>
      <c r="J916" s="184"/>
    </row>
    <row r="917" spans="1:10">
      <c r="A917" s="174"/>
      <c r="B917" s="184"/>
      <c r="C917" s="184"/>
      <c r="D917" s="184"/>
      <c r="E917" s="184"/>
      <c r="F917" s="184"/>
      <c r="I917" s="186"/>
      <c r="J917" s="184"/>
    </row>
    <row r="918" spans="1:10">
      <c r="A918" s="174"/>
      <c r="B918" s="184"/>
      <c r="C918" s="184"/>
      <c r="D918" s="184"/>
      <c r="E918" s="184"/>
      <c r="F918" s="184"/>
      <c r="I918" s="186"/>
      <c r="J918" s="184"/>
    </row>
    <row r="919" spans="1:10">
      <c r="A919" s="174"/>
      <c r="B919" s="184"/>
      <c r="C919" s="184"/>
      <c r="D919" s="184"/>
      <c r="E919" s="184"/>
      <c r="F919" s="184"/>
      <c r="I919" s="186"/>
      <c r="J919" s="184"/>
    </row>
    <row r="920" spans="1:10">
      <c r="A920" s="174"/>
      <c r="B920" s="184"/>
      <c r="C920" s="184"/>
      <c r="D920" s="184"/>
      <c r="E920" s="184"/>
      <c r="F920" s="184"/>
      <c r="I920" s="186"/>
      <c r="J920" s="184"/>
    </row>
    <row r="921" spans="1:10">
      <c r="A921" s="174"/>
      <c r="B921" s="184"/>
      <c r="C921" s="184"/>
      <c r="D921" s="184"/>
      <c r="E921" s="184"/>
      <c r="F921" s="184"/>
      <c r="I921" s="186"/>
      <c r="J921" s="184"/>
    </row>
    <row r="922" spans="1:10">
      <c r="A922" s="174"/>
      <c r="B922" s="184"/>
      <c r="C922" s="184"/>
      <c r="D922" s="184"/>
      <c r="E922" s="184"/>
      <c r="F922" s="184"/>
      <c r="I922" s="186"/>
      <c r="J922" s="184"/>
    </row>
    <row r="923" spans="1:10">
      <c r="A923" s="174"/>
      <c r="B923" s="184"/>
      <c r="C923" s="184"/>
      <c r="D923" s="184"/>
      <c r="E923" s="184"/>
      <c r="F923" s="184"/>
      <c r="I923" s="186"/>
      <c r="J923" s="184"/>
    </row>
    <row r="924" spans="1:10">
      <c r="A924" s="174"/>
      <c r="B924" s="184"/>
      <c r="C924" s="184"/>
      <c r="D924" s="184"/>
      <c r="E924" s="184"/>
      <c r="F924" s="184"/>
      <c r="I924" s="186"/>
      <c r="J924" s="184"/>
    </row>
    <row r="925" spans="1:10">
      <c r="A925" s="174"/>
      <c r="B925" s="184"/>
      <c r="C925" s="184"/>
      <c r="D925" s="184"/>
      <c r="E925" s="184"/>
      <c r="F925" s="184"/>
      <c r="G925" s="187"/>
      <c r="I925" s="186"/>
      <c r="J925" s="184"/>
    </row>
    <row r="926" spans="1:10">
      <c r="A926" s="174"/>
      <c r="B926" s="184"/>
      <c r="C926" s="184"/>
      <c r="D926" s="184"/>
      <c r="E926" s="184"/>
      <c r="F926" s="184"/>
      <c r="I926" s="186"/>
      <c r="J926" s="184"/>
    </row>
    <row r="927" spans="1:10">
      <c r="A927" s="174"/>
      <c r="B927" s="184"/>
      <c r="C927" s="184"/>
      <c r="D927" s="184"/>
      <c r="E927" s="184"/>
      <c r="F927" s="184"/>
      <c r="G927" s="187"/>
      <c r="I927" s="186"/>
      <c r="J927" s="184"/>
    </row>
    <row r="928" spans="1:10">
      <c r="A928" s="174"/>
      <c r="B928" s="184"/>
      <c r="C928" s="184"/>
      <c r="D928" s="184"/>
      <c r="E928" s="184"/>
      <c r="F928" s="184"/>
      <c r="G928" s="187"/>
      <c r="I928" s="186"/>
      <c r="J928" s="184"/>
    </row>
    <row r="929" spans="1:10">
      <c r="A929" s="174"/>
      <c r="B929" s="184"/>
      <c r="C929" s="184"/>
      <c r="D929" s="184"/>
      <c r="E929" s="184"/>
      <c r="F929" s="184"/>
      <c r="G929" s="187"/>
      <c r="I929" s="186"/>
      <c r="J929" s="184"/>
    </row>
    <row r="930" spans="1:10">
      <c r="A930" s="174"/>
      <c r="B930" s="184"/>
      <c r="C930" s="184"/>
      <c r="D930" s="184"/>
      <c r="E930" s="184"/>
      <c r="F930" s="184"/>
      <c r="G930" s="187"/>
      <c r="I930" s="186"/>
      <c r="J930" s="184"/>
    </row>
    <row r="931" spans="1:10">
      <c r="A931" s="174"/>
      <c r="B931" s="184"/>
      <c r="C931" s="184"/>
      <c r="D931" s="184"/>
      <c r="E931" s="184"/>
      <c r="F931" s="184"/>
      <c r="G931" s="187"/>
      <c r="I931" s="186"/>
      <c r="J931" s="184"/>
    </row>
    <row r="932" spans="1:10">
      <c r="A932" s="174"/>
      <c r="B932" s="184"/>
      <c r="C932" s="184"/>
      <c r="D932" s="184"/>
      <c r="E932" s="184"/>
      <c r="F932" s="184"/>
      <c r="G932" s="187"/>
      <c r="I932" s="186"/>
      <c r="J932" s="184"/>
    </row>
    <row r="933" spans="1:10">
      <c r="A933" s="174"/>
      <c r="B933" s="184"/>
      <c r="C933" s="184"/>
      <c r="D933" s="184"/>
      <c r="E933" s="184"/>
      <c r="F933" s="184"/>
      <c r="G933" s="187"/>
      <c r="I933" s="186"/>
      <c r="J933" s="184"/>
    </row>
    <row r="934" spans="1:10">
      <c r="A934" s="174"/>
      <c r="B934" s="184"/>
      <c r="C934" s="184"/>
      <c r="D934" s="184"/>
      <c r="E934" s="184"/>
      <c r="F934" s="184"/>
      <c r="G934" s="187"/>
      <c r="I934" s="186"/>
      <c r="J934" s="184"/>
    </row>
    <row r="935" spans="1:10">
      <c r="A935" s="174"/>
      <c r="B935" s="184"/>
      <c r="C935" s="184"/>
      <c r="D935" s="184"/>
      <c r="E935" s="184"/>
      <c r="F935" s="184"/>
      <c r="I935" s="186"/>
      <c r="J935" s="184"/>
    </row>
    <row r="936" spans="1:10">
      <c r="A936" s="174"/>
      <c r="B936" s="184"/>
      <c r="C936" s="184"/>
      <c r="D936" s="184"/>
      <c r="E936" s="184"/>
      <c r="F936" s="184"/>
      <c r="I936" s="186"/>
      <c r="J936" s="184"/>
    </row>
    <row r="937" spans="1:10">
      <c r="A937" s="174"/>
      <c r="B937" s="184"/>
      <c r="C937" s="184"/>
      <c r="D937" s="184"/>
      <c r="E937" s="184"/>
      <c r="F937" s="184"/>
      <c r="I937" s="186"/>
      <c r="J937" s="184"/>
    </row>
    <row r="938" spans="1:10">
      <c r="A938" s="174"/>
      <c r="B938" s="184"/>
      <c r="C938" s="184"/>
      <c r="D938" s="184"/>
      <c r="E938" s="184"/>
      <c r="F938" s="184"/>
      <c r="I938" s="186"/>
      <c r="J938" s="184"/>
    </row>
    <row r="939" spans="1:10">
      <c r="A939" s="174"/>
      <c r="B939" s="184"/>
      <c r="C939" s="184"/>
      <c r="D939" s="184"/>
      <c r="E939" s="184"/>
      <c r="F939" s="184"/>
      <c r="G939" s="187"/>
      <c r="I939" s="186"/>
      <c r="J939" s="184"/>
    </row>
    <row r="940" spans="1:10">
      <c r="A940" s="174"/>
      <c r="B940" s="184"/>
      <c r="C940" s="184"/>
      <c r="D940" s="184"/>
      <c r="E940" s="184"/>
      <c r="F940" s="184"/>
      <c r="G940" s="187"/>
      <c r="I940" s="186"/>
      <c r="J940" s="184"/>
    </row>
    <row r="941" spans="1:10">
      <c r="A941" s="174"/>
      <c r="B941" s="184"/>
      <c r="C941" s="184"/>
      <c r="D941" s="184"/>
      <c r="E941" s="184"/>
      <c r="F941" s="184"/>
      <c r="I941" s="186"/>
      <c r="J941" s="184"/>
    </row>
    <row r="942" spans="1:10">
      <c r="A942" s="174"/>
      <c r="B942" s="184"/>
      <c r="C942" s="184"/>
      <c r="D942" s="184"/>
      <c r="E942" s="184"/>
      <c r="F942" s="184"/>
      <c r="I942" s="186"/>
      <c r="J942" s="184"/>
    </row>
    <row r="943" spans="1:10">
      <c r="A943" s="174"/>
      <c r="B943" s="184"/>
      <c r="C943" s="184"/>
      <c r="D943" s="184"/>
      <c r="E943" s="184"/>
      <c r="F943" s="184"/>
      <c r="I943" s="186"/>
      <c r="J943" s="184"/>
    </row>
    <row r="944" spans="1:10">
      <c r="A944" s="174"/>
      <c r="B944" s="184"/>
      <c r="C944" s="184"/>
      <c r="D944" s="184"/>
      <c r="E944" s="184"/>
      <c r="F944" s="184"/>
      <c r="I944" s="186"/>
      <c r="J944" s="184"/>
    </row>
    <row r="945" spans="1:10">
      <c r="A945" s="174"/>
      <c r="B945" s="184"/>
      <c r="C945" s="184"/>
      <c r="D945" s="184"/>
      <c r="E945" s="184"/>
      <c r="F945" s="184"/>
      <c r="I945" s="186"/>
      <c r="J945" s="184"/>
    </row>
    <row r="946" spans="1:10">
      <c r="A946" s="174"/>
      <c r="B946" s="184"/>
      <c r="C946" s="184"/>
      <c r="D946" s="184"/>
      <c r="E946" s="184"/>
      <c r="F946" s="184"/>
      <c r="G946" s="187"/>
      <c r="I946" s="186"/>
      <c r="J946" s="184"/>
    </row>
    <row r="947" spans="1:10">
      <c r="A947" s="174"/>
      <c r="B947" s="184"/>
      <c r="C947" s="184"/>
      <c r="D947" s="184"/>
      <c r="E947" s="184"/>
      <c r="F947" s="184"/>
      <c r="G947" s="187"/>
      <c r="I947" s="186"/>
      <c r="J947" s="184"/>
    </row>
    <row r="948" spans="1:10">
      <c r="A948" s="174"/>
      <c r="B948" s="184"/>
      <c r="C948" s="184"/>
      <c r="D948" s="184"/>
      <c r="E948" s="184"/>
      <c r="F948" s="184"/>
      <c r="G948" s="187"/>
      <c r="I948" s="186"/>
      <c r="J948" s="184"/>
    </row>
    <row r="949" spans="1:10">
      <c r="A949" s="174"/>
      <c r="B949" s="184"/>
      <c r="C949" s="184"/>
      <c r="D949" s="184"/>
      <c r="E949" s="184"/>
      <c r="F949" s="184"/>
      <c r="G949" s="187"/>
      <c r="I949" s="186"/>
      <c r="J949" s="184"/>
    </row>
    <row r="950" spans="1:10">
      <c r="A950" s="174"/>
      <c r="B950" s="184"/>
      <c r="C950" s="184"/>
      <c r="D950" s="184"/>
      <c r="E950" s="184"/>
      <c r="F950" s="184"/>
      <c r="I950" s="186"/>
      <c r="J950" s="184"/>
    </row>
    <row r="951" spans="1:10">
      <c r="A951" s="174"/>
      <c r="B951" s="184"/>
      <c r="C951" s="184"/>
      <c r="D951" s="184"/>
      <c r="E951" s="184"/>
      <c r="F951" s="184"/>
      <c r="I951" s="186"/>
      <c r="J951" s="184"/>
    </row>
    <row r="952" spans="1:10">
      <c r="A952" s="174"/>
      <c r="B952" s="184"/>
      <c r="C952" s="184"/>
      <c r="D952" s="184"/>
      <c r="E952" s="184"/>
      <c r="F952" s="184"/>
      <c r="I952" s="186"/>
      <c r="J952" s="184"/>
    </row>
    <row r="953" spans="1:10">
      <c r="A953" s="174"/>
      <c r="B953" s="184"/>
      <c r="C953" s="184"/>
      <c r="D953" s="184"/>
      <c r="E953" s="184"/>
      <c r="F953" s="184"/>
      <c r="G953" s="187"/>
      <c r="I953" s="186"/>
      <c r="J953" s="184"/>
    </row>
    <row r="954" spans="1:10">
      <c r="A954" s="174"/>
      <c r="B954" s="184"/>
      <c r="C954" s="184"/>
      <c r="D954" s="184"/>
      <c r="E954" s="184"/>
      <c r="F954" s="184"/>
      <c r="I954" s="186"/>
      <c r="J954" s="184"/>
    </row>
    <row r="955" spans="1:10">
      <c r="A955" s="174"/>
      <c r="B955" s="184"/>
      <c r="C955" s="184"/>
      <c r="D955" s="184"/>
      <c r="E955" s="184"/>
      <c r="F955" s="184"/>
      <c r="G955" s="187"/>
      <c r="I955" s="186"/>
      <c r="J955" s="184"/>
    </row>
    <row r="956" spans="1:10">
      <c r="A956" s="174"/>
      <c r="B956" s="184"/>
      <c r="C956" s="184"/>
      <c r="D956" s="184"/>
      <c r="E956" s="184"/>
      <c r="F956" s="184"/>
      <c r="G956" s="187"/>
      <c r="I956" s="186"/>
      <c r="J956" s="184"/>
    </row>
    <row r="957" spans="1:10">
      <c r="A957" s="174"/>
      <c r="B957" s="184"/>
      <c r="C957" s="184"/>
      <c r="D957" s="184"/>
      <c r="E957" s="184"/>
      <c r="F957" s="184"/>
      <c r="G957" s="187"/>
      <c r="I957" s="186"/>
      <c r="J957" s="184"/>
    </row>
    <row r="958" spans="1:10">
      <c r="A958" s="174"/>
      <c r="B958" s="184"/>
      <c r="C958" s="184"/>
      <c r="D958" s="184"/>
      <c r="E958" s="184"/>
      <c r="F958" s="184"/>
      <c r="G958" s="187"/>
      <c r="I958" s="186"/>
      <c r="J958" s="184"/>
    </row>
    <row r="959" spans="1:10">
      <c r="A959" s="174"/>
      <c r="B959" s="184"/>
      <c r="C959" s="184"/>
      <c r="D959" s="184"/>
      <c r="E959" s="184"/>
      <c r="F959" s="184"/>
      <c r="G959" s="187"/>
      <c r="I959" s="186"/>
      <c r="J959" s="184"/>
    </row>
    <row r="960" spans="1:10">
      <c r="A960" s="174"/>
      <c r="B960" s="184"/>
      <c r="C960" s="184"/>
      <c r="D960" s="184"/>
      <c r="E960" s="184"/>
      <c r="F960" s="184"/>
      <c r="G960" s="187"/>
      <c r="I960" s="186"/>
      <c r="J960" s="184"/>
    </row>
    <row r="961" spans="1:10">
      <c r="A961" s="174"/>
      <c r="B961" s="184"/>
      <c r="C961" s="184"/>
      <c r="D961" s="184"/>
      <c r="E961" s="184"/>
      <c r="F961" s="184"/>
      <c r="I961" s="186"/>
      <c r="J961" s="184"/>
    </row>
    <row r="962" spans="1:10">
      <c r="A962" s="174"/>
      <c r="B962" s="184"/>
      <c r="C962" s="184"/>
      <c r="D962" s="184"/>
      <c r="E962" s="184"/>
      <c r="F962" s="184"/>
      <c r="G962" s="187"/>
      <c r="I962" s="186"/>
      <c r="J962" s="184"/>
    </row>
    <row r="963" spans="1:10">
      <c r="A963" s="174"/>
      <c r="B963" s="184"/>
      <c r="C963" s="184"/>
      <c r="D963" s="184"/>
      <c r="E963" s="184"/>
      <c r="F963" s="184"/>
      <c r="G963" s="187"/>
      <c r="I963" s="186"/>
      <c r="J963" s="184"/>
    </row>
    <row r="964" spans="1:10">
      <c r="A964" s="174"/>
      <c r="B964" s="184"/>
      <c r="C964" s="184"/>
      <c r="D964" s="184"/>
      <c r="E964" s="184"/>
      <c r="F964" s="184"/>
      <c r="G964" s="187"/>
      <c r="I964" s="186"/>
      <c r="J964" s="184"/>
    </row>
    <row r="965" spans="1:10">
      <c r="A965" s="174"/>
      <c r="B965" s="184"/>
      <c r="C965" s="184"/>
      <c r="D965" s="184"/>
      <c r="E965" s="184"/>
      <c r="F965" s="184"/>
      <c r="G965" s="187"/>
      <c r="I965" s="186"/>
      <c r="J965" s="184"/>
    </row>
    <row r="966" spans="1:10">
      <c r="A966" s="174"/>
      <c r="B966" s="184"/>
      <c r="C966" s="184"/>
      <c r="D966" s="184"/>
      <c r="E966" s="184"/>
      <c r="F966" s="184"/>
      <c r="G966" s="187"/>
      <c r="I966" s="186"/>
      <c r="J966" s="184"/>
    </row>
    <row r="967" spans="1:10">
      <c r="A967" s="174"/>
      <c r="B967" s="184"/>
      <c r="C967" s="184"/>
      <c r="D967" s="184"/>
      <c r="E967" s="184"/>
      <c r="F967" s="184"/>
      <c r="G967" s="187"/>
      <c r="I967" s="186"/>
      <c r="J967" s="184"/>
    </row>
    <row r="968" spans="1:10">
      <c r="A968" s="174"/>
      <c r="B968" s="184"/>
      <c r="C968" s="184"/>
      <c r="D968" s="184"/>
      <c r="E968" s="184"/>
      <c r="F968" s="184"/>
      <c r="I968" s="186"/>
      <c r="J968" s="184"/>
    </row>
    <row r="969" spans="1:10">
      <c r="A969" s="174"/>
      <c r="B969" s="184"/>
      <c r="C969" s="184"/>
      <c r="D969" s="184"/>
      <c r="E969" s="184"/>
      <c r="F969" s="184"/>
      <c r="G969" s="187"/>
      <c r="I969" s="186"/>
      <c r="J969" s="184"/>
    </row>
    <row r="970" spans="1:10">
      <c r="A970" s="174"/>
      <c r="B970" s="184"/>
      <c r="C970" s="184"/>
      <c r="D970" s="184"/>
      <c r="E970" s="184"/>
      <c r="F970" s="184"/>
      <c r="I970" s="186"/>
      <c r="J970" s="184"/>
    </row>
    <row r="971" spans="1:10">
      <c r="A971" s="174"/>
      <c r="B971" s="184"/>
      <c r="C971" s="184"/>
      <c r="D971" s="184"/>
      <c r="E971" s="184"/>
      <c r="F971" s="184"/>
      <c r="I971" s="186"/>
      <c r="J971" s="184"/>
    </row>
    <row r="972" spans="1:10">
      <c r="A972" s="174"/>
      <c r="B972" s="184"/>
      <c r="C972" s="184"/>
      <c r="D972" s="184"/>
      <c r="E972" s="184"/>
      <c r="F972" s="184"/>
      <c r="I972" s="186"/>
      <c r="J972" s="184"/>
    </row>
    <row r="973" spans="1:10">
      <c r="A973" s="174"/>
      <c r="B973" s="184"/>
      <c r="C973" s="184"/>
      <c r="D973" s="184"/>
      <c r="E973" s="184"/>
      <c r="F973" s="184"/>
      <c r="I973" s="186"/>
      <c r="J973" s="184"/>
    </row>
    <row r="974" spans="1:10">
      <c r="A974" s="174"/>
      <c r="B974" s="184"/>
      <c r="C974" s="184"/>
      <c r="D974" s="184"/>
      <c r="E974" s="184"/>
      <c r="F974" s="184"/>
      <c r="I974" s="186"/>
      <c r="J974" s="184"/>
    </row>
    <row r="975" spans="1:10">
      <c r="A975" s="174"/>
      <c r="B975" s="184"/>
      <c r="C975" s="184"/>
      <c r="D975" s="184"/>
      <c r="E975" s="184"/>
      <c r="F975" s="184"/>
      <c r="G975" s="187"/>
      <c r="I975" s="186"/>
      <c r="J975" s="184"/>
    </row>
    <row r="976" spans="1:10">
      <c r="A976" s="174"/>
      <c r="B976" s="184"/>
      <c r="C976" s="184"/>
      <c r="D976" s="184"/>
      <c r="E976" s="184"/>
      <c r="F976" s="184"/>
      <c r="G976" s="187"/>
      <c r="I976" s="186"/>
      <c r="J976" s="184"/>
    </row>
    <row r="977" spans="1:10">
      <c r="A977" s="174"/>
      <c r="B977" s="184"/>
      <c r="C977" s="184"/>
      <c r="D977" s="184"/>
      <c r="E977" s="184"/>
      <c r="F977" s="184"/>
      <c r="I977" s="186"/>
      <c r="J977" s="184"/>
    </row>
    <row r="978" spans="1:10">
      <c r="A978" s="174"/>
      <c r="B978" s="184"/>
      <c r="C978" s="184"/>
      <c r="D978" s="184"/>
      <c r="E978" s="184"/>
      <c r="F978" s="184"/>
      <c r="I978" s="186"/>
      <c r="J978" s="184"/>
    </row>
    <row r="979" spans="1:10">
      <c r="A979" s="174"/>
      <c r="B979" s="184"/>
      <c r="C979" s="184"/>
      <c r="D979" s="184"/>
      <c r="E979" s="184"/>
      <c r="F979" s="184"/>
      <c r="I979" s="186"/>
      <c r="J979" s="184"/>
    </row>
    <row r="980" spans="1:10">
      <c r="A980" s="174"/>
      <c r="B980" s="184"/>
      <c r="C980" s="184"/>
      <c r="D980" s="184"/>
      <c r="E980" s="184"/>
      <c r="F980" s="184"/>
      <c r="G980" s="187"/>
      <c r="I980" s="186"/>
      <c r="J980" s="184"/>
    </row>
    <row r="981" spans="1:10">
      <c r="A981" s="174"/>
      <c r="B981" s="184"/>
      <c r="C981" s="184"/>
      <c r="D981" s="184"/>
      <c r="E981" s="184"/>
      <c r="F981" s="184"/>
      <c r="G981" s="187"/>
      <c r="I981" s="186"/>
      <c r="J981" s="184"/>
    </row>
    <row r="982" spans="1:10">
      <c r="A982" s="174"/>
      <c r="B982" s="184"/>
      <c r="C982" s="184"/>
      <c r="D982" s="184"/>
      <c r="E982" s="184"/>
      <c r="F982" s="184"/>
      <c r="G982" s="187"/>
      <c r="I982" s="186"/>
      <c r="J982" s="184"/>
    </row>
    <row r="983" spans="1:10">
      <c r="A983" s="174"/>
      <c r="B983" s="184"/>
      <c r="C983" s="184"/>
      <c r="D983" s="184"/>
      <c r="E983" s="184"/>
      <c r="F983" s="184"/>
      <c r="G983" s="187"/>
      <c r="I983" s="186"/>
      <c r="J983" s="184"/>
    </row>
    <row r="984" spans="1:10">
      <c r="A984" s="174"/>
      <c r="B984" s="184"/>
      <c r="C984" s="184"/>
      <c r="D984" s="184"/>
      <c r="E984" s="184"/>
      <c r="F984" s="184"/>
      <c r="I984" s="186"/>
      <c r="J984" s="184"/>
    </row>
    <row r="985" spans="1:10">
      <c r="A985" s="174"/>
      <c r="B985" s="184"/>
      <c r="C985" s="184"/>
      <c r="D985" s="184"/>
      <c r="E985" s="184"/>
      <c r="F985" s="184"/>
      <c r="G985" s="187"/>
      <c r="I985" s="186"/>
      <c r="J985" s="184"/>
    </row>
    <row r="986" spans="1:10">
      <c r="A986" s="174"/>
      <c r="B986" s="184"/>
      <c r="C986" s="184"/>
      <c r="D986" s="184"/>
      <c r="E986" s="184"/>
      <c r="F986" s="184"/>
      <c r="G986" s="187"/>
      <c r="I986" s="186"/>
      <c r="J986" s="184"/>
    </row>
    <row r="987" spans="1:10">
      <c r="A987" s="174"/>
      <c r="B987" s="184"/>
      <c r="C987" s="184"/>
      <c r="D987" s="184"/>
      <c r="E987" s="184"/>
      <c r="F987" s="184"/>
      <c r="G987" s="187"/>
      <c r="I987" s="186"/>
      <c r="J987" s="184"/>
    </row>
    <row r="988" spans="1:10">
      <c r="A988" s="174"/>
      <c r="B988" s="184"/>
      <c r="C988" s="184"/>
      <c r="D988" s="184"/>
      <c r="E988" s="184"/>
      <c r="F988" s="184"/>
      <c r="G988" s="187"/>
      <c r="I988" s="186"/>
      <c r="J988" s="184"/>
    </row>
    <row r="989" spans="1:10">
      <c r="A989" s="174"/>
      <c r="B989" s="184"/>
      <c r="C989" s="184"/>
      <c r="D989" s="184"/>
      <c r="E989" s="184"/>
      <c r="F989" s="184"/>
      <c r="G989" s="187"/>
      <c r="I989" s="186"/>
      <c r="J989" s="184"/>
    </row>
    <row r="990" spans="1:10">
      <c r="A990" s="174"/>
      <c r="B990" s="184"/>
      <c r="C990" s="184"/>
      <c r="D990" s="184"/>
      <c r="E990" s="184"/>
      <c r="F990" s="184"/>
      <c r="I990" s="186"/>
      <c r="J990" s="184"/>
    </row>
    <row r="991" spans="1:10">
      <c r="A991" s="174"/>
      <c r="B991" s="184"/>
      <c r="C991" s="184"/>
      <c r="D991" s="184"/>
      <c r="E991" s="184"/>
      <c r="F991" s="184"/>
      <c r="G991" s="187"/>
      <c r="I991" s="186"/>
      <c r="J991" s="184"/>
    </row>
    <row r="992" spans="1:10">
      <c r="A992" s="174"/>
      <c r="B992" s="184"/>
      <c r="C992" s="184"/>
      <c r="D992" s="184"/>
      <c r="E992" s="184"/>
      <c r="F992" s="184"/>
      <c r="I992" s="186"/>
      <c r="J992" s="184"/>
    </row>
    <row r="993" spans="1:10">
      <c r="A993" s="174"/>
      <c r="B993" s="184"/>
      <c r="C993" s="184"/>
      <c r="D993" s="184"/>
      <c r="E993" s="184"/>
      <c r="F993" s="184"/>
      <c r="I993" s="186"/>
      <c r="J993" s="184"/>
    </row>
    <row r="994" spans="1:10">
      <c r="A994" s="174"/>
      <c r="B994" s="184"/>
      <c r="C994" s="184"/>
      <c r="D994" s="184"/>
      <c r="E994" s="184"/>
      <c r="F994" s="184"/>
      <c r="I994" s="186"/>
      <c r="J994" s="184"/>
    </row>
    <row r="995" spans="1:10">
      <c r="A995" s="174"/>
      <c r="B995" s="184"/>
      <c r="C995" s="184"/>
      <c r="D995" s="184"/>
      <c r="E995" s="184"/>
      <c r="F995" s="184"/>
      <c r="I995" s="186"/>
      <c r="J995" s="184"/>
    </row>
    <row r="996" spans="1:10">
      <c r="A996" s="174"/>
      <c r="B996" s="184"/>
      <c r="C996" s="184"/>
      <c r="D996" s="184"/>
      <c r="E996" s="184"/>
      <c r="F996" s="184"/>
      <c r="I996" s="186"/>
      <c r="J996" s="184"/>
    </row>
    <row r="997" spans="1:10">
      <c r="A997" s="174"/>
      <c r="B997" s="184"/>
      <c r="C997" s="184"/>
      <c r="D997" s="184"/>
      <c r="E997" s="184"/>
      <c r="F997" s="184"/>
      <c r="I997" s="186"/>
      <c r="J997" s="184"/>
    </row>
    <row r="998" spans="1:10">
      <c r="A998" s="174"/>
      <c r="B998" s="184"/>
      <c r="C998" s="184"/>
      <c r="D998" s="184"/>
      <c r="E998" s="184"/>
      <c r="F998" s="184"/>
      <c r="I998" s="186"/>
      <c r="J998" s="184"/>
    </row>
    <row r="999" spans="1:10">
      <c r="A999" s="174"/>
      <c r="B999" s="184"/>
      <c r="C999" s="184"/>
      <c r="D999" s="184"/>
      <c r="E999" s="184"/>
      <c r="F999" s="184"/>
      <c r="I999" s="186"/>
      <c r="J999" s="184"/>
    </row>
    <row r="1000" spans="1:10">
      <c r="A1000" s="174"/>
      <c r="B1000" s="184"/>
      <c r="C1000" s="184"/>
      <c r="D1000" s="184"/>
      <c r="E1000" s="184"/>
      <c r="F1000" s="184"/>
      <c r="I1000" s="186"/>
      <c r="J1000" s="184"/>
    </row>
    <row r="1001" spans="1:10">
      <c r="A1001" s="174"/>
      <c r="B1001" s="184"/>
      <c r="C1001" s="184"/>
      <c r="D1001" s="184"/>
      <c r="E1001" s="184"/>
      <c r="F1001" s="184"/>
      <c r="I1001" s="186"/>
      <c r="J1001" s="184"/>
    </row>
    <row r="1002" spans="1:10">
      <c r="A1002" s="174"/>
      <c r="B1002" s="184"/>
      <c r="C1002" s="184"/>
      <c r="D1002" s="184"/>
      <c r="E1002" s="184"/>
      <c r="F1002" s="184"/>
      <c r="I1002" s="186"/>
      <c r="J1002" s="184"/>
    </row>
    <row r="1003" spans="1:10">
      <c r="A1003" s="174"/>
      <c r="B1003" s="184"/>
      <c r="C1003" s="184"/>
      <c r="D1003" s="184"/>
      <c r="E1003" s="184"/>
      <c r="F1003" s="184"/>
      <c r="I1003" s="186"/>
      <c r="J1003" s="184"/>
    </row>
    <row r="1004" spans="1:10">
      <c r="A1004" s="174"/>
      <c r="B1004" s="184"/>
      <c r="C1004" s="184"/>
      <c r="D1004" s="184"/>
      <c r="E1004" s="184"/>
      <c r="F1004" s="184"/>
      <c r="I1004" s="186"/>
      <c r="J1004" s="184"/>
    </row>
    <row r="1005" spans="1:10">
      <c r="A1005" s="174"/>
      <c r="B1005" s="184"/>
      <c r="C1005" s="184"/>
      <c r="D1005" s="184"/>
      <c r="E1005" s="184"/>
      <c r="F1005" s="184"/>
      <c r="I1005" s="186"/>
      <c r="J1005" s="184"/>
    </row>
    <row r="1006" spans="1:10">
      <c r="A1006" s="174"/>
      <c r="B1006" s="184"/>
      <c r="C1006" s="184"/>
      <c r="D1006" s="184"/>
      <c r="E1006" s="184"/>
      <c r="F1006" s="184"/>
      <c r="I1006" s="186"/>
      <c r="J1006" s="184"/>
    </row>
    <row r="1007" spans="1:10">
      <c r="A1007" s="174"/>
      <c r="B1007" s="184"/>
      <c r="C1007" s="184"/>
      <c r="D1007" s="184"/>
      <c r="E1007" s="184"/>
      <c r="F1007" s="184"/>
      <c r="I1007" s="186"/>
      <c r="J1007" s="184"/>
    </row>
    <row r="1008" spans="1:10">
      <c r="A1008" s="174"/>
      <c r="B1008" s="184"/>
      <c r="C1008" s="184"/>
      <c r="D1008" s="184"/>
      <c r="E1008" s="184"/>
      <c r="F1008" s="184"/>
      <c r="I1008" s="186"/>
      <c r="J1008" s="184"/>
    </row>
    <row r="1009" spans="1:10">
      <c r="A1009" s="174"/>
      <c r="B1009" s="184"/>
      <c r="C1009" s="184"/>
      <c r="D1009" s="184"/>
      <c r="E1009" s="184"/>
      <c r="F1009" s="184"/>
      <c r="I1009" s="186"/>
      <c r="J1009" s="184"/>
    </row>
    <row r="1010" spans="1:10">
      <c r="A1010" s="174"/>
      <c r="B1010" s="184"/>
      <c r="C1010" s="184"/>
      <c r="D1010" s="184"/>
      <c r="E1010" s="184"/>
      <c r="F1010" s="184"/>
      <c r="I1010" s="186"/>
      <c r="J1010" s="184"/>
    </row>
    <row r="1011" spans="1:10">
      <c r="A1011" s="174"/>
      <c r="B1011" s="184"/>
      <c r="C1011" s="184"/>
      <c r="D1011" s="184"/>
      <c r="E1011" s="184"/>
      <c r="F1011" s="184"/>
      <c r="I1011" s="186"/>
      <c r="J1011" s="184"/>
    </row>
    <row r="1012" spans="1:10">
      <c r="A1012" s="174"/>
      <c r="B1012" s="184"/>
      <c r="C1012" s="184"/>
      <c r="D1012" s="184"/>
      <c r="E1012" s="184"/>
      <c r="F1012" s="184"/>
      <c r="I1012" s="186"/>
      <c r="J1012" s="184"/>
    </row>
    <row r="1013" spans="1:10">
      <c r="A1013" s="174"/>
      <c r="B1013" s="184"/>
      <c r="C1013" s="184"/>
      <c r="D1013" s="184"/>
      <c r="E1013" s="184"/>
      <c r="F1013" s="184"/>
      <c r="I1013" s="186"/>
      <c r="J1013" s="184"/>
    </row>
    <row r="1014" spans="1:10">
      <c r="A1014" s="174"/>
      <c r="B1014" s="184"/>
      <c r="C1014" s="184"/>
      <c r="D1014" s="184"/>
      <c r="E1014" s="184"/>
      <c r="F1014" s="184"/>
      <c r="I1014" s="186"/>
      <c r="J1014" s="184"/>
    </row>
    <row r="1015" spans="1:10">
      <c r="A1015" s="174"/>
      <c r="B1015" s="184"/>
      <c r="C1015" s="184"/>
      <c r="D1015" s="184"/>
      <c r="E1015" s="184"/>
      <c r="F1015" s="184"/>
      <c r="I1015" s="186"/>
      <c r="J1015" s="184"/>
    </row>
    <row r="1016" spans="1:10">
      <c r="A1016" s="174"/>
      <c r="B1016" s="184"/>
      <c r="C1016" s="184"/>
      <c r="D1016" s="184"/>
      <c r="E1016" s="184"/>
      <c r="F1016" s="184"/>
      <c r="G1016" s="187"/>
      <c r="I1016" s="186"/>
      <c r="J1016" s="184"/>
    </row>
    <row r="1017" spans="1:10">
      <c r="A1017" s="174"/>
      <c r="B1017" s="184"/>
      <c r="C1017" s="184"/>
      <c r="D1017" s="184"/>
      <c r="E1017" s="184"/>
      <c r="F1017" s="184"/>
      <c r="G1017" s="187"/>
      <c r="I1017" s="186"/>
      <c r="J1017" s="184"/>
    </row>
    <row r="1018" spans="1:10">
      <c r="A1018" s="174"/>
      <c r="B1018" s="184"/>
      <c r="C1018" s="184"/>
      <c r="D1018" s="184"/>
      <c r="E1018" s="184"/>
      <c r="F1018" s="184"/>
      <c r="G1018" s="187"/>
      <c r="I1018" s="186"/>
      <c r="J1018" s="184"/>
    </row>
    <row r="1019" spans="1:10">
      <c r="A1019" s="174"/>
      <c r="B1019" s="184"/>
      <c r="C1019" s="184"/>
      <c r="D1019" s="184"/>
      <c r="E1019" s="184"/>
      <c r="F1019" s="184"/>
      <c r="G1019" s="187"/>
      <c r="I1019" s="186"/>
      <c r="J1019" s="184"/>
    </row>
    <row r="1020" spans="1:10">
      <c r="A1020" s="174"/>
      <c r="B1020" s="184"/>
      <c r="C1020" s="184"/>
      <c r="D1020" s="184"/>
      <c r="E1020" s="184"/>
      <c r="F1020" s="184"/>
      <c r="G1020" s="187"/>
      <c r="I1020" s="186"/>
      <c r="J1020" s="184"/>
    </row>
    <row r="1021" spans="1:10">
      <c r="A1021" s="174"/>
      <c r="B1021" s="184"/>
      <c r="C1021" s="184"/>
      <c r="D1021" s="184"/>
      <c r="E1021" s="184"/>
      <c r="F1021" s="184"/>
      <c r="I1021" s="186"/>
      <c r="J1021" s="184"/>
    </row>
    <row r="1022" spans="1:10">
      <c r="A1022" s="174"/>
      <c r="B1022" s="184"/>
      <c r="C1022" s="184"/>
      <c r="D1022" s="184"/>
      <c r="E1022" s="184"/>
      <c r="F1022" s="184"/>
      <c r="I1022" s="186"/>
      <c r="J1022" s="184"/>
    </row>
    <row r="1023" spans="1:10">
      <c r="A1023" s="174"/>
      <c r="B1023" s="184"/>
      <c r="C1023" s="184"/>
      <c r="D1023" s="184"/>
      <c r="E1023" s="184"/>
      <c r="F1023" s="184"/>
      <c r="I1023" s="186"/>
      <c r="J1023" s="184"/>
    </row>
    <row r="1024" spans="1:10">
      <c r="A1024" s="174"/>
      <c r="B1024" s="184"/>
      <c r="C1024" s="184"/>
      <c r="D1024" s="184"/>
      <c r="E1024" s="184"/>
      <c r="F1024" s="184"/>
      <c r="I1024" s="186"/>
      <c r="J1024" s="184"/>
    </row>
    <row r="1025" spans="1:10">
      <c r="A1025" s="174"/>
      <c r="B1025" s="184"/>
      <c r="C1025" s="184"/>
      <c r="D1025" s="184"/>
      <c r="E1025" s="184"/>
      <c r="F1025" s="184"/>
      <c r="I1025" s="186"/>
      <c r="J1025" s="184"/>
    </row>
    <row r="1026" spans="1:10">
      <c r="A1026" s="174"/>
      <c r="B1026" s="184"/>
      <c r="C1026" s="184"/>
      <c r="D1026" s="184"/>
      <c r="E1026" s="184"/>
      <c r="F1026" s="184"/>
      <c r="I1026" s="186"/>
      <c r="J1026" s="184"/>
    </row>
    <row r="1027" spans="1:10">
      <c r="A1027" s="174"/>
      <c r="B1027" s="184"/>
      <c r="C1027" s="184"/>
      <c r="D1027" s="184"/>
      <c r="E1027" s="184"/>
      <c r="F1027" s="184"/>
      <c r="I1027" s="186"/>
      <c r="J1027" s="184"/>
    </row>
    <row r="1028" spans="1:10">
      <c r="A1028" s="174"/>
      <c r="B1028" s="184"/>
      <c r="C1028" s="184"/>
      <c r="D1028" s="184"/>
      <c r="E1028" s="184"/>
      <c r="F1028" s="184"/>
      <c r="I1028" s="186"/>
      <c r="J1028" s="184"/>
    </row>
    <row r="1029" spans="1:10">
      <c r="A1029" s="174"/>
      <c r="B1029" s="184"/>
      <c r="C1029" s="184"/>
      <c r="D1029" s="184"/>
      <c r="E1029" s="184"/>
      <c r="F1029" s="184"/>
      <c r="I1029" s="186"/>
      <c r="J1029" s="184"/>
    </row>
    <row r="1030" spans="1:10">
      <c r="A1030" s="174"/>
      <c r="B1030" s="184"/>
      <c r="C1030" s="184"/>
      <c r="D1030" s="184"/>
      <c r="E1030" s="184"/>
      <c r="F1030" s="184"/>
      <c r="I1030" s="186"/>
      <c r="J1030" s="184"/>
    </row>
    <row r="1031" spans="1:10">
      <c r="A1031" s="174"/>
      <c r="B1031" s="184"/>
      <c r="C1031" s="184"/>
      <c r="D1031" s="184"/>
      <c r="E1031" s="184"/>
      <c r="F1031" s="184"/>
      <c r="G1031" s="187"/>
      <c r="I1031" s="186"/>
      <c r="J1031" s="184"/>
    </row>
    <row r="1032" spans="1:10">
      <c r="A1032" s="174"/>
      <c r="B1032" s="184"/>
      <c r="C1032" s="184"/>
      <c r="D1032" s="184"/>
      <c r="E1032" s="184"/>
      <c r="F1032" s="184"/>
      <c r="I1032" s="186"/>
      <c r="J1032" s="184"/>
    </row>
    <row r="1033" spans="1:10">
      <c r="A1033" s="174"/>
      <c r="B1033" s="184"/>
      <c r="C1033" s="184"/>
      <c r="D1033" s="184"/>
      <c r="E1033" s="184"/>
      <c r="F1033" s="184"/>
      <c r="I1033" s="186"/>
      <c r="J1033" s="184"/>
    </row>
    <row r="1034" spans="1:10">
      <c r="A1034" s="174"/>
      <c r="B1034" s="184"/>
      <c r="C1034" s="184"/>
      <c r="D1034" s="184"/>
      <c r="E1034" s="184"/>
      <c r="F1034" s="184"/>
      <c r="I1034" s="186"/>
      <c r="J1034" s="184"/>
    </row>
    <row r="1035" spans="1:10">
      <c r="A1035" s="174"/>
      <c r="B1035" s="184"/>
      <c r="C1035" s="184"/>
      <c r="D1035" s="184"/>
      <c r="E1035" s="184"/>
      <c r="F1035" s="184"/>
      <c r="I1035" s="186"/>
      <c r="J1035" s="184"/>
    </row>
    <row r="1036" spans="1:10">
      <c r="A1036" s="174"/>
      <c r="B1036" s="184"/>
      <c r="C1036" s="184"/>
      <c r="D1036" s="184"/>
      <c r="E1036" s="184"/>
      <c r="F1036" s="184"/>
      <c r="I1036" s="186"/>
      <c r="J1036" s="184"/>
    </row>
    <row r="1037" spans="1:10">
      <c r="A1037" s="174"/>
      <c r="B1037" s="184"/>
      <c r="C1037" s="184"/>
      <c r="D1037" s="184"/>
      <c r="E1037" s="184"/>
      <c r="F1037" s="184"/>
      <c r="G1037" s="187"/>
      <c r="I1037" s="186"/>
      <c r="J1037" s="184"/>
    </row>
    <row r="1038" spans="1:10">
      <c r="A1038" s="174"/>
      <c r="B1038" s="184"/>
      <c r="C1038" s="184"/>
      <c r="D1038" s="184"/>
      <c r="E1038" s="184"/>
      <c r="F1038" s="184"/>
      <c r="G1038" s="187"/>
      <c r="I1038" s="186"/>
      <c r="J1038" s="184"/>
    </row>
    <row r="1039" spans="1:10">
      <c r="A1039" s="174"/>
      <c r="B1039" s="184"/>
      <c r="C1039" s="184"/>
      <c r="D1039" s="184"/>
      <c r="E1039" s="184"/>
      <c r="F1039" s="184"/>
      <c r="I1039" s="186"/>
      <c r="J1039" s="184"/>
    </row>
    <row r="1040" spans="1:10">
      <c r="A1040" s="174"/>
      <c r="B1040" s="184"/>
      <c r="C1040" s="184"/>
      <c r="D1040" s="184"/>
      <c r="E1040" s="184"/>
      <c r="F1040" s="184"/>
      <c r="I1040" s="186"/>
      <c r="J1040" s="184"/>
    </row>
    <row r="1041" spans="1:10">
      <c r="A1041" s="174"/>
      <c r="B1041" s="184"/>
      <c r="C1041" s="184"/>
      <c r="D1041" s="184"/>
      <c r="E1041" s="184"/>
      <c r="F1041" s="184"/>
      <c r="I1041" s="186"/>
      <c r="J1041" s="184"/>
    </row>
    <row r="1042" spans="1:10">
      <c r="A1042" s="174"/>
      <c r="B1042" s="184"/>
      <c r="C1042" s="184"/>
      <c r="D1042" s="184"/>
      <c r="E1042" s="184"/>
      <c r="F1042" s="184"/>
      <c r="I1042" s="186"/>
      <c r="J1042" s="184"/>
    </row>
    <row r="1043" spans="1:10">
      <c r="A1043" s="174"/>
      <c r="B1043" s="184"/>
      <c r="C1043" s="184"/>
      <c r="D1043" s="184"/>
      <c r="E1043" s="184"/>
      <c r="F1043" s="184"/>
      <c r="I1043" s="186"/>
      <c r="J1043" s="184"/>
    </row>
    <row r="1044" spans="1:10">
      <c r="A1044" s="174"/>
      <c r="B1044" s="184"/>
      <c r="C1044" s="184"/>
      <c r="D1044" s="184"/>
      <c r="E1044" s="184"/>
      <c r="F1044" s="184"/>
      <c r="I1044" s="186"/>
      <c r="J1044" s="184"/>
    </row>
    <row r="1045" spans="1:10">
      <c r="A1045" s="174"/>
      <c r="B1045" s="184"/>
      <c r="C1045" s="184"/>
      <c r="D1045" s="184"/>
      <c r="E1045" s="184"/>
      <c r="F1045" s="184"/>
      <c r="I1045" s="186"/>
      <c r="J1045" s="184"/>
    </row>
    <row r="1046" spans="1:10">
      <c r="A1046" s="174"/>
      <c r="B1046" s="184"/>
      <c r="C1046" s="184"/>
      <c r="D1046" s="184"/>
      <c r="E1046" s="184"/>
      <c r="F1046" s="184"/>
      <c r="I1046" s="186"/>
      <c r="J1046" s="184"/>
    </row>
    <row r="1047" spans="1:10">
      <c r="A1047" s="174"/>
      <c r="B1047" s="184"/>
      <c r="C1047" s="184"/>
      <c r="D1047" s="184"/>
      <c r="E1047" s="184"/>
      <c r="F1047" s="184"/>
      <c r="I1047" s="186"/>
      <c r="J1047" s="184"/>
    </row>
    <row r="1048" spans="1:10">
      <c r="A1048" s="174"/>
      <c r="B1048" s="184"/>
      <c r="C1048" s="184"/>
      <c r="D1048" s="184"/>
      <c r="E1048" s="184"/>
      <c r="F1048" s="184"/>
      <c r="I1048" s="186"/>
      <c r="J1048" s="184"/>
    </row>
    <row r="1049" spans="1:10">
      <c r="A1049" s="174"/>
      <c r="B1049" s="184"/>
      <c r="C1049" s="184"/>
      <c r="D1049" s="184"/>
      <c r="E1049" s="184"/>
      <c r="F1049" s="184"/>
      <c r="I1049" s="186"/>
      <c r="J1049" s="184"/>
    </row>
    <row r="1050" spans="1:10">
      <c r="A1050" s="174"/>
      <c r="B1050" s="184"/>
      <c r="C1050" s="184"/>
      <c r="D1050" s="184"/>
      <c r="E1050" s="184"/>
      <c r="F1050" s="184"/>
      <c r="I1050" s="186"/>
      <c r="J1050" s="184"/>
    </row>
    <row r="1051" spans="1:10">
      <c r="A1051" s="174"/>
      <c r="B1051" s="184"/>
      <c r="C1051" s="184"/>
      <c r="D1051" s="184"/>
      <c r="E1051" s="184"/>
      <c r="F1051" s="184"/>
      <c r="I1051" s="186"/>
      <c r="J1051" s="184"/>
    </row>
    <row r="1052" spans="1:10">
      <c r="A1052" s="174"/>
      <c r="B1052" s="184"/>
      <c r="C1052" s="184"/>
      <c r="D1052" s="184"/>
      <c r="E1052" s="184"/>
      <c r="F1052" s="184"/>
      <c r="I1052" s="186"/>
      <c r="J1052" s="184"/>
    </row>
    <row r="1053" spans="1:10">
      <c r="A1053" s="174"/>
      <c r="B1053" s="184"/>
      <c r="C1053" s="184"/>
      <c r="D1053" s="184"/>
      <c r="E1053" s="184"/>
      <c r="F1053" s="184"/>
      <c r="I1053" s="186"/>
      <c r="J1053" s="184"/>
    </row>
    <row r="1054" spans="1:10">
      <c r="A1054" s="174"/>
      <c r="B1054" s="184"/>
      <c r="C1054" s="184"/>
      <c r="D1054" s="184"/>
      <c r="E1054" s="184"/>
      <c r="F1054" s="184"/>
      <c r="I1054" s="186"/>
      <c r="J1054" s="184"/>
    </row>
    <row r="1055" spans="1:10">
      <c r="A1055" s="174"/>
      <c r="B1055" s="184"/>
      <c r="C1055" s="184"/>
      <c r="D1055" s="184"/>
      <c r="E1055" s="184"/>
      <c r="F1055" s="184"/>
      <c r="I1055" s="186"/>
      <c r="J1055" s="184"/>
    </row>
    <row r="1056" spans="1:10">
      <c r="A1056" s="174"/>
      <c r="B1056" s="184"/>
      <c r="C1056" s="184"/>
      <c r="D1056" s="184"/>
      <c r="E1056" s="184"/>
      <c r="F1056" s="184"/>
      <c r="I1056" s="186"/>
      <c r="J1056" s="184"/>
    </row>
    <row r="1057" spans="1:10">
      <c r="A1057" s="174"/>
      <c r="B1057" s="184"/>
      <c r="C1057" s="184"/>
      <c r="D1057" s="184"/>
      <c r="E1057" s="184"/>
      <c r="F1057" s="184"/>
      <c r="I1057" s="186"/>
      <c r="J1057" s="184"/>
    </row>
    <row r="1058" spans="1:10">
      <c r="A1058" s="174"/>
      <c r="B1058" s="184"/>
      <c r="C1058" s="184"/>
      <c r="D1058" s="184"/>
      <c r="E1058" s="184"/>
      <c r="F1058" s="184"/>
      <c r="I1058" s="186"/>
      <c r="J1058" s="184"/>
    </row>
    <row r="1059" spans="1:10">
      <c r="A1059" s="174"/>
      <c r="B1059" s="184"/>
      <c r="C1059" s="184"/>
      <c r="D1059" s="184"/>
      <c r="E1059" s="184"/>
      <c r="F1059" s="184"/>
      <c r="I1059" s="186"/>
      <c r="J1059" s="184"/>
    </row>
    <row r="1060" spans="1:10">
      <c r="A1060" s="174"/>
      <c r="B1060" s="184"/>
      <c r="C1060" s="184"/>
      <c r="D1060" s="184"/>
      <c r="E1060" s="184"/>
      <c r="F1060" s="184"/>
      <c r="I1060" s="186"/>
      <c r="J1060" s="184"/>
    </row>
    <row r="1061" spans="1:10">
      <c r="A1061" s="174"/>
      <c r="B1061" s="184"/>
      <c r="C1061" s="184"/>
      <c r="D1061" s="184"/>
      <c r="E1061" s="184"/>
      <c r="F1061" s="184"/>
      <c r="I1061" s="186"/>
      <c r="J1061" s="184"/>
    </row>
    <row r="1062" spans="1:10">
      <c r="A1062" s="174"/>
      <c r="B1062" s="184"/>
      <c r="C1062" s="184"/>
      <c r="D1062" s="184"/>
      <c r="E1062" s="184"/>
      <c r="F1062" s="184"/>
      <c r="I1062" s="186"/>
      <c r="J1062" s="184"/>
    </row>
    <row r="1063" spans="1:10">
      <c r="A1063" s="174"/>
      <c r="B1063" s="184"/>
      <c r="C1063" s="184"/>
      <c r="D1063" s="184"/>
      <c r="E1063" s="184"/>
      <c r="F1063" s="184"/>
      <c r="I1063" s="186"/>
      <c r="J1063" s="184"/>
    </row>
    <row r="1064" spans="1:10">
      <c r="A1064" s="174"/>
      <c r="B1064" s="184"/>
      <c r="C1064" s="184"/>
      <c r="D1064" s="184"/>
      <c r="E1064" s="184"/>
      <c r="F1064" s="184"/>
      <c r="I1064" s="186"/>
      <c r="J1064" s="184"/>
    </row>
    <row r="1065" spans="1:10">
      <c r="A1065" s="174"/>
      <c r="B1065" s="184"/>
      <c r="C1065" s="184"/>
      <c r="D1065" s="184"/>
      <c r="E1065" s="184"/>
      <c r="F1065" s="184"/>
      <c r="I1065" s="186"/>
      <c r="J1065" s="184"/>
    </row>
    <row r="1066" spans="1:10">
      <c r="A1066" s="174"/>
      <c r="B1066" s="184"/>
      <c r="C1066" s="184"/>
      <c r="D1066" s="184"/>
      <c r="E1066" s="184"/>
      <c r="F1066" s="184"/>
      <c r="I1066" s="186"/>
      <c r="J1066" s="184"/>
    </row>
    <row r="1067" spans="1:10">
      <c r="A1067" s="174"/>
      <c r="B1067" s="184"/>
      <c r="C1067" s="184"/>
      <c r="D1067" s="184"/>
      <c r="E1067" s="184"/>
      <c r="F1067" s="184"/>
      <c r="I1067" s="186"/>
      <c r="J1067" s="184"/>
    </row>
    <row r="1068" spans="1:10">
      <c r="A1068" s="174"/>
      <c r="B1068" s="184"/>
      <c r="C1068" s="184"/>
      <c r="D1068" s="184"/>
      <c r="E1068" s="184"/>
      <c r="F1068" s="184"/>
      <c r="I1068" s="186"/>
      <c r="J1068" s="184"/>
    </row>
    <row r="1069" spans="1:10">
      <c r="A1069" s="174"/>
      <c r="B1069" s="184"/>
      <c r="C1069" s="184"/>
      <c r="D1069" s="184"/>
      <c r="E1069" s="184"/>
      <c r="F1069" s="184"/>
      <c r="G1069" s="187"/>
      <c r="I1069" s="186"/>
      <c r="J1069" s="184"/>
    </row>
    <row r="1070" spans="1:10">
      <c r="A1070" s="174"/>
      <c r="B1070" s="184"/>
      <c r="C1070" s="184"/>
      <c r="D1070" s="184"/>
      <c r="E1070" s="184"/>
      <c r="F1070" s="184"/>
      <c r="G1070" s="187"/>
      <c r="I1070" s="186"/>
      <c r="J1070" s="184"/>
    </row>
    <row r="1071" spans="1:10">
      <c r="A1071" s="174"/>
      <c r="B1071" s="184"/>
      <c r="C1071" s="184"/>
      <c r="D1071" s="184"/>
      <c r="E1071" s="184"/>
      <c r="F1071" s="184"/>
      <c r="I1071" s="186"/>
      <c r="J1071" s="184"/>
    </row>
    <row r="1072" spans="1:10">
      <c r="A1072" s="174"/>
      <c r="B1072" s="184"/>
      <c r="C1072" s="184"/>
      <c r="D1072" s="184"/>
      <c r="E1072" s="184"/>
      <c r="F1072" s="184"/>
      <c r="I1072" s="186"/>
      <c r="J1072" s="184"/>
    </row>
    <row r="1073" spans="1:10">
      <c r="A1073" s="174"/>
      <c r="B1073" s="184"/>
      <c r="C1073" s="184"/>
      <c r="D1073" s="184"/>
      <c r="E1073" s="184"/>
      <c r="F1073" s="184"/>
      <c r="G1073" s="187"/>
      <c r="I1073" s="186"/>
      <c r="J1073" s="184"/>
    </row>
    <row r="1074" spans="1:10">
      <c r="A1074" s="174"/>
      <c r="B1074" s="184"/>
      <c r="C1074" s="184"/>
      <c r="D1074" s="184"/>
      <c r="E1074" s="184"/>
      <c r="F1074" s="184"/>
      <c r="G1074" s="187"/>
      <c r="I1074" s="186"/>
      <c r="J1074" s="184"/>
    </row>
    <row r="1075" spans="1:10">
      <c r="A1075" s="174"/>
      <c r="B1075" s="184"/>
      <c r="C1075" s="184"/>
      <c r="D1075" s="184"/>
      <c r="E1075" s="184"/>
      <c r="F1075" s="184"/>
      <c r="G1075" s="187"/>
      <c r="I1075" s="186"/>
      <c r="J1075" s="184"/>
    </row>
    <row r="1076" spans="1:10">
      <c r="A1076" s="174"/>
      <c r="B1076" s="184"/>
      <c r="C1076" s="184"/>
      <c r="D1076" s="184"/>
      <c r="E1076" s="184"/>
      <c r="F1076" s="184"/>
      <c r="G1076" s="187"/>
      <c r="I1076" s="186"/>
      <c r="J1076" s="184"/>
    </row>
    <row r="1077" spans="1:10">
      <c r="A1077" s="174"/>
      <c r="B1077" s="184"/>
      <c r="C1077" s="184"/>
      <c r="D1077" s="184"/>
      <c r="E1077" s="184"/>
      <c r="F1077" s="184"/>
      <c r="G1077" s="187"/>
      <c r="I1077" s="186"/>
      <c r="J1077" s="184"/>
    </row>
    <row r="1078" spans="1:10">
      <c r="A1078" s="174"/>
      <c r="B1078" s="184"/>
      <c r="C1078" s="184"/>
      <c r="D1078" s="184"/>
      <c r="E1078" s="184"/>
      <c r="F1078" s="184"/>
      <c r="I1078" s="186"/>
      <c r="J1078" s="184"/>
    </row>
    <row r="1079" spans="1:10">
      <c r="A1079" s="174"/>
      <c r="B1079" s="184"/>
      <c r="C1079" s="184"/>
      <c r="D1079" s="184"/>
      <c r="E1079" s="184"/>
      <c r="F1079" s="184"/>
      <c r="I1079" s="186"/>
      <c r="J1079" s="184"/>
    </row>
    <row r="1080" spans="1:10">
      <c r="A1080" s="174"/>
      <c r="B1080" s="184"/>
      <c r="C1080" s="184"/>
      <c r="D1080" s="184"/>
      <c r="E1080" s="184"/>
      <c r="F1080" s="184"/>
      <c r="I1080" s="186"/>
      <c r="J1080" s="184"/>
    </row>
    <row r="1081" spans="1:10">
      <c r="A1081" s="174"/>
      <c r="B1081" s="184"/>
      <c r="C1081" s="184"/>
      <c r="D1081" s="184"/>
      <c r="E1081" s="184"/>
      <c r="F1081" s="184"/>
      <c r="I1081" s="186"/>
      <c r="J1081" s="184"/>
    </row>
    <row r="1082" spans="1:10">
      <c r="A1082" s="174"/>
      <c r="B1082" s="184"/>
      <c r="C1082" s="184"/>
      <c r="D1082" s="184"/>
      <c r="E1082" s="184"/>
      <c r="F1082" s="184"/>
      <c r="G1082" s="187"/>
      <c r="I1082" s="186"/>
      <c r="J1082" s="184"/>
    </row>
    <row r="1083" spans="1:10">
      <c r="A1083" s="174"/>
      <c r="B1083" s="184"/>
      <c r="C1083" s="184"/>
      <c r="D1083" s="184"/>
      <c r="E1083" s="184"/>
      <c r="F1083" s="184"/>
      <c r="G1083" s="187"/>
      <c r="I1083" s="186"/>
      <c r="J1083" s="184"/>
    </row>
    <row r="1084" spans="1:10">
      <c r="A1084" s="174"/>
      <c r="B1084" s="184"/>
      <c r="C1084" s="184"/>
      <c r="D1084" s="184"/>
      <c r="E1084" s="184"/>
      <c r="F1084" s="184"/>
      <c r="G1084" s="187"/>
      <c r="I1084" s="186"/>
      <c r="J1084" s="184"/>
    </row>
    <row r="1085" spans="1:10">
      <c r="A1085" s="174"/>
      <c r="B1085" s="184"/>
      <c r="C1085" s="184"/>
      <c r="D1085" s="184"/>
      <c r="E1085" s="184"/>
      <c r="F1085" s="184"/>
      <c r="G1085" s="187"/>
      <c r="I1085" s="186"/>
      <c r="J1085" s="184"/>
    </row>
    <row r="1086" spans="1:10">
      <c r="A1086" s="174"/>
      <c r="B1086" s="184"/>
      <c r="C1086" s="184"/>
      <c r="D1086" s="184"/>
      <c r="E1086" s="184"/>
      <c r="F1086" s="184"/>
      <c r="G1086" s="187"/>
      <c r="I1086" s="186"/>
      <c r="J1086" s="184"/>
    </row>
    <row r="1087" spans="1:10">
      <c r="A1087" s="174"/>
      <c r="B1087" s="184"/>
      <c r="C1087" s="184"/>
      <c r="D1087" s="184"/>
      <c r="E1087" s="184"/>
      <c r="F1087" s="184"/>
      <c r="G1087" s="187"/>
      <c r="I1087" s="186"/>
      <c r="J1087" s="184"/>
    </row>
    <row r="1088" spans="1:10">
      <c r="A1088" s="174"/>
      <c r="B1088" s="184"/>
      <c r="C1088" s="184"/>
      <c r="D1088" s="184"/>
      <c r="E1088" s="184"/>
      <c r="F1088" s="184"/>
      <c r="G1088" s="187"/>
      <c r="I1088" s="186"/>
      <c r="J1088" s="184"/>
    </row>
    <row r="1089" spans="1:10">
      <c r="A1089" s="174"/>
      <c r="B1089" s="184"/>
      <c r="C1089" s="184"/>
      <c r="D1089" s="184"/>
      <c r="E1089" s="184"/>
      <c r="F1089" s="184"/>
      <c r="G1089" s="187"/>
      <c r="I1089" s="186"/>
      <c r="J1089" s="184"/>
    </row>
    <row r="1090" spans="1:10">
      <c r="A1090" s="174"/>
      <c r="B1090" s="184"/>
      <c r="C1090" s="184"/>
      <c r="D1090" s="184"/>
      <c r="E1090" s="184"/>
      <c r="F1090" s="184"/>
      <c r="G1090" s="187"/>
      <c r="I1090" s="186"/>
      <c r="J1090" s="184"/>
    </row>
    <row r="1091" spans="1:10">
      <c r="A1091" s="174"/>
      <c r="B1091" s="184"/>
      <c r="C1091" s="184"/>
      <c r="D1091" s="184"/>
      <c r="E1091" s="184"/>
      <c r="F1091" s="184"/>
      <c r="G1091" s="187"/>
      <c r="I1091" s="186"/>
      <c r="J1091" s="184"/>
    </row>
    <row r="1092" spans="1:10">
      <c r="A1092" s="174"/>
      <c r="B1092" s="184"/>
      <c r="C1092" s="184"/>
      <c r="D1092" s="184"/>
      <c r="E1092" s="184"/>
      <c r="F1092" s="184"/>
      <c r="G1092" s="187"/>
      <c r="I1092" s="186"/>
      <c r="J1092" s="184"/>
    </row>
    <row r="1093" spans="1:10">
      <c r="A1093" s="174"/>
      <c r="B1093" s="184"/>
      <c r="C1093" s="184"/>
      <c r="D1093" s="184"/>
      <c r="E1093" s="184"/>
      <c r="F1093" s="184"/>
      <c r="G1093" s="187"/>
      <c r="I1093" s="186"/>
      <c r="J1093" s="184"/>
    </row>
    <row r="1094" spans="1:10">
      <c r="A1094" s="174"/>
      <c r="B1094" s="184"/>
      <c r="C1094" s="184"/>
      <c r="D1094" s="184"/>
      <c r="E1094" s="184"/>
      <c r="F1094" s="184"/>
      <c r="G1094" s="187"/>
      <c r="I1094" s="186"/>
      <c r="J1094" s="184"/>
    </row>
    <row r="1095" spans="1:10">
      <c r="A1095" s="174"/>
      <c r="B1095" s="184"/>
      <c r="C1095" s="184"/>
      <c r="D1095" s="184"/>
      <c r="E1095" s="184"/>
      <c r="F1095" s="184"/>
      <c r="G1095" s="187"/>
      <c r="I1095" s="186"/>
      <c r="J1095" s="184"/>
    </row>
    <row r="1096" spans="1:10">
      <c r="A1096" s="174"/>
      <c r="B1096" s="184"/>
      <c r="C1096" s="184"/>
      <c r="D1096" s="184"/>
      <c r="E1096" s="184"/>
      <c r="F1096" s="184"/>
      <c r="G1096" s="187"/>
      <c r="I1096" s="186"/>
      <c r="J1096" s="184"/>
    </row>
    <row r="1097" spans="1:10">
      <c r="A1097" s="174"/>
      <c r="B1097" s="184"/>
      <c r="C1097" s="184"/>
      <c r="D1097" s="184"/>
      <c r="E1097" s="184"/>
      <c r="F1097" s="184"/>
      <c r="G1097" s="187"/>
      <c r="I1097" s="186"/>
      <c r="J1097" s="184"/>
    </row>
    <row r="1098" spans="1:10">
      <c r="A1098" s="174"/>
      <c r="B1098" s="184"/>
      <c r="C1098" s="184"/>
      <c r="D1098" s="184"/>
      <c r="E1098" s="184"/>
      <c r="F1098" s="184"/>
      <c r="G1098" s="187"/>
      <c r="I1098" s="186"/>
      <c r="J1098" s="184"/>
    </row>
    <row r="1099" spans="1:10">
      <c r="A1099" s="174"/>
      <c r="B1099" s="184"/>
      <c r="C1099" s="184"/>
      <c r="D1099" s="184"/>
      <c r="E1099" s="184"/>
      <c r="F1099" s="184"/>
      <c r="G1099" s="187"/>
      <c r="I1099" s="186"/>
      <c r="J1099" s="184"/>
    </row>
    <row r="1100" spans="1:10">
      <c r="A1100" s="174"/>
      <c r="B1100" s="184"/>
      <c r="C1100" s="184"/>
      <c r="D1100" s="184"/>
      <c r="E1100" s="184"/>
      <c r="F1100" s="184"/>
      <c r="G1100" s="187"/>
      <c r="I1100" s="186"/>
      <c r="J1100" s="184"/>
    </row>
    <row r="1101" spans="1:10">
      <c r="A1101" s="174"/>
      <c r="B1101" s="184"/>
      <c r="C1101" s="184"/>
      <c r="D1101" s="184"/>
      <c r="E1101" s="184"/>
      <c r="F1101" s="184"/>
      <c r="G1101" s="187"/>
      <c r="I1101" s="186"/>
      <c r="J1101" s="184"/>
    </row>
    <row r="1102" spans="1:10">
      <c r="A1102" s="174"/>
      <c r="B1102" s="184"/>
      <c r="C1102" s="184"/>
      <c r="D1102" s="184"/>
      <c r="E1102" s="184"/>
      <c r="F1102" s="184"/>
      <c r="I1102" s="186"/>
      <c r="J1102" s="184"/>
    </row>
    <row r="1103" spans="1:10">
      <c r="A1103" s="174"/>
      <c r="B1103" s="184"/>
      <c r="C1103" s="184"/>
      <c r="D1103" s="184"/>
      <c r="E1103" s="184"/>
      <c r="F1103" s="184"/>
      <c r="I1103" s="186"/>
      <c r="J1103" s="184"/>
    </row>
    <row r="1104" spans="1:10">
      <c r="A1104" s="174"/>
      <c r="B1104" s="184"/>
      <c r="C1104" s="184"/>
      <c r="D1104" s="184"/>
      <c r="E1104" s="184"/>
      <c r="F1104" s="184"/>
      <c r="I1104" s="186"/>
      <c r="J1104" s="184"/>
    </row>
    <row r="1105" spans="1:10">
      <c r="A1105" s="174"/>
      <c r="B1105" s="184"/>
      <c r="C1105" s="184"/>
      <c r="D1105" s="184"/>
      <c r="E1105" s="184"/>
      <c r="F1105" s="184"/>
      <c r="I1105" s="186"/>
      <c r="J1105" s="184"/>
    </row>
    <row r="1106" spans="1:10">
      <c r="A1106" s="174"/>
      <c r="B1106" s="184"/>
      <c r="C1106" s="184"/>
      <c r="D1106" s="184"/>
      <c r="E1106" s="184"/>
      <c r="F1106" s="184"/>
      <c r="I1106" s="186"/>
      <c r="J1106" s="184"/>
    </row>
    <row r="1107" spans="1:10">
      <c r="A1107" s="174"/>
      <c r="B1107" s="184"/>
      <c r="C1107" s="184"/>
      <c r="D1107" s="184"/>
      <c r="E1107" s="184"/>
      <c r="F1107" s="184"/>
      <c r="I1107" s="186"/>
      <c r="J1107" s="184"/>
    </row>
    <row r="1108" spans="1:10">
      <c r="A1108" s="174"/>
      <c r="B1108" s="184"/>
      <c r="C1108" s="184"/>
      <c r="D1108" s="184"/>
      <c r="E1108" s="184"/>
      <c r="F1108" s="184"/>
      <c r="I1108" s="186"/>
      <c r="J1108" s="184"/>
    </row>
    <row r="1109" spans="1:10">
      <c r="A1109" s="174"/>
      <c r="B1109" s="184"/>
      <c r="C1109" s="184"/>
      <c r="D1109" s="184"/>
      <c r="E1109" s="184"/>
      <c r="F1109" s="184"/>
      <c r="I1109" s="186"/>
      <c r="J1109" s="184"/>
    </row>
    <row r="1110" spans="1:10">
      <c r="A1110" s="174"/>
      <c r="B1110" s="184"/>
      <c r="C1110" s="184"/>
      <c r="D1110" s="184"/>
      <c r="E1110" s="184"/>
      <c r="F1110" s="184"/>
      <c r="I1110" s="186"/>
      <c r="J1110" s="184"/>
    </row>
    <row r="1111" spans="1:10">
      <c r="A1111" s="174"/>
      <c r="B1111" s="184"/>
      <c r="C1111" s="184"/>
      <c r="D1111" s="184"/>
      <c r="E1111" s="184"/>
      <c r="F1111" s="184"/>
      <c r="I1111" s="186"/>
      <c r="J1111" s="184"/>
    </row>
    <row r="1112" spans="1:10">
      <c r="A1112" s="174"/>
      <c r="B1112" s="184"/>
      <c r="C1112" s="184"/>
      <c r="D1112" s="184"/>
      <c r="E1112" s="184"/>
      <c r="F1112" s="184"/>
      <c r="I1112" s="186"/>
      <c r="J1112" s="184"/>
    </row>
    <row r="1113" spans="1:10">
      <c r="A1113" s="174"/>
      <c r="B1113" s="184"/>
      <c r="C1113" s="184"/>
      <c r="D1113" s="184"/>
      <c r="E1113" s="184"/>
      <c r="F1113" s="184"/>
      <c r="I1113" s="186"/>
      <c r="J1113" s="184"/>
    </row>
    <row r="1114" spans="1:10">
      <c r="A1114" s="174"/>
      <c r="B1114" s="184"/>
      <c r="C1114" s="184"/>
      <c r="D1114" s="184"/>
      <c r="E1114" s="184"/>
      <c r="F1114" s="184"/>
      <c r="I1114" s="186"/>
      <c r="J1114" s="184"/>
    </row>
    <row r="1115" spans="1:10">
      <c r="A1115" s="174"/>
      <c r="B1115" s="184"/>
      <c r="C1115" s="184"/>
      <c r="D1115" s="184"/>
      <c r="E1115" s="184"/>
      <c r="F1115" s="184"/>
      <c r="I1115" s="186"/>
      <c r="J1115" s="184"/>
    </row>
    <row r="1116" spans="1:10">
      <c r="A1116" s="174"/>
      <c r="B1116" s="184"/>
      <c r="C1116" s="184"/>
      <c r="D1116" s="184"/>
      <c r="E1116" s="184"/>
      <c r="F1116" s="184"/>
      <c r="I1116" s="186"/>
      <c r="J1116" s="184"/>
    </row>
    <row r="1117" spans="1:10">
      <c r="A1117" s="174"/>
      <c r="B1117" s="184"/>
      <c r="C1117" s="184"/>
      <c r="D1117" s="184"/>
      <c r="E1117" s="184"/>
      <c r="F1117" s="184"/>
      <c r="I1117" s="186"/>
      <c r="J1117" s="184"/>
    </row>
    <row r="1118" spans="1:10">
      <c r="A1118" s="174"/>
      <c r="B1118" s="184"/>
      <c r="C1118" s="184"/>
      <c r="D1118" s="184"/>
      <c r="E1118" s="184"/>
      <c r="F1118" s="184"/>
      <c r="I1118" s="186"/>
      <c r="J1118" s="184"/>
    </row>
    <row r="1119" spans="1:10">
      <c r="A1119" s="174"/>
      <c r="B1119" s="184"/>
      <c r="C1119" s="184"/>
      <c r="D1119" s="184"/>
      <c r="E1119" s="184"/>
      <c r="F1119" s="184"/>
      <c r="I1119" s="186"/>
      <c r="J1119" s="184"/>
    </row>
    <row r="1120" spans="1:10">
      <c r="A1120" s="174"/>
      <c r="B1120" s="184"/>
      <c r="C1120" s="184"/>
      <c r="D1120" s="184"/>
      <c r="E1120" s="184"/>
      <c r="F1120" s="184"/>
      <c r="I1120" s="186"/>
      <c r="J1120" s="184"/>
    </row>
    <row r="1121" spans="1:10">
      <c r="A1121" s="174"/>
      <c r="B1121" s="184"/>
      <c r="C1121" s="184"/>
      <c r="D1121" s="184"/>
      <c r="E1121" s="184"/>
      <c r="F1121" s="184"/>
      <c r="I1121" s="186"/>
      <c r="J1121" s="184"/>
    </row>
    <row r="1122" spans="1:10">
      <c r="A1122" s="174"/>
      <c r="B1122" s="184"/>
      <c r="C1122" s="184"/>
      <c r="D1122" s="184"/>
      <c r="E1122" s="184"/>
      <c r="F1122" s="184"/>
      <c r="I1122" s="186"/>
      <c r="J1122" s="184"/>
    </row>
    <row r="1123" spans="1:10">
      <c r="A1123" s="174"/>
      <c r="B1123" s="184"/>
      <c r="C1123" s="184"/>
      <c r="D1123" s="184"/>
      <c r="E1123" s="184"/>
      <c r="F1123" s="184"/>
      <c r="I1123" s="186"/>
      <c r="J1123" s="184"/>
    </row>
    <row r="1124" spans="1:10">
      <c r="A1124" s="174"/>
      <c r="B1124" s="184"/>
      <c r="C1124" s="184"/>
      <c r="D1124" s="184"/>
      <c r="E1124" s="184"/>
      <c r="F1124" s="184"/>
      <c r="I1124" s="186"/>
      <c r="J1124" s="184"/>
    </row>
    <row r="1125" spans="1:10">
      <c r="A1125" s="174"/>
      <c r="B1125" s="184"/>
      <c r="C1125" s="184"/>
      <c r="D1125" s="184"/>
      <c r="E1125" s="184"/>
      <c r="F1125" s="184"/>
      <c r="I1125" s="186"/>
      <c r="J1125" s="184"/>
    </row>
    <row r="1126" spans="1:10">
      <c r="A1126" s="174"/>
      <c r="B1126" s="184"/>
      <c r="C1126" s="184"/>
      <c r="D1126" s="184"/>
      <c r="E1126" s="184"/>
      <c r="F1126" s="184"/>
      <c r="I1126" s="186"/>
      <c r="J1126" s="184"/>
    </row>
    <row r="1127" spans="1:10">
      <c r="A1127" s="174"/>
      <c r="B1127" s="184"/>
      <c r="C1127" s="184"/>
      <c r="D1127" s="184"/>
      <c r="E1127" s="184"/>
      <c r="F1127" s="184"/>
      <c r="I1127" s="186"/>
      <c r="J1127" s="184"/>
    </row>
    <row r="1128" spans="1:10">
      <c r="A1128" s="174"/>
      <c r="B1128" s="184"/>
      <c r="C1128" s="184"/>
      <c r="D1128" s="184"/>
      <c r="E1128" s="184"/>
      <c r="F1128" s="184"/>
      <c r="I1128" s="186"/>
      <c r="J1128" s="184"/>
    </row>
    <row r="1129" spans="1:10">
      <c r="A1129" s="174"/>
      <c r="B1129" s="184"/>
      <c r="C1129" s="184"/>
      <c r="D1129" s="184"/>
      <c r="E1129" s="184"/>
      <c r="F1129" s="184"/>
      <c r="I1129" s="186"/>
      <c r="J1129" s="184"/>
    </row>
    <row r="1130" spans="1:10">
      <c r="A1130" s="174"/>
      <c r="B1130" s="184"/>
      <c r="C1130" s="184"/>
      <c r="D1130" s="184"/>
      <c r="E1130" s="184"/>
      <c r="F1130" s="184"/>
      <c r="I1130" s="186"/>
      <c r="J1130" s="184"/>
    </row>
    <row r="1131" spans="1:10">
      <c r="A1131" s="174"/>
      <c r="B1131" s="184"/>
      <c r="C1131" s="184"/>
      <c r="D1131" s="184"/>
      <c r="E1131" s="184"/>
      <c r="F1131" s="184"/>
      <c r="I1131" s="186"/>
      <c r="J1131" s="184"/>
    </row>
    <row r="1132" spans="1:10">
      <c r="A1132" s="174"/>
      <c r="B1132" s="184"/>
      <c r="C1132" s="184"/>
      <c r="D1132" s="184"/>
      <c r="E1132" s="184"/>
      <c r="F1132" s="184"/>
      <c r="I1132" s="186"/>
      <c r="J1132" s="184"/>
    </row>
    <row r="1133" spans="1:10">
      <c r="A1133" s="174"/>
      <c r="B1133" s="184"/>
      <c r="C1133" s="184"/>
      <c r="D1133" s="184"/>
      <c r="E1133" s="184"/>
      <c r="F1133" s="184"/>
      <c r="G1133" s="187"/>
      <c r="I1133" s="186"/>
      <c r="J1133" s="184"/>
    </row>
    <row r="1134" spans="1:10">
      <c r="A1134" s="174"/>
      <c r="B1134" s="184"/>
      <c r="C1134" s="184"/>
      <c r="D1134" s="184"/>
      <c r="E1134" s="184"/>
      <c r="F1134" s="184"/>
      <c r="G1134" s="187"/>
      <c r="I1134" s="186"/>
      <c r="J1134" s="184"/>
    </row>
    <row r="1135" spans="1:10">
      <c r="A1135" s="174"/>
      <c r="B1135" s="184"/>
      <c r="C1135" s="184"/>
      <c r="D1135" s="184"/>
      <c r="E1135" s="184"/>
      <c r="F1135" s="184"/>
      <c r="I1135" s="186"/>
      <c r="J1135" s="184"/>
    </row>
    <row r="1136" spans="1:10">
      <c r="A1136" s="174"/>
      <c r="B1136" s="184"/>
      <c r="C1136" s="184"/>
      <c r="D1136" s="184"/>
      <c r="E1136" s="184"/>
      <c r="F1136" s="184"/>
      <c r="I1136" s="186"/>
      <c r="J1136" s="184"/>
    </row>
    <row r="1137" spans="1:10">
      <c r="A1137" s="174"/>
      <c r="B1137" s="184"/>
      <c r="C1137" s="184"/>
      <c r="D1137" s="184"/>
      <c r="E1137" s="184"/>
      <c r="F1137" s="184"/>
      <c r="G1137" s="187"/>
      <c r="I1137" s="186"/>
      <c r="J1137" s="184"/>
    </row>
    <row r="1138" spans="1:10">
      <c r="A1138" s="174"/>
      <c r="B1138" s="184"/>
      <c r="C1138" s="184"/>
      <c r="D1138" s="184"/>
      <c r="E1138" s="184"/>
      <c r="F1138" s="184"/>
      <c r="I1138" s="186"/>
      <c r="J1138" s="184"/>
    </row>
    <row r="1139" spans="1:10">
      <c r="A1139" s="174"/>
      <c r="B1139" s="184"/>
      <c r="C1139" s="184"/>
      <c r="D1139" s="184"/>
      <c r="E1139" s="184"/>
      <c r="F1139" s="184"/>
      <c r="I1139" s="186"/>
      <c r="J1139" s="184"/>
    </row>
    <row r="1140" spans="1:10">
      <c r="A1140" s="174"/>
      <c r="B1140" s="184"/>
      <c r="C1140" s="184"/>
      <c r="D1140" s="184"/>
      <c r="E1140" s="184"/>
      <c r="F1140" s="184"/>
      <c r="I1140" s="186"/>
      <c r="J1140" s="184"/>
    </row>
    <row r="1141" spans="1:10">
      <c r="A1141" s="174"/>
      <c r="B1141" s="184"/>
      <c r="C1141" s="184"/>
      <c r="D1141" s="184"/>
      <c r="E1141" s="184"/>
      <c r="F1141" s="184"/>
      <c r="I1141" s="186"/>
      <c r="J1141" s="184"/>
    </row>
    <row r="1142" spans="1:10">
      <c r="A1142" s="174"/>
      <c r="B1142" s="184"/>
      <c r="C1142" s="184"/>
      <c r="D1142" s="184"/>
      <c r="E1142" s="184"/>
      <c r="F1142" s="184"/>
      <c r="I1142" s="186"/>
      <c r="J1142" s="184"/>
    </row>
    <row r="1143" spans="1:10">
      <c r="A1143" s="174"/>
      <c r="B1143" s="184"/>
      <c r="C1143" s="184"/>
      <c r="D1143" s="184"/>
      <c r="E1143" s="184"/>
      <c r="F1143" s="184"/>
      <c r="I1143" s="186"/>
      <c r="J1143" s="184"/>
    </row>
    <row r="1144" spans="1:10">
      <c r="A1144" s="174"/>
      <c r="B1144" s="184"/>
      <c r="C1144" s="184"/>
      <c r="D1144" s="184"/>
      <c r="E1144" s="184"/>
      <c r="F1144" s="184"/>
      <c r="I1144" s="186"/>
      <c r="J1144" s="184"/>
    </row>
    <row r="1145" spans="1:10">
      <c r="A1145" s="174"/>
      <c r="B1145" s="184"/>
      <c r="C1145" s="184"/>
      <c r="D1145" s="184"/>
      <c r="E1145" s="184"/>
      <c r="F1145" s="184"/>
      <c r="I1145" s="186"/>
      <c r="J1145" s="184"/>
    </row>
    <row r="1146" spans="1:10">
      <c r="A1146" s="174"/>
      <c r="B1146" s="184"/>
      <c r="C1146" s="184"/>
      <c r="D1146" s="184"/>
      <c r="E1146" s="184"/>
      <c r="F1146" s="184"/>
      <c r="I1146" s="186"/>
      <c r="J1146" s="184"/>
    </row>
    <row r="1147" spans="1:10">
      <c r="A1147" s="174"/>
      <c r="B1147" s="184"/>
      <c r="C1147" s="184"/>
      <c r="D1147" s="184"/>
      <c r="E1147" s="184"/>
      <c r="F1147" s="184"/>
      <c r="I1147" s="186"/>
      <c r="J1147" s="184"/>
    </row>
    <row r="1148" spans="1:10">
      <c r="A1148" s="174"/>
      <c r="B1148" s="184"/>
      <c r="C1148" s="184"/>
      <c r="D1148" s="184"/>
      <c r="E1148" s="184"/>
      <c r="F1148" s="184"/>
      <c r="I1148" s="186"/>
      <c r="J1148" s="184"/>
    </row>
    <row r="1149" spans="1:10">
      <c r="A1149" s="174"/>
      <c r="B1149" s="184"/>
      <c r="C1149" s="184"/>
      <c r="D1149" s="184"/>
      <c r="E1149" s="184"/>
      <c r="F1149" s="184"/>
      <c r="I1149" s="186"/>
      <c r="J1149" s="184"/>
    </row>
    <row r="1150" spans="1:10">
      <c r="A1150" s="174"/>
      <c r="B1150" s="184"/>
      <c r="C1150" s="184"/>
      <c r="D1150" s="184"/>
      <c r="E1150" s="184"/>
      <c r="F1150" s="184"/>
      <c r="I1150" s="186"/>
      <c r="J1150" s="184"/>
    </row>
    <row r="1151" spans="1:10">
      <c r="A1151" s="174"/>
      <c r="B1151" s="184"/>
      <c r="C1151" s="184"/>
      <c r="D1151" s="184"/>
      <c r="E1151" s="184"/>
      <c r="F1151" s="184"/>
      <c r="G1151" s="187"/>
      <c r="I1151" s="186"/>
      <c r="J1151" s="184"/>
    </row>
    <row r="1152" spans="1:10">
      <c r="A1152" s="174"/>
      <c r="B1152" s="184"/>
      <c r="C1152" s="184"/>
      <c r="D1152" s="184"/>
      <c r="E1152" s="184"/>
      <c r="F1152" s="184"/>
      <c r="G1152" s="187"/>
      <c r="I1152" s="186"/>
      <c r="J1152" s="184"/>
    </row>
    <row r="1153" spans="1:10">
      <c r="A1153" s="174"/>
      <c r="B1153" s="184"/>
      <c r="C1153" s="184"/>
      <c r="D1153" s="184"/>
      <c r="E1153" s="184"/>
      <c r="F1153" s="184"/>
      <c r="G1153" s="187"/>
      <c r="I1153" s="186"/>
      <c r="J1153" s="184"/>
    </row>
    <row r="1154" spans="1:10">
      <c r="A1154" s="174"/>
      <c r="B1154" s="184"/>
      <c r="C1154" s="184"/>
      <c r="D1154" s="184"/>
      <c r="E1154" s="184"/>
      <c r="F1154" s="184"/>
      <c r="G1154" s="187"/>
      <c r="I1154" s="186"/>
      <c r="J1154" s="184"/>
    </row>
    <row r="1155" spans="1:10">
      <c r="A1155" s="174"/>
      <c r="B1155" s="184"/>
      <c r="C1155" s="184"/>
      <c r="D1155" s="184"/>
      <c r="E1155" s="184"/>
      <c r="F1155" s="184"/>
      <c r="G1155" s="187"/>
      <c r="I1155" s="186"/>
      <c r="J1155" s="184"/>
    </row>
    <row r="1156" spans="1:10">
      <c r="A1156" s="174"/>
      <c r="B1156" s="184"/>
      <c r="C1156" s="184"/>
      <c r="D1156" s="184"/>
      <c r="E1156" s="184"/>
      <c r="F1156" s="184"/>
      <c r="G1156" s="187"/>
      <c r="I1156" s="186"/>
      <c r="J1156" s="184"/>
    </row>
    <row r="1157" spans="1:10">
      <c r="A1157" s="174"/>
      <c r="B1157" s="184"/>
      <c r="C1157" s="184"/>
      <c r="D1157" s="184"/>
      <c r="E1157" s="184"/>
      <c r="F1157" s="184"/>
      <c r="G1157" s="187"/>
      <c r="I1157" s="186"/>
      <c r="J1157" s="184"/>
    </row>
    <row r="1158" spans="1:10">
      <c r="A1158" s="174"/>
      <c r="B1158" s="184"/>
      <c r="C1158" s="184"/>
      <c r="D1158" s="184"/>
      <c r="E1158" s="184"/>
      <c r="F1158" s="184"/>
      <c r="G1158" s="187"/>
      <c r="I1158" s="186"/>
      <c r="J1158" s="184"/>
    </row>
    <row r="1159" spans="1:10">
      <c r="A1159" s="174"/>
      <c r="B1159" s="184"/>
      <c r="C1159" s="184"/>
      <c r="D1159" s="184"/>
      <c r="E1159" s="184"/>
      <c r="F1159" s="184"/>
      <c r="I1159" s="186"/>
      <c r="J1159" s="184"/>
    </row>
    <row r="1160" spans="1:10">
      <c r="A1160" s="174"/>
      <c r="B1160" s="184"/>
      <c r="C1160" s="184"/>
      <c r="D1160" s="184"/>
      <c r="E1160" s="184"/>
      <c r="F1160" s="184"/>
      <c r="I1160" s="186"/>
      <c r="J1160" s="184"/>
    </row>
    <row r="1161" spans="1:10">
      <c r="A1161" s="174"/>
      <c r="B1161" s="184"/>
      <c r="C1161" s="184"/>
      <c r="D1161" s="184"/>
      <c r="E1161" s="184"/>
      <c r="F1161" s="184"/>
      <c r="I1161" s="186"/>
      <c r="J1161" s="184"/>
    </row>
    <row r="1162" spans="1:10">
      <c r="A1162" s="174"/>
      <c r="B1162" s="184"/>
      <c r="C1162" s="184"/>
      <c r="D1162" s="184"/>
      <c r="E1162" s="184"/>
      <c r="F1162" s="184"/>
      <c r="I1162" s="186"/>
      <c r="J1162" s="184"/>
    </row>
    <row r="1163" spans="1:10">
      <c r="A1163" s="174"/>
      <c r="B1163" s="184"/>
      <c r="C1163" s="184"/>
      <c r="D1163" s="184"/>
      <c r="E1163" s="184"/>
      <c r="F1163" s="184"/>
      <c r="I1163" s="186"/>
      <c r="J1163" s="184"/>
    </row>
    <row r="1164" spans="1:10">
      <c r="A1164" s="174"/>
      <c r="B1164" s="184"/>
      <c r="C1164" s="184"/>
      <c r="D1164" s="184"/>
      <c r="E1164" s="184"/>
      <c r="F1164" s="184"/>
      <c r="I1164" s="186"/>
      <c r="J1164" s="184"/>
    </row>
    <row r="1165" spans="1:10">
      <c r="A1165" s="174"/>
      <c r="B1165" s="184"/>
      <c r="C1165" s="184"/>
      <c r="D1165" s="184"/>
      <c r="E1165" s="184"/>
      <c r="F1165" s="184"/>
      <c r="I1165" s="186"/>
      <c r="J1165" s="184"/>
    </row>
    <row r="1166" spans="1:10">
      <c r="A1166" s="174"/>
      <c r="B1166" s="184"/>
      <c r="C1166" s="184"/>
      <c r="D1166" s="184"/>
      <c r="E1166" s="184"/>
      <c r="F1166" s="184"/>
      <c r="I1166" s="186"/>
      <c r="J1166" s="184"/>
    </row>
    <row r="1167" spans="1:10">
      <c r="A1167" s="174"/>
      <c r="B1167" s="184"/>
      <c r="C1167" s="184"/>
      <c r="D1167" s="184"/>
      <c r="E1167" s="184"/>
      <c r="F1167" s="184"/>
      <c r="G1167" s="187"/>
      <c r="I1167" s="186"/>
      <c r="J1167" s="184"/>
    </row>
    <row r="1168" spans="1:10">
      <c r="A1168" s="174"/>
      <c r="B1168" s="184"/>
      <c r="C1168" s="184"/>
      <c r="D1168" s="184"/>
      <c r="E1168" s="184"/>
      <c r="F1168" s="184"/>
      <c r="G1168" s="187"/>
      <c r="I1168" s="186"/>
      <c r="J1168" s="184"/>
    </row>
    <row r="1169" spans="1:10">
      <c r="A1169" s="174"/>
      <c r="B1169" s="184"/>
      <c r="C1169" s="184"/>
      <c r="D1169" s="184"/>
      <c r="E1169" s="184"/>
      <c r="F1169" s="184"/>
      <c r="G1169" s="187"/>
      <c r="I1169" s="186"/>
      <c r="J1169" s="184"/>
    </row>
    <row r="1170" spans="1:10">
      <c r="A1170" s="174"/>
      <c r="B1170" s="184"/>
      <c r="C1170" s="184"/>
      <c r="D1170" s="184"/>
      <c r="E1170" s="184"/>
      <c r="F1170" s="184"/>
      <c r="G1170" s="187"/>
      <c r="I1170" s="186"/>
      <c r="J1170" s="184"/>
    </row>
    <row r="1171" spans="1:10">
      <c r="A1171" s="174"/>
      <c r="B1171" s="184"/>
      <c r="C1171" s="184"/>
      <c r="D1171" s="184"/>
      <c r="E1171" s="184"/>
      <c r="F1171" s="184"/>
      <c r="G1171" s="187"/>
      <c r="I1171" s="186"/>
      <c r="J1171" s="184"/>
    </row>
    <row r="1172" spans="1:10">
      <c r="A1172" s="174"/>
      <c r="B1172" s="184"/>
      <c r="C1172" s="184"/>
      <c r="D1172" s="184"/>
      <c r="E1172" s="184"/>
      <c r="F1172" s="184"/>
      <c r="G1172" s="187"/>
      <c r="I1172" s="186"/>
      <c r="J1172" s="184"/>
    </row>
    <row r="1173" spans="1:10">
      <c r="A1173" s="174"/>
      <c r="B1173" s="184"/>
      <c r="C1173" s="184"/>
      <c r="D1173" s="184"/>
      <c r="E1173" s="184"/>
      <c r="F1173" s="184"/>
      <c r="G1173" s="187"/>
      <c r="I1173" s="186"/>
      <c r="J1173" s="184"/>
    </row>
    <row r="1174" spans="1:10">
      <c r="A1174" s="174"/>
      <c r="B1174" s="184"/>
      <c r="C1174" s="184"/>
      <c r="D1174" s="184"/>
      <c r="E1174" s="184"/>
      <c r="F1174" s="184"/>
      <c r="G1174" s="187"/>
      <c r="I1174" s="186"/>
      <c r="J1174" s="184"/>
    </row>
    <row r="1175" spans="1:10">
      <c r="A1175" s="174"/>
      <c r="B1175" s="184"/>
      <c r="C1175" s="184"/>
      <c r="D1175" s="184"/>
      <c r="E1175" s="184"/>
      <c r="F1175" s="184"/>
      <c r="G1175" s="187"/>
      <c r="I1175" s="186"/>
      <c r="J1175" s="184"/>
    </row>
    <row r="1176" spans="1:10">
      <c r="A1176" s="174"/>
      <c r="B1176" s="184"/>
      <c r="C1176" s="184"/>
      <c r="D1176" s="184"/>
      <c r="E1176" s="184"/>
      <c r="F1176" s="184"/>
      <c r="G1176" s="187"/>
      <c r="I1176" s="186"/>
      <c r="J1176" s="184"/>
    </row>
    <row r="1177" spans="1:10">
      <c r="A1177" s="174"/>
      <c r="B1177" s="184"/>
      <c r="C1177" s="184"/>
      <c r="D1177" s="184"/>
      <c r="E1177" s="184"/>
      <c r="F1177" s="184"/>
      <c r="G1177" s="187"/>
      <c r="I1177" s="186"/>
      <c r="J1177" s="184"/>
    </row>
    <row r="1178" spans="1:10">
      <c r="A1178" s="174"/>
      <c r="B1178" s="184"/>
      <c r="C1178" s="184"/>
      <c r="D1178" s="184"/>
      <c r="E1178" s="184"/>
      <c r="F1178" s="184"/>
      <c r="G1178" s="187"/>
      <c r="I1178" s="186"/>
      <c r="J1178" s="184"/>
    </row>
    <row r="1179" spans="1:10">
      <c r="A1179" s="174"/>
      <c r="B1179" s="184"/>
      <c r="C1179" s="184"/>
      <c r="D1179" s="184"/>
      <c r="E1179" s="184"/>
      <c r="F1179" s="184"/>
      <c r="I1179" s="186"/>
      <c r="J1179" s="184"/>
    </row>
    <row r="1180" spans="1:10">
      <c r="A1180" s="174"/>
      <c r="B1180" s="184"/>
      <c r="C1180" s="184"/>
      <c r="D1180" s="184"/>
      <c r="E1180" s="184"/>
      <c r="F1180" s="184"/>
      <c r="I1180" s="186"/>
      <c r="J1180" s="184"/>
    </row>
    <row r="1181" spans="1:10">
      <c r="A1181" s="174"/>
      <c r="B1181" s="184"/>
      <c r="C1181" s="184"/>
      <c r="D1181" s="184"/>
      <c r="E1181" s="184"/>
      <c r="F1181" s="184"/>
      <c r="I1181" s="186"/>
      <c r="J1181" s="184"/>
    </row>
    <row r="1182" spans="1:10">
      <c r="A1182" s="174"/>
      <c r="B1182" s="184"/>
      <c r="C1182" s="184"/>
      <c r="D1182" s="184"/>
      <c r="E1182" s="184"/>
      <c r="F1182" s="184"/>
      <c r="I1182" s="186"/>
      <c r="J1182" s="184"/>
    </row>
    <row r="1183" spans="1:10">
      <c r="A1183" s="174"/>
      <c r="B1183" s="184"/>
      <c r="C1183" s="184"/>
      <c r="D1183" s="184"/>
      <c r="E1183" s="184"/>
      <c r="F1183" s="184"/>
      <c r="I1183" s="186"/>
      <c r="J1183" s="184"/>
    </row>
    <row r="1184" spans="1:10">
      <c r="A1184" s="174"/>
      <c r="B1184" s="184"/>
      <c r="C1184" s="184"/>
      <c r="D1184" s="184"/>
      <c r="E1184" s="184"/>
      <c r="F1184" s="184"/>
      <c r="I1184" s="186"/>
      <c r="J1184" s="184"/>
    </row>
    <row r="1185" spans="1:10">
      <c r="A1185" s="174"/>
      <c r="B1185" s="184"/>
      <c r="C1185" s="184"/>
      <c r="D1185" s="184"/>
      <c r="E1185" s="184"/>
      <c r="F1185" s="184"/>
      <c r="I1185" s="186"/>
      <c r="J1185" s="184"/>
    </row>
    <row r="1186" spans="1:10">
      <c r="A1186" s="174"/>
      <c r="B1186" s="184"/>
      <c r="C1186" s="184"/>
      <c r="D1186" s="184"/>
      <c r="E1186" s="184"/>
      <c r="F1186" s="184"/>
      <c r="I1186" s="186"/>
      <c r="J1186" s="184"/>
    </row>
    <row r="1187" spans="1:10">
      <c r="A1187" s="174"/>
      <c r="B1187" s="184"/>
      <c r="C1187" s="184"/>
      <c r="D1187" s="184"/>
      <c r="E1187" s="184"/>
      <c r="F1187" s="184"/>
      <c r="I1187" s="186"/>
      <c r="J1187" s="184"/>
    </row>
    <row r="1188" spans="1:10">
      <c r="A1188" s="174"/>
      <c r="B1188" s="184"/>
      <c r="C1188" s="184"/>
      <c r="D1188" s="184"/>
      <c r="E1188" s="184"/>
      <c r="F1188" s="184"/>
      <c r="I1188" s="186"/>
      <c r="J1188" s="184"/>
    </row>
    <row r="1189" spans="1:10">
      <c r="A1189" s="174"/>
      <c r="B1189" s="184"/>
      <c r="C1189" s="184"/>
      <c r="D1189" s="184"/>
      <c r="E1189" s="184"/>
      <c r="F1189" s="184"/>
      <c r="I1189" s="186"/>
      <c r="J1189" s="184"/>
    </row>
    <row r="1190" spans="1:10">
      <c r="A1190" s="174"/>
      <c r="B1190" s="184"/>
      <c r="C1190" s="184"/>
      <c r="D1190" s="184"/>
      <c r="E1190" s="184"/>
      <c r="F1190" s="184"/>
      <c r="I1190" s="186"/>
      <c r="J1190" s="184"/>
    </row>
    <row r="1191" spans="1:10">
      <c r="A1191" s="174"/>
      <c r="B1191" s="184"/>
      <c r="C1191" s="184"/>
      <c r="D1191" s="184"/>
      <c r="E1191" s="184"/>
      <c r="F1191" s="184"/>
      <c r="I1191" s="186"/>
      <c r="J1191" s="184"/>
    </row>
    <row r="1192" spans="1:10">
      <c r="A1192" s="174"/>
      <c r="B1192" s="184"/>
      <c r="C1192" s="184"/>
      <c r="D1192" s="184"/>
      <c r="E1192" s="184"/>
      <c r="F1192" s="184"/>
      <c r="I1192" s="186"/>
      <c r="J1192" s="184"/>
    </row>
    <row r="1193" spans="1:10">
      <c r="A1193" s="174"/>
      <c r="B1193" s="184"/>
      <c r="C1193" s="184"/>
      <c r="D1193" s="184"/>
      <c r="E1193" s="184"/>
      <c r="F1193" s="184"/>
      <c r="I1193" s="186"/>
      <c r="J1193" s="184"/>
    </row>
    <row r="1194" spans="1:10">
      <c r="A1194" s="174"/>
      <c r="B1194" s="184"/>
      <c r="C1194" s="184"/>
      <c r="D1194" s="184"/>
      <c r="E1194" s="184"/>
      <c r="F1194" s="184"/>
      <c r="I1194" s="186"/>
      <c r="J1194" s="184"/>
    </row>
    <row r="1195" spans="1:10">
      <c r="A1195" s="174"/>
      <c r="B1195" s="184"/>
      <c r="C1195" s="184"/>
      <c r="D1195" s="184"/>
      <c r="E1195" s="184"/>
      <c r="F1195" s="184"/>
      <c r="I1195" s="186"/>
      <c r="J1195" s="184"/>
    </row>
    <row r="1196" spans="1:10">
      <c r="A1196" s="174"/>
      <c r="B1196" s="184"/>
      <c r="C1196" s="184"/>
      <c r="D1196" s="184"/>
      <c r="E1196" s="184"/>
      <c r="F1196" s="184"/>
      <c r="I1196" s="186"/>
      <c r="J1196" s="184"/>
    </row>
    <row r="1197" spans="1:10">
      <c r="A1197" s="174"/>
      <c r="B1197" s="184"/>
      <c r="C1197" s="184"/>
      <c r="D1197" s="184"/>
      <c r="E1197" s="184"/>
      <c r="F1197" s="184"/>
      <c r="I1197" s="186"/>
      <c r="J1197" s="184"/>
    </row>
    <row r="1198" spans="1:10">
      <c r="A1198" s="174"/>
      <c r="B1198" s="184"/>
      <c r="C1198" s="184"/>
      <c r="D1198" s="184"/>
      <c r="E1198" s="184"/>
      <c r="F1198" s="184"/>
      <c r="I1198" s="186"/>
      <c r="J1198" s="184"/>
    </row>
    <row r="1199" spans="1:10">
      <c r="A1199" s="174"/>
      <c r="B1199" s="184"/>
      <c r="C1199" s="184"/>
      <c r="D1199" s="184"/>
      <c r="E1199" s="184"/>
      <c r="F1199" s="184"/>
      <c r="I1199" s="186"/>
      <c r="J1199" s="184"/>
    </row>
    <row r="1200" spans="1:10">
      <c r="A1200" s="174"/>
      <c r="B1200" s="184"/>
      <c r="C1200" s="184"/>
      <c r="D1200" s="184"/>
      <c r="E1200" s="184"/>
      <c r="F1200" s="184"/>
      <c r="I1200" s="186"/>
      <c r="J1200" s="184"/>
    </row>
    <row r="1201" spans="1:10">
      <c r="A1201" s="174"/>
      <c r="B1201" s="184"/>
      <c r="C1201" s="184"/>
      <c r="D1201" s="184"/>
      <c r="E1201" s="184"/>
      <c r="F1201" s="184"/>
      <c r="I1201" s="186"/>
      <c r="J1201" s="184"/>
    </row>
    <row r="1202" spans="1:10">
      <c r="A1202" s="174"/>
      <c r="B1202" s="184"/>
      <c r="C1202" s="184"/>
      <c r="D1202" s="184"/>
      <c r="E1202" s="184"/>
      <c r="F1202" s="184"/>
      <c r="I1202" s="186"/>
      <c r="J1202" s="184"/>
    </row>
    <row r="1203" spans="1:10">
      <c r="A1203" s="174"/>
      <c r="B1203" s="184"/>
      <c r="C1203" s="184"/>
      <c r="D1203" s="184"/>
      <c r="E1203" s="184"/>
      <c r="F1203" s="184"/>
      <c r="I1203" s="186"/>
      <c r="J1203" s="184"/>
    </row>
    <row r="1204" spans="1:10">
      <c r="A1204" s="174"/>
      <c r="B1204" s="184"/>
      <c r="C1204" s="184"/>
      <c r="D1204" s="184"/>
      <c r="E1204" s="184"/>
      <c r="F1204" s="184"/>
      <c r="I1204" s="186"/>
      <c r="J1204" s="184"/>
    </row>
    <row r="1205" spans="1:10">
      <c r="A1205" s="174"/>
      <c r="B1205" s="184"/>
      <c r="C1205" s="184"/>
      <c r="D1205" s="184"/>
      <c r="E1205" s="184"/>
      <c r="F1205" s="184"/>
      <c r="I1205" s="186"/>
      <c r="J1205" s="184"/>
    </row>
    <row r="1206" spans="1:10">
      <c r="A1206" s="174"/>
      <c r="B1206" s="184"/>
      <c r="C1206" s="184"/>
      <c r="D1206" s="184"/>
      <c r="E1206" s="184"/>
      <c r="F1206" s="184"/>
      <c r="I1206" s="186"/>
      <c r="J1206" s="184"/>
    </row>
    <row r="1207" spans="1:10">
      <c r="A1207" s="174"/>
      <c r="B1207" s="184"/>
      <c r="C1207" s="184"/>
      <c r="D1207" s="184"/>
      <c r="E1207" s="184"/>
      <c r="F1207" s="184"/>
      <c r="I1207" s="186"/>
      <c r="J1207" s="184"/>
    </row>
    <row r="1208" spans="1:10">
      <c r="A1208" s="174"/>
      <c r="B1208" s="184"/>
      <c r="C1208" s="184"/>
      <c r="D1208" s="184"/>
      <c r="E1208" s="184"/>
      <c r="F1208" s="184"/>
      <c r="I1208" s="186"/>
      <c r="J1208" s="184"/>
    </row>
    <row r="1209" spans="1:10">
      <c r="A1209" s="174"/>
      <c r="B1209" s="184"/>
      <c r="C1209" s="184"/>
      <c r="D1209" s="184"/>
      <c r="E1209" s="184"/>
      <c r="F1209" s="184"/>
      <c r="I1209" s="186"/>
      <c r="J1209" s="184"/>
    </row>
    <row r="1210" spans="1:10">
      <c r="A1210" s="174"/>
      <c r="B1210" s="184"/>
      <c r="C1210" s="184"/>
      <c r="D1210" s="184"/>
      <c r="E1210" s="184"/>
      <c r="F1210" s="184"/>
      <c r="I1210" s="186"/>
      <c r="J1210" s="184"/>
    </row>
    <row r="1211" spans="1:10">
      <c r="A1211" s="174"/>
      <c r="B1211" s="184"/>
      <c r="C1211" s="184"/>
      <c r="D1211" s="184"/>
      <c r="E1211" s="184"/>
      <c r="F1211" s="184"/>
      <c r="G1211" s="187"/>
      <c r="I1211" s="186"/>
      <c r="J1211" s="184"/>
    </row>
    <row r="1212" spans="1:10">
      <c r="A1212" s="174"/>
      <c r="B1212" s="184"/>
      <c r="C1212" s="184"/>
      <c r="D1212" s="184"/>
      <c r="E1212" s="184"/>
      <c r="F1212" s="184"/>
      <c r="G1212" s="187"/>
      <c r="I1212" s="186"/>
      <c r="J1212" s="184"/>
    </row>
    <row r="1213" spans="1:10">
      <c r="A1213" s="174"/>
      <c r="B1213" s="184"/>
      <c r="C1213" s="184"/>
      <c r="D1213" s="184"/>
      <c r="E1213" s="184"/>
      <c r="F1213" s="184"/>
      <c r="G1213" s="187"/>
      <c r="I1213" s="186"/>
      <c r="J1213" s="184"/>
    </row>
    <row r="1214" spans="1:10">
      <c r="A1214" s="174"/>
      <c r="B1214" s="184"/>
      <c r="C1214" s="184"/>
      <c r="D1214" s="184"/>
      <c r="E1214" s="184"/>
      <c r="F1214" s="184"/>
      <c r="G1214" s="187"/>
      <c r="I1214" s="186"/>
      <c r="J1214" s="184"/>
    </row>
    <row r="1215" spans="1:10">
      <c r="A1215" s="174"/>
      <c r="B1215" s="184"/>
      <c r="C1215" s="184"/>
      <c r="D1215" s="184"/>
      <c r="E1215" s="184"/>
      <c r="F1215" s="184"/>
      <c r="I1215" s="186"/>
      <c r="J1215" s="184"/>
    </row>
    <row r="1216" spans="1:10">
      <c r="A1216" s="174"/>
      <c r="B1216" s="184"/>
      <c r="C1216" s="184"/>
      <c r="D1216" s="184"/>
      <c r="E1216" s="184"/>
      <c r="F1216" s="184"/>
      <c r="I1216" s="186"/>
      <c r="J1216" s="184"/>
    </row>
    <row r="1217" spans="1:10">
      <c r="A1217" s="174"/>
      <c r="B1217" s="184"/>
      <c r="C1217" s="184"/>
      <c r="D1217" s="184"/>
      <c r="E1217" s="184"/>
      <c r="F1217" s="184"/>
      <c r="I1217" s="186"/>
      <c r="J1217" s="184"/>
    </row>
    <row r="1218" spans="1:10">
      <c r="A1218" s="174"/>
      <c r="B1218" s="184"/>
      <c r="C1218" s="184"/>
      <c r="D1218" s="184"/>
      <c r="E1218" s="184"/>
      <c r="F1218" s="184"/>
      <c r="G1218" s="187"/>
      <c r="I1218" s="186"/>
      <c r="J1218" s="184"/>
    </row>
    <row r="1219" spans="1:10">
      <c r="A1219" s="174"/>
      <c r="B1219" s="184"/>
      <c r="C1219" s="184"/>
      <c r="D1219" s="184"/>
      <c r="E1219" s="184"/>
      <c r="F1219" s="184"/>
      <c r="G1219" s="187"/>
      <c r="I1219" s="186"/>
      <c r="J1219" s="184"/>
    </row>
    <row r="1220" spans="1:10">
      <c r="A1220" s="174"/>
      <c r="B1220" s="184"/>
      <c r="C1220" s="184"/>
      <c r="D1220" s="184"/>
      <c r="E1220" s="184"/>
      <c r="F1220" s="184"/>
      <c r="G1220" s="187"/>
      <c r="I1220" s="186"/>
      <c r="J1220" s="184"/>
    </row>
    <row r="1221" spans="1:10">
      <c r="A1221" s="174"/>
      <c r="B1221" s="184"/>
      <c r="C1221" s="184"/>
      <c r="D1221" s="184"/>
      <c r="E1221" s="184"/>
      <c r="F1221" s="184"/>
      <c r="G1221" s="187"/>
      <c r="I1221" s="186"/>
      <c r="J1221" s="184"/>
    </row>
    <row r="1222" spans="1:10">
      <c r="A1222" s="174"/>
      <c r="B1222" s="184"/>
      <c r="C1222" s="184"/>
      <c r="D1222" s="184"/>
      <c r="E1222" s="184"/>
      <c r="F1222" s="184"/>
      <c r="G1222" s="187"/>
      <c r="I1222" s="186"/>
      <c r="J1222" s="184"/>
    </row>
    <row r="1223" spans="1:10">
      <c r="A1223" s="174"/>
      <c r="B1223" s="184"/>
      <c r="C1223" s="184"/>
      <c r="D1223" s="184"/>
      <c r="E1223" s="184"/>
      <c r="F1223" s="184"/>
      <c r="G1223" s="187"/>
      <c r="I1223" s="186"/>
      <c r="J1223" s="184"/>
    </row>
    <row r="1224" spans="1:10">
      <c r="A1224" s="174"/>
      <c r="B1224" s="184"/>
      <c r="C1224" s="184"/>
      <c r="D1224" s="184"/>
      <c r="E1224" s="184"/>
      <c r="F1224" s="184"/>
      <c r="G1224" s="187"/>
      <c r="I1224" s="186"/>
      <c r="J1224" s="184"/>
    </row>
    <row r="1225" spans="1:10">
      <c r="A1225" s="174"/>
      <c r="B1225" s="184"/>
      <c r="C1225" s="184"/>
      <c r="D1225" s="184"/>
      <c r="E1225" s="184"/>
      <c r="F1225" s="184"/>
      <c r="G1225" s="187"/>
      <c r="I1225" s="186"/>
      <c r="J1225" s="184"/>
    </row>
    <row r="1226" spans="1:10">
      <c r="A1226" s="174"/>
      <c r="B1226" s="184"/>
      <c r="C1226" s="184"/>
      <c r="D1226" s="184"/>
      <c r="E1226" s="184"/>
      <c r="F1226" s="184"/>
      <c r="G1226" s="187"/>
      <c r="I1226" s="186"/>
      <c r="J1226" s="184"/>
    </row>
    <row r="1227" spans="1:10">
      <c r="A1227" s="174"/>
      <c r="B1227" s="184"/>
      <c r="C1227" s="184"/>
      <c r="D1227" s="184"/>
      <c r="E1227" s="184"/>
      <c r="F1227" s="184"/>
      <c r="G1227" s="187"/>
      <c r="I1227" s="186"/>
      <c r="J1227" s="184"/>
    </row>
    <row r="1228" spans="1:10">
      <c r="A1228" s="174"/>
      <c r="B1228" s="184"/>
      <c r="C1228" s="184"/>
      <c r="D1228" s="184"/>
      <c r="E1228" s="184"/>
      <c r="F1228" s="184"/>
      <c r="I1228" s="186"/>
      <c r="J1228" s="184"/>
    </row>
    <row r="1229" spans="1:10">
      <c r="A1229" s="174"/>
      <c r="B1229" s="184"/>
      <c r="C1229" s="184"/>
      <c r="D1229" s="184"/>
      <c r="E1229" s="184"/>
      <c r="F1229" s="184"/>
      <c r="I1229" s="186"/>
      <c r="J1229" s="184"/>
    </row>
    <row r="1230" spans="1:10">
      <c r="A1230" s="174"/>
      <c r="B1230" s="184"/>
      <c r="C1230" s="184"/>
      <c r="D1230" s="184"/>
      <c r="E1230" s="184"/>
      <c r="F1230" s="184"/>
      <c r="I1230" s="186"/>
      <c r="J1230" s="184"/>
    </row>
    <row r="1231" spans="1:10">
      <c r="A1231" s="174"/>
      <c r="B1231" s="184"/>
      <c r="C1231" s="184"/>
      <c r="D1231" s="184"/>
      <c r="E1231" s="184"/>
      <c r="F1231" s="184"/>
      <c r="I1231" s="186"/>
      <c r="J1231" s="184"/>
    </row>
    <row r="1232" spans="1:10">
      <c r="A1232" s="174"/>
      <c r="B1232" s="184"/>
      <c r="C1232" s="184"/>
      <c r="D1232" s="184"/>
      <c r="E1232" s="184"/>
      <c r="F1232" s="184"/>
      <c r="I1232" s="186"/>
      <c r="J1232" s="184"/>
    </row>
    <row r="1233" spans="1:10">
      <c r="A1233" s="174"/>
      <c r="B1233" s="184"/>
      <c r="C1233" s="184"/>
      <c r="D1233" s="184"/>
      <c r="E1233" s="184"/>
      <c r="F1233" s="184"/>
      <c r="I1233" s="186"/>
      <c r="J1233" s="184"/>
    </row>
    <row r="1234" spans="1:10">
      <c r="A1234" s="174"/>
      <c r="B1234" s="184"/>
      <c r="C1234" s="184"/>
      <c r="D1234" s="184"/>
      <c r="E1234" s="184"/>
      <c r="F1234" s="184"/>
      <c r="I1234" s="186"/>
      <c r="J1234" s="184"/>
    </row>
    <row r="1235" spans="1:10">
      <c r="A1235" s="174"/>
      <c r="B1235" s="184"/>
      <c r="C1235" s="184"/>
      <c r="D1235" s="184"/>
      <c r="E1235" s="184"/>
      <c r="F1235" s="184"/>
      <c r="I1235" s="186"/>
      <c r="J1235" s="184"/>
    </row>
    <row r="1236" spans="1:10">
      <c r="A1236" s="174"/>
      <c r="B1236" s="184"/>
      <c r="C1236" s="184"/>
      <c r="D1236" s="184"/>
      <c r="E1236" s="184"/>
      <c r="F1236" s="184"/>
      <c r="G1236" s="187"/>
      <c r="I1236" s="186"/>
      <c r="J1236" s="184"/>
    </row>
    <row r="1237" spans="1:10">
      <c r="A1237" s="174"/>
      <c r="B1237" s="184"/>
      <c r="C1237" s="184"/>
      <c r="D1237" s="184"/>
      <c r="E1237" s="184"/>
      <c r="F1237" s="184"/>
      <c r="I1237" s="186"/>
      <c r="J1237" s="184"/>
    </row>
    <row r="1238" spans="1:10">
      <c r="A1238" s="174"/>
      <c r="B1238" s="184"/>
      <c r="C1238" s="184"/>
      <c r="D1238" s="184"/>
      <c r="E1238" s="184"/>
      <c r="F1238" s="184"/>
      <c r="G1238" s="187"/>
      <c r="I1238" s="186"/>
      <c r="J1238" s="184"/>
    </row>
    <row r="1239" spans="1:10">
      <c r="A1239" s="174"/>
      <c r="B1239" s="184"/>
      <c r="C1239" s="184"/>
      <c r="D1239" s="184"/>
      <c r="E1239" s="184"/>
      <c r="F1239" s="184"/>
      <c r="G1239" s="187"/>
      <c r="I1239" s="186"/>
      <c r="J1239" s="184"/>
    </row>
    <row r="1240" spans="1:10">
      <c r="A1240" s="174"/>
      <c r="B1240" s="184"/>
      <c r="C1240" s="184"/>
      <c r="D1240" s="184"/>
      <c r="E1240" s="184"/>
      <c r="F1240" s="184"/>
      <c r="G1240" s="187"/>
      <c r="I1240" s="186"/>
      <c r="J1240" s="184"/>
    </row>
    <row r="1241" spans="1:10">
      <c r="A1241" s="174"/>
      <c r="B1241" s="184"/>
      <c r="C1241" s="184"/>
      <c r="D1241" s="184"/>
      <c r="E1241" s="184"/>
      <c r="F1241" s="184"/>
      <c r="G1241" s="187"/>
      <c r="I1241" s="186"/>
      <c r="J1241" s="184"/>
    </row>
    <row r="1242" spans="1:10">
      <c r="A1242" s="174"/>
      <c r="B1242" s="184"/>
      <c r="C1242" s="184"/>
      <c r="D1242" s="184"/>
      <c r="E1242" s="184"/>
      <c r="F1242" s="184"/>
      <c r="G1242" s="187"/>
      <c r="I1242" s="186"/>
      <c r="J1242" s="184"/>
    </row>
    <row r="1243" spans="1:10">
      <c r="A1243" s="174"/>
      <c r="B1243" s="184"/>
      <c r="C1243" s="184"/>
      <c r="D1243" s="184"/>
      <c r="E1243" s="184"/>
      <c r="F1243" s="184"/>
      <c r="G1243" s="187"/>
      <c r="I1243" s="186"/>
      <c r="J1243" s="184"/>
    </row>
    <row r="1244" spans="1:10">
      <c r="A1244" s="174"/>
      <c r="B1244" s="184"/>
      <c r="C1244" s="184"/>
      <c r="D1244" s="184"/>
      <c r="E1244" s="184"/>
      <c r="F1244" s="184"/>
      <c r="I1244" s="186"/>
      <c r="J1244" s="184"/>
    </row>
    <row r="1245" spans="1:10">
      <c r="A1245" s="174"/>
      <c r="B1245" s="184"/>
      <c r="C1245" s="184"/>
      <c r="D1245" s="184"/>
      <c r="E1245" s="184"/>
      <c r="F1245" s="184"/>
      <c r="G1245" s="187"/>
      <c r="I1245" s="186"/>
      <c r="J1245" s="184"/>
    </row>
    <row r="1246" spans="1:10">
      <c r="A1246" s="174"/>
      <c r="B1246" s="184"/>
      <c r="C1246" s="184"/>
      <c r="D1246" s="184"/>
      <c r="E1246" s="184"/>
      <c r="F1246" s="184"/>
      <c r="G1246" s="187"/>
      <c r="I1246" s="186"/>
      <c r="J1246" s="184"/>
    </row>
    <row r="1247" spans="1:10">
      <c r="A1247" s="174"/>
      <c r="B1247" s="184"/>
      <c r="C1247" s="184"/>
      <c r="D1247" s="184"/>
      <c r="E1247" s="184"/>
      <c r="F1247" s="184"/>
      <c r="G1247" s="187"/>
      <c r="I1247" s="186"/>
      <c r="J1247" s="184"/>
    </row>
    <row r="1248" spans="1:10">
      <c r="A1248" s="174"/>
      <c r="B1248" s="184"/>
      <c r="C1248" s="184"/>
      <c r="D1248" s="184"/>
      <c r="E1248" s="184"/>
      <c r="F1248" s="184"/>
      <c r="I1248" s="186"/>
      <c r="J1248" s="184"/>
    </row>
    <row r="1249" spans="1:10">
      <c r="A1249" s="174"/>
      <c r="B1249" s="184"/>
      <c r="C1249" s="184"/>
      <c r="D1249" s="184"/>
      <c r="E1249" s="184"/>
      <c r="F1249" s="184"/>
      <c r="I1249" s="186"/>
      <c r="J1249" s="184"/>
    </row>
    <row r="1250" spans="1:10">
      <c r="A1250" s="174"/>
      <c r="B1250" s="184"/>
      <c r="C1250" s="184"/>
      <c r="D1250" s="184"/>
      <c r="E1250" s="184"/>
      <c r="F1250" s="184"/>
      <c r="G1250" s="187"/>
      <c r="I1250" s="186"/>
      <c r="J1250" s="184"/>
    </row>
    <row r="1251" spans="1:10">
      <c r="A1251" s="174"/>
      <c r="B1251" s="184"/>
      <c r="C1251" s="184"/>
      <c r="D1251" s="184"/>
      <c r="E1251" s="184"/>
      <c r="F1251" s="184"/>
      <c r="G1251" s="187"/>
      <c r="I1251" s="186"/>
      <c r="J1251" s="184"/>
    </row>
    <row r="1252" spans="1:10">
      <c r="A1252" s="174"/>
      <c r="B1252" s="184"/>
      <c r="C1252" s="184"/>
      <c r="D1252" s="184"/>
      <c r="E1252" s="184"/>
      <c r="F1252" s="184"/>
      <c r="G1252" s="187"/>
      <c r="I1252" s="186"/>
      <c r="J1252" s="184"/>
    </row>
    <row r="1253" spans="1:10">
      <c r="A1253" s="174"/>
      <c r="B1253" s="184"/>
      <c r="C1253" s="184"/>
      <c r="D1253" s="184"/>
      <c r="E1253" s="184"/>
      <c r="F1253" s="184"/>
      <c r="I1253" s="186"/>
      <c r="J1253" s="184"/>
    </row>
    <row r="1254" spans="1:10">
      <c r="A1254" s="174"/>
      <c r="B1254" s="184"/>
      <c r="C1254" s="184"/>
      <c r="D1254" s="184"/>
      <c r="E1254" s="184"/>
      <c r="F1254" s="184"/>
      <c r="I1254" s="186"/>
      <c r="J1254" s="184"/>
    </row>
    <row r="1255" spans="1:10">
      <c r="A1255" s="174"/>
      <c r="B1255" s="184"/>
      <c r="C1255" s="184"/>
      <c r="D1255" s="184"/>
      <c r="E1255" s="184"/>
      <c r="F1255" s="184"/>
      <c r="I1255" s="186"/>
      <c r="J1255" s="184"/>
    </row>
    <row r="1256" spans="1:10">
      <c r="A1256" s="174"/>
      <c r="B1256" s="184"/>
      <c r="C1256" s="184"/>
      <c r="D1256" s="184"/>
      <c r="E1256" s="184"/>
      <c r="F1256" s="184"/>
      <c r="G1256" s="187"/>
      <c r="I1256" s="186"/>
      <c r="J1256" s="184"/>
    </row>
    <row r="1257" spans="1:10">
      <c r="A1257" s="174"/>
      <c r="B1257" s="184"/>
      <c r="C1257" s="184"/>
      <c r="D1257" s="184"/>
      <c r="E1257" s="184"/>
      <c r="F1257" s="184"/>
      <c r="I1257" s="186"/>
      <c r="J1257" s="184"/>
    </row>
    <row r="1258" spans="1:10">
      <c r="A1258" s="174"/>
      <c r="B1258" s="184"/>
      <c r="C1258" s="184"/>
      <c r="D1258" s="184"/>
      <c r="E1258" s="184"/>
      <c r="F1258" s="184"/>
      <c r="I1258" s="186"/>
      <c r="J1258" s="184"/>
    </row>
    <row r="1259" spans="1:10">
      <c r="A1259" s="174"/>
      <c r="B1259" s="184"/>
      <c r="C1259" s="184"/>
      <c r="D1259" s="184"/>
      <c r="E1259" s="184"/>
      <c r="F1259" s="184"/>
      <c r="I1259" s="186"/>
      <c r="J1259" s="184"/>
    </row>
    <row r="1260" spans="1:10">
      <c r="A1260" s="174"/>
      <c r="B1260" s="184"/>
      <c r="C1260" s="184"/>
      <c r="D1260" s="184"/>
      <c r="E1260" s="184"/>
      <c r="F1260" s="184"/>
      <c r="I1260" s="186"/>
      <c r="J1260" s="184"/>
    </row>
    <row r="1261" spans="1:10">
      <c r="A1261" s="174"/>
      <c r="B1261" s="184"/>
      <c r="C1261" s="184"/>
      <c r="D1261" s="184"/>
      <c r="E1261" s="184"/>
      <c r="F1261" s="184"/>
      <c r="G1261" s="187"/>
      <c r="I1261" s="186"/>
      <c r="J1261" s="184"/>
    </row>
    <row r="1262" spans="1:10">
      <c r="A1262" s="174"/>
      <c r="B1262" s="184"/>
      <c r="C1262" s="184"/>
      <c r="D1262" s="184"/>
      <c r="E1262" s="184"/>
      <c r="F1262" s="184"/>
      <c r="G1262" s="187"/>
      <c r="I1262" s="186"/>
      <c r="J1262" s="184"/>
    </row>
    <row r="1263" spans="1:10">
      <c r="A1263" s="174"/>
      <c r="B1263" s="184"/>
      <c r="C1263" s="184"/>
      <c r="D1263" s="184"/>
      <c r="E1263" s="184"/>
      <c r="F1263" s="184"/>
      <c r="I1263" s="186"/>
      <c r="J1263" s="184"/>
    </row>
    <row r="1264" spans="1:10">
      <c r="A1264" s="174"/>
      <c r="B1264" s="184"/>
      <c r="C1264" s="184"/>
      <c r="D1264" s="184"/>
      <c r="E1264" s="184"/>
      <c r="F1264" s="184"/>
      <c r="G1264" s="187"/>
      <c r="I1264" s="186"/>
      <c r="J1264" s="184"/>
    </row>
    <row r="1265" spans="1:10">
      <c r="A1265" s="174"/>
      <c r="B1265" s="184"/>
      <c r="C1265" s="184"/>
      <c r="D1265" s="184"/>
      <c r="E1265" s="184"/>
      <c r="F1265" s="184"/>
      <c r="G1265" s="187"/>
      <c r="I1265" s="186"/>
      <c r="J1265" s="184"/>
    </row>
    <row r="1266" spans="1:10">
      <c r="A1266" s="174"/>
      <c r="B1266" s="184"/>
      <c r="C1266" s="184"/>
      <c r="D1266" s="184"/>
      <c r="E1266" s="184"/>
      <c r="F1266" s="184"/>
      <c r="I1266" s="186"/>
      <c r="J1266" s="184"/>
    </row>
    <row r="1267" spans="1:10">
      <c r="A1267" s="174"/>
      <c r="B1267" s="184"/>
      <c r="C1267" s="184"/>
      <c r="D1267" s="184"/>
      <c r="E1267" s="184"/>
      <c r="F1267" s="184"/>
      <c r="I1267" s="186"/>
      <c r="J1267" s="184"/>
    </row>
    <row r="1268" spans="1:10">
      <c r="A1268" s="174"/>
      <c r="B1268" s="184"/>
      <c r="C1268" s="184"/>
      <c r="D1268" s="184"/>
      <c r="E1268" s="184"/>
      <c r="F1268" s="184"/>
      <c r="I1268" s="186"/>
      <c r="J1268" s="184"/>
    </row>
    <row r="1269" spans="1:10">
      <c r="A1269" s="174"/>
      <c r="B1269" s="184"/>
      <c r="C1269" s="184"/>
      <c r="D1269" s="184"/>
      <c r="E1269" s="184"/>
      <c r="F1269" s="184"/>
      <c r="I1269" s="186"/>
      <c r="J1269" s="184"/>
    </row>
    <row r="1270" spans="1:10">
      <c r="A1270" s="174"/>
      <c r="B1270" s="184"/>
      <c r="C1270" s="184"/>
      <c r="D1270" s="184"/>
      <c r="E1270" s="184"/>
      <c r="F1270" s="184"/>
      <c r="I1270" s="186"/>
      <c r="J1270" s="184"/>
    </row>
    <row r="1271" spans="1:10">
      <c r="A1271" s="174"/>
      <c r="B1271" s="184"/>
      <c r="C1271" s="184"/>
      <c r="D1271" s="184"/>
      <c r="E1271" s="184"/>
      <c r="F1271" s="184"/>
      <c r="G1271" s="187"/>
      <c r="I1271" s="186"/>
      <c r="J1271" s="184"/>
    </row>
    <row r="1272" spans="1:10">
      <c r="A1272" s="174"/>
      <c r="B1272" s="184"/>
      <c r="C1272" s="184"/>
      <c r="D1272" s="184"/>
      <c r="E1272" s="184"/>
      <c r="F1272" s="184"/>
      <c r="G1272" s="187"/>
      <c r="I1272" s="186"/>
      <c r="J1272" s="184"/>
    </row>
    <row r="1273" spans="1:10">
      <c r="A1273" s="174"/>
      <c r="B1273" s="184"/>
      <c r="C1273" s="184"/>
      <c r="D1273" s="184"/>
      <c r="E1273" s="184"/>
      <c r="F1273" s="184"/>
      <c r="G1273" s="187"/>
      <c r="I1273" s="186"/>
      <c r="J1273" s="184"/>
    </row>
    <row r="1274" spans="1:10">
      <c r="A1274" s="174"/>
      <c r="B1274" s="184"/>
      <c r="C1274" s="184"/>
      <c r="D1274" s="184"/>
      <c r="E1274" s="184"/>
      <c r="F1274" s="184"/>
      <c r="G1274" s="187"/>
      <c r="I1274" s="186"/>
      <c r="J1274" s="184"/>
    </row>
    <row r="1275" spans="1:10">
      <c r="A1275" s="174"/>
      <c r="B1275" s="184"/>
      <c r="C1275" s="184"/>
      <c r="D1275" s="184"/>
      <c r="E1275" s="184"/>
      <c r="F1275" s="184"/>
      <c r="G1275" s="187"/>
      <c r="I1275" s="186"/>
      <c r="J1275" s="184"/>
    </row>
    <row r="1276" spans="1:10">
      <c r="A1276" s="174"/>
      <c r="B1276" s="184"/>
      <c r="C1276" s="184"/>
      <c r="D1276" s="184"/>
      <c r="E1276" s="184"/>
      <c r="F1276" s="184"/>
      <c r="G1276" s="187"/>
      <c r="I1276" s="186"/>
      <c r="J1276" s="184"/>
    </row>
    <row r="1277" spans="1:10">
      <c r="A1277" s="174"/>
      <c r="B1277" s="184"/>
      <c r="C1277" s="184"/>
      <c r="D1277" s="184"/>
      <c r="E1277" s="184"/>
      <c r="F1277" s="184"/>
      <c r="G1277" s="187"/>
      <c r="I1277" s="186"/>
      <c r="J1277" s="184"/>
    </row>
    <row r="1278" spans="1:10">
      <c r="A1278" s="174"/>
      <c r="B1278" s="184"/>
      <c r="C1278" s="184"/>
      <c r="D1278" s="184"/>
      <c r="E1278" s="184"/>
      <c r="F1278" s="184"/>
      <c r="G1278" s="187"/>
      <c r="I1278" s="186"/>
      <c r="J1278" s="184"/>
    </row>
    <row r="1279" spans="1:10">
      <c r="A1279" s="174"/>
      <c r="B1279" s="184"/>
      <c r="C1279" s="184"/>
      <c r="D1279" s="184"/>
      <c r="E1279" s="184"/>
      <c r="F1279" s="184"/>
      <c r="G1279" s="187"/>
      <c r="I1279" s="186"/>
      <c r="J1279" s="184"/>
    </row>
    <row r="1280" spans="1:10">
      <c r="A1280" s="174"/>
      <c r="B1280" s="184"/>
      <c r="C1280" s="184"/>
      <c r="D1280" s="184"/>
      <c r="E1280" s="184"/>
      <c r="F1280" s="184"/>
      <c r="G1280" s="187"/>
      <c r="I1280" s="186"/>
      <c r="J1280" s="184"/>
    </row>
    <row r="1281" spans="1:10">
      <c r="A1281" s="174"/>
      <c r="B1281" s="184"/>
      <c r="C1281" s="184"/>
      <c r="D1281" s="184"/>
      <c r="E1281" s="184"/>
      <c r="F1281" s="184"/>
      <c r="G1281" s="187"/>
      <c r="I1281" s="186"/>
      <c r="J1281" s="184"/>
    </row>
    <row r="1282" spans="1:10">
      <c r="A1282" s="174"/>
      <c r="B1282" s="184"/>
      <c r="C1282" s="184"/>
      <c r="D1282" s="184"/>
      <c r="E1282" s="184"/>
      <c r="F1282" s="184"/>
      <c r="G1282" s="187"/>
      <c r="I1282" s="186"/>
      <c r="J1282" s="184"/>
    </row>
    <row r="1283" spans="1:10">
      <c r="A1283" s="174"/>
      <c r="B1283" s="184"/>
      <c r="C1283" s="184"/>
      <c r="D1283" s="184"/>
      <c r="E1283" s="184"/>
      <c r="F1283" s="184"/>
      <c r="G1283" s="187"/>
      <c r="I1283" s="186"/>
      <c r="J1283" s="184"/>
    </row>
    <row r="1284" spans="1:10">
      <c r="A1284" s="174"/>
      <c r="B1284" s="184"/>
      <c r="C1284" s="184"/>
      <c r="D1284" s="184"/>
      <c r="E1284" s="184"/>
      <c r="F1284" s="184"/>
      <c r="G1284" s="187"/>
      <c r="I1284" s="186"/>
      <c r="J1284" s="184"/>
    </row>
    <row r="1285" spans="1:10">
      <c r="A1285" s="174"/>
      <c r="B1285" s="184"/>
      <c r="C1285" s="184"/>
      <c r="D1285" s="184"/>
      <c r="E1285" s="184"/>
      <c r="F1285" s="184"/>
      <c r="G1285" s="187"/>
      <c r="I1285" s="186"/>
      <c r="J1285" s="184"/>
    </row>
    <row r="1286" spans="1:10">
      <c r="A1286" s="174"/>
      <c r="B1286" s="184"/>
      <c r="C1286" s="184"/>
      <c r="D1286" s="184"/>
      <c r="E1286" s="184"/>
      <c r="F1286" s="184"/>
      <c r="G1286" s="187"/>
      <c r="I1286" s="186"/>
      <c r="J1286" s="184"/>
    </row>
    <row r="1287" spans="1:10">
      <c r="A1287" s="174"/>
      <c r="B1287" s="184"/>
      <c r="C1287" s="184"/>
      <c r="D1287" s="184"/>
      <c r="E1287" s="184"/>
      <c r="F1287" s="184"/>
      <c r="I1287" s="186"/>
      <c r="J1287" s="184"/>
    </row>
    <row r="1288" spans="1:10">
      <c r="A1288" s="174"/>
      <c r="B1288" s="184"/>
      <c r="C1288" s="184"/>
      <c r="D1288" s="184"/>
      <c r="E1288" s="184"/>
      <c r="F1288" s="184"/>
      <c r="I1288" s="186"/>
      <c r="J1288" s="184"/>
    </row>
    <row r="1289" spans="1:10">
      <c r="A1289" s="174"/>
      <c r="B1289" s="184"/>
      <c r="C1289" s="184"/>
      <c r="D1289" s="184"/>
      <c r="E1289" s="184"/>
      <c r="F1289" s="184"/>
      <c r="I1289" s="186"/>
      <c r="J1289" s="184"/>
    </row>
    <row r="1290" spans="1:10">
      <c r="A1290" s="174"/>
      <c r="B1290" s="184"/>
      <c r="C1290" s="184"/>
      <c r="D1290" s="184"/>
      <c r="E1290" s="184"/>
      <c r="F1290" s="184"/>
      <c r="I1290" s="186"/>
      <c r="J1290" s="184"/>
    </row>
    <row r="1291" spans="1:10">
      <c r="A1291" s="174"/>
      <c r="B1291" s="184"/>
      <c r="C1291" s="184"/>
      <c r="D1291" s="184"/>
      <c r="E1291" s="184"/>
      <c r="F1291" s="184"/>
      <c r="I1291" s="186"/>
      <c r="J1291" s="184"/>
    </row>
    <row r="1292" spans="1:10">
      <c r="A1292" s="174"/>
      <c r="B1292" s="184"/>
      <c r="C1292" s="184"/>
      <c r="D1292" s="184"/>
      <c r="E1292" s="184"/>
      <c r="F1292" s="184"/>
      <c r="I1292" s="186"/>
      <c r="J1292" s="184"/>
    </row>
    <row r="1293" spans="1:10">
      <c r="A1293" s="174"/>
      <c r="B1293" s="184"/>
      <c r="C1293" s="184"/>
      <c r="D1293" s="184"/>
      <c r="E1293" s="184"/>
      <c r="F1293" s="184"/>
      <c r="I1293" s="186"/>
      <c r="J1293" s="184"/>
    </row>
    <row r="1294" spans="1:10">
      <c r="A1294" s="174"/>
      <c r="B1294" s="184"/>
      <c r="C1294" s="184"/>
      <c r="D1294" s="184"/>
      <c r="E1294" s="184"/>
      <c r="F1294" s="184"/>
      <c r="I1294" s="186"/>
      <c r="J1294" s="184"/>
    </row>
    <row r="1295" spans="1:10">
      <c r="A1295" s="174"/>
      <c r="B1295" s="184"/>
      <c r="C1295" s="184"/>
      <c r="D1295" s="184"/>
      <c r="E1295" s="184"/>
      <c r="F1295" s="184"/>
      <c r="I1295" s="186"/>
      <c r="J1295" s="184"/>
    </row>
    <row r="1296" spans="1:10">
      <c r="A1296" s="174"/>
      <c r="B1296" s="184"/>
      <c r="C1296" s="184"/>
      <c r="D1296" s="184"/>
      <c r="E1296" s="184"/>
      <c r="F1296" s="184"/>
      <c r="I1296" s="186"/>
      <c r="J1296" s="184"/>
    </row>
    <row r="1297" spans="1:10">
      <c r="A1297" s="174"/>
      <c r="B1297" s="184"/>
      <c r="C1297" s="184"/>
      <c r="D1297" s="184"/>
      <c r="E1297" s="184"/>
      <c r="F1297" s="184"/>
      <c r="I1297" s="186"/>
      <c r="J1297" s="184"/>
    </row>
    <row r="1298" spans="1:10">
      <c r="A1298" s="174"/>
      <c r="B1298" s="184"/>
      <c r="C1298" s="184"/>
      <c r="D1298" s="184"/>
      <c r="E1298" s="184"/>
      <c r="F1298" s="184"/>
      <c r="I1298" s="186"/>
      <c r="J1298" s="184"/>
    </row>
    <row r="1299" spans="1:10">
      <c r="A1299" s="174"/>
      <c r="B1299" s="184"/>
      <c r="C1299" s="184"/>
      <c r="D1299" s="184"/>
      <c r="E1299" s="184"/>
      <c r="F1299" s="184"/>
      <c r="I1299" s="186"/>
      <c r="J1299" s="184"/>
    </row>
    <row r="1300" spans="1:10">
      <c r="A1300" s="174"/>
      <c r="B1300" s="184"/>
      <c r="C1300" s="184"/>
      <c r="D1300" s="184"/>
      <c r="E1300" s="184"/>
      <c r="F1300" s="184"/>
      <c r="I1300" s="186"/>
      <c r="J1300" s="184"/>
    </row>
    <row r="1301" spans="1:10">
      <c r="A1301" s="174"/>
      <c r="B1301" s="184"/>
      <c r="C1301" s="184"/>
      <c r="D1301" s="184"/>
      <c r="E1301" s="184"/>
      <c r="F1301" s="184"/>
      <c r="I1301" s="186"/>
      <c r="J1301" s="184"/>
    </row>
    <row r="1302" spans="1:10">
      <c r="A1302" s="174"/>
      <c r="B1302" s="184"/>
      <c r="C1302" s="184"/>
      <c r="D1302" s="184"/>
      <c r="E1302" s="184"/>
      <c r="F1302" s="184"/>
      <c r="I1302" s="186"/>
      <c r="J1302" s="184"/>
    </row>
    <row r="1303" spans="1:10">
      <c r="A1303" s="174"/>
      <c r="B1303" s="184"/>
      <c r="C1303" s="184"/>
      <c r="D1303" s="184"/>
      <c r="E1303" s="184"/>
      <c r="F1303" s="184"/>
      <c r="I1303" s="186"/>
      <c r="J1303" s="184"/>
    </row>
    <row r="1304" spans="1:10">
      <c r="A1304" s="174"/>
      <c r="B1304" s="184"/>
      <c r="C1304" s="184"/>
      <c r="D1304" s="184"/>
      <c r="E1304" s="184"/>
      <c r="F1304" s="184"/>
      <c r="I1304" s="186"/>
      <c r="J1304" s="184"/>
    </row>
    <row r="1305" spans="1:10">
      <c r="A1305" s="174"/>
      <c r="B1305" s="184"/>
      <c r="C1305" s="184"/>
      <c r="D1305" s="184"/>
      <c r="E1305" s="184"/>
      <c r="F1305" s="184"/>
      <c r="I1305" s="186"/>
      <c r="J1305" s="184"/>
    </row>
    <row r="1306" spans="1:10">
      <c r="A1306" s="174"/>
      <c r="B1306" s="184"/>
      <c r="C1306" s="184"/>
      <c r="D1306" s="184"/>
      <c r="E1306" s="184"/>
      <c r="F1306" s="184"/>
      <c r="I1306" s="186"/>
      <c r="J1306" s="184"/>
    </row>
    <row r="1307" spans="1:10">
      <c r="A1307" s="174"/>
      <c r="B1307" s="184"/>
      <c r="C1307" s="184"/>
      <c r="D1307" s="184"/>
      <c r="E1307" s="184"/>
      <c r="F1307" s="184"/>
      <c r="I1307" s="186"/>
      <c r="J1307" s="184"/>
    </row>
    <row r="1308" spans="1:10">
      <c r="A1308" s="174"/>
      <c r="B1308" s="184"/>
      <c r="C1308" s="184"/>
      <c r="D1308" s="184"/>
      <c r="E1308" s="184"/>
      <c r="F1308" s="184"/>
      <c r="I1308" s="186"/>
      <c r="J1308" s="184"/>
    </row>
    <row r="1309" spans="1:10">
      <c r="A1309" s="174"/>
      <c r="B1309" s="184"/>
      <c r="C1309" s="184"/>
      <c r="D1309" s="184"/>
      <c r="E1309" s="184"/>
      <c r="F1309" s="184"/>
      <c r="I1309" s="186"/>
      <c r="J1309" s="184"/>
    </row>
    <row r="1310" spans="1:10">
      <c r="A1310" s="174"/>
      <c r="B1310" s="184"/>
      <c r="C1310" s="184"/>
      <c r="D1310" s="184"/>
      <c r="E1310" s="184"/>
      <c r="F1310" s="184"/>
      <c r="I1310" s="186"/>
      <c r="J1310" s="184"/>
    </row>
    <row r="1311" spans="1:10">
      <c r="A1311" s="174"/>
      <c r="B1311" s="184"/>
      <c r="C1311" s="184"/>
      <c r="D1311" s="184"/>
      <c r="E1311" s="184"/>
      <c r="F1311" s="184"/>
      <c r="I1311" s="186"/>
      <c r="J1311" s="184"/>
    </row>
    <row r="1312" spans="1:10">
      <c r="A1312" s="174"/>
      <c r="B1312" s="184"/>
      <c r="C1312" s="184"/>
      <c r="D1312" s="184"/>
      <c r="E1312" s="184"/>
      <c r="F1312" s="184"/>
      <c r="I1312" s="186"/>
      <c r="J1312" s="184"/>
    </row>
    <row r="1313" spans="1:10">
      <c r="A1313" s="174"/>
      <c r="B1313" s="184"/>
      <c r="C1313" s="184"/>
      <c r="D1313" s="184"/>
      <c r="E1313" s="184"/>
      <c r="F1313" s="184"/>
      <c r="G1313" s="187"/>
      <c r="I1313" s="186"/>
      <c r="J1313" s="184"/>
    </row>
    <row r="1314" spans="1:10">
      <c r="A1314" s="174"/>
      <c r="B1314" s="184"/>
      <c r="C1314" s="184"/>
      <c r="D1314" s="184"/>
      <c r="E1314" s="184"/>
      <c r="F1314" s="184"/>
      <c r="I1314" s="186"/>
      <c r="J1314" s="184"/>
    </row>
    <row r="1315" spans="1:10">
      <c r="A1315" s="174"/>
      <c r="B1315" s="184"/>
      <c r="C1315" s="184"/>
      <c r="D1315" s="184"/>
      <c r="E1315" s="184"/>
      <c r="F1315" s="184"/>
      <c r="I1315" s="186"/>
      <c r="J1315" s="184"/>
    </row>
    <row r="1316" spans="1:10">
      <c r="A1316" s="174"/>
      <c r="B1316" s="184"/>
      <c r="C1316" s="184"/>
      <c r="D1316" s="184"/>
      <c r="E1316" s="184"/>
      <c r="F1316" s="184"/>
      <c r="G1316" s="187"/>
      <c r="I1316" s="186"/>
      <c r="J1316" s="184"/>
    </row>
    <row r="1317" spans="1:10">
      <c r="A1317" s="174"/>
      <c r="B1317" s="184"/>
      <c r="C1317" s="184"/>
      <c r="D1317" s="184"/>
      <c r="E1317" s="184"/>
      <c r="F1317" s="184"/>
      <c r="G1317" s="187"/>
      <c r="I1317" s="186"/>
      <c r="J1317" s="184"/>
    </row>
    <row r="1318" spans="1:10">
      <c r="A1318" s="174"/>
      <c r="B1318" s="184"/>
      <c r="C1318" s="184"/>
      <c r="D1318" s="184"/>
      <c r="E1318" s="184"/>
      <c r="F1318" s="184"/>
      <c r="G1318" s="187"/>
      <c r="I1318" s="186"/>
      <c r="J1318" s="184"/>
    </row>
    <row r="1319" spans="1:10">
      <c r="A1319" s="174"/>
      <c r="B1319" s="184"/>
      <c r="C1319" s="184"/>
      <c r="D1319" s="184"/>
      <c r="E1319" s="184"/>
      <c r="F1319" s="184"/>
      <c r="G1319" s="187"/>
      <c r="I1319" s="186"/>
      <c r="J1319" s="184"/>
    </row>
    <row r="1320" spans="1:10">
      <c r="A1320" s="174"/>
      <c r="B1320" s="184"/>
      <c r="C1320" s="184"/>
      <c r="D1320" s="184"/>
      <c r="E1320" s="184"/>
      <c r="F1320" s="184"/>
      <c r="G1320" s="187"/>
      <c r="I1320" s="186"/>
      <c r="J1320" s="184"/>
    </row>
    <row r="1321" spans="1:10">
      <c r="A1321" s="174"/>
      <c r="B1321" s="184"/>
      <c r="C1321" s="184"/>
      <c r="D1321" s="184"/>
      <c r="E1321" s="184"/>
      <c r="F1321" s="184"/>
      <c r="G1321" s="187"/>
      <c r="I1321" s="186"/>
      <c r="J1321" s="184"/>
    </row>
    <row r="1322" spans="1:10">
      <c r="A1322" s="174"/>
      <c r="B1322" s="184"/>
      <c r="C1322" s="184"/>
      <c r="D1322" s="184"/>
      <c r="E1322" s="184"/>
      <c r="F1322" s="184"/>
      <c r="G1322" s="187"/>
      <c r="I1322" s="186"/>
      <c r="J1322" s="184"/>
    </row>
    <row r="1323" spans="1:10">
      <c r="A1323" s="174"/>
      <c r="B1323" s="184"/>
      <c r="C1323" s="184"/>
      <c r="D1323" s="184"/>
      <c r="E1323" s="184"/>
      <c r="F1323" s="184"/>
      <c r="G1323" s="187"/>
      <c r="I1323" s="186"/>
      <c r="J1323" s="184"/>
    </row>
    <row r="1324" spans="1:10">
      <c r="A1324" s="174"/>
      <c r="B1324" s="184"/>
      <c r="C1324" s="184"/>
      <c r="D1324" s="184"/>
      <c r="E1324" s="184"/>
      <c r="F1324" s="184"/>
      <c r="G1324" s="187"/>
      <c r="I1324" s="186"/>
      <c r="J1324" s="184"/>
    </row>
    <row r="1325" spans="1:10">
      <c r="A1325" s="174"/>
      <c r="B1325" s="184"/>
      <c r="C1325" s="184"/>
      <c r="D1325" s="184"/>
      <c r="E1325" s="184"/>
      <c r="F1325" s="184"/>
      <c r="G1325" s="187"/>
      <c r="I1325" s="186"/>
      <c r="J1325" s="184"/>
    </row>
    <row r="1326" spans="1:10">
      <c r="A1326" s="174"/>
      <c r="B1326" s="184"/>
      <c r="C1326" s="184"/>
      <c r="D1326" s="184"/>
      <c r="E1326" s="184"/>
      <c r="F1326" s="184"/>
      <c r="G1326" s="187"/>
      <c r="I1326" s="186"/>
      <c r="J1326" s="184"/>
    </row>
    <row r="1327" spans="1:10">
      <c r="A1327" s="174"/>
      <c r="B1327" s="184"/>
      <c r="C1327" s="184"/>
      <c r="D1327" s="184"/>
      <c r="E1327" s="184"/>
      <c r="F1327" s="184"/>
      <c r="G1327" s="187"/>
      <c r="I1327" s="186"/>
      <c r="J1327" s="184"/>
    </row>
    <row r="1328" spans="1:10">
      <c r="A1328" s="174"/>
      <c r="B1328" s="184"/>
      <c r="C1328" s="184"/>
      <c r="D1328" s="184"/>
      <c r="E1328" s="184"/>
      <c r="F1328" s="184"/>
      <c r="G1328" s="187"/>
      <c r="I1328" s="186"/>
      <c r="J1328" s="184"/>
    </row>
    <row r="1329" spans="1:10">
      <c r="A1329" s="174"/>
      <c r="B1329" s="184"/>
      <c r="C1329" s="184"/>
      <c r="D1329" s="184"/>
      <c r="E1329" s="184"/>
      <c r="F1329" s="184"/>
      <c r="G1329" s="187"/>
      <c r="I1329" s="186"/>
      <c r="J1329" s="184"/>
    </row>
    <row r="1330" spans="1:10">
      <c r="A1330" s="174"/>
      <c r="B1330" s="184"/>
      <c r="C1330" s="184"/>
      <c r="D1330" s="184"/>
      <c r="E1330" s="184"/>
      <c r="F1330" s="184"/>
      <c r="G1330" s="187"/>
      <c r="I1330" s="186"/>
      <c r="J1330" s="184"/>
    </row>
    <row r="1331" spans="1:10">
      <c r="A1331" s="174"/>
      <c r="B1331" s="184"/>
      <c r="C1331" s="184"/>
      <c r="D1331" s="184"/>
      <c r="E1331" s="184"/>
      <c r="F1331" s="184"/>
      <c r="G1331" s="187"/>
      <c r="I1331" s="186"/>
      <c r="J1331" s="184"/>
    </row>
    <row r="1332" spans="1:10">
      <c r="A1332" s="174"/>
      <c r="B1332" s="184"/>
      <c r="C1332" s="184"/>
      <c r="D1332" s="184"/>
      <c r="E1332" s="184"/>
      <c r="F1332" s="184"/>
      <c r="G1332" s="187"/>
      <c r="I1332" s="186"/>
      <c r="J1332" s="184"/>
    </row>
    <row r="1333" spans="1:10">
      <c r="A1333" s="174"/>
      <c r="B1333" s="184"/>
      <c r="C1333" s="184"/>
      <c r="D1333" s="184"/>
      <c r="E1333" s="184"/>
      <c r="F1333" s="184"/>
      <c r="G1333" s="187"/>
      <c r="I1333" s="186"/>
      <c r="J1333" s="184"/>
    </row>
    <row r="1334" spans="1:10">
      <c r="A1334" s="174"/>
      <c r="B1334" s="184"/>
      <c r="C1334" s="184"/>
      <c r="D1334" s="184"/>
      <c r="E1334" s="184"/>
      <c r="F1334" s="184"/>
      <c r="G1334" s="187"/>
      <c r="I1334" s="186"/>
      <c r="J1334" s="184"/>
    </row>
    <row r="1335" spans="1:10">
      <c r="A1335" s="174"/>
      <c r="B1335" s="184"/>
      <c r="C1335" s="184"/>
      <c r="D1335" s="184"/>
      <c r="E1335" s="184"/>
      <c r="F1335" s="184"/>
      <c r="G1335" s="187"/>
      <c r="I1335" s="186"/>
      <c r="J1335" s="184"/>
    </row>
    <row r="1336" spans="1:10">
      <c r="A1336" s="174"/>
      <c r="B1336" s="184"/>
      <c r="C1336" s="184"/>
      <c r="D1336" s="184"/>
      <c r="E1336" s="184"/>
      <c r="F1336" s="184"/>
      <c r="G1336" s="187"/>
      <c r="I1336" s="186"/>
      <c r="J1336" s="184"/>
    </row>
    <row r="1337" spans="1:10">
      <c r="A1337" s="174"/>
      <c r="B1337" s="184"/>
      <c r="C1337" s="184"/>
      <c r="D1337" s="184"/>
      <c r="E1337" s="184"/>
      <c r="F1337" s="184"/>
      <c r="G1337" s="187"/>
      <c r="I1337" s="186"/>
      <c r="J1337" s="184"/>
    </row>
    <row r="1338" spans="1:10">
      <c r="A1338" s="174"/>
      <c r="B1338" s="184"/>
      <c r="C1338" s="184"/>
      <c r="D1338" s="184"/>
      <c r="E1338" s="184"/>
      <c r="F1338" s="184"/>
      <c r="G1338" s="187"/>
      <c r="I1338" s="186"/>
      <c r="J1338" s="184"/>
    </row>
    <row r="1339" spans="1:10">
      <c r="A1339" s="174"/>
      <c r="B1339" s="184"/>
      <c r="C1339" s="184"/>
      <c r="D1339" s="184"/>
      <c r="E1339" s="184"/>
      <c r="F1339" s="184"/>
      <c r="G1339" s="187"/>
      <c r="I1339" s="186"/>
      <c r="J1339" s="184"/>
    </row>
    <row r="1340" spans="1:10">
      <c r="A1340" s="174"/>
      <c r="B1340" s="184"/>
      <c r="C1340" s="184"/>
      <c r="D1340" s="184"/>
      <c r="E1340" s="184"/>
      <c r="F1340" s="184"/>
      <c r="G1340" s="187"/>
      <c r="I1340" s="186"/>
      <c r="J1340" s="184"/>
    </row>
    <row r="1341" spans="1:10">
      <c r="A1341" s="174"/>
      <c r="B1341" s="184"/>
      <c r="C1341" s="184"/>
      <c r="D1341" s="184"/>
      <c r="E1341" s="184"/>
      <c r="F1341" s="184"/>
      <c r="G1341" s="187"/>
      <c r="I1341" s="186"/>
      <c r="J1341" s="184"/>
    </row>
    <row r="1342" spans="1:10">
      <c r="A1342" s="174"/>
      <c r="B1342" s="184"/>
      <c r="C1342" s="184"/>
      <c r="D1342" s="184"/>
      <c r="E1342" s="184"/>
      <c r="F1342" s="184"/>
      <c r="G1342" s="187"/>
      <c r="I1342" s="186"/>
      <c r="J1342" s="184"/>
    </row>
    <row r="1343" spans="1:10">
      <c r="A1343" s="174"/>
      <c r="B1343" s="184"/>
      <c r="C1343" s="184"/>
      <c r="D1343" s="184"/>
      <c r="E1343" s="184"/>
      <c r="F1343" s="184"/>
      <c r="G1343" s="187"/>
      <c r="I1343" s="186"/>
      <c r="J1343" s="184"/>
    </row>
    <row r="1344" spans="1:10">
      <c r="A1344" s="174"/>
      <c r="B1344" s="184"/>
      <c r="C1344" s="184"/>
      <c r="D1344" s="184"/>
      <c r="E1344" s="184"/>
      <c r="F1344" s="184"/>
      <c r="I1344" s="186"/>
      <c r="J1344" s="184"/>
    </row>
    <row r="1345" spans="1:10">
      <c r="A1345" s="174"/>
      <c r="B1345" s="184"/>
      <c r="C1345" s="184"/>
      <c r="D1345" s="184"/>
      <c r="E1345" s="184"/>
      <c r="F1345" s="184"/>
      <c r="G1345" s="187"/>
      <c r="I1345" s="186"/>
      <c r="J1345" s="184"/>
    </row>
    <row r="1346" spans="1:10">
      <c r="A1346" s="174"/>
      <c r="B1346" s="184"/>
      <c r="C1346" s="184"/>
      <c r="D1346" s="184"/>
      <c r="E1346" s="184"/>
      <c r="F1346" s="184"/>
      <c r="I1346" s="186"/>
      <c r="J1346" s="184"/>
    </row>
    <row r="1347" spans="1:10">
      <c r="A1347" s="174"/>
      <c r="B1347" s="184"/>
      <c r="C1347" s="184"/>
      <c r="D1347" s="184"/>
      <c r="E1347" s="184"/>
      <c r="F1347" s="184"/>
      <c r="G1347" s="187"/>
      <c r="I1347" s="186"/>
      <c r="J1347" s="184"/>
    </row>
    <row r="1348" spans="1:10">
      <c r="A1348" s="174"/>
      <c r="B1348" s="184"/>
      <c r="C1348" s="184"/>
      <c r="D1348" s="184"/>
      <c r="E1348" s="184"/>
      <c r="F1348" s="184"/>
      <c r="G1348" s="187"/>
      <c r="I1348" s="186"/>
      <c r="J1348" s="184"/>
    </row>
    <row r="1349" spans="1:10">
      <c r="A1349" s="174"/>
      <c r="B1349" s="184"/>
      <c r="C1349" s="184"/>
      <c r="D1349" s="184"/>
      <c r="E1349" s="184"/>
      <c r="F1349" s="184"/>
      <c r="G1349" s="187"/>
      <c r="I1349" s="186"/>
      <c r="J1349" s="184"/>
    </row>
    <row r="1350" spans="1:10">
      <c r="A1350" s="174"/>
      <c r="B1350" s="184"/>
      <c r="C1350" s="184"/>
      <c r="D1350" s="184"/>
      <c r="E1350" s="184"/>
      <c r="F1350" s="184"/>
      <c r="G1350" s="187"/>
      <c r="I1350" s="186"/>
      <c r="J1350" s="184"/>
    </row>
    <row r="1351" spans="1:10">
      <c r="A1351" s="174"/>
      <c r="B1351" s="184"/>
      <c r="C1351" s="184"/>
      <c r="D1351" s="184"/>
      <c r="E1351" s="184"/>
      <c r="F1351" s="184"/>
      <c r="I1351" s="186"/>
      <c r="J1351" s="184"/>
    </row>
    <row r="1352" spans="1:10">
      <c r="A1352" s="174"/>
      <c r="B1352" s="184"/>
      <c r="C1352" s="184"/>
      <c r="D1352" s="184"/>
      <c r="E1352" s="184"/>
      <c r="F1352" s="184"/>
      <c r="G1352" s="187"/>
      <c r="I1352" s="186"/>
      <c r="J1352" s="184"/>
    </row>
    <row r="1353" spans="1:10">
      <c r="A1353" s="174"/>
      <c r="B1353" s="184"/>
      <c r="C1353" s="184"/>
      <c r="D1353" s="184"/>
      <c r="E1353" s="184"/>
      <c r="F1353" s="184"/>
      <c r="G1353" s="187"/>
      <c r="I1353" s="186"/>
      <c r="J1353" s="184"/>
    </row>
    <row r="1354" spans="1:10">
      <c r="A1354" s="174"/>
      <c r="B1354" s="184"/>
      <c r="C1354" s="184"/>
      <c r="D1354" s="184"/>
      <c r="E1354" s="184"/>
      <c r="F1354" s="184"/>
      <c r="I1354" s="186"/>
      <c r="J1354" s="184"/>
    </row>
    <row r="1355" spans="1:10">
      <c r="A1355" s="174"/>
      <c r="B1355" s="184"/>
      <c r="C1355" s="184"/>
      <c r="D1355" s="184"/>
      <c r="E1355" s="184"/>
      <c r="F1355" s="184"/>
      <c r="I1355" s="186"/>
      <c r="J1355" s="184"/>
    </row>
    <row r="1356" spans="1:10">
      <c r="A1356" s="174"/>
      <c r="B1356" s="184"/>
      <c r="C1356" s="184"/>
      <c r="D1356" s="184"/>
      <c r="E1356" s="184"/>
      <c r="F1356" s="184"/>
      <c r="I1356" s="186"/>
      <c r="J1356" s="184"/>
    </row>
    <row r="1357" spans="1:10">
      <c r="A1357" s="174"/>
      <c r="B1357" s="184"/>
      <c r="C1357" s="184"/>
      <c r="D1357" s="184"/>
      <c r="E1357" s="184"/>
      <c r="F1357" s="184"/>
      <c r="I1357" s="186"/>
      <c r="J1357" s="184"/>
    </row>
    <row r="1358" spans="1:10">
      <c r="A1358" s="174"/>
      <c r="B1358" s="184"/>
      <c r="C1358" s="184"/>
      <c r="D1358" s="184"/>
      <c r="E1358" s="184"/>
      <c r="F1358" s="184"/>
      <c r="I1358" s="186"/>
      <c r="J1358" s="184"/>
    </row>
    <row r="1359" spans="1:10">
      <c r="A1359" s="174"/>
      <c r="B1359" s="184"/>
      <c r="C1359" s="184"/>
      <c r="D1359" s="184"/>
      <c r="E1359" s="184"/>
      <c r="F1359" s="184"/>
      <c r="I1359" s="186"/>
      <c r="J1359" s="184"/>
    </row>
    <row r="1360" spans="1:10">
      <c r="A1360" s="174"/>
      <c r="B1360" s="184"/>
      <c r="C1360" s="184"/>
      <c r="D1360" s="184"/>
      <c r="E1360" s="184"/>
      <c r="F1360" s="184"/>
      <c r="I1360" s="186"/>
      <c r="J1360" s="184"/>
    </row>
    <row r="1361" spans="1:10">
      <c r="A1361" s="174"/>
      <c r="B1361" s="184"/>
      <c r="C1361" s="184"/>
      <c r="D1361" s="184"/>
      <c r="E1361" s="184"/>
      <c r="F1361" s="184"/>
      <c r="I1361" s="186"/>
      <c r="J1361" s="184"/>
    </row>
    <row r="1362" spans="1:10">
      <c r="A1362" s="174"/>
      <c r="B1362" s="184"/>
      <c r="C1362" s="184"/>
      <c r="D1362" s="184"/>
      <c r="E1362" s="184"/>
      <c r="F1362" s="184"/>
      <c r="I1362" s="186"/>
      <c r="J1362" s="184"/>
    </row>
    <row r="1363" spans="1:10">
      <c r="A1363" s="174"/>
      <c r="B1363" s="184"/>
      <c r="C1363" s="184"/>
      <c r="D1363" s="184"/>
      <c r="E1363" s="184"/>
      <c r="F1363" s="184"/>
      <c r="I1363" s="186"/>
      <c r="J1363" s="184"/>
    </row>
    <row r="1364" spans="1:10">
      <c r="A1364" s="174"/>
      <c r="B1364" s="184"/>
      <c r="C1364" s="184"/>
      <c r="D1364" s="184"/>
      <c r="E1364" s="184"/>
      <c r="F1364" s="184"/>
      <c r="I1364" s="186"/>
      <c r="J1364" s="184"/>
    </row>
    <row r="1365" spans="1:10">
      <c r="A1365" s="174"/>
      <c r="B1365" s="184"/>
      <c r="C1365" s="184"/>
      <c r="D1365" s="184"/>
      <c r="E1365" s="184"/>
      <c r="F1365" s="184"/>
      <c r="I1365" s="186"/>
      <c r="J1365" s="184"/>
    </row>
    <row r="1366" spans="1:10">
      <c r="A1366" s="174"/>
      <c r="B1366" s="184"/>
      <c r="C1366" s="184"/>
      <c r="D1366" s="184"/>
      <c r="E1366" s="184"/>
      <c r="F1366" s="184"/>
      <c r="I1366" s="186"/>
      <c r="J1366" s="184"/>
    </row>
    <row r="1367" spans="1:10">
      <c r="A1367" s="174"/>
      <c r="B1367" s="184"/>
      <c r="C1367" s="184"/>
      <c r="D1367" s="184"/>
      <c r="E1367" s="184"/>
      <c r="F1367" s="184"/>
      <c r="I1367" s="186"/>
      <c r="J1367" s="184"/>
    </row>
    <row r="1368" spans="1:10">
      <c r="A1368" s="174"/>
      <c r="B1368" s="184"/>
      <c r="C1368" s="184"/>
      <c r="D1368" s="184"/>
      <c r="E1368" s="184"/>
      <c r="F1368" s="184"/>
      <c r="I1368" s="186"/>
      <c r="J1368" s="184"/>
    </row>
    <row r="1369" spans="1:10">
      <c r="A1369" s="174"/>
      <c r="B1369" s="184"/>
      <c r="C1369" s="184"/>
      <c r="D1369" s="184"/>
      <c r="E1369" s="184"/>
      <c r="F1369" s="184"/>
      <c r="I1369" s="186"/>
      <c r="J1369" s="184"/>
    </row>
    <row r="1370" spans="1:10">
      <c r="A1370" s="174"/>
      <c r="B1370" s="184"/>
      <c r="C1370" s="184"/>
      <c r="D1370" s="184"/>
      <c r="E1370" s="184"/>
      <c r="F1370" s="184"/>
      <c r="I1370" s="186"/>
      <c r="J1370" s="184"/>
    </row>
    <row r="1371" spans="1:10">
      <c r="A1371" s="174"/>
      <c r="B1371" s="184"/>
      <c r="C1371" s="184"/>
      <c r="D1371" s="184"/>
      <c r="E1371" s="184"/>
      <c r="F1371" s="184"/>
      <c r="G1371" s="187"/>
      <c r="I1371" s="186"/>
      <c r="J1371" s="184"/>
    </row>
    <row r="1372" spans="1:10">
      <c r="A1372" s="174"/>
      <c r="B1372" s="184"/>
      <c r="C1372" s="184"/>
      <c r="D1372" s="184"/>
      <c r="E1372" s="184"/>
      <c r="F1372" s="184"/>
      <c r="I1372" s="186"/>
      <c r="J1372" s="184"/>
    </row>
    <row r="1373" spans="1:10">
      <c r="A1373" s="174"/>
      <c r="B1373" s="184"/>
      <c r="C1373" s="184"/>
      <c r="D1373" s="184"/>
      <c r="E1373" s="184"/>
      <c r="F1373" s="184"/>
      <c r="G1373" s="187"/>
      <c r="I1373" s="186"/>
      <c r="J1373" s="184"/>
    </row>
    <row r="1374" spans="1:10">
      <c r="A1374" s="174"/>
      <c r="B1374" s="184"/>
      <c r="C1374" s="184"/>
      <c r="D1374" s="184"/>
      <c r="E1374" s="184"/>
      <c r="F1374" s="184"/>
      <c r="I1374" s="186"/>
      <c r="J1374" s="184"/>
    </row>
    <row r="1375" spans="1:10">
      <c r="A1375" s="174"/>
      <c r="B1375" s="184"/>
      <c r="C1375" s="184"/>
      <c r="D1375" s="184"/>
      <c r="E1375" s="184"/>
      <c r="F1375" s="184"/>
      <c r="I1375" s="186"/>
      <c r="J1375" s="184"/>
    </row>
    <row r="1376" spans="1:10">
      <c r="A1376" s="174"/>
      <c r="B1376" s="184"/>
      <c r="C1376" s="184"/>
      <c r="D1376" s="184"/>
      <c r="E1376" s="184"/>
      <c r="F1376" s="184"/>
      <c r="I1376" s="186"/>
      <c r="J1376" s="184"/>
    </row>
    <row r="1377" spans="1:10">
      <c r="A1377" s="174"/>
      <c r="B1377" s="184"/>
      <c r="C1377" s="184"/>
      <c r="D1377" s="184"/>
      <c r="E1377" s="184"/>
      <c r="F1377" s="184"/>
      <c r="I1377" s="186"/>
      <c r="J1377" s="184"/>
    </row>
    <row r="1378" spans="1:10">
      <c r="A1378" s="174"/>
      <c r="B1378" s="184"/>
      <c r="C1378" s="184"/>
      <c r="D1378" s="184"/>
      <c r="E1378" s="184"/>
      <c r="F1378" s="184"/>
      <c r="I1378" s="186"/>
      <c r="J1378" s="184"/>
    </row>
    <row r="1379" spans="1:10">
      <c r="A1379" s="174"/>
      <c r="B1379" s="184"/>
      <c r="C1379" s="184"/>
      <c r="D1379" s="184"/>
      <c r="E1379" s="184"/>
      <c r="F1379" s="184"/>
      <c r="I1379" s="186"/>
      <c r="J1379" s="184"/>
    </row>
    <row r="1380" spans="1:10">
      <c r="A1380" s="174"/>
      <c r="B1380" s="184"/>
      <c r="C1380" s="184"/>
      <c r="D1380" s="184"/>
      <c r="E1380" s="184"/>
      <c r="F1380" s="184"/>
      <c r="I1380" s="186"/>
      <c r="J1380" s="184"/>
    </row>
    <row r="1381" spans="1:10">
      <c r="A1381" s="174"/>
      <c r="B1381" s="184"/>
      <c r="C1381" s="184"/>
      <c r="D1381" s="184"/>
      <c r="E1381" s="184"/>
      <c r="F1381" s="184"/>
      <c r="I1381" s="186"/>
      <c r="J1381" s="184"/>
    </row>
    <row r="1382" spans="1:10">
      <c r="A1382" s="174"/>
      <c r="B1382" s="184"/>
      <c r="C1382" s="184"/>
      <c r="D1382" s="184"/>
      <c r="E1382" s="184"/>
      <c r="F1382" s="184"/>
      <c r="G1382" s="187"/>
      <c r="I1382" s="186"/>
      <c r="J1382" s="184"/>
    </row>
    <row r="1383" spans="1:10">
      <c r="A1383" s="174"/>
      <c r="B1383" s="184"/>
      <c r="C1383" s="184"/>
      <c r="D1383" s="184"/>
      <c r="E1383" s="184"/>
      <c r="F1383" s="184"/>
      <c r="I1383" s="186"/>
      <c r="J1383" s="184"/>
    </row>
    <row r="1384" spans="1:10">
      <c r="A1384" s="174"/>
      <c r="B1384" s="184"/>
      <c r="C1384" s="184"/>
      <c r="D1384" s="184"/>
      <c r="E1384" s="184"/>
      <c r="F1384" s="184"/>
      <c r="G1384" s="187"/>
      <c r="I1384" s="186"/>
      <c r="J1384" s="184"/>
    </row>
    <row r="1385" spans="1:10">
      <c r="A1385" s="174"/>
      <c r="B1385" s="184"/>
      <c r="C1385" s="184"/>
      <c r="D1385" s="184"/>
      <c r="E1385" s="184"/>
      <c r="F1385" s="184"/>
      <c r="I1385" s="186"/>
      <c r="J1385" s="184"/>
    </row>
    <row r="1386" spans="1:10">
      <c r="A1386" s="174"/>
      <c r="B1386" s="184"/>
      <c r="C1386" s="184"/>
      <c r="D1386" s="184"/>
      <c r="E1386" s="184"/>
      <c r="F1386" s="184"/>
      <c r="I1386" s="186"/>
      <c r="J1386" s="184"/>
    </row>
    <row r="1387" spans="1:10">
      <c r="A1387" s="174"/>
      <c r="B1387" s="184"/>
      <c r="C1387" s="184"/>
      <c r="D1387" s="184"/>
      <c r="E1387" s="184"/>
      <c r="F1387" s="184"/>
      <c r="G1387" s="187"/>
      <c r="I1387" s="186"/>
      <c r="J1387" s="184"/>
    </row>
    <row r="1388" spans="1:10">
      <c r="A1388" s="174"/>
      <c r="B1388" s="184"/>
      <c r="C1388" s="184"/>
      <c r="D1388" s="184"/>
      <c r="E1388" s="184"/>
      <c r="F1388" s="184"/>
      <c r="I1388" s="186"/>
      <c r="J1388" s="184"/>
    </row>
    <row r="1389" spans="1:10">
      <c r="A1389" s="174"/>
      <c r="B1389" s="184"/>
      <c r="C1389" s="184"/>
      <c r="D1389" s="184"/>
      <c r="E1389" s="184"/>
      <c r="F1389" s="184"/>
      <c r="I1389" s="186"/>
      <c r="J1389" s="184"/>
    </row>
    <row r="1390" spans="1:10">
      <c r="A1390" s="174"/>
      <c r="B1390" s="184"/>
      <c r="C1390" s="184"/>
      <c r="D1390" s="184"/>
      <c r="E1390" s="184"/>
      <c r="F1390" s="184"/>
      <c r="I1390" s="186"/>
      <c r="J1390" s="184"/>
    </row>
    <row r="1391" spans="1:10">
      <c r="A1391" s="174"/>
      <c r="B1391" s="184"/>
      <c r="C1391" s="184"/>
      <c r="D1391" s="184"/>
      <c r="E1391" s="184"/>
      <c r="F1391" s="184"/>
      <c r="I1391" s="186"/>
      <c r="J1391" s="184"/>
    </row>
    <row r="1392" spans="1:10">
      <c r="A1392" s="174"/>
      <c r="B1392" s="184"/>
      <c r="C1392" s="184"/>
      <c r="D1392" s="184"/>
      <c r="E1392" s="184"/>
      <c r="F1392" s="184"/>
      <c r="G1392" s="187"/>
      <c r="I1392" s="186"/>
      <c r="J1392" s="184"/>
    </row>
    <row r="1393" spans="1:10">
      <c r="A1393" s="174"/>
      <c r="B1393" s="184"/>
      <c r="C1393" s="184"/>
      <c r="D1393" s="184"/>
      <c r="E1393" s="184"/>
      <c r="F1393" s="184"/>
      <c r="I1393" s="186"/>
      <c r="J1393" s="184"/>
    </row>
    <row r="1394" spans="1:10">
      <c r="A1394" s="174"/>
      <c r="B1394" s="184"/>
      <c r="C1394" s="184"/>
      <c r="D1394" s="184"/>
      <c r="E1394" s="184"/>
      <c r="F1394" s="184"/>
      <c r="G1394" s="187"/>
      <c r="I1394" s="186"/>
      <c r="J1394" s="184"/>
    </row>
    <row r="1395" spans="1:10">
      <c r="A1395" s="174"/>
      <c r="B1395" s="184"/>
      <c r="C1395" s="184"/>
      <c r="D1395" s="184"/>
      <c r="E1395" s="184"/>
      <c r="F1395" s="184"/>
      <c r="I1395" s="186"/>
      <c r="J1395" s="184"/>
    </row>
    <row r="1396" spans="1:10">
      <c r="A1396" s="174"/>
      <c r="B1396" s="184"/>
      <c r="C1396" s="184"/>
      <c r="D1396" s="184"/>
      <c r="E1396" s="184"/>
      <c r="F1396" s="184"/>
      <c r="G1396" s="187"/>
      <c r="I1396" s="186"/>
      <c r="J1396" s="184"/>
    </row>
    <row r="1397" spans="1:10">
      <c r="A1397" s="174"/>
      <c r="B1397" s="184"/>
      <c r="C1397" s="184"/>
      <c r="D1397" s="184"/>
      <c r="E1397" s="184"/>
      <c r="F1397" s="184"/>
      <c r="I1397" s="186"/>
      <c r="J1397" s="184"/>
    </row>
    <row r="1398" spans="1:10">
      <c r="A1398" s="174"/>
      <c r="B1398" s="184"/>
      <c r="C1398" s="184"/>
      <c r="D1398" s="184"/>
      <c r="E1398" s="184"/>
      <c r="F1398" s="184"/>
      <c r="I1398" s="186"/>
      <c r="J1398" s="184"/>
    </row>
    <row r="1399" spans="1:10">
      <c r="A1399" s="174"/>
      <c r="B1399" s="184"/>
      <c r="C1399" s="184"/>
      <c r="D1399" s="184"/>
      <c r="E1399" s="184"/>
      <c r="F1399" s="184"/>
      <c r="I1399" s="186"/>
      <c r="J1399" s="184"/>
    </row>
    <row r="1400" spans="1:10">
      <c r="A1400" s="174"/>
      <c r="B1400" s="184"/>
      <c r="C1400" s="184"/>
      <c r="D1400" s="184"/>
      <c r="E1400" s="184"/>
      <c r="F1400" s="184"/>
      <c r="I1400" s="186"/>
      <c r="J1400" s="184"/>
    </row>
    <row r="1401" spans="1:10">
      <c r="A1401" s="174"/>
      <c r="B1401" s="184"/>
      <c r="C1401" s="184"/>
      <c r="D1401" s="184"/>
      <c r="E1401" s="184"/>
      <c r="F1401" s="184"/>
      <c r="I1401" s="186"/>
      <c r="J1401" s="184"/>
    </row>
    <row r="1402" spans="1:10">
      <c r="A1402" s="174"/>
      <c r="B1402" s="184"/>
      <c r="C1402" s="184"/>
      <c r="D1402" s="184"/>
      <c r="E1402" s="184"/>
      <c r="F1402" s="184"/>
      <c r="I1402" s="186"/>
      <c r="J1402" s="184"/>
    </row>
    <row r="1403" spans="1:10">
      <c r="A1403" s="174"/>
      <c r="B1403" s="184"/>
      <c r="C1403" s="184"/>
      <c r="D1403" s="184"/>
      <c r="E1403" s="184"/>
      <c r="F1403" s="184"/>
      <c r="I1403" s="186"/>
      <c r="J1403" s="184"/>
    </row>
    <row r="1404" spans="1:10">
      <c r="A1404" s="174"/>
      <c r="B1404" s="184"/>
      <c r="C1404" s="184"/>
      <c r="D1404" s="184"/>
      <c r="E1404" s="184"/>
      <c r="F1404" s="184"/>
      <c r="I1404" s="186"/>
      <c r="J1404" s="184"/>
    </row>
    <row r="1405" spans="1:10">
      <c r="A1405" s="174"/>
      <c r="B1405" s="184"/>
      <c r="C1405" s="184"/>
      <c r="D1405" s="184"/>
      <c r="E1405" s="184"/>
      <c r="F1405" s="184"/>
      <c r="I1405" s="186"/>
      <c r="J1405" s="184"/>
    </row>
    <row r="1406" spans="1:10">
      <c r="A1406" s="174"/>
      <c r="B1406" s="184"/>
      <c r="C1406" s="184"/>
      <c r="D1406" s="184"/>
      <c r="E1406" s="184"/>
      <c r="F1406" s="184"/>
      <c r="I1406" s="186"/>
      <c r="J1406" s="184"/>
    </row>
    <row r="1407" spans="1:10">
      <c r="A1407" s="174"/>
      <c r="B1407" s="184"/>
      <c r="C1407" s="184"/>
      <c r="D1407" s="184"/>
      <c r="E1407" s="184"/>
      <c r="F1407" s="184"/>
      <c r="I1407" s="186"/>
      <c r="J1407" s="184"/>
    </row>
    <row r="1408" spans="1:10">
      <c r="A1408" s="174"/>
      <c r="B1408" s="184"/>
      <c r="C1408" s="184"/>
      <c r="D1408" s="184"/>
      <c r="E1408" s="184"/>
      <c r="F1408" s="184"/>
      <c r="I1408" s="186"/>
      <c r="J1408" s="184"/>
    </row>
    <row r="1409" spans="1:10">
      <c r="A1409" s="174"/>
      <c r="B1409" s="184"/>
      <c r="C1409" s="184"/>
      <c r="D1409" s="184"/>
      <c r="E1409" s="184"/>
      <c r="F1409" s="184"/>
      <c r="I1409" s="186"/>
      <c r="J1409" s="184"/>
    </row>
    <row r="1410" spans="1:10">
      <c r="A1410" s="174"/>
      <c r="B1410" s="184"/>
      <c r="C1410" s="184"/>
      <c r="D1410" s="184"/>
      <c r="E1410" s="184"/>
      <c r="F1410" s="184"/>
      <c r="I1410" s="186"/>
      <c r="J1410" s="184"/>
    </row>
    <row r="1411" spans="1:10">
      <c r="A1411" s="174"/>
      <c r="B1411" s="184"/>
      <c r="C1411" s="184"/>
      <c r="D1411" s="184"/>
      <c r="E1411" s="184"/>
      <c r="F1411" s="184"/>
      <c r="I1411" s="186"/>
      <c r="J1411" s="184"/>
    </row>
    <row r="1412" spans="1:10">
      <c r="A1412" s="174"/>
      <c r="B1412" s="184"/>
      <c r="C1412" s="184"/>
      <c r="D1412" s="184"/>
      <c r="E1412" s="184"/>
      <c r="F1412" s="184"/>
      <c r="I1412" s="186"/>
      <c r="J1412" s="184"/>
    </row>
    <row r="1413" spans="1:10">
      <c r="A1413" s="174"/>
      <c r="B1413" s="184"/>
      <c r="C1413" s="184"/>
      <c r="D1413" s="184"/>
      <c r="E1413" s="184"/>
      <c r="F1413" s="184"/>
      <c r="I1413" s="186"/>
      <c r="J1413" s="184"/>
    </row>
    <row r="1414" spans="1:10">
      <c r="A1414" s="174"/>
      <c r="B1414" s="184"/>
      <c r="C1414" s="184"/>
      <c r="D1414" s="184"/>
      <c r="E1414" s="184"/>
      <c r="F1414" s="184"/>
      <c r="I1414" s="186"/>
      <c r="J1414" s="184"/>
    </row>
    <row r="1415" spans="1:10">
      <c r="A1415" s="174"/>
      <c r="B1415" s="184"/>
      <c r="C1415" s="184"/>
      <c r="D1415" s="184"/>
      <c r="E1415" s="184"/>
      <c r="F1415" s="184"/>
      <c r="I1415" s="186"/>
      <c r="J1415" s="184"/>
    </row>
    <row r="1416" spans="1:10">
      <c r="A1416" s="174"/>
      <c r="B1416" s="184"/>
      <c r="C1416" s="184"/>
      <c r="D1416" s="184"/>
      <c r="E1416" s="184"/>
      <c r="F1416" s="184"/>
      <c r="I1416" s="186"/>
      <c r="J1416" s="184"/>
    </row>
    <row r="1417" spans="1:10">
      <c r="A1417" s="174"/>
      <c r="B1417" s="184"/>
      <c r="C1417" s="184"/>
      <c r="D1417" s="184"/>
      <c r="E1417" s="184"/>
      <c r="F1417" s="184"/>
      <c r="G1417" s="187"/>
      <c r="I1417" s="186"/>
      <c r="J1417" s="184"/>
    </row>
    <row r="1418" spans="1:10">
      <c r="A1418" s="174"/>
      <c r="B1418" s="184"/>
      <c r="C1418" s="184"/>
      <c r="D1418" s="184"/>
      <c r="E1418" s="184"/>
      <c r="F1418" s="184"/>
      <c r="G1418" s="187"/>
      <c r="I1418" s="186"/>
      <c r="J1418" s="184"/>
    </row>
    <row r="1419" spans="1:10">
      <c r="A1419" s="174"/>
      <c r="B1419" s="184"/>
      <c r="C1419" s="184"/>
      <c r="D1419" s="184"/>
      <c r="E1419" s="184"/>
      <c r="F1419" s="184"/>
      <c r="I1419" s="186"/>
      <c r="J1419" s="184"/>
    </row>
    <row r="1420" spans="1:10">
      <c r="A1420" s="174"/>
      <c r="B1420" s="184"/>
      <c r="C1420" s="184"/>
      <c r="D1420" s="184"/>
      <c r="E1420" s="184"/>
      <c r="F1420" s="184"/>
      <c r="G1420" s="187"/>
      <c r="I1420" s="186"/>
      <c r="J1420" s="184"/>
    </row>
    <row r="1421" spans="1:10">
      <c r="A1421" s="174"/>
      <c r="B1421" s="184"/>
      <c r="C1421" s="184"/>
      <c r="D1421" s="184"/>
      <c r="E1421" s="184"/>
      <c r="F1421" s="184"/>
      <c r="G1421" s="187"/>
      <c r="I1421" s="186"/>
      <c r="J1421" s="184"/>
    </row>
    <row r="1422" spans="1:10">
      <c r="A1422" s="174"/>
      <c r="B1422" s="184"/>
      <c r="C1422" s="184"/>
      <c r="D1422" s="184"/>
      <c r="E1422" s="184"/>
      <c r="F1422" s="184"/>
      <c r="I1422" s="186"/>
      <c r="J1422" s="184"/>
    </row>
    <row r="1423" spans="1:10">
      <c r="A1423" s="174"/>
      <c r="B1423" s="184"/>
      <c r="C1423" s="184"/>
      <c r="D1423" s="184"/>
      <c r="E1423" s="184"/>
      <c r="F1423" s="184"/>
      <c r="G1423" s="187"/>
      <c r="I1423" s="186"/>
      <c r="J1423" s="184"/>
    </row>
    <row r="1424" spans="1:10">
      <c r="A1424" s="174"/>
      <c r="B1424" s="184"/>
      <c r="C1424" s="184"/>
      <c r="D1424" s="184"/>
      <c r="E1424" s="184"/>
      <c r="F1424" s="184"/>
      <c r="I1424" s="186"/>
      <c r="J1424" s="184"/>
    </row>
    <row r="1425" spans="1:10">
      <c r="A1425" s="174"/>
      <c r="B1425" s="184"/>
      <c r="C1425" s="184"/>
      <c r="D1425" s="184"/>
      <c r="E1425" s="184"/>
      <c r="F1425" s="184"/>
      <c r="I1425" s="186"/>
      <c r="J1425" s="184"/>
    </row>
    <row r="1426" spans="1:10">
      <c r="A1426" s="174"/>
      <c r="B1426" s="184"/>
      <c r="C1426" s="184"/>
      <c r="D1426" s="184"/>
      <c r="E1426" s="184"/>
      <c r="F1426" s="184"/>
      <c r="I1426" s="186"/>
      <c r="J1426" s="184"/>
    </row>
    <row r="1427" spans="1:10">
      <c r="A1427" s="174"/>
      <c r="B1427" s="184"/>
      <c r="C1427" s="184"/>
      <c r="D1427" s="184"/>
      <c r="E1427" s="184"/>
      <c r="F1427" s="184"/>
      <c r="I1427" s="186"/>
      <c r="J1427" s="184"/>
    </row>
    <row r="1428" spans="1:10">
      <c r="A1428" s="174"/>
      <c r="B1428" s="184"/>
      <c r="C1428" s="184"/>
      <c r="D1428" s="184"/>
      <c r="E1428" s="184"/>
      <c r="F1428" s="184"/>
      <c r="G1428" s="187"/>
      <c r="I1428" s="186"/>
      <c r="J1428" s="184"/>
    </row>
    <row r="1429" spans="1:10">
      <c r="A1429" s="174"/>
      <c r="B1429" s="184"/>
      <c r="C1429" s="184"/>
      <c r="D1429" s="184"/>
      <c r="E1429" s="184"/>
      <c r="F1429" s="184"/>
      <c r="G1429" s="187"/>
      <c r="I1429" s="186"/>
      <c r="J1429" s="184"/>
    </row>
    <row r="1430" spans="1:10">
      <c r="A1430" s="174"/>
      <c r="B1430" s="184"/>
      <c r="C1430" s="184"/>
      <c r="D1430" s="184"/>
      <c r="E1430" s="184"/>
      <c r="F1430" s="184"/>
      <c r="G1430" s="187"/>
      <c r="I1430" s="186"/>
      <c r="J1430" s="184"/>
    </row>
    <row r="1431" spans="1:10">
      <c r="A1431" s="174"/>
      <c r="B1431" s="184"/>
      <c r="C1431" s="184"/>
      <c r="D1431" s="184"/>
      <c r="E1431" s="184"/>
      <c r="F1431" s="184"/>
      <c r="G1431" s="187"/>
      <c r="I1431" s="186"/>
      <c r="J1431" s="184"/>
    </row>
    <row r="1432" spans="1:10">
      <c r="A1432" s="174"/>
      <c r="B1432" s="184"/>
      <c r="C1432" s="184"/>
      <c r="D1432" s="184"/>
      <c r="E1432" s="184"/>
      <c r="F1432" s="184"/>
      <c r="G1432" s="187"/>
      <c r="I1432" s="186"/>
      <c r="J1432" s="184"/>
    </row>
    <row r="1433" spans="1:10">
      <c r="A1433" s="174"/>
      <c r="B1433" s="184"/>
      <c r="C1433" s="184"/>
      <c r="D1433" s="184"/>
      <c r="E1433" s="184"/>
      <c r="F1433" s="184"/>
      <c r="I1433" s="186"/>
      <c r="J1433" s="184"/>
    </row>
    <row r="1434" spans="1:10">
      <c r="A1434" s="174"/>
      <c r="B1434" s="184"/>
      <c r="C1434" s="184"/>
      <c r="D1434" s="184"/>
      <c r="E1434" s="184"/>
      <c r="F1434" s="184"/>
      <c r="I1434" s="186"/>
      <c r="J1434" s="184"/>
    </row>
    <row r="1435" spans="1:10">
      <c r="A1435" s="174"/>
      <c r="B1435" s="184"/>
      <c r="C1435" s="184"/>
      <c r="D1435" s="184"/>
      <c r="E1435" s="184"/>
      <c r="F1435" s="184"/>
      <c r="I1435" s="186"/>
      <c r="J1435" s="184"/>
    </row>
    <row r="1436" spans="1:10">
      <c r="A1436" s="174"/>
      <c r="B1436" s="184"/>
      <c r="C1436" s="184"/>
      <c r="D1436" s="184"/>
      <c r="E1436" s="184"/>
      <c r="F1436" s="184"/>
      <c r="I1436" s="186"/>
      <c r="J1436" s="184"/>
    </row>
    <row r="1437" spans="1:10">
      <c r="A1437" s="174"/>
      <c r="B1437" s="184"/>
      <c r="C1437" s="184"/>
      <c r="D1437" s="184"/>
      <c r="E1437" s="184"/>
      <c r="F1437" s="184"/>
      <c r="G1437" s="187"/>
      <c r="I1437" s="186"/>
      <c r="J1437" s="184"/>
    </row>
    <row r="1438" spans="1:10">
      <c r="A1438" s="174"/>
      <c r="B1438" s="184"/>
      <c r="C1438" s="184"/>
      <c r="D1438" s="184"/>
      <c r="E1438" s="184"/>
      <c r="F1438" s="184"/>
      <c r="G1438" s="187"/>
      <c r="I1438" s="186"/>
      <c r="J1438" s="184"/>
    </row>
    <row r="1439" spans="1:10">
      <c r="A1439" s="174"/>
      <c r="B1439" s="184"/>
      <c r="C1439" s="184"/>
      <c r="D1439" s="184"/>
      <c r="E1439" s="184"/>
      <c r="F1439" s="184"/>
      <c r="G1439" s="187"/>
      <c r="I1439" s="186"/>
      <c r="J1439" s="184"/>
    </row>
    <row r="1440" spans="1:10">
      <c r="A1440" s="174"/>
      <c r="B1440" s="184"/>
      <c r="C1440" s="184"/>
      <c r="D1440" s="184"/>
      <c r="E1440" s="184"/>
      <c r="F1440" s="184"/>
      <c r="G1440" s="187"/>
      <c r="I1440" s="186"/>
      <c r="J1440" s="184"/>
    </row>
    <row r="1441" spans="1:10">
      <c r="A1441" s="174"/>
      <c r="B1441" s="184"/>
      <c r="C1441" s="184"/>
      <c r="D1441" s="184"/>
      <c r="E1441" s="184"/>
      <c r="F1441" s="184"/>
      <c r="G1441" s="187"/>
      <c r="I1441" s="186"/>
      <c r="J1441" s="184"/>
    </row>
    <row r="1442" spans="1:10">
      <c r="A1442" s="174"/>
      <c r="B1442" s="184"/>
      <c r="C1442" s="184"/>
      <c r="D1442" s="184"/>
      <c r="E1442" s="184"/>
      <c r="F1442" s="184"/>
      <c r="G1442" s="187"/>
      <c r="I1442" s="186"/>
      <c r="J1442" s="184"/>
    </row>
    <row r="1443" spans="1:10">
      <c r="A1443" s="174"/>
      <c r="B1443" s="184"/>
      <c r="C1443" s="184"/>
      <c r="D1443" s="184"/>
      <c r="E1443" s="184"/>
      <c r="F1443" s="184"/>
      <c r="G1443" s="187"/>
      <c r="I1443" s="186"/>
      <c r="J1443" s="184"/>
    </row>
    <row r="1444" spans="1:10">
      <c r="A1444" s="174"/>
      <c r="B1444" s="184"/>
      <c r="C1444" s="184"/>
      <c r="D1444" s="184"/>
      <c r="E1444" s="184"/>
      <c r="F1444" s="184"/>
      <c r="G1444" s="187"/>
      <c r="I1444" s="186"/>
      <c r="J1444" s="184"/>
    </row>
    <row r="1445" spans="1:10">
      <c r="A1445" s="174"/>
      <c r="B1445" s="184"/>
      <c r="C1445" s="184"/>
      <c r="D1445" s="184"/>
      <c r="E1445" s="184"/>
      <c r="F1445" s="184"/>
      <c r="G1445" s="187"/>
      <c r="I1445" s="186"/>
      <c r="J1445" s="184"/>
    </row>
    <row r="1446" spans="1:10">
      <c r="A1446" s="174"/>
      <c r="B1446" s="184"/>
      <c r="C1446" s="184"/>
      <c r="D1446" s="184"/>
      <c r="E1446" s="184"/>
      <c r="F1446" s="184"/>
      <c r="G1446" s="187"/>
      <c r="I1446" s="186"/>
      <c r="J1446" s="184"/>
    </row>
    <row r="1447" spans="1:10">
      <c r="A1447" s="174"/>
      <c r="B1447" s="184"/>
      <c r="C1447" s="184"/>
      <c r="D1447" s="184"/>
      <c r="E1447" s="184"/>
      <c r="F1447" s="184"/>
      <c r="G1447" s="187"/>
      <c r="I1447" s="186"/>
      <c r="J1447" s="184"/>
    </row>
    <row r="1448" spans="1:10">
      <c r="A1448" s="174"/>
      <c r="B1448" s="184"/>
      <c r="C1448" s="184"/>
      <c r="D1448" s="184"/>
      <c r="E1448" s="184"/>
      <c r="F1448" s="184"/>
      <c r="G1448" s="187"/>
      <c r="I1448" s="186"/>
      <c r="J1448" s="184"/>
    </row>
    <row r="1449" spans="1:10">
      <c r="A1449" s="174"/>
      <c r="B1449" s="184"/>
      <c r="C1449" s="184"/>
      <c r="D1449" s="184"/>
      <c r="E1449" s="184"/>
      <c r="F1449" s="184"/>
      <c r="G1449" s="187"/>
      <c r="I1449" s="186"/>
      <c r="J1449" s="184"/>
    </row>
    <row r="1450" spans="1:10">
      <c r="A1450" s="174"/>
      <c r="B1450" s="184"/>
      <c r="C1450" s="184"/>
      <c r="D1450" s="184"/>
      <c r="E1450" s="184"/>
      <c r="F1450" s="184"/>
      <c r="I1450" s="186"/>
      <c r="J1450" s="184"/>
    </row>
    <row r="1451" spans="1:10">
      <c r="A1451" s="174"/>
      <c r="B1451" s="184"/>
      <c r="C1451" s="184"/>
      <c r="D1451" s="184"/>
      <c r="E1451" s="184"/>
      <c r="F1451" s="184"/>
      <c r="G1451" s="187"/>
      <c r="I1451" s="186"/>
      <c r="J1451" s="184"/>
    </row>
    <row r="1452" spans="1:10">
      <c r="A1452" s="174"/>
      <c r="B1452" s="184"/>
      <c r="C1452" s="184"/>
      <c r="D1452" s="184"/>
      <c r="E1452" s="184"/>
      <c r="F1452" s="184"/>
      <c r="G1452" s="187"/>
      <c r="I1452" s="186"/>
      <c r="J1452" s="184"/>
    </row>
    <row r="1453" spans="1:10">
      <c r="A1453" s="174"/>
      <c r="B1453" s="184"/>
      <c r="C1453" s="184"/>
      <c r="D1453" s="184"/>
      <c r="E1453" s="184"/>
      <c r="F1453" s="184"/>
      <c r="G1453" s="187"/>
      <c r="I1453" s="186"/>
      <c r="J1453" s="184"/>
    </row>
    <row r="1454" spans="1:10">
      <c r="A1454" s="174"/>
      <c r="B1454" s="184"/>
      <c r="C1454" s="184"/>
      <c r="D1454" s="184"/>
      <c r="E1454" s="184"/>
      <c r="F1454" s="184"/>
      <c r="G1454" s="187"/>
      <c r="I1454" s="186"/>
      <c r="J1454" s="184"/>
    </row>
    <row r="1455" spans="1:10">
      <c r="A1455" s="174"/>
      <c r="B1455" s="184"/>
      <c r="C1455" s="184"/>
      <c r="D1455" s="184"/>
      <c r="E1455" s="184"/>
      <c r="F1455" s="184"/>
      <c r="G1455" s="187"/>
      <c r="I1455" s="186"/>
      <c r="J1455" s="184"/>
    </row>
    <row r="1456" spans="1:10">
      <c r="A1456" s="174"/>
      <c r="B1456" s="184"/>
      <c r="C1456" s="184"/>
      <c r="D1456" s="184"/>
      <c r="E1456" s="184"/>
      <c r="F1456" s="184"/>
      <c r="I1456" s="186"/>
      <c r="J1456" s="184"/>
    </row>
    <row r="1457" spans="1:10">
      <c r="A1457" s="174"/>
      <c r="B1457" s="184"/>
      <c r="C1457" s="184"/>
      <c r="D1457" s="184"/>
      <c r="E1457" s="184"/>
      <c r="F1457" s="184"/>
      <c r="G1457" s="187"/>
      <c r="I1457" s="186"/>
      <c r="J1457" s="184"/>
    </row>
    <row r="1458" spans="1:10">
      <c r="A1458" s="174"/>
      <c r="B1458" s="184"/>
      <c r="C1458" s="184"/>
      <c r="D1458" s="184"/>
      <c r="E1458" s="184"/>
      <c r="F1458" s="184"/>
      <c r="I1458" s="186"/>
      <c r="J1458" s="184"/>
    </row>
    <row r="1459" spans="1:10">
      <c r="A1459" s="174"/>
      <c r="B1459" s="184"/>
      <c r="C1459" s="184"/>
      <c r="D1459" s="184"/>
      <c r="E1459" s="184"/>
      <c r="F1459" s="184"/>
      <c r="I1459" s="186"/>
      <c r="J1459" s="184"/>
    </row>
    <row r="1460" spans="1:10">
      <c r="A1460" s="174"/>
      <c r="B1460" s="184"/>
      <c r="C1460" s="184"/>
      <c r="D1460" s="184"/>
      <c r="E1460" s="184"/>
      <c r="F1460" s="184"/>
      <c r="I1460" s="186"/>
      <c r="J1460" s="184"/>
    </row>
    <row r="1461" spans="1:10">
      <c r="A1461" s="174"/>
      <c r="B1461" s="184"/>
      <c r="C1461" s="184"/>
      <c r="D1461" s="184"/>
      <c r="E1461" s="184"/>
      <c r="F1461" s="184"/>
      <c r="G1461" s="187"/>
      <c r="I1461" s="186"/>
      <c r="J1461" s="184"/>
    </row>
    <row r="1462" spans="1:10">
      <c r="A1462" s="174"/>
      <c r="B1462" s="184"/>
      <c r="C1462" s="184"/>
      <c r="D1462" s="184"/>
      <c r="E1462" s="184"/>
      <c r="F1462" s="184"/>
      <c r="G1462" s="187"/>
      <c r="I1462" s="186"/>
      <c r="J1462" s="184"/>
    </row>
    <row r="1463" spans="1:10">
      <c r="A1463" s="174"/>
      <c r="B1463" s="184"/>
      <c r="C1463" s="184"/>
      <c r="D1463" s="184"/>
      <c r="E1463" s="184"/>
      <c r="F1463" s="184"/>
      <c r="G1463" s="187"/>
      <c r="I1463" s="186"/>
      <c r="J1463" s="184"/>
    </row>
    <row r="1464" spans="1:10">
      <c r="A1464" s="174"/>
      <c r="B1464" s="184"/>
      <c r="C1464" s="184"/>
      <c r="D1464" s="184"/>
      <c r="E1464" s="184"/>
      <c r="F1464" s="184"/>
      <c r="G1464" s="187"/>
      <c r="I1464" s="186"/>
      <c r="J1464" s="184"/>
    </row>
    <row r="1465" spans="1:10">
      <c r="A1465" s="174"/>
      <c r="B1465" s="184"/>
      <c r="C1465" s="184"/>
      <c r="D1465" s="184"/>
      <c r="E1465" s="184"/>
      <c r="F1465" s="184"/>
      <c r="G1465" s="187"/>
      <c r="I1465" s="186"/>
      <c r="J1465" s="184"/>
    </row>
    <row r="1466" spans="1:10">
      <c r="A1466" s="174"/>
      <c r="B1466" s="184"/>
      <c r="C1466" s="184"/>
      <c r="D1466" s="184"/>
      <c r="E1466" s="184"/>
      <c r="F1466" s="184"/>
      <c r="I1466" s="186"/>
      <c r="J1466" s="184"/>
    </row>
    <row r="1467" spans="1:10">
      <c r="A1467" s="174"/>
      <c r="B1467" s="184"/>
      <c r="C1467" s="184"/>
      <c r="D1467" s="184"/>
      <c r="E1467" s="184"/>
      <c r="F1467" s="184"/>
      <c r="G1467" s="187"/>
      <c r="I1467" s="186"/>
      <c r="J1467" s="184"/>
    </row>
    <row r="1468" spans="1:10">
      <c r="A1468" s="174"/>
      <c r="B1468" s="184"/>
      <c r="C1468" s="184"/>
      <c r="D1468" s="184"/>
      <c r="E1468" s="184"/>
      <c r="F1468" s="184"/>
      <c r="G1468" s="187"/>
      <c r="I1468" s="186"/>
      <c r="J1468" s="184"/>
    </row>
    <row r="1469" spans="1:10">
      <c r="A1469" s="174"/>
      <c r="B1469" s="184"/>
      <c r="C1469" s="184"/>
      <c r="D1469" s="184"/>
      <c r="E1469" s="184"/>
      <c r="F1469" s="184"/>
      <c r="G1469" s="187"/>
      <c r="I1469" s="186"/>
      <c r="J1469" s="184"/>
    </row>
    <row r="1470" spans="1:10">
      <c r="A1470" s="174"/>
      <c r="B1470" s="184"/>
      <c r="C1470" s="184"/>
      <c r="D1470" s="184"/>
      <c r="E1470" s="184"/>
      <c r="F1470" s="184"/>
      <c r="G1470" s="187"/>
      <c r="I1470" s="186"/>
      <c r="J1470" s="184"/>
    </row>
    <row r="1471" spans="1:10">
      <c r="A1471" s="174"/>
      <c r="B1471" s="184"/>
      <c r="C1471" s="184"/>
      <c r="D1471" s="184"/>
      <c r="E1471" s="184"/>
      <c r="F1471" s="184"/>
      <c r="G1471" s="187"/>
      <c r="I1471" s="186"/>
      <c r="J1471" s="184"/>
    </row>
    <row r="1472" spans="1:10">
      <c r="A1472" s="174"/>
      <c r="B1472" s="184"/>
      <c r="C1472" s="184"/>
      <c r="D1472" s="184"/>
      <c r="E1472" s="184"/>
      <c r="F1472" s="184"/>
      <c r="G1472" s="187"/>
      <c r="I1472" s="186"/>
      <c r="J1472" s="184"/>
    </row>
    <row r="1473" spans="1:10">
      <c r="A1473" s="174"/>
      <c r="B1473" s="184"/>
      <c r="C1473" s="184"/>
      <c r="D1473" s="184"/>
      <c r="E1473" s="184"/>
      <c r="F1473" s="184"/>
      <c r="I1473" s="186"/>
      <c r="J1473" s="184"/>
    </row>
    <row r="1474" spans="1:10">
      <c r="A1474" s="174"/>
      <c r="B1474" s="184"/>
      <c r="C1474" s="184"/>
      <c r="D1474" s="184"/>
      <c r="E1474" s="184"/>
      <c r="F1474" s="184"/>
      <c r="I1474" s="186"/>
      <c r="J1474" s="184"/>
    </row>
    <row r="1475" spans="1:10">
      <c r="A1475" s="174"/>
      <c r="B1475" s="184"/>
      <c r="C1475" s="184"/>
      <c r="D1475" s="184"/>
      <c r="E1475" s="184"/>
      <c r="F1475" s="184"/>
      <c r="G1475" s="187"/>
      <c r="I1475" s="186"/>
      <c r="J1475" s="184"/>
    </row>
    <row r="1476" spans="1:10">
      <c r="A1476" s="174"/>
      <c r="B1476" s="184"/>
      <c r="C1476" s="184"/>
      <c r="D1476" s="184"/>
      <c r="E1476" s="184"/>
      <c r="F1476" s="184"/>
      <c r="G1476" s="187"/>
      <c r="I1476" s="186"/>
      <c r="J1476" s="184"/>
    </row>
    <row r="1477" spans="1:10">
      <c r="A1477" s="174"/>
      <c r="B1477" s="184"/>
      <c r="C1477" s="184"/>
      <c r="D1477" s="184"/>
      <c r="E1477" s="184"/>
      <c r="F1477" s="184"/>
      <c r="G1477" s="187"/>
      <c r="I1477" s="186"/>
      <c r="J1477" s="184"/>
    </row>
    <row r="1478" spans="1:10">
      <c r="A1478" s="174"/>
      <c r="B1478" s="184"/>
      <c r="C1478" s="184"/>
      <c r="D1478" s="184"/>
      <c r="E1478" s="184"/>
      <c r="F1478" s="184"/>
      <c r="I1478" s="186"/>
      <c r="J1478" s="184"/>
    </row>
    <row r="1479" spans="1:10">
      <c r="A1479" s="174"/>
      <c r="B1479" s="184"/>
      <c r="C1479" s="184"/>
      <c r="D1479" s="184"/>
      <c r="E1479" s="184"/>
      <c r="F1479" s="184"/>
      <c r="I1479" s="186"/>
      <c r="J1479" s="184"/>
    </row>
    <row r="1480" spans="1:10">
      <c r="A1480" s="174"/>
      <c r="B1480" s="184"/>
      <c r="C1480" s="184"/>
      <c r="D1480" s="184"/>
      <c r="E1480" s="184"/>
      <c r="F1480" s="184"/>
      <c r="I1480" s="186"/>
      <c r="J1480" s="184"/>
    </row>
    <row r="1481" spans="1:10">
      <c r="A1481" s="174"/>
      <c r="B1481" s="184"/>
      <c r="C1481" s="184"/>
      <c r="D1481" s="184"/>
      <c r="E1481" s="184"/>
      <c r="F1481" s="184"/>
      <c r="I1481" s="186"/>
      <c r="J1481" s="184"/>
    </row>
    <row r="1482" spans="1:10">
      <c r="A1482" s="174"/>
      <c r="B1482" s="184"/>
      <c r="C1482" s="184"/>
      <c r="D1482" s="184"/>
      <c r="E1482" s="184"/>
      <c r="F1482" s="184"/>
      <c r="I1482" s="186"/>
      <c r="J1482" s="184"/>
    </row>
    <row r="1483" spans="1:10">
      <c r="A1483" s="174"/>
      <c r="B1483" s="184"/>
      <c r="C1483" s="184"/>
      <c r="D1483" s="184"/>
      <c r="E1483" s="184"/>
      <c r="F1483" s="184"/>
      <c r="G1483" s="187"/>
      <c r="I1483" s="186"/>
      <c r="J1483" s="184"/>
    </row>
    <row r="1484" spans="1:10">
      <c r="A1484" s="174"/>
      <c r="B1484" s="184"/>
      <c r="C1484" s="184"/>
      <c r="D1484" s="184"/>
      <c r="E1484" s="184"/>
      <c r="F1484" s="184"/>
      <c r="I1484" s="186"/>
      <c r="J1484" s="184"/>
    </row>
    <row r="1485" spans="1:10">
      <c r="A1485" s="174"/>
      <c r="B1485" s="184"/>
      <c r="C1485" s="184"/>
      <c r="D1485" s="184"/>
      <c r="E1485" s="184"/>
      <c r="F1485" s="184"/>
      <c r="G1485" s="187"/>
      <c r="I1485" s="186"/>
      <c r="J1485" s="184"/>
    </row>
    <row r="1486" spans="1:10">
      <c r="A1486" s="174"/>
      <c r="B1486" s="184"/>
      <c r="C1486" s="184"/>
      <c r="D1486" s="184"/>
      <c r="E1486" s="184"/>
      <c r="F1486" s="184"/>
      <c r="I1486" s="186"/>
      <c r="J1486" s="184"/>
    </row>
    <row r="1487" spans="1:10">
      <c r="A1487" s="174"/>
      <c r="B1487" s="184"/>
      <c r="C1487" s="184"/>
      <c r="D1487" s="184"/>
      <c r="E1487" s="184"/>
      <c r="F1487" s="184"/>
      <c r="I1487" s="186"/>
      <c r="J1487" s="184"/>
    </row>
    <row r="1488" spans="1:10">
      <c r="A1488" s="174"/>
      <c r="B1488" s="184"/>
      <c r="C1488" s="184"/>
      <c r="D1488" s="184"/>
      <c r="E1488" s="184"/>
      <c r="F1488" s="184"/>
      <c r="G1488" s="187"/>
      <c r="I1488" s="186"/>
      <c r="J1488" s="184"/>
    </row>
    <row r="1489" spans="1:10">
      <c r="A1489" s="174"/>
      <c r="B1489" s="184"/>
      <c r="C1489" s="184"/>
      <c r="D1489" s="184"/>
      <c r="E1489" s="184"/>
      <c r="F1489" s="184"/>
      <c r="G1489" s="187"/>
      <c r="I1489" s="186"/>
      <c r="J1489" s="184"/>
    </row>
    <row r="1490" spans="1:10">
      <c r="A1490" s="174"/>
      <c r="B1490" s="184"/>
      <c r="C1490" s="184"/>
      <c r="D1490" s="184"/>
      <c r="E1490" s="184"/>
      <c r="F1490" s="184"/>
      <c r="I1490" s="186"/>
      <c r="J1490" s="184"/>
    </row>
    <row r="1491" spans="1:10">
      <c r="A1491" s="174"/>
      <c r="B1491" s="184"/>
      <c r="C1491" s="184"/>
      <c r="D1491" s="184"/>
      <c r="E1491" s="184"/>
      <c r="F1491" s="184"/>
      <c r="G1491" s="187"/>
      <c r="I1491" s="186"/>
      <c r="J1491" s="184"/>
    </row>
    <row r="1492" spans="1:10">
      <c r="A1492" s="174"/>
      <c r="B1492" s="184"/>
      <c r="C1492" s="184"/>
      <c r="D1492" s="184"/>
      <c r="E1492" s="184"/>
      <c r="F1492" s="184"/>
      <c r="I1492" s="186"/>
      <c r="J1492" s="184"/>
    </row>
    <row r="1493" spans="1:10">
      <c r="A1493" s="174"/>
      <c r="B1493" s="184"/>
      <c r="C1493" s="184"/>
      <c r="D1493" s="184"/>
      <c r="E1493" s="184"/>
      <c r="F1493" s="184"/>
      <c r="I1493" s="186"/>
      <c r="J1493" s="184"/>
    </row>
    <row r="1494" spans="1:10">
      <c r="A1494" s="174"/>
      <c r="B1494" s="184"/>
      <c r="C1494" s="184"/>
      <c r="D1494" s="184"/>
      <c r="E1494" s="184"/>
      <c r="F1494" s="184"/>
      <c r="I1494" s="186"/>
      <c r="J1494" s="184"/>
    </row>
    <row r="1495" spans="1:10">
      <c r="A1495" s="174"/>
      <c r="B1495" s="184"/>
      <c r="C1495" s="184"/>
      <c r="D1495" s="184"/>
      <c r="E1495" s="184"/>
      <c r="F1495" s="184"/>
      <c r="I1495" s="186"/>
      <c r="J1495" s="184"/>
    </row>
    <row r="1496" spans="1:10">
      <c r="A1496" s="174"/>
      <c r="B1496" s="184"/>
      <c r="C1496" s="184"/>
      <c r="D1496" s="184"/>
      <c r="E1496" s="184"/>
      <c r="F1496" s="184"/>
      <c r="I1496" s="186"/>
      <c r="J1496" s="184"/>
    </row>
    <row r="1497" spans="1:10">
      <c r="A1497" s="174"/>
      <c r="B1497" s="184"/>
      <c r="C1497" s="184"/>
      <c r="D1497" s="184"/>
      <c r="E1497" s="184"/>
      <c r="F1497" s="184"/>
      <c r="G1497" s="187"/>
      <c r="I1497" s="186"/>
      <c r="J1497" s="184"/>
    </row>
    <row r="1498" spans="1:10">
      <c r="A1498" s="174"/>
      <c r="B1498" s="184"/>
      <c r="C1498" s="184"/>
      <c r="D1498" s="184"/>
      <c r="E1498" s="184"/>
      <c r="F1498" s="184"/>
      <c r="I1498" s="186"/>
      <c r="J1498" s="184"/>
    </row>
    <row r="1499" spans="1:10">
      <c r="A1499" s="174"/>
      <c r="B1499" s="184"/>
      <c r="C1499" s="184"/>
      <c r="D1499" s="184"/>
      <c r="E1499" s="184"/>
      <c r="F1499" s="184"/>
      <c r="I1499" s="186"/>
      <c r="J1499" s="184"/>
    </row>
    <row r="1500" spans="1:10">
      <c r="A1500" s="174"/>
      <c r="B1500" s="184"/>
      <c r="C1500" s="184"/>
      <c r="D1500" s="184"/>
      <c r="E1500" s="184"/>
      <c r="F1500" s="184"/>
      <c r="G1500" s="187"/>
      <c r="I1500" s="186"/>
      <c r="J1500" s="184"/>
    </row>
    <row r="1501" spans="1:10">
      <c r="A1501" s="174"/>
      <c r="B1501" s="184"/>
      <c r="C1501" s="184"/>
      <c r="D1501" s="184"/>
      <c r="E1501" s="184"/>
      <c r="F1501" s="184"/>
      <c r="G1501" s="187"/>
      <c r="I1501" s="186"/>
      <c r="J1501" s="184"/>
    </row>
    <row r="1502" spans="1:10">
      <c r="A1502" s="174"/>
      <c r="B1502" s="184"/>
      <c r="C1502" s="184"/>
      <c r="D1502" s="184"/>
      <c r="E1502" s="184"/>
      <c r="F1502" s="184"/>
      <c r="I1502" s="186"/>
      <c r="J1502" s="184"/>
    </row>
    <row r="1503" spans="1:10">
      <c r="A1503" s="174"/>
      <c r="B1503" s="184"/>
      <c r="C1503" s="184"/>
      <c r="D1503" s="184"/>
      <c r="E1503" s="184"/>
      <c r="F1503" s="184"/>
      <c r="I1503" s="186"/>
      <c r="J1503" s="184"/>
    </row>
    <row r="1504" spans="1:10">
      <c r="A1504" s="174"/>
      <c r="B1504" s="184"/>
      <c r="C1504" s="184"/>
      <c r="D1504" s="184"/>
      <c r="E1504" s="184"/>
      <c r="F1504" s="184"/>
      <c r="I1504" s="186"/>
      <c r="J1504" s="184"/>
    </row>
    <row r="1505" spans="1:10">
      <c r="A1505" s="174"/>
      <c r="B1505" s="184"/>
      <c r="C1505" s="184"/>
      <c r="D1505" s="184"/>
      <c r="E1505" s="184"/>
      <c r="F1505" s="184"/>
      <c r="I1505" s="186"/>
      <c r="J1505" s="184"/>
    </row>
    <row r="1506" spans="1:10">
      <c r="A1506" s="174"/>
      <c r="B1506" s="184"/>
      <c r="C1506" s="184"/>
      <c r="D1506" s="184"/>
      <c r="E1506" s="184"/>
      <c r="F1506" s="184"/>
      <c r="I1506" s="186"/>
      <c r="J1506" s="184"/>
    </row>
    <row r="1507" spans="1:10">
      <c r="A1507" s="174"/>
      <c r="B1507" s="184"/>
      <c r="C1507" s="184"/>
      <c r="D1507" s="184"/>
      <c r="E1507" s="184"/>
      <c r="F1507" s="184"/>
      <c r="I1507" s="186"/>
      <c r="J1507" s="184"/>
    </row>
    <row r="1508" spans="1:10">
      <c r="A1508" s="174"/>
      <c r="B1508" s="184"/>
      <c r="C1508" s="184"/>
      <c r="D1508" s="184"/>
      <c r="E1508" s="184"/>
      <c r="F1508" s="184"/>
      <c r="I1508" s="186"/>
      <c r="J1508" s="184"/>
    </row>
    <row r="1509" spans="1:10">
      <c r="A1509" s="174"/>
      <c r="B1509" s="184"/>
      <c r="C1509" s="184"/>
      <c r="D1509" s="184"/>
      <c r="E1509" s="184"/>
      <c r="F1509" s="184"/>
      <c r="I1509" s="186"/>
      <c r="J1509" s="184"/>
    </row>
    <row r="1510" spans="1:10">
      <c r="A1510" s="174"/>
      <c r="B1510" s="184"/>
      <c r="C1510" s="184"/>
      <c r="D1510" s="184"/>
      <c r="E1510" s="184"/>
      <c r="F1510" s="184"/>
      <c r="I1510" s="186"/>
      <c r="J1510" s="184"/>
    </row>
    <row r="1511" spans="1:10">
      <c r="A1511" s="174"/>
      <c r="B1511" s="184"/>
      <c r="C1511" s="184"/>
      <c r="D1511" s="184"/>
      <c r="E1511" s="184"/>
      <c r="F1511" s="184"/>
      <c r="I1511" s="186"/>
      <c r="J1511" s="184"/>
    </row>
    <row r="1512" spans="1:10">
      <c r="A1512" s="174"/>
      <c r="B1512" s="184"/>
      <c r="C1512" s="184"/>
      <c r="D1512" s="184"/>
      <c r="E1512" s="184"/>
      <c r="F1512" s="184"/>
      <c r="I1512" s="186"/>
      <c r="J1512" s="184"/>
    </row>
    <row r="1513" spans="1:10">
      <c r="A1513" s="174"/>
      <c r="B1513" s="184"/>
      <c r="C1513" s="184"/>
      <c r="D1513" s="184"/>
      <c r="E1513" s="184"/>
      <c r="F1513" s="184"/>
      <c r="I1513" s="186"/>
      <c r="J1513" s="184"/>
    </row>
    <row r="1514" spans="1:10">
      <c r="A1514" s="174"/>
      <c r="B1514" s="184"/>
      <c r="C1514" s="184"/>
      <c r="D1514" s="184"/>
      <c r="E1514" s="184"/>
      <c r="F1514" s="184"/>
      <c r="I1514" s="186"/>
      <c r="J1514" s="184"/>
    </row>
    <row r="1515" spans="1:10">
      <c r="A1515" s="174"/>
      <c r="B1515" s="184"/>
      <c r="C1515" s="184"/>
      <c r="D1515" s="184"/>
      <c r="E1515" s="184"/>
      <c r="F1515" s="184"/>
      <c r="I1515" s="186"/>
      <c r="J1515" s="184"/>
    </row>
    <row r="1516" spans="1:10">
      <c r="A1516" s="174"/>
      <c r="B1516" s="184"/>
      <c r="C1516" s="184"/>
      <c r="D1516" s="184"/>
      <c r="E1516" s="184"/>
      <c r="F1516" s="184"/>
      <c r="I1516" s="186"/>
      <c r="J1516" s="184"/>
    </row>
    <row r="1517" spans="1:10">
      <c r="A1517" s="174"/>
      <c r="B1517" s="184"/>
      <c r="C1517" s="184"/>
      <c r="D1517" s="184"/>
      <c r="E1517" s="184"/>
      <c r="F1517" s="184"/>
      <c r="I1517" s="186"/>
      <c r="J1517" s="184"/>
    </row>
    <row r="1518" spans="1:10">
      <c r="A1518" s="174"/>
      <c r="B1518" s="184"/>
      <c r="C1518" s="184"/>
      <c r="D1518" s="184"/>
      <c r="E1518" s="184"/>
      <c r="F1518" s="184"/>
      <c r="I1518" s="186"/>
      <c r="J1518" s="184"/>
    </row>
    <row r="1519" spans="1:10">
      <c r="A1519" s="174"/>
      <c r="B1519" s="184"/>
      <c r="C1519" s="184"/>
      <c r="D1519" s="184"/>
      <c r="E1519" s="184"/>
      <c r="F1519" s="184"/>
      <c r="I1519" s="186"/>
      <c r="J1519" s="184"/>
    </row>
    <row r="1520" spans="1:10">
      <c r="A1520" s="174"/>
      <c r="B1520" s="184"/>
      <c r="C1520" s="184"/>
      <c r="D1520" s="184"/>
      <c r="E1520" s="184"/>
      <c r="F1520" s="184"/>
      <c r="I1520" s="186"/>
      <c r="J1520" s="184"/>
    </row>
    <row r="1521" spans="1:10">
      <c r="A1521" s="174"/>
      <c r="B1521" s="184"/>
      <c r="C1521" s="184"/>
      <c r="D1521" s="184"/>
      <c r="E1521" s="184"/>
      <c r="F1521" s="184"/>
      <c r="I1521" s="186"/>
      <c r="J1521" s="184"/>
    </row>
    <row r="1522" spans="1:10">
      <c r="A1522" s="174"/>
      <c r="B1522" s="184"/>
      <c r="C1522" s="184"/>
      <c r="D1522" s="184"/>
      <c r="E1522" s="184"/>
      <c r="F1522" s="184"/>
      <c r="I1522" s="186"/>
      <c r="J1522" s="184"/>
    </row>
    <row r="1523" spans="1:10">
      <c r="A1523" s="174"/>
      <c r="B1523" s="184"/>
      <c r="C1523" s="184"/>
      <c r="D1523" s="184"/>
      <c r="E1523" s="184"/>
      <c r="F1523" s="184"/>
      <c r="I1523" s="186"/>
      <c r="J1523" s="184"/>
    </row>
    <row r="1524" spans="1:10">
      <c r="A1524" s="174"/>
      <c r="B1524" s="184"/>
      <c r="C1524" s="184"/>
      <c r="D1524" s="184"/>
      <c r="E1524" s="184"/>
      <c r="F1524" s="184"/>
      <c r="I1524" s="186"/>
      <c r="J1524" s="184"/>
    </row>
    <row r="1525" spans="1:10">
      <c r="A1525" s="174"/>
      <c r="B1525" s="184"/>
      <c r="C1525" s="184"/>
      <c r="D1525" s="184"/>
      <c r="E1525" s="184"/>
      <c r="F1525" s="184"/>
      <c r="I1525" s="186"/>
      <c r="J1525" s="184"/>
    </row>
    <row r="1526" spans="1:10">
      <c r="A1526" s="174"/>
      <c r="B1526" s="184"/>
      <c r="C1526" s="184"/>
      <c r="D1526" s="184"/>
      <c r="E1526" s="184"/>
      <c r="F1526" s="184"/>
      <c r="I1526" s="186"/>
      <c r="J1526" s="184"/>
    </row>
    <row r="1527" spans="1:10">
      <c r="A1527" s="174"/>
      <c r="B1527" s="184"/>
      <c r="C1527" s="184"/>
      <c r="D1527" s="184"/>
      <c r="E1527" s="184"/>
      <c r="F1527" s="184"/>
      <c r="I1527" s="186"/>
      <c r="J1527" s="184"/>
    </row>
    <row r="1528" spans="1:10">
      <c r="A1528" s="174"/>
      <c r="B1528" s="184"/>
      <c r="C1528" s="184"/>
      <c r="D1528" s="184"/>
      <c r="E1528" s="184"/>
      <c r="F1528" s="184"/>
      <c r="I1528" s="186"/>
      <c r="J1528" s="184"/>
    </row>
    <row r="1529" spans="1:10">
      <c r="A1529" s="174"/>
      <c r="B1529" s="184"/>
      <c r="C1529" s="184"/>
      <c r="D1529" s="184"/>
      <c r="E1529" s="184"/>
      <c r="F1529" s="184"/>
      <c r="I1529" s="186"/>
      <c r="J1529" s="184"/>
    </row>
    <row r="1530" spans="1:10">
      <c r="A1530" s="174"/>
      <c r="B1530" s="184"/>
      <c r="C1530" s="184"/>
      <c r="D1530" s="184"/>
      <c r="E1530" s="184"/>
      <c r="F1530" s="184"/>
      <c r="I1530" s="186"/>
      <c r="J1530" s="184"/>
    </row>
    <row r="1531" spans="1:10">
      <c r="A1531" s="174"/>
      <c r="B1531" s="184"/>
      <c r="C1531" s="184"/>
      <c r="D1531" s="184"/>
      <c r="E1531" s="184"/>
      <c r="F1531" s="184"/>
      <c r="I1531" s="186"/>
      <c r="J1531" s="184"/>
    </row>
    <row r="1532" spans="1:10">
      <c r="A1532" s="174"/>
      <c r="B1532" s="184"/>
      <c r="C1532" s="184"/>
      <c r="D1532" s="184"/>
      <c r="E1532" s="184"/>
      <c r="F1532" s="184"/>
      <c r="I1532" s="186"/>
      <c r="J1532" s="184"/>
    </row>
    <row r="1533" spans="1:10">
      <c r="A1533" s="174"/>
      <c r="B1533" s="184"/>
      <c r="C1533" s="184"/>
      <c r="D1533" s="184"/>
      <c r="E1533" s="184"/>
      <c r="F1533" s="184"/>
      <c r="I1533" s="186"/>
      <c r="J1533" s="184"/>
    </row>
    <row r="1534" spans="1:10">
      <c r="A1534" s="174"/>
      <c r="B1534" s="184"/>
      <c r="C1534" s="184"/>
      <c r="D1534" s="184"/>
      <c r="E1534" s="184"/>
      <c r="F1534" s="184"/>
      <c r="I1534" s="186"/>
      <c r="J1534" s="184"/>
    </row>
    <row r="1535" spans="1:10">
      <c r="A1535" s="174"/>
      <c r="B1535" s="184"/>
      <c r="C1535" s="184"/>
      <c r="D1535" s="184"/>
      <c r="E1535" s="184"/>
      <c r="F1535" s="184"/>
      <c r="I1535" s="186"/>
      <c r="J1535" s="184"/>
    </row>
    <row r="1536" spans="1:10">
      <c r="A1536" s="174"/>
      <c r="B1536" s="184"/>
      <c r="C1536" s="184"/>
      <c r="D1536" s="184"/>
      <c r="E1536" s="184"/>
      <c r="F1536" s="184"/>
      <c r="I1536" s="186"/>
      <c r="J1536" s="184"/>
    </row>
    <row r="1537" spans="1:10">
      <c r="A1537" s="174"/>
      <c r="B1537" s="184"/>
      <c r="C1537" s="184"/>
      <c r="D1537" s="184"/>
      <c r="E1537" s="184"/>
      <c r="F1537" s="184"/>
      <c r="I1537" s="186"/>
      <c r="J1537" s="184"/>
    </row>
    <row r="1538" spans="1:10">
      <c r="A1538" s="174"/>
      <c r="B1538" s="184"/>
      <c r="C1538" s="184"/>
      <c r="D1538" s="184"/>
      <c r="E1538" s="184"/>
      <c r="F1538" s="184"/>
      <c r="I1538" s="186"/>
      <c r="J1538" s="184"/>
    </row>
    <row r="1539" spans="1:10">
      <c r="A1539" s="174"/>
      <c r="B1539" s="184"/>
      <c r="C1539" s="184"/>
      <c r="D1539" s="184"/>
      <c r="E1539" s="184"/>
      <c r="F1539" s="184"/>
      <c r="I1539" s="186"/>
      <c r="J1539" s="184"/>
    </row>
    <row r="1540" spans="1:10">
      <c r="A1540" s="174"/>
      <c r="B1540" s="184"/>
      <c r="C1540" s="184"/>
      <c r="D1540" s="184"/>
      <c r="E1540" s="184"/>
      <c r="F1540" s="184"/>
      <c r="I1540" s="186"/>
      <c r="J1540" s="184"/>
    </row>
    <row r="1541" spans="1:10">
      <c r="A1541" s="174"/>
      <c r="B1541" s="184"/>
      <c r="C1541" s="184"/>
      <c r="D1541" s="184"/>
      <c r="E1541" s="184"/>
      <c r="F1541" s="184"/>
      <c r="I1541" s="186"/>
      <c r="J1541" s="184"/>
    </row>
    <row r="1542" spans="1:10">
      <c r="A1542" s="174"/>
      <c r="B1542" s="184"/>
      <c r="C1542" s="184"/>
      <c r="D1542" s="184"/>
      <c r="E1542" s="184"/>
      <c r="F1542" s="184"/>
      <c r="I1542" s="186"/>
      <c r="J1542" s="184"/>
    </row>
    <row r="1543" spans="1:10">
      <c r="A1543" s="174"/>
      <c r="B1543" s="184"/>
      <c r="C1543" s="184"/>
      <c r="D1543" s="184"/>
      <c r="E1543" s="184"/>
      <c r="F1543" s="184"/>
      <c r="I1543" s="186"/>
      <c r="J1543" s="184"/>
    </row>
    <row r="1544" spans="1:10">
      <c r="A1544" s="174"/>
      <c r="B1544" s="184"/>
      <c r="C1544" s="184"/>
      <c r="D1544" s="184"/>
      <c r="E1544" s="184"/>
      <c r="F1544" s="184"/>
      <c r="I1544" s="186"/>
      <c r="J1544" s="184"/>
    </row>
    <row r="1545" spans="1:10">
      <c r="A1545" s="174"/>
      <c r="B1545" s="184"/>
      <c r="C1545" s="184"/>
      <c r="D1545" s="184"/>
      <c r="E1545" s="184"/>
      <c r="F1545" s="184"/>
      <c r="I1545" s="186"/>
      <c r="J1545" s="184"/>
    </row>
    <row r="1546" spans="1:10">
      <c r="A1546" s="174"/>
      <c r="B1546" s="184"/>
      <c r="C1546" s="184"/>
      <c r="D1546" s="184"/>
      <c r="E1546" s="184"/>
      <c r="F1546" s="184"/>
      <c r="I1546" s="186"/>
      <c r="J1546" s="184"/>
    </row>
    <row r="1547" spans="1:10">
      <c r="A1547" s="174"/>
      <c r="B1547" s="184"/>
      <c r="C1547" s="184"/>
      <c r="D1547" s="184"/>
      <c r="E1547" s="184"/>
      <c r="F1547" s="184"/>
      <c r="I1547" s="186"/>
      <c r="J1547" s="184"/>
    </row>
    <row r="1548" spans="1:10">
      <c r="A1548" s="174"/>
      <c r="B1548" s="184"/>
      <c r="C1548" s="184"/>
      <c r="D1548" s="184"/>
      <c r="E1548" s="184"/>
      <c r="F1548" s="184"/>
      <c r="I1548" s="186"/>
      <c r="J1548" s="184"/>
    </row>
    <row r="1549" spans="1:10">
      <c r="A1549" s="174"/>
      <c r="B1549" s="184"/>
      <c r="C1549" s="184"/>
      <c r="D1549" s="184"/>
      <c r="E1549" s="184"/>
      <c r="F1549" s="184"/>
      <c r="G1549" s="187"/>
      <c r="I1549" s="186"/>
      <c r="J1549" s="184"/>
    </row>
    <row r="1550" spans="1:10">
      <c r="A1550" s="174"/>
      <c r="B1550" s="184"/>
      <c r="C1550" s="184"/>
      <c r="D1550" s="184"/>
      <c r="E1550" s="184"/>
      <c r="F1550" s="184"/>
      <c r="I1550" s="186"/>
      <c r="J1550" s="184"/>
    </row>
    <row r="1551" spans="1:10">
      <c r="A1551" s="174"/>
      <c r="B1551" s="184"/>
      <c r="C1551" s="184"/>
      <c r="D1551" s="184"/>
      <c r="E1551" s="184"/>
      <c r="F1551" s="184"/>
      <c r="I1551" s="186"/>
      <c r="J1551" s="184"/>
    </row>
    <row r="1552" spans="1:10">
      <c r="A1552" s="174"/>
      <c r="B1552" s="184"/>
      <c r="C1552" s="184"/>
      <c r="D1552" s="184"/>
      <c r="E1552" s="184"/>
      <c r="F1552" s="184"/>
      <c r="I1552" s="186"/>
      <c r="J1552" s="184"/>
    </row>
    <row r="1553" spans="1:10">
      <c r="A1553" s="174"/>
      <c r="B1553" s="184"/>
      <c r="C1553" s="184"/>
      <c r="D1553" s="184"/>
      <c r="E1553" s="184"/>
      <c r="F1553" s="184"/>
      <c r="I1553" s="186"/>
      <c r="J1553" s="184"/>
    </row>
    <row r="1554" spans="1:10">
      <c r="A1554" s="174"/>
      <c r="B1554" s="184"/>
      <c r="C1554" s="184"/>
      <c r="D1554" s="184"/>
      <c r="E1554" s="184"/>
      <c r="F1554" s="184"/>
      <c r="G1554" s="187"/>
      <c r="I1554" s="186"/>
      <c r="J1554" s="184"/>
    </row>
    <row r="1555" spans="1:10">
      <c r="A1555" s="174"/>
      <c r="B1555" s="184"/>
      <c r="C1555" s="184"/>
      <c r="D1555" s="184"/>
      <c r="E1555" s="184"/>
      <c r="F1555" s="184"/>
      <c r="I1555" s="186"/>
      <c r="J1555" s="184"/>
    </row>
    <row r="1556" spans="1:10">
      <c r="A1556" s="174"/>
      <c r="B1556" s="184"/>
      <c r="C1556" s="184"/>
      <c r="D1556" s="184"/>
      <c r="E1556" s="184"/>
      <c r="F1556" s="184"/>
      <c r="I1556" s="186"/>
      <c r="J1556" s="184"/>
    </row>
    <row r="1557" spans="1:10">
      <c r="A1557" s="174"/>
      <c r="B1557" s="184"/>
      <c r="C1557" s="184"/>
      <c r="D1557" s="184"/>
      <c r="E1557" s="184"/>
      <c r="F1557" s="184"/>
      <c r="I1557" s="186"/>
      <c r="J1557" s="184"/>
    </row>
    <row r="1558" spans="1:10">
      <c r="A1558" s="174"/>
      <c r="B1558" s="184"/>
      <c r="C1558" s="184"/>
      <c r="D1558" s="184"/>
      <c r="E1558" s="184"/>
      <c r="F1558" s="184"/>
      <c r="I1558" s="186"/>
      <c r="J1558" s="184"/>
    </row>
    <row r="1559" spans="1:10">
      <c r="A1559" s="174"/>
      <c r="B1559" s="184"/>
      <c r="C1559" s="184"/>
      <c r="D1559" s="184"/>
      <c r="E1559" s="184"/>
      <c r="F1559" s="184"/>
      <c r="I1559" s="186"/>
      <c r="J1559" s="184"/>
    </row>
    <row r="1560" spans="1:10">
      <c r="A1560" s="174"/>
      <c r="B1560" s="184"/>
      <c r="C1560" s="184"/>
      <c r="D1560" s="184"/>
      <c r="E1560" s="184"/>
      <c r="F1560" s="184"/>
      <c r="I1560" s="186"/>
      <c r="J1560" s="184"/>
    </row>
    <row r="1561" spans="1:10">
      <c r="A1561" s="174"/>
      <c r="B1561" s="184"/>
      <c r="C1561" s="184"/>
      <c r="D1561" s="184"/>
      <c r="E1561" s="184"/>
      <c r="F1561" s="184"/>
      <c r="I1561" s="186"/>
      <c r="J1561" s="184"/>
    </row>
    <row r="1562" spans="1:10">
      <c r="A1562" s="174"/>
      <c r="B1562" s="184"/>
      <c r="C1562" s="184"/>
      <c r="D1562" s="184"/>
      <c r="E1562" s="184"/>
      <c r="F1562" s="184"/>
      <c r="I1562" s="186"/>
      <c r="J1562" s="184"/>
    </row>
    <row r="1563" spans="1:10">
      <c r="A1563" s="174"/>
      <c r="B1563" s="184"/>
      <c r="C1563" s="184"/>
      <c r="D1563" s="184"/>
      <c r="E1563" s="184"/>
      <c r="F1563" s="184"/>
      <c r="I1563" s="186"/>
      <c r="J1563" s="184"/>
    </row>
    <row r="1564" spans="1:10">
      <c r="A1564" s="174"/>
      <c r="B1564" s="184"/>
      <c r="C1564" s="184"/>
      <c r="D1564" s="184"/>
      <c r="E1564" s="184"/>
      <c r="F1564" s="184"/>
      <c r="I1564" s="186"/>
      <c r="J1564" s="184"/>
    </row>
    <row r="1565" spans="1:10">
      <c r="A1565" s="174"/>
      <c r="B1565" s="184"/>
      <c r="C1565" s="184"/>
      <c r="D1565" s="184"/>
      <c r="E1565" s="184"/>
      <c r="F1565" s="184"/>
      <c r="I1565" s="186"/>
      <c r="J1565" s="184"/>
    </row>
    <row r="1566" spans="1:10">
      <c r="A1566" s="174"/>
      <c r="B1566" s="184"/>
      <c r="C1566" s="184"/>
      <c r="D1566" s="184"/>
      <c r="E1566" s="184"/>
      <c r="F1566" s="184"/>
      <c r="G1566" s="187"/>
      <c r="I1566" s="186"/>
      <c r="J1566" s="184"/>
    </row>
    <row r="1567" spans="1:10">
      <c r="A1567" s="174"/>
      <c r="B1567" s="184"/>
      <c r="C1567" s="184"/>
      <c r="D1567" s="184"/>
      <c r="E1567" s="184"/>
      <c r="F1567" s="184"/>
      <c r="I1567" s="186"/>
      <c r="J1567" s="184"/>
    </row>
    <row r="1568" spans="1:10">
      <c r="A1568" s="174"/>
      <c r="B1568" s="184"/>
      <c r="C1568" s="184"/>
      <c r="D1568" s="184"/>
      <c r="E1568" s="184"/>
      <c r="F1568" s="184"/>
      <c r="I1568" s="186"/>
      <c r="J1568" s="184"/>
    </row>
    <row r="1569" spans="1:10">
      <c r="A1569" s="174"/>
      <c r="B1569" s="184"/>
      <c r="C1569" s="184"/>
      <c r="D1569" s="184"/>
      <c r="E1569" s="184"/>
      <c r="F1569" s="184"/>
      <c r="I1569" s="186"/>
      <c r="J1569" s="184"/>
    </row>
    <row r="1570" spans="1:10">
      <c r="A1570" s="174"/>
      <c r="B1570" s="184"/>
      <c r="C1570" s="184"/>
      <c r="D1570" s="184"/>
      <c r="E1570" s="184"/>
      <c r="F1570" s="184"/>
      <c r="G1570" s="187"/>
      <c r="I1570" s="186"/>
      <c r="J1570" s="184"/>
    </row>
    <row r="1571" spans="1:10">
      <c r="A1571" s="174"/>
      <c r="B1571" s="184"/>
      <c r="C1571" s="184"/>
      <c r="D1571" s="184"/>
      <c r="E1571" s="184"/>
      <c r="F1571" s="184"/>
      <c r="I1571" s="186"/>
      <c r="J1571" s="184"/>
    </row>
    <row r="1572" spans="1:10">
      <c r="A1572" s="174"/>
      <c r="B1572" s="184"/>
      <c r="C1572" s="184"/>
      <c r="D1572" s="184"/>
      <c r="E1572" s="184"/>
      <c r="F1572" s="184"/>
      <c r="G1572" s="187"/>
      <c r="I1572" s="186"/>
      <c r="J1572" s="184"/>
    </row>
    <row r="1573" spans="1:10">
      <c r="A1573" s="174"/>
      <c r="B1573" s="184"/>
      <c r="C1573" s="184"/>
      <c r="D1573" s="184"/>
      <c r="E1573" s="184"/>
      <c r="F1573" s="184"/>
      <c r="I1573" s="186"/>
      <c r="J1573" s="184"/>
    </row>
    <row r="1574" spans="1:10">
      <c r="A1574" s="174"/>
      <c r="B1574" s="184"/>
      <c r="C1574" s="184"/>
      <c r="D1574" s="184"/>
      <c r="E1574" s="184"/>
      <c r="F1574" s="184"/>
      <c r="I1574" s="186"/>
      <c r="J1574" s="184"/>
    </row>
    <row r="1575" spans="1:10">
      <c r="A1575" s="174"/>
      <c r="B1575" s="184"/>
      <c r="C1575" s="184"/>
      <c r="D1575" s="184"/>
      <c r="E1575" s="184"/>
      <c r="F1575" s="184"/>
      <c r="G1575" s="187"/>
      <c r="I1575" s="186"/>
      <c r="J1575" s="184"/>
    </row>
    <row r="1576" spans="1:10">
      <c r="A1576" s="174"/>
      <c r="B1576" s="184"/>
      <c r="C1576" s="184"/>
      <c r="D1576" s="184"/>
      <c r="E1576" s="184"/>
      <c r="F1576" s="184"/>
      <c r="I1576" s="186"/>
      <c r="J1576" s="184"/>
    </row>
    <row r="1577" spans="1:10">
      <c r="A1577" s="174"/>
      <c r="B1577" s="184"/>
      <c r="C1577" s="184"/>
      <c r="D1577" s="184"/>
      <c r="E1577" s="184"/>
      <c r="F1577" s="184"/>
      <c r="I1577" s="186"/>
      <c r="J1577" s="184"/>
    </row>
    <row r="1578" spans="1:10">
      <c r="A1578" s="174"/>
      <c r="B1578" s="184"/>
      <c r="C1578" s="184"/>
      <c r="D1578" s="184"/>
      <c r="E1578" s="184"/>
      <c r="F1578" s="184"/>
      <c r="I1578" s="186"/>
      <c r="J1578" s="184"/>
    </row>
    <row r="1579" spans="1:10">
      <c r="A1579" s="174"/>
      <c r="B1579" s="184"/>
      <c r="C1579" s="184"/>
      <c r="D1579" s="184"/>
      <c r="E1579" s="184"/>
      <c r="F1579" s="184"/>
      <c r="I1579" s="186"/>
      <c r="J1579" s="184"/>
    </row>
    <row r="1580" spans="1:10">
      <c r="A1580" s="174"/>
      <c r="B1580" s="184"/>
      <c r="C1580" s="184"/>
      <c r="D1580" s="184"/>
      <c r="E1580" s="184"/>
      <c r="F1580" s="184"/>
      <c r="I1580" s="186"/>
      <c r="J1580" s="184"/>
    </row>
    <row r="1581" spans="1:10">
      <c r="A1581" s="174"/>
      <c r="B1581" s="184"/>
      <c r="C1581" s="184"/>
      <c r="D1581" s="184"/>
      <c r="E1581" s="184"/>
      <c r="F1581" s="184"/>
      <c r="I1581" s="186"/>
      <c r="J1581" s="184"/>
    </row>
    <row r="1582" spans="1:10">
      <c r="A1582" s="174"/>
      <c r="B1582" s="184"/>
      <c r="C1582" s="184"/>
      <c r="D1582" s="184"/>
      <c r="E1582" s="184"/>
      <c r="F1582" s="184"/>
      <c r="I1582" s="186"/>
      <c r="J1582" s="184"/>
    </row>
    <row r="1583" spans="1:10">
      <c r="A1583" s="174"/>
      <c r="B1583" s="184"/>
      <c r="C1583" s="184"/>
      <c r="D1583" s="184"/>
      <c r="E1583" s="184"/>
      <c r="F1583" s="184"/>
      <c r="I1583" s="186"/>
      <c r="J1583" s="184"/>
    </row>
    <row r="1584" spans="1:10">
      <c r="A1584" s="174"/>
      <c r="B1584" s="184"/>
      <c r="C1584" s="184"/>
      <c r="D1584" s="184"/>
      <c r="E1584" s="184"/>
      <c r="F1584" s="184"/>
      <c r="I1584" s="186"/>
      <c r="J1584" s="184"/>
    </row>
    <row r="1585" spans="1:10">
      <c r="A1585" s="174"/>
      <c r="B1585" s="184"/>
      <c r="C1585" s="184"/>
      <c r="D1585" s="184"/>
      <c r="E1585" s="184"/>
      <c r="F1585" s="184"/>
      <c r="G1585" s="187"/>
      <c r="I1585" s="186"/>
      <c r="J1585" s="184"/>
    </row>
    <row r="1586" spans="1:10">
      <c r="A1586" s="174"/>
      <c r="B1586" s="184"/>
      <c r="C1586" s="184"/>
      <c r="D1586" s="184"/>
      <c r="E1586" s="184"/>
      <c r="F1586" s="184"/>
      <c r="I1586" s="186"/>
      <c r="J1586" s="184"/>
    </row>
    <row r="1587" spans="1:10">
      <c r="A1587" s="174"/>
      <c r="B1587" s="184"/>
      <c r="C1587" s="184"/>
      <c r="D1587" s="184"/>
      <c r="E1587" s="184"/>
      <c r="F1587" s="184"/>
      <c r="I1587" s="186"/>
      <c r="J1587" s="184"/>
    </row>
    <row r="1588" spans="1:10">
      <c r="A1588" s="174"/>
      <c r="B1588" s="184"/>
      <c r="C1588" s="184"/>
      <c r="D1588" s="184"/>
      <c r="E1588" s="184"/>
      <c r="F1588" s="184"/>
      <c r="I1588" s="186"/>
      <c r="J1588" s="184"/>
    </row>
    <row r="1589" spans="1:10">
      <c r="A1589" s="174"/>
      <c r="B1589" s="184"/>
      <c r="C1589" s="184"/>
      <c r="D1589" s="184"/>
      <c r="E1589" s="184"/>
      <c r="F1589" s="184"/>
      <c r="I1589" s="186"/>
      <c r="J1589" s="184"/>
    </row>
    <row r="1590" spans="1:10">
      <c r="A1590" s="174"/>
      <c r="B1590" s="184"/>
      <c r="C1590" s="184"/>
      <c r="D1590" s="184"/>
      <c r="E1590" s="184"/>
      <c r="F1590" s="184"/>
      <c r="I1590" s="186"/>
      <c r="J1590" s="184"/>
    </row>
    <row r="1591" spans="1:10">
      <c r="A1591" s="174"/>
      <c r="B1591" s="184"/>
      <c r="C1591" s="184"/>
      <c r="D1591" s="184"/>
      <c r="E1591" s="184"/>
      <c r="F1591" s="184"/>
      <c r="I1591" s="186"/>
      <c r="J1591" s="184"/>
    </row>
    <row r="1592" spans="1:10">
      <c r="A1592" s="174"/>
      <c r="B1592" s="184"/>
      <c r="C1592" s="184"/>
      <c r="D1592" s="184"/>
      <c r="E1592" s="184"/>
      <c r="F1592" s="184"/>
      <c r="I1592" s="186"/>
      <c r="J1592" s="184"/>
    </row>
    <row r="1593" spans="1:10">
      <c r="A1593" s="174"/>
      <c r="B1593" s="184"/>
      <c r="C1593" s="184"/>
      <c r="D1593" s="184"/>
      <c r="E1593" s="184"/>
      <c r="F1593" s="184"/>
      <c r="G1593" s="187"/>
      <c r="I1593" s="186"/>
      <c r="J1593" s="184"/>
    </row>
    <row r="1594" spans="1:10">
      <c r="A1594" s="174"/>
      <c r="B1594" s="184"/>
      <c r="C1594" s="184"/>
      <c r="D1594" s="184"/>
      <c r="E1594" s="184"/>
      <c r="F1594" s="184"/>
      <c r="I1594" s="186"/>
      <c r="J1594" s="184"/>
    </row>
    <row r="1595" spans="1:10">
      <c r="A1595" s="174"/>
      <c r="B1595" s="184"/>
      <c r="C1595" s="184"/>
      <c r="D1595" s="184"/>
      <c r="E1595" s="184"/>
      <c r="F1595" s="184"/>
      <c r="I1595" s="186"/>
      <c r="J1595" s="184"/>
    </row>
    <row r="1596" spans="1:10">
      <c r="A1596" s="174"/>
      <c r="B1596" s="184"/>
      <c r="C1596" s="184"/>
      <c r="D1596" s="184"/>
      <c r="E1596" s="184"/>
      <c r="F1596" s="184"/>
      <c r="G1596" s="187"/>
      <c r="I1596" s="186"/>
      <c r="J1596" s="184"/>
    </row>
    <row r="1597" spans="1:10">
      <c r="A1597" s="174"/>
      <c r="B1597" s="184"/>
      <c r="C1597" s="184"/>
      <c r="D1597" s="184"/>
      <c r="E1597" s="184"/>
      <c r="F1597" s="184"/>
      <c r="I1597" s="186"/>
      <c r="J1597" s="184"/>
    </row>
    <row r="1598" spans="1:10">
      <c r="A1598" s="174"/>
      <c r="B1598" s="184"/>
      <c r="C1598" s="184"/>
      <c r="D1598" s="184"/>
      <c r="E1598" s="184"/>
      <c r="F1598" s="184"/>
      <c r="G1598" s="187"/>
      <c r="I1598" s="186"/>
      <c r="J1598" s="184"/>
    </row>
    <row r="1599" spans="1:10">
      <c r="A1599" s="174"/>
      <c r="B1599" s="184"/>
      <c r="C1599" s="184"/>
      <c r="D1599" s="184"/>
      <c r="E1599" s="184"/>
      <c r="F1599" s="184"/>
      <c r="I1599" s="186"/>
      <c r="J1599" s="184"/>
    </row>
    <row r="1600" spans="1:10">
      <c r="A1600" s="174"/>
      <c r="B1600" s="184"/>
      <c r="C1600" s="184"/>
      <c r="D1600" s="184"/>
      <c r="E1600" s="184"/>
      <c r="F1600" s="184"/>
      <c r="G1600" s="187"/>
      <c r="I1600" s="186"/>
      <c r="J1600" s="184"/>
    </row>
    <row r="1601" spans="1:10">
      <c r="A1601" s="174"/>
      <c r="B1601" s="184"/>
      <c r="C1601" s="184"/>
      <c r="D1601" s="184"/>
      <c r="E1601" s="184"/>
      <c r="F1601" s="184"/>
      <c r="I1601" s="186"/>
      <c r="J1601" s="184"/>
    </row>
    <row r="1602" spans="1:10">
      <c r="A1602" s="174"/>
      <c r="B1602" s="184"/>
      <c r="C1602" s="184"/>
      <c r="D1602" s="184"/>
      <c r="E1602" s="184"/>
      <c r="F1602" s="184"/>
      <c r="I1602" s="186"/>
      <c r="J1602" s="184"/>
    </row>
    <row r="1603" spans="1:10">
      <c r="A1603" s="174"/>
      <c r="B1603" s="184"/>
      <c r="C1603" s="184"/>
      <c r="D1603" s="184"/>
      <c r="E1603" s="184"/>
      <c r="F1603" s="184"/>
      <c r="I1603" s="186"/>
      <c r="J1603" s="184"/>
    </row>
    <row r="1604" spans="1:10">
      <c r="A1604" s="174"/>
      <c r="B1604" s="184"/>
      <c r="C1604" s="184"/>
      <c r="D1604" s="184"/>
      <c r="E1604" s="184"/>
      <c r="F1604" s="184"/>
      <c r="I1604" s="186"/>
      <c r="J1604" s="184"/>
    </row>
    <row r="1605" spans="1:10">
      <c r="A1605" s="174"/>
      <c r="B1605" s="184"/>
      <c r="C1605" s="184"/>
      <c r="D1605" s="184"/>
      <c r="E1605" s="184"/>
      <c r="F1605" s="184"/>
      <c r="I1605" s="186"/>
      <c r="J1605" s="184"/>
    </row>
    <row r="1606" spans="1:10">
      <c r="A1606" s="174"/>
      <c r="B1606" s="184"/>
      <c r="C1606" s="184"/>
      <c r="D1606" s="184"/>
      <c r="E1606" s="184"/>
      <c r="F1606" s="184"/>
      <c r="I1606" s="186"/>
      <c r="J1606" s="184"/>
    </row>
    <row r="1607" spans="1:10">
      <c r="A1607" s="174"/>
      <c r="B1607" s="184"/>
      <c r="C1607" s="184"/>
      <c r="D1607" s="184"/>
      <c r="E1607" s="184"/>
      <c r="F1607" s="184"/>
      <c r="G1607" s="187"/>
      <c r="I1607" s="186"/>
      <c r="J1607" s="184"/>
    </row>
    <row r="1608" spans="1:10">
      <c r="A1608" s="174"/>
      <c r="B1608" s="184"/>
      <c r="C1608" s="184"/>
      <c r="D1608" s="184"/>
      <c r="E1608" s="184"/>
      <c r="F1608" s="184"/>
      <c r="G1608" s="187"/>
      <c r="I1608" s="186"/>
      <c r="J1608" s="184"/>
    </row>
    <row r="1609" spans="1:10">
      <c r="A1609" s="174"/>
      <c r="B1609" s="184"/>
      <c r="C1609" s="184"/>
      <c r="D1609" s="184"/>
      <c r="E1609" s="184"/>
      <c r="F1609" s="184"/>
      <c r="I1609" s="186"/>
      <c r="J1609" s="184"/>
    </row>
    <row r="1610" spans="1:10">
      <c r="A1610" s="174"/>
      <c r="B1610" s="184"/>
      <c r="C1610" s="184"/>
      <c r="D1610" s="184"/>
      <c r="E1610" s="184"/>
      <c r="F1610" s="184"/>
      <c r="I1610" s="186"/>
      <c r="J1610" s="184"/>
    </row>
    <row r="1611" spans="1:10">
      <c r="A1611" s="174"/>
      <c r="B1611" s="184"/>
      <c r="C1611" s="184"/>
      <c r="D1611" s="184"/>
      <c r="E1611" s="184"/>
      <c r="F1611" s="184"/>
      <c r="G1611" s="187"/>
      <c r="I1611" s="186"/>
      <c r="J1611" s="184"/>
    </row>
    <row r="1612" spans="1:10">
      <c r="A1612" s="174"/>
      <c r="B1612" s="184"/>
      <c r="C1612" s="184"/>
      <c r="D1612" s="184"/>
      <c r="E1612" s="184"/>
      <c r="F1612" s="184"/>
      <c r="I1612" s="186"/>
      <c r="J1612" s="184"/>
    </row>
    <row r="1613" spans="1:10">
      <c r="A1613" s="174"/>
      <c r="B1613" s="184"/>
      <c r="C1613" s="184"/>
      <c r="D1613" s="184"/>
      <c r="E1613" s="184"/>
      <c r="F1613" s="184"/>
      <c r="I1613" s="186"/>
      <c r="J1613" s="184"/>
    </row>
    <row r="1614" spans="1:10">
      <c r="A1614" s="174"/>
      <c r="B1614" s="184"/>
      <c r="C1614" s="184"/>
      <c r="D1614" s="184"/>
      <c r="E1614" s="184"/>
      <c r="F1614" s="184"/>
      <c r="G1614" s="187"/>
      <c r="I1614" s="186"/>
      <c r="J1614" s="184"/>
    </row>
    <row r="1615" spans="1:10">
      <c r="A1615" s="174"/>
      <c r="B1615" s="184"/>
      <c r="C1615" s="184"/>
      <c r="D1615" s="184"/>
      <c r="E1615" s="184"/>
      <c r="F1615" s="184"/>
      <c r="G1615" s="187"/>
      <c r="I1615" s="186"/>
      <c r="J1615" s="184"/>
    </row>
    <row r="1616" spans="1:10">
      <c r="A1616" s="174"/>
      <c r="B1616" s="184"/>
      <c r="C1616" s="184"/>
      <c r="D1616" s="184"/>
      <c r="E1616" s="184"/>
      <c r="F1616" s="184"/>
      <c r="G1616" s="187"/>
      <c r="I1616" s="186"/>
      <c r="J1616" s="184"/>
    </row>
    <row r="1617" spans="1:10">
      <c r="A1617" s="174"/>
      <c r="B1617" s="184"/>
      <c r="C1617" s="184"/>
      <c r="D1617" s="184"/>
      <c r="E1617" s="184"/>
      <c r="F1617" s="184"/>
      <c r="G1617" s="187"/>
      <c r="I1617" s="186"/>
      <c r="J1617" s="184"/>
    </row>
    <row r="1618" spans="1:10">
      <c r="A1618" s="174"/>
      <c r="B1618" s="184"/>
      <c r="C1618" s="184"/>
      <c r="D1618" s="184"/>
      <c r="E1618" s="184"/>
      <c r="F1618" s="184"/>
      <c r="G1618" s="187"/>
      <c r="I1618" s="186"/>
      <c r="J1618" s="184"/>
    </row>
    <row r="1619" spans="1:10">
      <c r="A1619" s="174"/>
      <c r="B1619" s="184"/>
      <c r="C1619" s="184"/>
      <c r="D1619" s="184"/>
      <c r="E1619" s="184"/>
      <c r="F1619" s="184"/>
      <c r="G1619" s="187"/>
      <c r="I1619" s="186"/>
      <c r="J1619" s="184"/>
    </row>
    <row r="1620" spans="1:10">
      <c r="A1620" s="174"/>
      <c r="B1620" s="184"/>
      <c r="C1620" s="184"/>
      <c r="D1620" s="184"/>
      <c r="E1620" s="184"/>
      <c r="F1620" s="184"/>
      <c r="G1620" s="187"/>
      <c r="I1620" s="186"/>
      <c r="J1620" s="184"/>
    </row>
    <row r="1621" spans="1:10">
      <c r="A1621" s="174"/>
      <c r="B1621" s="184"/>
      <c r="C1621" s="184"/>
      <c r="D1621" s="184"/>
      <c r="E1621" s="184"/>
      <c r="F1621" s="184"/>
      <c r="G1621" s="187"/>
      <c r="I1621" s="186"/>
      <c r="J1621" s="184"/>
    </row>
    <row r="1622" spans="1:10">
      <c r="A1622" s="174"/>
      <c r="B1622" s="184"/>
      <c r="C1622" s="184"/>
      <c r="D1622" s="184"/>
      <c r="E1622" s="184"/>
      <c r="F1622" s="184"/>
      <c r="G1622" s="187"/>
      <c r="I1622" s="186"/>
      <c r="J1622" s="184"/>
    </row>
    <row r="1623" spans="1:10">
      <c r="A1623" s="174"/>
      <c r="B1623" s="184"/>
      <c r="C1623" s="184"/>
      <c r="D1623" s="184"/>
      <c r="E1623" s="184"/>
      <c r="F1623" s="184"/>
      <c r="I1623" s="186"/>
      <c r="J1623" s="184"/>
    </row>
    <row r="1624" spans="1:10">
      <c r="A1624" s="174"/>
      <c r="B1624" s="184"/>
      <c r="C1624" s="184"/>
      <c r="D1624" s="184"/>
      <c r="E1624" s="184"/>
      <c r="F1624" s="184"/>
      <c r="G1624" s="187"/>
      <c r="I1624" s="186"/>
      <c r="J1624" s="184"/>
    </row>
    <row r="1625" spans="1:10">
      <c r="A1625" s="174"/>
      <c r="B1625" s="184"/>
      <c r="C1625" s="184"/>
      <c r="D1625" s="184"/>
      <c r="E1625" s="184"/>
      <c r="F1625" s="184"/>
      <c r="I1625" s="186"/>
      <c r="J1625" s="184"/>
    </row>
    <row r="1626" spans="1:10">
      <c r="A1626" s="174"/>
      <c r="B1626" s="184"/>
      <c r="C1626" s="184"/>
      <c r="D1626" s="184"/>
      <c r="E1626" s="184"/>
      <c r="F1626" s="184"/>
      <c r="I1626" s="186"/>
      <c r="J1626" s="184"/>
    </row>
    <row r="1627" spans="1:10">
      <c r="A1627" s="174"/>
      <c r="B1627" s="184"/>
      <c r="C1627" s="184"/>
      <c r="D1627" s="184"/>
      <c r="E1627" s="184"/>
      <c r="F1627" s="184"/>
      <c r="G1627" s="187"/>
      <c r="I1627" s="186"/>
      <c r="J1627" s="184"/>
    </row>
    <row r="1628" spans="1:10">
      <c r="A1628" s="174"/>
      <c r="B1628" s="184"/>
      <c r="C1628" s="184"/>
      <c r="D1628" s="184"/>
      <c r="E1628" s="184"/>
      <c r="F1628" s="184"/>
      <c r="G1628" s="187"/>
      <c r="I1628" s="186"/>
      <c r="J1628" s="184"/>
    </row>
    <row r="1629" spans="1:10">
      <c r="A1629" s="174"/>
      <c r="B1629" s="184"/>
      <c r="C1629" s="184"/>
      <c r="D1629" s="184"/>
      <c r="E1629" s="184"/>
      <c r="F1629" s="184"/>
      <c r="I1629" s="186"/>
      <c r="J1629" s="184"/>
    </row>
    <row r="1630" spans="1:10">
      <c r="A1630" s="174"/>
      <c r="B1630" s="184"/>
      <c r="C1630" s="184"/>
      <c r="D1630" s="184"/>
      <c r="E1630" s="184"/>
      <c r="F1630" s="184"/>
      <c r="G1630" s="187"/>
      <c r="I1630" s="186"/>
      <c r="J1630" s="184"/>
    </row>
    <row r="1631" spans="1:10">
      <c r="A1631" s="174"/>
      <c r="B1631" s="184"/>
      <c r="C1631" s="184"/>
      <c r="D1631" s="184"/>
      <c r="E1631" s="184"/>
      <c r="F1631" s="184"/>
      <c r="I1631" s="186"/>
      <c r="J1631" s="184"/>
    </row>
    <row r="1632" spans="1:10">
      <c r="A1632" s="174"/>
      <c r="B1632" s="184"/>
      <c r="C1632" s="184"/>
      <c r="D1632" s="184"/>
      <c r="E1632" s="184"/>
      <c r="F1632" s="184"/>
      <c r="G1632" s="187"/>
      <c r="I1632" s="186"/>
      <c r="J1632" s="184"/>
    </row>
    <row r="1633" spans="1:10">
      <c r="A1633" s="174"/>
      <c r="B1633" s="184"/>
      <c r="C1633" s="184"/>
      <c r="D1633" s="184"/>
      <c r="E1633" s="184"/>
      <c r="F1633" s="184"/>
      <c r="G1633" s="187"/>
      <c r="I1633" s="186"/>
      <c r="J1633" s="184"/>
    </row>
    <row r="1634" spans="1:10">
      <c r="A1634" s="174"/>
      <c r="B1634" s="184"/>
      <c r="C1634" s="184"/>
      <c r="D1634" s="184"/>
      <c r="E1634" s="184"/>
      <c r="F1634" s="184"/>
      <c r="G1634" s="187"/>
      <c r="I1634" s="186"/>
      <c r="J1634" s="184"/>
    </row>
    <row r="1635" spans="1:10">
      <c r="A1635" s="174"/>
      <c r="B1635" s="184"/>
      <c r="C1635" s="184"/>
      <c r="D1635" s="184"/>
      <c r="E1635" s="184"/>
      <c r="F1635" s="184"/>
      <c r="G1635" s="187"/>
      <c r="I1635" s="186"/>
      <c r="J1635" s="184"/>
    </row>
    <row r="1636" spans="1:10">
      <c r="A1636" s="174"/>
      <c r="B1636" s="184"/>
      <c r="C1636" s="184"/>
      <c r="D1636" s="184"/>
      <c r="E1636" s="184"/>
      <c r="F1636" s="184"/>
      <c r="I1636" s="186"/>
      <c r="J1636" s="184"/>
    </row>
    <row r="1637" spans="1:10">
      <c r="A1637" s="174"/>
      <c r="B1637" s="184"/>
      <c r="C1637" s="184"/>
      <c r="D1637" s="184"/>
      <c r="E1637" s="184"/>
      <c r="F1637" s="184"/>
      <c r="G1637" s="187"/>
      <c r="I1637" s="186"/>
      <c r="J1637" s="184"/>
    </row>
    <row r="1638" spans="1:10">
      <c r="A1638" s="174"/>
      <c r="B1638" s="184"/>
      <c r="C1638" s="184"/>
      <c r="D1638" s="184"/>
      <c r="E1638" s="184"/>
      <c r="F1638" s="184"/>
      <c r="I1638" s="186"/>
      <c r="J1638" s="184"/>
    </row>
    <row r="1639" spans="1:10">
      <c r="A1639" s="174"/>
      <c r="B1639" s="184"/>
      <c r="C1639" s="184"/>
      <c r="D1639" s="184"/>
      <c r="E1639" s="184"/>
      <c r="F1639" s="184"/>
      <c r="I1639" s="186"/>
      <c r="J1639" s="184"/>
    </row>
    <row r="1640" spans="1:10">
      <c r="A1640" s="174"/>
      <c r="B1640" s="184"/>
      <c r="C1640" s="184"/>
      <c r="D1640" s="184"/>
      <c r="E1640" s="184"/>
      <c r="F1640" s="184"/>
      <c r="I1640" s="186"/>
      <c r="J1640" s="184"/>
    </row>
    <row r="1641" spans="1:10">
      <c r="A1641" s="174"/>
      <c r="B1641" s="184"/>
      <c r="C1641" s="184"/>
      <c r="D1641" s="184"/>
      <c r="E1641" s="184"/>
      <c r="F1641" s="184"/>
      <c r="I1641" s="186"/>
      <c r="J1641" s="184"/>
    </row>
    <row r="1642" spans="1:10">
      <c r="A1642" s="174"/>
      <c r="B1642" s="184"/>
      <c r="C1642" s="184"/>
      <c r="D1642" s="184"/>
      <c r="E1642" s="184"/>
      <c r="F1642" s="184"/>
      <c r="I1642" s="186"/>
      <c r="J1642" s="184"/>
    </row>
    <row r="1643" spans="1:10">
      <c r="A1643" s="174"/>
      <c r="B1643" s="184"/>
      <c r="C1643" s="184"/>
      <c r="D1643" s="184"/>
      <c r="E1643" s="184"/>
      <c r="F1643" s="184"/>
      <c r="I1643" s="186"/>
      <c r="J1643" s="184"/>
    </row>
    <row r="1644" spans="1:10">
      <c r="A1644" s="174"/>
      <c r="B1644" s="184"/>
      <c r="C1644" s="184"/>
      <c r="D1644" s="184"/>
      <c r="E1644" s="184"/>
      <c r="F1644" s="184"/>
      <c r="G1644" s="187"/>
      <c r="I1644" s="186"/>
      <c r="J1644" s="184"/>
    </row>
    <row r="1645" spans="1:10">
      <c r="A1645" s="174"/>
      <c r="B1645" s="184"/>
      <c r="C1645" s="184"/>
      <c r="D1645" s="184"/>
      <c r="E1645" s="184"/>
      <c r="F1645" s="184"/>
      <c r="I1645" s="186"/>
      <c r="J1645" s="184"/>
    </row>
    <row r="1646" spans="1:10">
      <c r="A1646" s="174"/>
      <c r="B1646" s="184"/>
      <c r="C1646" s="184"/>
      <c r="D1646" s="184"/>
      <c r="E1646" s="184"/>
      <c r="F1646" s="184"/>
      <c r="I1646" s="186"/>
      <c r="J1646" s="184"/>
    </row>
    <row r="1647" spans="1:10">
      <c r="A1647" s="174"/>
      <c r="B1647" s="184"/>
      <c r="C1647" s="184"/>
      <c r="D1647" s="184"/>
      <c r="E1647" s="184"/>
      <c r="F1647" s="184"/>
      <c r="I1647" s="186"/>
      <c r="J1647" s="184"/>
    </row>
    <row r="1648" spans="1:10">
      <c r="A1648" s="174"/>
      <c r="B1648" s="184"/>
      <c r="C1648" s="184"/>
      <c r="D1648" s="184"/>
      <c r="E1648" s="184"/>
      <c r="F1648" s="184"/>
      <c r="I1648" s="186"/>
      <c r="J1648" s="184"/>
    </row>
    <row r="1649" spans="1:10">
      <c r="A1649" s="174"/>
      <c r="B1649" s="184"/>
      <c r="C1649" s="184"/>
      <c r="D1649" s="184"/>
      <c r="E1649" s="184"/>
      <c r="F1649" s="184"/>
      <c r="I1649" s="186"/>
      <c r="J1649" s="184"/>
    </row>
    <row r="1650" spans="1:10">
      <c r="A1650" s="174"/>
      <c r="B1650" s="184"/>
      <c r="C1650" s="184"/>
      <c r="D1650" s="184"/>
      <c r="E1650" s="184"/>
      <c r="F1650" s="184"/>
      <c r="I1650" s="186"/>
      <c r="J1650" s="184"/>
    </row>
    <row r="1651" spans="1:10">
      <c r="A1651" s="174"/>
      <c r="B1651" s="184"/>
      <c r="C1651" s="184"/>
      <c r="D1651" s="184"/>
      <c r="E1651" s="184"/>
      <c r="F1651" s="184"/>
      <c r="I1651" s="186"/>
      <c r="J1651" s="184"/>
    </row>
    <row r="1652" spans="1:10">
      <c r="A1652" s="174"/>
      <c r="B1652" s="184"/>
      <c r="C1652" s="184"/>
      <c r="D1652" s="184"/>
      <c r="E1652" s="184"/>
      <c r="F1652" s="184"/>
      <c r="G1652" s="187"/>
      <c r="I1652" s="186"/>
      <c r="J1652" s="184"/>
    </row>
    <row r="1653" spans="1:10">
      <c r="A1653" s="174"/>
      <c r="B1653" s="184"/>
      <c r="C1653" s="184"/>
      <c r="D1653" s="184"/>
      <c r="E1653" s="184"/>
      <c r="F1653" s="184"/>
      <c r="I1653" s="186"/>
      <c r="J1653" s="184"/>
    </row>
    <row r="1654" spans="1:10">
      <c r="A1654" s="174"/>
      <c r="B1654" s="184"/>
      <c r="C1654" s="184"/>
      <c r="D1654" s="184"/>
      <c r="E1654" s="184"/>
      <c r="F1654" s="184"/>
      <c r="G1654" s="187"/>
      <c r="I1654" s="186"/>
      <c r="J1654" s="184"/>
    </row>
    <row r="1655" spans="1:10">
      <c r="A1655" s="174"/>
      <c r="B1655" s="184"/>
      <c r="C1655" s="184"/>
      <c r="D1655" s="184"/>
      <c r="E1655" s="184"/>
      <c r="F1655" s="184"/>
      <c r="G1655" s="187"/>
      <c r="I1655" s="186"/>
      <c r="J1655" s="184"/>
    </row>
    <row r="1656" spans="1:10">
      <c r="A1656" s="174"/>
      <c r="B1656" s="184"/>
      <c r="C1656" s="184"/>
      <c r="D1656" s="184"/>
      <c r="E1656" s="184"/>
      <c r="F1656" s="184"/>
      <c r="I1656" s="186"/>
      <c r="J1656" s="184"/>
    </row>
    <row r="1657" spans="1:10">
      <c r="A1657" s="174"/>
      <c r="B1657" s="184"/>
      <c r="C1657" s="184"/>
      <c r="D1657" s="184"/>
      <c r="E1657" s="184"/>
      <c r="F1657" s="184"/>
      <c r="I1657" s="186"/>
      <c r="J1657" s="184"/>
    </row>
    <row r="1658" spans="1:10">
      <c r="A1658" s="174"/>
      <c r="B1658" s="184"/>
      <c r="C1658" s="184"/>
      <c r="D1658" s="184"/>
      <c r="E1658" s="184"/>
      <c r="F1658" s="184"/>
      <c r="I1658" s="186"/>
      <c r="J1658" s="184"/>
    </row>
    <row r="1659" spans="1:10">
      <c r="A1659" s="174"/>
      <c r="B1659" s="184"/>
      <c r="C1659" s="184"/>
      <c r="D1659" s="184"/>
      <c r="E1659" s="184"/>
      <c r="F1659" s="184"/>
      <c r="I1659" s="186"/>
      <c r="J1659" s="184"/>
    </row>
    <row r="1660" spans="1:10">
      <c r="A1660" s="174"/>
      <c r="B1660" s="184"/>
      <c r="C1660" s="184"/>
      <c r="D1660" s="184"/>
      <c r="E1660" s="184"/>
      <c r="F1660" s="184"/>
      <c r="I1660" s="186"/>
      <c r="J1660" s="184"/>
    </row>
    <row r="1661" spans="1:10">
      <c r="A1661" s="174"/>
      <c r="B1661" s="184"/>
      <c r="C1661" s="184"/>
      <c r="D1661" s="184"/>
      <c r="E1661" s="184"/>
      <c r="F1661" s="184"/>
      <c r="G1661" s="187"/>
      <c r="I1661" s="186"/>
      <c r="J1661" s="184"/>
    </row>
    <row r="1662" spans="1:10">
      <c r="A1662" s="174"/>
      <c r="B1662" s="184"/>
      <c r="C1662" s="184"/>
      <c r="D1662" s="184"/>
      <c r="E1662" s="184"/>
      <c r="F1662" s="184"/>
      <c r="G1662" s="187"/>
      <c r="I1662" s="186"/>
      <c r="J1662" s="184"/>
    </row>
    <row r="1663" spans="1:10">
      <c r="A1663" s="174"/>
      <c r="B1663" s="184"/>
      <c r="C1663" s="184"/>
      <c r="D1663" s="184"/>
      <c r="E1663" s="184"/>
      <c r="F1663" s="184"/>
      <c r="I1663" s="186"/>
      <c r="J1663" s="184"/>
    </row>
    <row r="1664" spans="1:10">
      <c r="A1664" s="174"/>
      <c r="B1664" s="184"/>
      <c r="C1664" s="184"/>
      <c r="D1664" s="184"/>
      <c r="E1664" s="184"/>
      <c r="F1664" s="184"/>
      <c r="I1664" s="186"/>
      <c r="J1664" s="184"/>
    </row>
    <row r="1665" spans="1:10">
      <c r="A1665" s="174"/>
      <c r="B1665" s="184"/>
      <c r="C1665" s="184"/>
      <c r="D1665" s="184"/>
      <c r="E1665" s="184"/>
      <c r="F1665" s="184"/>
      <c r="G1665" s="187"/>
      <c r="I1665" s="186"/>
      <c r="J1665" s="184"/>
    </row>
    <row r="1666" spans="1:10">
      <c r="A1666" s="174"/>
      <c r="B1666" s="184"/>
      <c r="C1666" s="184"/>
      <c r="D1666" s="184"/>
      <c r="E1666" s="184"/>
      <c r="F1666" s="184"/>
      <c r="G1666" s="187"/>
      <c r="I1666" s="186"/>
      <c r="J1666" s="184"/>
    </row>
    <row r="1667" spans="1:10">
      <c r="A1667" s="174"/>
      <c r="B1667" s="184"/>
      <c r="C1667" s="184"/>
      <c r="D1667" s="184"/>
      <c r="E1667" s="184"/>
      <c r="F1667" s="184"/>
      <c r="G1667" s="187"/>
      <c r="I1667" s="186"/>
      <c r="J1667" s="184"/>
    </row>
    <row r="1668" spans="1:10">
      <c r="A1668" s="174"/>
      <c r="B1668" s="184"/>
      <c r="C1668" s="184"/>
      <c r="D1668" s="184"/>
      <c r="E1668" s="184"/>
      <c r="F1668" s="184"/>
      <c r="I1668" s="186"/>
      <c r="J1668" s="184"/>
    </row>
    <row r="1669" spans="1:10">
      <c r="A1669" s="174"/>
      <c r="B1669" s="184"/>
      <c r="C1669" s="184"/>
      <c r="D1669" s="184"/>
      <c r="E1669" s="184"/>
      <c r="F1669" s="184"/>
      <c r="I1669" s="186"/>
      <c r="J1669" s="184"/>
    </row>
    <row r="1670" spans="1:10">
      <c r="A1670" s="174"/>
      <c r="B1670" s="184"/>
      <c r="C1670" s="184"/>
      <c r="D1670" s="184"/>
      <c r="E1670" s="184"/>
      <c r="F1670" s="184"/>
      <c r="G1670" s="187"/>
      <c r="I1670" s="186"/>
      <c r="J1670" s="184"/>
    </row>
    <row r="1671" spans="1:10">
      <c r="A1671" s="174"/>
      <c r="B1671" s="184"/>
      <c r="C1671" s="184"/>
      <c r="D1671" s="184"/>
      <c r="E1671" s="184"/>
      <c r="F1671" s="184"/>
      <c r="I1671" s="186"/>
      <c r="J1671" s="184"/>
    </row>
    <row r="1672" spans="1:10">
      <c r="A1672" s="174"/>
      <c r="B1672" s="184"/>
      <c r="C1672" s="184"/>
      <c r="D1672" s="184"/>
      <c r="E1672" s="184"/>
      <c r="F1672" s="184"/>
      <c r="G1672" s="187"/>
      <c r="I1672" s="186"/>
      <c r="J1672" s="184"/>
    </row>
    <row r="1673" spans="1:10">
      <c r="A1673" s="174"/>
      <c r="B1673" s="184"/>
      <c r="C1673" s="184"/>
      <c r="D1673" s="184"/>
      <c r="E1673" s="184"/>
      <c r="F1673" s="184"/>
      <c r="I1673" s="186"/>
      <c r="J1673" s="184"/>
    </row>
    <row r="1674" spans="1:10">
      <c r="A1674" s="174"/>
      <c r="B1674" s="184"/>
      <c r="C1674" s="184"/>
      <c r="D1674" s="184"/>
      <c r="E1674" s="184"/>
      <c r="F1674" s="184"/>
      <c r="I1674" s="186"/>
      <c r="J1674" s="184"/>
    </row>
    <row r="1675" spans="1:10">
      <c r="A1675" s="174"/>
      <c r="B1675" s="184"/>
      <c r="C1675" s="184"/>
      <c r="D1675" s="184"/>
      <c r="E1675" s="184"/>
      <c r="F1675" s="184"/>
      <c r="G1675" s="187"/>
      <c r="I1675" s="186"/>
      <c r="J1675" s="184"/>
    </row>
    <row r="1676" spans="1:10">
      <c r="A1676" s="174"/>
      <c r="B1676" s="184"/>
      <c r="C1676" s="184"/>
      <c r="D1676" s="184"/>
      <c r="E1676" s="184"/>
      <c r="F1676" s="184"/>
      <c r="I1676" s="186"/>
      <c r="J1676" s="184"/>
    </row>
    <row r="1677" spans="1:10">
      <c r="A1677" s="174"/>
      <c r="B1677" s="184"/>
      <c r="C1677" s="184"/>
      <c r="D1677" s="184"/>
      <c r="E1677" s="184"/>
      <c r="F1677" s="184"/>
      <c r="I1677" s="186"/>
      <c r="J1677" s="184"/>
    </row>
    <row r="1678" spans="1:10">
      <c r="A1678" s="174"/>
      <c r="B1678" s="184"/>
      <c r="C1678" s="184"/>
      <c r="D1678" s="184"/>
      <c r="E1678" s="184"/>
      <c r="F1678" s="184"/>
      <c r="I1678" s="186"/>
      <c r="J1678" s="184"/>
    </row>
    <row r="1679" spans="1:10">
      <c r="A1679" s="174"/>
      <c r="B1679" s="184"/>
      <c r="C1679" s="184"/>
      <c r="D1679" s="184"/>
      <c r="E1679" s="184"/>
      <c r="F1679" s="184"/>
      <c r="G1679" s="187"/>
      <c r="I1679" s="186"/>
      <c r="J1679" s="184"/>
    </row>
    <row r="1680" spans="1:10">
      <c r="A1680" s="174"/>
      <c r="B1680" s="184"/>
      <c r="C1680" s="184"/>
      <c r="D1680" s="184"/>
      <c r="E1680" s="184"/>
      <c r="F1680" s="184"/>
      <c r="G1680" s="187"/>
      <c r="I1680" s="186"/>
      <c r="J1680" s="184"/>
    </row>
    <row r="1681" spans="1:10">
      <c r="A1681" s="174"/>
      <c r="B1681" s="184"/>
      <c r="C1681" s="184"/>
      <c r="D1681" s="184"/>
      <c r="E1681" s="184"/>
      <c r="F1681" s="184"/>
      <c r="G1681" s="187"/>
      <c r="I1681" s="186"/>
      <c r="J1681" s="184"/>
    </row>
    <row r="1682" spans="1:10">
      <c r="A1682" s="174"/>
      <c r="B1682" s="184"/>
      <c r="C1682" s="184"/>
      <c r="D1682" s="184"/>
      <c r="E1682" s="184"/>
      <c r="F1682" s="184"/>
      <c r="G1682" s="187"/>
      <c r="I1682" s="186"/>
      <c r="J1682" s="184"/>
    </row>
    <row r="1683" spans="1:10">
      <c r="A1683" s="174"/>
      <c r="B1683" s="184"/>
      <c r="C1683" s="184"/>
      <c r="D1683" s="184"/>
      <c r="E1683" s="184"/>
      <c r="F1683" s="184"/>
      <c r="G1683" s="187"/>
      <c r="I1683" s="186"/>
      <c r="J1683" s="184"/>
    </row>
    <row r="1684" spans="1:10">
      <c r="A1684" s="174"/>
      <c r="B1684" s="184"/>
      <c r="C1684" s="184"/>
      <c r="D1684" s="184"/>
      <c r="E1684" s="184"/>
      <c r="F1684" s="184"/>
      <c r="G1684" s="187"/>
      <c r="I1684" s="186"/>
      <c r="J1684" s="184"/>
    </row>
    <row r="1685" spans="1:10">
      <c r="A1685" s="174"/>
      <c r="B1685" s="184"/>
      <c r="C1685" s="184"/>
      <c r="D1685" s="184"/>
      <c r="E1685" s="184"/>
      <c r="F1685" s="184"/>
      <c r="G1685" s="187"/>
      <c r="I1685" s="186"/>
      <c r="J1685" s="184"/>
    </row>
    <row r="1686" spans="1:10">
      <c r="A1686" s="174"/>
      <c r="B1686" s="184"/>
      <c r="C1686" s="184"/>
      <c r="D1686" s="184"/>
      <c r="E1686" s="184"/>
      <c r="F1686" s="184"/>
      <c r="G1686" s="187"/>
      <c r="I1686" s="186"/>
      <c r="J1686" s="184"/>
    </row>
    <row r="1687" spans="1:10">
      <c r="A1687" s="174"/>
      <c r="B1687" s="184"/>
      <c r="C1687" s="184"/>
      <c r="D1687" s="184"/>
      <c r="E1687" s="184"/>
      <c r="F1687" s="184"/>
      <c r="G1687" s="187"/>
      <c r="I1687" s="186"/>
      <c r="J1687" s="184"/>
    </row>
    <row r="1688" spans="1:10">
      <c r="A1688" s="174"/>
      <c r="B1688" s="184"/>
      <c r="C1688" s="184"/>
      <c r="D1688" s="184"/>
      <c r="E1688" s="184"/>
      <c r="F1688" s="184"/>
      <c r="G1688" s="187"/>
      <c r="I1688" s="186"/>
      <c r="J1688" s="184"/>
    </row>
    <row r="1689" spans="1:10">
      <c r="A1689" s="174"/>
      <c r="B1689" s="184"/>
      <c r="C1689" s="184"/>
      <c r="D1689" s="184"/>
      <c r="E1689" s="184"/>
      <c r="F1689" s="184"/>
      <c r="G1689" s="187"/>
      <c r="I1689" s="186"/>
      <c r="J1689" s="184"/>
    </row>
    <row r="1690" spans="1:10">
      <c r="A1690" s="174"/>
      <c r="B1690" s="184"/>
      <c r="C1690" s="184"/>
      <c r="D1690" s="184"/>
      <c r="E1690" s="184"/>
      <c r="F1690" s="184"/>
      <c r="G1690" s="187"/>
      <c r="I1690" s="186"/>
      <c r="J1690" s="184"/>
    </row>
    <row r="1691" spans="1:10">
      <c r="A1691" s="174"/>
      <c r="B1691" s="184"/>
      <c r="C1691" s="184"/>
      <c r="D1691" s="184"/>
      <c r="E1691" s="184"/>
      <c r="F1691" s="184"/>
      <c r="I1691" s="186"/>
      <c r="J1691" s="184"/>
    </row>
    <row r="1692" spans="1:10">
      <c r="A1692" s="174"/>
      <c r="B1692" s="184"/>
      <c r="C1692" s="184"/>
      <c r="D1692" s="184"/>
      <c r="E1692" s="184"/>
      <c r="F1692" s="184"/>
      <c r="G1692" s="187"/>
      <c r="I1692" s="186"/>
      <c r="J1692" s="184"/>
    </row>
    <row r="1693" spans="1:10">
      <c r="A1693" s="174"/>
      <c r="B1693" s="184"/>
      <c r="C1693" s="184"/>
      <c r="D1693" s="184"/>
      <c r="E1693" s="184"/>
      <c r="F1693" s="184"/>
      <c r="G1693" s="187"/>
      <c r="I1693" s="186"/>
      <c r="J1693" s="184"/>
    </row>
    <row r="1694" spans="1:10">
      <c r="A1694" s="174"/>
      <c r="B1694" s="184"/>
      <c r="C1694" s="184"/>
      <c r="D1694" s="184"/>
      <c r="E1694" s="184"/>
      <c r="F1694" s="184"/>
      <c r="G1694" s="187"/>
      <c r="I1694" s="186"/>
      <c r="J1694" s="184"/>
    </row>
    <row r="1695" spans="1:10">
      <c r="A1695" s="174"/>
      <c r="B1695" s="184"/>
      <c r="C1695" s="184"/>
      <c r="D1695" s="184"/>
      <c r="E1695" s="184"/>
      <c r="F1695" s="184"/>
      <c r="G1695" s="187"/>
      <c r="I1695" s="186"/>
      <c r="J1695" s="184"/>
    </row>
    <row r="1696" spans="1:10">
      <c r="A1696" s="174"/>
      <c r="B1696" s="184"/>
      <c r="C1696" s="184"/>
      <c r="D1696" s="184"/>
      <c r="E1696" s="184"/>
      <c r="F1696" s="184"/>
      <c r="I1696" s="186"/>
      <c r="J1696" s="184"/>
    </row>
    <row r="1697" spans="1:10">
      <c r="A1697" s="174"/>
      <c r="B1697" s="184"/>
      <c r="C1697" s="184"/>
      <c r="D1697" s="184"/>
      <c r="E1697" s="184"/>
      <c r="F1697" s="184"/>
      <c r="I1697" s="186"/>
      <c r="J1697" s="184"/>
    </row>
    <row r="1698" spans="1:10">
      <c r="A1698" s="174"/>
      <c r="B1698" s="184"/>
      <c r="C1698" s="184"/>
      <c r="D1698" s="184"/>
      <c r="E1698" s="184"/>
      <c r="F1698" s="184"/>
      <c r="G1698" s="187"/>
      <c r="I1698" s="186"/>
      <c r="J1698" s="184"/>
    </row>
    <row r="1699" spans="1:10">
      <c r="A1699" s="174"/>
      <c r="B1699" s="184"/>
      <c r="C1699" s="184"/>
      <c r="D1699" s="184"/>
      <c r="E1699" s="184"/>
      <c r="F1699" s="184"/>
      <c r="I1699" s="186"/>
      <c r="J1699" s="184"/>
    </row>
    <row r="1700" spans="1:10">
      <c r="A1700" s="174"/>
      <c r="B1700" s="184"/>
      <c r="C1700" s="184"/>
      <c r="D1700" s="184"/>
      <c r="E1700" s="184"/>
      <c r="F1700" s="184"/>
      <c r="I1700" s="186"/>
      <c r="J1700" s="184"/>
    </row>
    <row r="1701" spans="1:10">
      <c r="A1701" s="174"/>
      <c r="B1701" s="184"/>
      <c r="C1701" s="184"/>
      <c r="D1701" s="184"/>
      <c r="E1701" s="184"/>
      <c r="F1701" s="184"/>
      <c r="I1701" s="186"/>
      <c r="J1701" s="184"/>
    </row>
    <row r="1702" spans="1:10">
      <c r="A1702" s="174"/>
      <c r="B1702" s="184"/>
      <c r="C1702" s="184"/>
      <c r="D1702" s="184"/>
      <c r="E1702" s="184"/>
      <c r="F1702" s="184"/>
      <c r="I1702" s="186"/>
      <c r="J1702" s="184"/>
    </row>
    <row r="1703" spans="1:10">
      <c r="A1703" s="174"/>
      <c r="B1703" s="184"/>
      <c r="C1703" s="184"/>
      <c r="D1703" s="184"/>
      <c r="E1703" s="184"/>
      <c r="F1703" s="184"/>
      <c r="I1703" s="186"/>
      <c r="J1703" s="184"/>
    </row>
    <row r="1704" spans="1:10">
      <c r="A1704" s="174"/>
      <c r="B1704" s="184"/>
      <c r="C1704" s="184"/>
      <c r="D1704" s="184"/>
      <c r="E1704" s="184"/>
      <c r="F1704" s="184"/>
      <c r="I1704" s="186"/>
      <c r="J1704" s="184"/>
    </row>
    <row r="1705" spans="1:10">
      <c r="A1705" s="174"/>
      <c r="B1705" s="184"/>
      <c r="C1705" s="184"/>
      <c r="D1705" s="184"/>
      <c r="E1705" s="184"/>
      <c r="F1705" s="184"/>
      <c r="I1705" s="186"/>
      <c r="J1705" s="184"/>
    </row>
    <row r="1706" spans="1:10">
      <c r="A1706" s="174"/>
      <c r="B1706" s="184"/>
      <c r="C1706" s="184"/>
      <c r="D1706" s="184"/>
      <c r="E1706" s="184"/>
      <c r="F1706" s="184"/>
      <c r="I1706" s="186"/>
      <c r="J1706" s="184"/>
    </row>
    <row r="1707" spans="1:10">
      <c r="A1707" s="174"/>
      <c r="B1707" s="184"/>
      <c r="C1707" s="184"/>
      <c r="D1707" s="184"/>
      <c r="E1707" s="184"/>
      <c r="F1707" s="184"/>
      <c r="I1707" s="186"/>
      <c r="J1707" s="184"/>
    </row>
    <row r="1708" spans="1:10">
      <c r="A1708" s="174"/>
      <c r="B1708" s="184"/>
      <c r="C1708" s="184"/>
      <c r="D1708" s="184"/>
      <c r="E1708" s="184"/>
      <c r="F1708" s="184"/>
      <c r="G1708" s="187"/>
      <c r="I1708" s="186"/>
      <c r="J1708" s="184"/>
    </row>
    <row r="1709" spans="1:10">
      <c r="A1709" s="174"/>
      <c r="B1709" s="184"/>
      <c r="C1709" s="184"/>
      <c r="D1709" s="184"/>
      <c r="E1709" s="184"/>
      <c r="F1709" s="184"/>
      <c r="I1709" s="186"/>
      <c r="J1709" s="184"/>
    </row>
    <row r="1710" spans="1:10">
      <c r="A1710" s="174"/>
      <c r="B1710" s="184"/>
      <c r="C1710" s="184"/>
      <c r="D1710" s="184"/>
      <c r="E1710" s="184"/>
      <c r="F1710" s="184"/>
      <c r="G1710" s="187"/>
      <c r="I1710" s="186"/>
      <c r="J1710" s="184"/>
    </row>
    <row r="1711" spans="1:10">
      <c r="A1711" s="174"/>
      <c r="B1711" s="184"/>
      <c r="C1711" s="184"/>
      <c r="D1711" s="184"/>
      <c r="E1711" s="184"/>
      <c r="F1711" s="184"/>
      <c r="G1711" s="187"/>
      <c r="I1711" s="186"/>
      <c r="J1711" s="184"/>
    </row>
    <row r="1712" spans="1:10">
      <c r="A1712" s="174"/>
      <c r="B1712" s="184"/>
      <c r="C1712" s="184"/>
      <c r="D1712" s="184"/>
      <c r="E1712" s="184"/>
      <c r="F1712" s="184"/>
      <c r="I1712" s="186"/>
      <c r="J1712" s="184"/>
    </row>
    <row r="1713" spans="1:10">
      <c r="A1713" s="174"/>
      <c r="B1713" s="184"/>
      <c r="C1713" s="184"/>
      <c r="D1713" s="184"/>
      <c r="E1713" s="184"/>
      <c r="F1713" s="184"/>
      <c r="I1713" s="186"/>
      <c r="J1713" s="184"/>
    </row>
    <row r="1714" spans="1:10">
      <c r="A1714" s="174"/>
      <c r="B1714" s="184"/>
      <c r="C1714" s="184"/>
      <c r="D1714" s="184"/>
      <c r="E1714" s="184"/>
      <c r="F1714" s="184"/>
      <c r="G1714" s="187"/>
      <c r="I1714" s="186"/>
      <c r="J1714" s="184"/>
    </row>
    <row r="1715" spans="1:10">
      <c r="A1715" s="174"/>
      <c r="B1715" s="184"/>
      <c r="C1715" s="184"/>
      <c r="D1715" s="184"/>
      <c r="E1715" s="184"/>
      <c r="F1715" s="184"/>
      <c r="G1715" s="187"/>
      <c r="I1715" s="186"/>
      <c r="J1715" s="184"/>
    </row>
    <row r="1716" spans="1:10">
      <c r="A1716" s="174"/>
      <c r="B1716" s="184"/>
      <c r="C1716" s="184"/>
      <c r="D1716" s="184"/>
      <c r="E1716" s="184"/>
      <c r="F1716" s="184"/>
      <c r="I1716" s="186"/>
      <c r="J1716" s="184"/>
    </row>
    <row r="1717" spans="1:10">
      <c r="A1717" s="174"/>
      <c r="B1717" s="184"/>
      <c r="C1717" s="184"/>
      <c r="D1717" s="184"/>
      <c r="E1717" s="184"/>
      <c r="F1717" s="184"/>
      <c r="G1717" s="187"/>
      <c r="I1717" s="186"/>
      <c r="J1717" s="184"/>
    </row>
    <row r="1718" spans="1:10">
      <c r="A1718" s="174"/>
      <c r="B1718" s="184"/>
      <c r="C1718" s="184"/>
      <c r="D1718" s="184"/>
      <c r="E1718" s="184"/>
      <c r="F1718" s="184"/>
      <c r="I1718" s="186"/>
      <c r="J1718" s="184"/>
    </row>
    <row r="1719" spans="1:10">
      <c r="A1719" s="174"/>
      <c r="B1719" s="184"/>
      <c r="C1719" s="184"/>
      <c r="D1719" s="184"/>
      <c r="E1719" s="184"/>
      <c r="F1719" s="184"/>
      <c r="I1719" s="186"/>
      <c r="J1719" s="184"/>
    </row>
    <row r="1720" spans="1:10">
      <c r="A1720" s="174"/>
      <c r="B1720" s="184"/>
      <c r="C1720" s="184"/>
      <c r="D1720" s="184"/>
      <c r="E1720" s="184"/>
      <c r="F1720" s="184"/>
      <c r="G1720" s="187"/>
      <c r="I1720" s="186"/>
      <c r="J1720" s="184"/>
    </row>
    <row r="1721" spans="1:10">
      <c r="A1721" s="174"/>
      <c r="B1721" s="184"/>
      <c r="C1721" s="184"/>
      <c r="D1721" s="184"/>
      <c r="E1721" s="184"/>
      <c r="F1721" s="184"/>
      <c r="I1721" s="186"/>
      <c r="J1721" s="184"/>
    </row>
    <row r="1722" spans="1:10">
      <c r="A1722" s="174"/>
      <c r="B1722" s="184"/>
      <c r="C1722" s="184"/>
      <c r="D1722" s="184"/>
      <c r="E1722" s="184"/>
      <c r="F1722" s="184"/>
      <c r="I1722" s="186"/>
      <c r="J1722" s="184"/>
    </row>
    <row r="1723" spans="1:10">
      <c r="A1723" s="174"/>
      <c r="B1723" s="184"/>
      <c r="C1723" s="184"/>
      <c r="D1723" s="184"/>
      <c r="E1723" s="184"/>
      <c r="F1723" s="184"/>
      <c r="I1723" s="186"/>
      <c r="J1723" s="184"/>
    </row>
    <row r="1724" spans="1:10">
      <c r="A1724" s="174"/>
      <c r="B1724" s="184"/>
      <c r="C1724" s="184"/>
      <c r="D1724" s="184"/>
      <c r="E1724" s="184"/>
      <c r="F1724" s="184"/>
      <c r="I1724" s="186"/>
      <c r="J1724" s="184"/>
    </row>
    <row r="1725" spans="1:10">
      <c r="A1725" s="174"/>
      <c r="B1725" s="184"/>
      <c r="C1725" s="184"/>
      <c r="D1725" s="184"/>
      <c r="E1725" s="184"/>
      <c r="F1725" s="184"/>
      <c r="I1725" s="186"/>
      <c r="J1725" s="184"/>
    </row>
    <row r="1726" spans="1:10">
      <c r="A1726" s="174"/>
      <c r="B1726" s="184"/>
      <c r="C1726" s="184"/>
      <c r="D1726" s="184"/>
      <c r="E1726" s="184"/>
      <c r="F1726" s="184"/>
      <c r="I1726" s="186"/>
      <c r="J1726" s="184"/>
    </row>
    <row r="1727" spans="1:10">
      <c r="A1727" s="174"/>
      <c r="B1727" s="184"/>
      <c r="C1727" s="184"/>
      <c r="D1727" s="184"/>
      <c r="E1727" s="184"/>
      <c r="F1727" s="184"/>
      <c r="I1727" s="186"/>
      <c r="J1727" s="184"/>
    </row>
    <row r="1728" spans="1:10">
      <c r="A1728" s="174"/>
      <c r="B1728" s="184"/>
      <c r="C1728" s="184"/>
      <c r="D1728" s="184"/>
      <c r="E1728" s="184"/>
      <c r="F1728" s="184"/>
      <c r="I1728" s="186"/>
      <c r="J1728" s="184"/>
    </row>
    <row r="1729" spans="1:10">
      <c r="A1729" s="174"/>
      <c r="B1729" s="184"/>
      <c r="C1729" s="184"/>
      <c r="D1729" s="184"/>
      <c r="E1729" s="184"/>
      <c r="F1729" s="184"/>
      <c r="I1729" s="186"/>
      <c r="J1729" s="184"/>
    </row>
    <row r="1730" spans="1:10">
      <c r="A1730" s="174"/>
      <c r="B1730" s="184"/>
      <c r="C1730" s="184"/>
      <c r="D1730" s="184"/>
      <c r="E1730" s="184"/>
      <c r="F1730" s="184"/>
      <c r="I1730" s="186"/>
      <c r="J1730" s="184"/>
    </row>
    <row r="1731" spans="1:10">
      <c r="A1731" s="174"/>
      <c r="B1731" s="184"/>
      <c r="C1731" s="184"/>
      <c r="D1731" s="184"/>
      <c r="E1731" s="184"/>
      <c r="F1731" s="184"/>
      <c r="G1731" s="187"/>
      <c r="I1731" s="186"/>
      <c r="J1731" s="184"/>
    </row>
    <row r="1732" spans="1:10">
      <c r="A1732" s="174"/>
      <c r="B1732" s="184"/>
      <c r="C1732" s="184"/>
      <c r="D1732" s="184"/>
      <c r="E1732" s="184"/>
      <c r="F1732" s="184"/>
      <c r="I1732" s="186"/>
      <c r="J1732" s="184"/>
    </row>
    <row r="1733" spans="1:10">
      <c r="A1733" s="174"/>
      <c r="B1733" s="184"/>
      <c r="C1733" s="184"/>
      <c r="D1733" s="184"/>
      <c r="E1733" s="184"/>
      <c r="F1733" s="184"/>
      <c r="G1733" s="187"/>
      <c r="I1733" s="186"/>
      <c r="J1733" s="184"/>
    </row>
    <row r="1734" spans="1:10">
      <c r="A1734" s="174"/>
      <c r="B1734" s="184"/>
      <c r="C1734" s="184"/>
      <c r="D1734" s="184"/>
      <c r="E1734" s="184"/>
      <c r="F1734" s="184"/>
      <c r="G1734" s="187"/>
      <c r="I1734" s="186"/>
      <c r="J1734" s="184"/>
    </row>
    <row r="1735" spans="1:10">
      <c r="A1735" s="174"/>
      <c r="B1735" s="184"/>
      <c r="C1735" s="184"/>
      <c r="D1735" s="184"/>
      <c r="E1735" s="184"/>
      <c r="F1735" s="184"/>
      <c r="I1735" s="186"/>
      <c r="J1735" s="184"/>
    </row>
    <row r="1736" spans="1:10">
      <c r="A1736" s="174"/>
      <c r="B1736" s="184"/>
      <c r="C1736" s="184"/>
      <c r="D1736" s="184"/>
      <c r="E1736" s="184"/>
      <c r="F1736" s="184"/>
      <c r="G1736" s="187"/>
      <c r="I1736" s="186"/>
      <c r="J1736" s="184"/>
    </row>
    <row r="1737" spans="1:10">
      <c r="A1737" s="174"/>
      <c r="B1737" s="184"/>
      <c r="C1737" s="184"/>
      <c r="D1737" s="184"/>
      <c r="E1737" s="184"/>
      <c r="F1737" s="184"/>
      <c r="G1737" s="187"/>
      <c r="I1737" s="186"/>
      <c r="J1737" s="184"/>
    </row>
    <row r="1738" spans="1:10">
      <c r="A1738" s="174"/>
      <c r="B1738" s="184"/>
      <c r="C1738" s="184"/>
      <c r="D1738" s="184"/>
      <c r="E1738" s="184"/>
      <c r="F1738" s="184"/>
      <c r="I1738" s="186"/>
      <c r="J1738" s="184"/>
    </row>
    <row r="1739" spans="1:10">
      <c r="A1739" s="174"/>
      <c r="B1739" s="184"/>
      <c r="C1739" s="184"/>
      <c r="D1739" s="184"/>
      <c r="E1739" s="184"/>
      <c r="F1739" s="184"/>
      <c r="I1739" s="186"/>
      <c r="J1739" s="184"/>
    </row>
    <row r="1740" spans="1:10">
      <c r="A1740" s="174"/>
      <c r="B1740" s="184"/>
      <c r="C1740" s="184"/>
      <c r="D1740" s="184"/>
      <c r="E1740" s="184"/>
      <c r="F1740" s="184"/>
      <c r="G1740" s="187"/>
      <c r="I1740" s="186"/>
      <c r="J1740" s="184"/>
    </row>
    <row r="1741" spans="1:10">
      <c r="A1741" s="174"/>
      <c r="B1741" s="184"/>
      <c r="C1741" s="184"/>
      <c r="D1741" s="184"/>
      <c r="E1741" s="184"/>
      <c r="F1741" s="184"/>
      <c r="I1741" s="186"/>
      <c r="J1741" s="184"/>
    </row>
    <row r="1742" spans="1:10">
      <c r="A1742" s="174"/>
      <c r="B1742" s="184"/>
      <c r="C1742" s="184"/>
      <c r="D1742" s="184"/>
      <c r="E1742" s="184"/>
      <c r="F1742" s="184"/>
      <c r="I1742" s="186"/>
      <c r="J1742" s="184"/>
    </row>
    <row r="1743" spans="1:10">
      <c r="A1743" s="174"/>
      <c r="B1743" s="184"/>
      <c r="C1743" s="184"/>
      <c r="D1743" s="184"/>
      <c r="E1743" s="184"/>
      <c r="F1743" s="184"/>
      <c r="G1743" s="187"/>
      <c r="I1743" s="186"/>
      <c r="J1743" s="184"/>
    </row>
    <row r="1744" spans="1:10">
      <c r="A1744" s="174"/>
      <c r="B1744" s="184"/>
      <c r="C1744" s="184"/>
      <c r="D1744" s="184"/>
      <c r="E1744" s="184"/>
      <c r="F1744" s="184"/>
      <c r="G1744" s="187"/>
      <c r="I1744" s="186"/>
      <c r="J1744" s="184"/>
    </row>
    <row r="1745" spans="1:10">
      <c r="A1745" s="174"/>
      <c r="B1745" s="184"/>
      <c r="C1745" s="184"/>
      <c r="D1745" s="184"/>
      <c r="E1745" s="184"/>
      <c r="F1745" s="184"/>
      <c r="I1745" s="186"/>
      <c r="J1745" s="184"/>
    </row>
    <row r="1746" spans="1:10">
      <c r="A1746" s="174"/>
      <c r="B1746" s="184"/>
      <c r="C1746" s="184"/>
      <c r="D1746" s="184"/>
      <c r="E1746" s="184"/>
      <c r="F1746" s="184"/>
      <c r="G1746" s="187"/>
      <c r="I1746" s="186"/>
      <c r="J1746" s="184"/>
    </row>
    <row r="1747" spans="1:10">
      <c r="A1747" s="174"/>
      <c r="B1747" s="184"/>
      <c r="C1747" s="184"/>
      <c r="D1747" s="184"/>
      <c r="E1747" s="184"/>
      <c r="F1747" s="184"/>
      <c r="I1747" s="186"/>
      <c r="J1747" s="184"/>
    </row>
    <row r="1748" spans="1:10">
      <c r="A1748" s="174"/>
      <c r="B1748" s="184"/>
      <c r="C1748" s="184"/>
      <c r="D1748" s="184"/>
      <c r="E1748" s="184"/>
      <c r="F1748" s="184"/>
      <c r="I1748" s="186"/>
      <c r="J1748" s="184"/>
    </row>
    <row r="1749" spans="1:10">
      <c r="A1749" s="174"/>
      <c r="B1749" s="184"/>
      <c r="C1749" s="184"/>
      <c r="D1749" s="184"/>
      <c r="E1749" s="184"/>
      <c r="F1749" s="184"/>
      <c r="I1749" s="186"/>
      <c r="J1749" s="184"/>
    </row>
    <row r="1750" spans="1:10">
      <c r="A1750" s="174"/>
      <c r="B1750" s="184"/>
      <c r="C1750" s="184"/>
      <c r="D1750" s="184"/>
      <c r="E1750" s="184"/>
      <c r="F1750" s="184"/>
      <c r="G1750" s="187"/>
      <c r="I1750" s="186"/>
      <c r="J1750" s="184"/>
    </row>
    <row r="1751" spans="1:10">
      <c r="A1751" s="174"/>
      <c r="B1751" s="184"/>
      <c r="C1751" s="184"/>
      <c r="D1751" s="184"/>
      <c r="E1751" s="184"/>
      <c r="F1751" s="184"/>
      <c r="G1751" s="187"/>
      <c r="I1751" s="186"/>
      <c r="J1751" s="184"/>
    </row>
    <row r="1752" spans="1:10">
      <c r="A1752" s="174"/>
      <c r="B1752" s="184"/>
      <c r="C1752" s="184"/>
      <c r="D1752" s="184"/>
      <c r="E1752" s="184"/>
      <c r="F1752" s="184"/>
      <c r="G1752" s="187"/>
      <c r="I1752" s="186"/>
      <c r="J1752" s="184"/>
    </row>
    <row r="1753" spans="1:10">
      <c r="A1753" s="174"/>
      <c r="B1753" s="184"/>
      <c r="C1753" s="184"/>
      <c r="D1753" s="184"/>
      <c r="E1753" s="184"/>
      <c r="F1753" s="184"/>
      <c r="I1753" s="186"/>
      <c r="J1753" s="184"/>
    </row>
    <row r="1754" spans="1:10">
      <c r="A1754" s="174"/>
      <c r="B1754" s="184"/>
      <c r="C1754" s="184"/>
      <c r="D1754" s="184"/>
      <c r="E1754" s="184"/>
      <c r="F1754" s="184"/>
      <c r="G1754" s="187"/>
      <c r="I1754" s="186"/>
      <c r="J1754" s="184"/>
    </row>
    <row r="1755" spans="1:10">
      <c r="A1755" s="174"/>
      <c r="B1755" s="184"/>
      <c r="C1755" s="184"/>
      <c r="D1755" s="184"/>
      <c r="E1755" s="184"/>
      <c r="F1755" s="184"/>
      <c r="I1755" s="186"/>
      <c r="J1755" s="184"/>
    </row>
    <row r="1756" spans="1:10">
      <c r="A1756" s="174"/>
      <c r="B1756" s="184"/>
      <c r="C1756" s="184"/>
      <c r="D1756" s="184"/>
      <c r="E1756" s="184"/>
      <c r="F1756" s="184"/>
      <c r="I1756" s="186"/>
      <c r="J1756" s="184"/>
    </row>
    <row r="1757" spans="1:10">
      <c r="A1757" s="174"/>
      <c r="B1757" s="184"/>
      <c r="C1757" s="184"/>
      <c r="D1757" s="184"/>
      <c r="E1757" s="184"/>
      <c r="F1757" s="184"/>
      <c r="G1757" s="187"/>
      <c r="I1757" s="186"/>
      <c r="J1757" s="184"/>
    </row>
    <row r="1758" spans="1:10">
      <c r="A1758" s="174"/>
      <c r="B1758" s="184"/>
      <c r="C1758" s="184"/>
      <c r="D1758" s="184"/>
      <c r="E1758" s="184"/>
      <c r="F1758" s="184"/>
      <c r="G1758" s="187"/>
      <c r="I1758" s="186"/>
      <c r="J1758" s="184"/>
    </row>
    <row r="1759" spans="1:10">
      <c r="A1759" s="174"/>
      <c r="B1759" s="184"/>
      <c r="C1759" s="184"/>
      <c r="D1759" s="184"/>
      <c r="E1759" s="184"/>
      <c r="F1759" s="184"/>
      <c r="I1759" s="186"/>
      <c r="J1759" s="184"/>
    </row>
    <row r="1760" spans="1:10">
      <c r="A1760" s="174"/>
      <c r="B1760" s="184"/>
      <c r="C1760" s="184"/>
      <c r="D1760" s="184"/>
      <c r="E1760" s="184"/>
      <c r="F1760" s="184"/>
      <c r="I1760" s="186"/>
      <c r="J1760" s="184"/>
    </row>
    <row r="1761" spans="1:10">
      <c r="A1761" s="174"/>
      <c r="B1761" s="184"/>
      <c r="C1761" s="184"/>
      <c r="D1761" s="184"/>
      <c r="E1761" s="184"/>
      <c r="F1761" s="184"/>
      <c r="I1761" s="186"/>
      <c r="J1761" s="184"/>
    </row>
    <row r="1762" spans="1:10">
      <c r="A1762" s="174"/>
      <c r="B1762" s="184"/>
      <c r="C1762" s="184"/>
      <c r="D1762" s="184"/>
      <c r="E1762" s="184"/>
      <c r="F1762" s="184"/>
      <c r="I1762" s="186"/>
      <c r="J1762" s="184"/>
    </row>
    <row r="1763" spans="1:10">
      <c r="A1763" s="174"/>
      <c r="B1763" s="184"/>
      <c r="C1763" s="184"/>
      <c r="D1763" s="184"/>
      <c r="E1763" s="184"/>
      <c r="F1763" s="184"/>
      <c r="I1763" s="186"/>
      <c r="J1763" s="184"/>
    </row>
    <row r="1764" spans="1:10">
      <c r="A1764" s="174"/>
      <c r="B1764" s="184"/>
      <c r="C1764" s="184"/>
      <c r="D1764" s="184"/>
      <c r="E1764" s="184"/>
      <c r="F1764" s="184"/>
      <c r="I1764" s="186"/>
      <c r="J1764" s="184"/>
    </row>
    <row r="1765" spans="1:10">
      <c r="A1765" s="174"/>
      <c r="B1765" s="184"/>
      <c r="C1765" s="184"/>
      <c r="D1765" s="184"/>
      <c r="E1765" s="184"/>
      <c r="F1765" s="184"/>
      <c r="G1765" s="187"/>
      <c r="I1765" s="186"/>
      <c r="J1765" s="184"/>
    </row>
    <row r="1766" spans="1:10">
      <c r="A1766" s="174"/>
      <c r="B1766" s="184"/>
      <c r="C1766" s="184"/>
      <c r="D1766" s="184"/>
      <c r="E1766" s="184"/>
      <c r="F1766" s="184"/>
      <c r="G1766" s="187"/>
      <c r="I1766" s="186"/>
      <c r="J1766" s="184"/>
    </row>
    <row r="1767" spans="1:10">
      <c r="A1767" s="174"/>
      <c r="B1767" s="184"/>
      <c r="C1767" s="184"/>
      <c r="D1767" s="184"/>
      <c r="E1767" s="184"/>
      <c r="F1767" s="184"/>
      <c r="G1767" s="187"/>
      <c r="I1767" s="186"/>
      <c r="J1767" s="184"/>
    </row>
    <row r="1768" spans="1:10">
      <c r="A1768" s="174"/>
      <c r="B1768" s="184"/>
      <c r="C1768" s="184"/>
      <c r="D1768" s="184"/>
      <c r="E1768" s="184"/>
      <c r="F1768" s="184"/>
      <c r="I1768" s="186"/>
      <c r="J1768" s="184"/>
    </row>
    <row r="1769" spans="1:10">
      <c r="A1769" s="174"/>
      <c r="B1769" s="184"/>
      <c r="C1769" s="184"/>
      <c r="D1769" s="184"/>
      <c r="E1769" s="184"/>
      <c r="F1769" s="184"/>
      <c r="G1769" s="187"/>
      <c r="I1769" s="186"/>
      <c r="J1769" s="184"/>
    </row>
    <row r="1770" spans="1:10">
      <c r="A1770" s="174"/>
      <c r="B1770" s="184"/>
      <c r="C1770" s="184"/>
      <c r="D1770" s="184"/>
      <c r="E1770" s="184"/>
      <c r="F1770" s="184"/>
      <c r="G1770" s="187"/>
      <c r="I1770" s="186"/>
      <c r="J1770" s="184"/>
    </row>
    <row r="1771" spans="1:10">
      <c r="A1771" s="174"/>
      <c r="B1771" s="184"/>
      <c r="C1771" s="184"/>
      <c r="D1771" s="184"/>
      <c r="E1771" s="184"/>
      <c r="F1771" s="184"/>
      <c r="I1771" s="186"/>
      <c r="J1771" s="184"/>
    </row>
    <row r="1772" spans="1:10">
      <c r="A1772" s="174"/>
      <c r="B1772" s="184"/>
      <c r="C1772" s="184"/>
      <c r="D1772" s="184"/>
      <c r="E1772" s="184"/>
      <c r="F1772" s="184"/>
      <c r="G1772" s="187"/>
      <c r="I1772" s="186"/>
      <c r="J1772" s="184"/>
    </row>
    <row r="1773" spans="1:10">
      <c r="A1773" s="174"/>
      <c r="B1773" s="184"/>
      <c r="C1773" s="184"/>
      <c r="D1773" s="184"/>
      <c r="E1773" s="184"/>
      <c r="F1773" s="184"/>
      <c r="I1773" s="186"/>
      <c r="J1773" s="184"/>
    </row>
    <row r="1774" spans="1:10">
      <c r="A1774" s="174"/>
      <c r="B1774" s="184"/>
      <c r="C1774" s="184"/>
      <c r="D1774" s="184"/>
      <c r="E1774" s="184"/>
      <c r="F1774" s="184"/>
      <c r="G1774" s="187"/>
      <c r="I1774" s="186"/>
      <c r="J1774" s="184"/>
    </row>
    <row r="1775" spans="1:10">
      <c r="A1775" s="174"/>
      <c r="B1775" s="184"/>
      <c r="C1775" s="184"/>
      <c r="D1775" s="184"/>
      <c r="E1775" s="184"/>
      <c r="F1775" s="184"/>
      <c r="G1775" s="187"/>
      <c r="H1775" s="174"/>
      <c r="I1775" s="186"/>
      <c r="J1775" s="184"/>
    </row>
    <row r="1776" spans="1:10">
      <c r="A1776" s="174"/>
      <c r="B1776" s="184"/>
      <c r="C1776" s="184"/>
      <c r="D1776" s="184"/>
      <c r="E1776" s="184"/>
      <c r="F1776" s="184"/>
      <c r="G1776" s="187"/>
      <c r="I1776" s="186"/>
      <c r="J1776" s="184"/>
    </row>
    <row r="1777" spans="1:10">
      <c r="A1777" s="174"/>
      <c r="B1777" s="184"/>
      <c r="C1777" s="184"/>
      <c r="D1777" s="184"/>
      <c r="E1777" s="184"/>
      <c r="F1777" s="184"/>
      <c r="G1777" s="187"/>
      <c r="I1777" s="186"/>
      <c r="J1777" s="184"/>
    </row>
    <row r="1778" spans="1:10">
      <c r="A1778" s="174"/>
      <c r="B1778" s="184"/>
      <c r="C1778" s="184"/>
      <c r="D1778" s="184"/>
      <c r="E1778" s="184"/>
      <c r="F1778" s="184"/>
      <c r="G1778" s="187"/>
      <c r="I1778" s="186"/>
      <c r="J1778" s="184"/>
    </row>
    <row r="1779" spans="1:10">
      <c r="A1779" s="174"/>
      <c r="B1779" s="184"/>
      <c r="C1779" s="184"/>
      <c r="D1779" s="184"/>
      <c r="E1779" s="184"/>
      <c r="F1779" s="184"/>
      <c r="G1779" s="187"/>
      <c r="I1779" s="186"/>
      <c r="J1779" s="184"/>
    </row>
    <row r="1780" spans="1:10">
      <c r="A1780" s="174"/>
      <c r="B1780" s="184"/>
      <c r="C1780" s="184"/>
      <c r="D1780" s="184"/>
      <c r="E1780" s="184"/>
      <c r="F1780" s="184"/>
      <c r="G1780" s="187"/>
      <c r="I1780" s="186"/>
      <c r="J1780" s="184"/>
    </row>
    <row r="1781" spans="1:10">
      <c r="A1781" s="174"/>
      <c r="B1781" s="184"/>
      <c r="C1781" s="184"/>
      <c r="D1781" s="184"/>
      <c r="E1781" s="184"/>
      <c r="F1781" s="184"/>
      <c r="I1781" s="186"/>
      <c r="J1781" s="184"/>
    </row>
    <row r="1782" spans="1:10">
      <c r="A1782" s="174"/>
      <c r="B1782" s="184"/>
      <c r="C1782" s="184"/>
      <c r="D1782" s="184"/>
      <c r="E1782" s="184"/>
      <c r="F1782" s="184"/>
      <c r="I1782" s="186"/>
      <c r="J1782" s="184"/>
    </row>
    <row r="1783" spans="1:10">
      <c r="A1783" s="174"/>
      <c r="B1783" s="184"/>
      <c r="C1783" s="184"/>
      <c r="D1783" s="184"/>
      <c r="E1783" s="184"/>
      <c r="F1783" s="184"/>
      <c r="I1783" s="186"/>
      <c r="J1783" s="184"/>
    </row>
    <row r="1784" spans="1:10">
      <c r="A1784" s="174"/>
      <c r="B1784" s="184"/>
      <c r="C1784" s="184"/>
      <c r="D1784" s="184"/>
      <c r="E1784" s="184"/>
      <c r="F1784" s="184"/>
      <c r="I1784" s="186"/>
      <c r="J1784" s="184"/>
    </row>
    <row r="1785" spans="1:10">
      <c r="A1785" s="174"/>
      <c r="B1785" s="184"/>
      <c r="C1785" s="184"/>
      <c r="D1785" s="184"/>
      <c r="E1785" s="184"/>
      <c r="F1785" s="184"/>
      <c r="G1785" s="187"/>
      <c r="I1785" s="186"/>
      <c r="J1785" s="184"/>
    </row>
    <row r="1786" spans="1:10">
      <c r="A1786" s="174"/>
      <c r="B1786" s="184"/>
      <c r="C1786" s="184"/>
      <c r="D1786" s="184"/>
      <c r="E1786" s="184"/>
      <c r="F1786" s="184"/>
      <c r="G1786" s="187"/>
      <c r="I1786" s="186"/>
      <c r="J1786" s="184"/>
    </row>
    <row r="1787" spans="1:10">
      <c r="A1787" s="174"/>
      <c r="B1787" s="184"/>
      <c r="C1787" s="184"/>
      <c r="D1787" s="184"/>
      <c r="E1787" s="184"/>
      <c r="F1787" s="184"/>
      <c r="I1787" s="186"/>
      <c r="J1787" s="184"/>
    </row>
    <row r="1788" spans="1:10">
      <c r="A1788" s="174"/>
      <c r="B1788" s="184"/>
      <c r="C1788" s="184"/>
      <c r="D1788" s="184"/>
      <c r="E1788" s="184"/>
      <c r="F1788" s="184"/>
      <c r="G1788" s="187"/>
      <c r="I1788" s="186"/>
      <c r="J1788" s="184"/>
    </row>
    <row r="1789" spans="1:10">
      <c r="A1789" s="174"/>
      <c r="B1789" s="184"/>
      <c r="C1789" s="184"/>
      <c r="D1789" s="184"/>
      <c r="E1789" s="184"/>
      <c r="F1789" s="184"/>
      <c r="I1789" s="186"/>
      <c r="J1789" s="184"/>
    </row>
    <row r="1790" spans="1:10">
      <c r="A1790" s="174"/>
      <c r="B1790" s="184"/>
      <c r="C1790" s="184"/>
      <c r="D1790" s="184"/>
      <c r="E1790" s="184"/>
      <c r="F1790" s="184"/>
      <c r="G1790" s="187"/>
      <c r="I1790" s="186"/>
      <c r="J1790" s="184"/>
    </row>
    <row r="1791" spans="1:10">
      <c r="A1791" s="174"/>
      <c r="B1791" s="184"/>
      <c r="C1791" s="184"/>
      <c r="D1791" s="184"/>
      <c r="E1791" s="184"/>
      <c r="F1791" s="184"/>
      <c r="I1791" s="186"/>
      <c r="J1791" s="184"/>
    </row>
    <row r="1792" spans="1:10">
      <c r="A1792" s="174"/>
      <c r="B1792" s="184"/>
      <c r="C1792" s="184"/>
      <c r="D1792" s="184"/>
      <c r="E1792" s="184"/>
      <c r="F1792" s="184"/>
      <c r="I1792" s="186"/>
      <c r="J1792" s="184"/>
    </row>
    <row r="1793" spans="1:10">
      <c r="A1793" s="174"/>
      <c r="B1793" s="184"/>
      <c r="C1793" s="184"/>
      <c r="D1793" s="184"/>
      <c r="E1793" s="184"/>
      <c r="F1793" s="184"/>
      <c r="G1793" s="187"/>
      <c r="I1793" s="186"/>
      <c r="J1793" s="184"/>
    </row>
    <row r="1794" spans="1:10">
      <c r="A1794" s="174"/>
      <c r="B1794" s="184"/>
      <c r="C1794" s="184"/>
      <c r="D1794" s="184"/>
      <c r="E1794" s="184"/>
      <c r="F1794" s="184"/>
      <c r="I1794" s="186"/>
      <c r="J1794" s="184"/>
    </row>
    <row r="1795" spans="1:10">
      <c r="A1795" s="174"/>
      <c r="B1795" s="184"/>
      <c r="C1795" s="184"/>
      <c r="D1795" s="184"/>
      <c r="E1795" s="184"/>
      <c r="F1795" s="184"/>
      <c r="I1795" s="186"/>
      <c r="J1795" s="184"/>
    </row>
    <row r="1796" spans="1:10">
      <c r="A1796" s="174"/>
      <c r="B1796" s="184"/>
      <c r="C1796" s="184"/>
      <c r="D1796" s="184"/>
      <c r="E1796" s="184"/>
      <c r="F1796" s="184"/>
      <c r="I1796" s="186"/>
      <c r="J1796" s="184"/>
    </row>
    <row r="1797" spans="1:10">
      <c r="A1797" s="174"/>
      <c r="B1797" s="184"/>
      <c r="C1797" s="184"/>
      <c r="D1797" s="184"/>
      <c r="E1797" s="184"/>
      <c r="F1797" s="184"/>
      <c r="I1797" s="186"/>
      <c r="J1797" s="184"/>
    </row>
    <row r="1798" spans="1:10">
      <c r="A1798" s="174"/>
      <c r="B1798" s="184"/>
      <c r="C1798" s="184"/>
      <c r="D1798" s="184"/>
      <c r="E1798" s="184"/>
      <c r="F1798" s="184"/>
      <c r="G1798" s="187"/>
      <c r="I1798" s="186"/>
      <c r="J1798" s="184"/>
    </row>
    <row r="1799" spans="1:10">
      <c r="A1799" s="174"/>
      <c r="B1799" s="184"/>
      <c r="C1799" s="184"/>
      <c r="D1799" s="184"/>
      <c r="E1799" s="184"/>
      <c r="F1799" s="184"/>
      <c r="G1799" s="187"/>
      <c r="I1799" s="186"/>
      <c r="J1799" s="184"/>
    </row>
    <row r="1800" spans="1:10">
      <c r="A1800" s="174"/>
      <c r="B1800" s="184"/>
      <c r="C1800" s="184"/>
      <c r="D1800" s="184"/>
      <c r="E1800" s="184"/>
      <c r="F1800" s="184"/>
      <c r="G1800" s="187"/>
      <c r="I1800" s="186"/>
      <c r="J1800" s="184"/>
    </row>
    <row r="1801" spans="1:10">
      <c r="A1801" s="174"/>
      <c r="B1801" s="184"/>
      <c r="C1801" s="184"/>
      <c r="D1801" s="184"/>
      <c r="E1801" s="184"/>
      <c r="F1801" s="184"/>
      <c r="I1801" s="186"/>
      <c r="J1801" s="184"/>
    </row>
    <row r="1802" spans="1:10">
      <c r="A1802" s="174"/>
      <c r="B1802" s="184"/>
      <c r="C1802" s="184"/>
      <c r="D1802" s="184"/>
      <c r="E1802" s="184"/>
      <c r="F1802" s="184"/>
      <c r="G1802" s="187"/>
      <c r="I1802" s="186"/>
      <c r="J1802" s="184"/>
    </row>
    <row r="1803" spans="1:10">
      <c r="A1803" s="174"/>
      <c r="B1803" s="184"/>
      <c r="C1803" s="184"/>
      <c r="D1803" s="184"/>
      <c r="E1803" s="184"/>
      <c r="F1803" s="184"/>
      <c r="I1803" s="186"/>
      <c r="J1803" s="184"/>
    </row>
    <row r="1804" spans="1:10">
      <c r="A1804" s="174"/>
      <c r="B1804" s="184"/>
      <c r="C1804" s="184"/>
      <c r="D1804" s="184"/>
      <c r="E1804" s="184"/>
      <c r="F1804" s="184"/>
      <c r="I1804" s="186"/>
      <c r="J1804" s="184"/>
    </row>
    <row r="1805" spans="1:10">
      <c r="A1805" s="174"/>
      <c r="B1805" s="184"/>
      <c r="C1805" s="184"/>
      <c r="D1805" s="184"/>
      <c r="E1805" s="184"/>
      <c r="F1805" s="184"/>
      <c r="I1805" s="186"/>
      <c r="J1805" s="184"/>
    </row>
    <row r="1806" spans="1:10">
      <c r="A1806" s="174"/>
      <c r="B1806" s="184"/>
      <c r="C1806" s="184"/>
      <c r="D1806" s="184"/>
      <c r="E1806" s="184"/>
      <c r="F1806" s="184"/>
      <c r="G1806" s="187"/>
      <c r="I1806" s="186"/>
      <c r="J1806" s="184"/>
    </row>
    <row r="1807" spans="1:10">
      <c r="A1807" s="174"/>
      <c r="B1807" s="184"/>
      <c r="C1807" s="184"/>
      <c r="D1807" s="184"/>
      <c r="E1807" s="184"/>
      <c r="F1807" s="184"/>
      <c r="I1807" s="186"/>
      <c r="J1807" s="184"/>
    </row>
    <row r="1808" spans="1:10">
      <c r="A1808" s="174"/>
      <c r="B1808" s="184"/>
      <c r="C1808" s="184"/>
      <c r="D1808" s="184"/>
      <c r="E1808" s="184"/>
      <c r="F1808" s="184"/>
      <c r="G1808" s="187"/>
      <c r="I1808" s="186"/>
      <c r="J1808" s="184"/>
    </row>
    <row r="1809" spans="1:10">
      <c r="A1809" s="174"/>
      <c r="B1809" s="184"/>
      <c r="C1809" s="184"/>
      <c r="D1809" s="184"/>
      <c r="E1809" s="184"/>
      <c r="F1809" s="184"/>
      <c r="I1809" s="186"/>
      <c r="J1809" s="184"/>
    </row>
    <row r="1810" spans="1:10">
      <c r="A1810" s="174"/>
      <c r="B1810" s="184"/>
      <c r="C1810" s="184"/>
      <c r="D1810" s="184"/>
      <c r="E1810" s="184"/>
      <c r="F1810" s="184"/>
      <c r="I1810" s="186"/>
      <c r="J1810" s="184"/>
    </row>
    <row r="1811" spans="1:10">
      <c r="A1811" s="174"/>
      <c r="B1811" s="184"/>
      <c r="C1811" s="184"/>
      <c r="D1811" s="184"/>
      <c r="E1811" s="184"/>
      <c r="F1811" s="184"/>
      <c r="I1811" s="186"/>
      <c r="J1811" s="184"/>
    </row>
    <row r="1812" spans="1:10">
      <c r="A1812" s="174"/>
      <c r="B1812" s="184"/>
      <c r="C1812" s="184"/>
      <c r="D1812" s="184"/>
      <c r="E1812" s="184"/>
      <c r="F1812" s="184"/>
      <c r="I1812" s="186"/>
      <c r="J1812" s="184"/>
    </row>
    <row r="1813" spans="1:10">
      <c r="A1813" s="174"/>
      <c r="B1813" s="184"/>
      <c r="C1813" s="184"/>
      <c r="D1813" s="184"/>
      <c r="E1813" s="184"/>
      <c r="F1813" s="184"/>
      <c r="G1813" s="187"/>
      <c r="I1813" s="186"/>
      <c r="J1813" s="184"/>
    </row>
    <row r="1814" spans="1:10">
      <c r="A1814" s="174"/>
      <c r="B1814" s="184"/>
      <c r="C1814" s="184"/>
      <c r="D1814" s="184"/>
      <c r="E1814" s="184"/>
      <c r="F1814" s="184"/>
      <c r="G1814" s="187"/>
      <c r="I1814" s="186"/>
      <c r="J1814" s="184"/>
    </row>
    <row r="1815" spans="1:10">
      <c r="A1815" s="174"/>
      <c r="B1815" s="184"/>
      <c r="C1815" s="184"/>
      <c r="D1815" s="184"/>
      <c r="E1815" s="184"/>
      <c r="F1815" s="184"/>
      <c r="G1815" s="187"/>
      <c r="H1815" s="174"/>
      <c r="I1815" s="186"/>
      <c r="J1815" s="184"/>
    </row>
    <row r="1816" spans="1:10">
      <c r="A1816" s="174"/>
      <c r="B1816" s="184"/>
      <c r="C1816" s="184"/>
      <c r="D1816" s="184"/>
      <c r="E1816" s="184"/>
      <c r="F1816" s="184"/>
      <c r="I1816" s="186"/>
      <c r="J1816" s="184"/>
    </row>
    <row r="1817" spans="1:10">
      <c r="A1817" s="174"/>
      <c r="B1817" s="184"/>
      <c r="C1817" s="184"/>
      <c r="D1817" s="184"/>
      <c r="E1817" s="184"/>
      <c r="F1817" s="184"/>
      <c r="G1817" s="187"/>
      <c r="I1817" s="186"/>
      <c r="J1817" s="184"/>
    </row>
    <row r="1818" spans="1:10">
      <c r="A1818" s="174"/>
      <c r="B1818" s="184"/>
      <c r="C1818" s="184"/>
      <c r="D1818" s="184"/>
      <c r="E1818" s="184"/>
      <c r="F1818" s="184"/>
      <c r="G1818" s="187"/>
      <c r="I1818" s="186"/>
      <c r="J1818" s="184"/>
    </row>
    <row r="1819" spans="1:10">
      <c r="A1819" s="174"/>
      <c r="B1819" s="184"/>
      <c r="C1819" s="184"/>
      <c r="D1819" s="184"/>
      <c r="E1819" s="184"/>
      <c r="F1819" s="184"/>
      <c r="I1819" s="186"/>
      <c r="J1819" s="184"/>
    </row>
    <row r="1820" spans="1:10">
      <c r="A1820" s="174"/>
      <c r="B1820" s="184"/>
      <c r="C1820" s="184"/>
      <c r="D1820" s="184"/>
      <c r="E1820" s="184"/>
      <c r="F1820" s="184"/>
      <c r="G1820" s="187"/>
      <c r="I1820" s="186"/>
      <c r="J1820" s="184"/>
    </row>
    <row r="1821" spans="1:10">
      <c r="A1821" s="174"/>
      <c r="B1821" s="184"/>
      <c r="C1821" s="184"/>
      <c r="D1821" s="184"/>
      <c r="E1821" s="184"/>
      <c r="F1821" s="184"/>
      <c r="G1821" s="187"/>
      <c r="I1821" s="186"/>
      <c r="J1821" s="184"/>
    </row>
    <row r="1822" spans="1:10">
      <c r="A1822" s="174"/>
      <c r="B1822" s="184"/>
      <c r="C1822" s="184"/>
      <c r="D1822" s="184"/>
      <c r="E1822" s="184"/>
      <c r="F1822" s="184"/>
      <c r="G1822" s="187"/>
      <c r="I1822" s="186"/>
      <c r="J1822" s="184"/>
    </row>
    <row r="1823" spans="1:10">
      <c r="A1823" s="174"/>
      <c r="B1823" s="184"/>
      <c r="C1823" s="184"/>
      <c r="D1823" s="184"/>
      <c r="E1823" s="184"/>
      <c r="F1823" s="184"/>
      <c r="G1823" s="187"/>
      <c r="I1823" s="186"/>
      <c r="J1823" s="184"/>
    </row>
    <row r="1824" spans="1:10">
      <c r="A1824" s="174"/>
      <c r="B1824" s="184"/>
      <c r="C1824" s="184"/>
      <c r="D1824" s="184"/>
      <c r="E1824" s="184"/>
      <c r="F1824" s="184"/>
      <c r="G1824" s="187"/>
      <c r="I1824" s="186"/>
      <c r="J1824" s="184"/>
    </row>
    <row r="1825" spans="1:10">
      <c r="A1825" s="174"/>
      <c r="B1825" s="184"/>
      <c r="C1825" s="184"/>
      <c r="D1825" s="184"/>
      <c r="E1825" s="184"/>
      <c r="F1825" s="184"/>
      <c r="I1825" s="186"/>
      <c r="J1825" s="184"/>
    </row>
    <row r="1826" spans="1:10">
      <c r="A1826" s="174"/>
      <c r="B1826" s="184"/>
      <c r="C1826" s="184"/>
      <c r="D1826" s="184"/>
      <c r="E1826" s="184"/>
      <c r="F1826" s="184"/>
      <c r="G1826" s="187"/>
      <c r="I1826" s="186"/>
      <c r="J1826" s="184"/>
    </row>
    <row r="1827" spans="1:10">
      <c r="A1827" s="174"/>
      <c r="B1827" s="184"/>
      <c r="C1827" s="184"/>
      <c r="D1827" s="184"/>
      <c r="E1827" s="184"/>
      <c r="F1827" s="184"/>
      <c r="I1827" s="186"/>
      <c r="J1827" s="184"/>
    </row>
    <row r="1828" spans="1:10">
      <c r="A1828" s="174"/>
      <c r="B1828" s="184"/>
      <c r="C1828" s="184"/>
      <c r="D1828" s="184"/>
      <c r="E1828" s="184"/>
      <c r="F1828" s="184"/>
      <c r="G1828" s="187"/>
      <c r="I1828" s="186"/>
      <c r="J1828" s="184"/>
    </row>
    <row r="1829" spans="1:10">
      <c r="A1829" s="174"/>
      <c r="B1829" s="184"/>
      <c r="C1829" s="184"/>
      <c r="D1829" s="184"/>
      <c r="E1829" s="184"/>
      <c r="F1829" s="184"/>
      <c r="G1829" s="187"/>
      <c r="I1829" s="186"/>
      <c r="J1829" s="184"/>
    </row>
    <row r="1830" spans="1:10">
      <c r="A1830" s="174"/>
      <c r="B1830" s="184"/>
      <c r="C1830" s="184"/>
      <c r="D1830" s="184"/>
      <c r="E1830" s="184"/>
      <c r="F1830" s="184"/>
      <c r="G1830" s="187"/>
      <c r="I1830" s="186"/>
      <c r="J1830" s="184"/>
    </row>
    <row r="1831" spans="1:10">
      <c r="A1831" s="174"/>
      <c r="B1831" s="184"/>
      <c r="C1831" s="184"/>
      <c r="D1831" s="184"/>
      <c r="E1831" s="184"/>
      <c r="F1831" s="184"/>
      <c r="G1831" s="187"/>
      <c r="I1831" s="186"/>
      <c r="J1831" s="184"/>
    </row>
    <row r="1832" spans="1:10">
      <c r="A1832" s="174"/>
      <c r="B1832" s="184"/>
      <c r="C1832" s="184"/>
      <c r="D1832" s="184"/>
      <c r="E1832" s="184"/>
      <c r="F1832" s="184"/>
      <c r="G1832" s="187"/>
      <c r="I1832" s="186"/>
      <c r="J1832" s="184"/>
    </row>
    <row r="1833" spans="1:10">
      <c r="A1833" s="174"/>
      <c r="B1833" s="184"/>
      <c r="C1833" s="184"/>
      <c r="D1833" s="184"/>
      <c r="E1833" s="184"/>
      <c r="F1833" s="184"/>
      <c r="G1833" s="187"/>
      <c r="I1833" s="186"/>
      <c r="J1833" s="184"/>
    </row>
    <row r="1834" spans="1:10">
      <c r="A1834" s="174"/>
      <c r="B1834" s="184"/>
      <c r="C1834" s="184"/>
      <c r="D1834" s="184"/>
      <c r="E1834" s="184"/>
      <c r="F1834" s="184"/>
      <c r="G1834" s="187"/>
      <c r="I1834" s="186"/>
      <c r="J1834" s="184"/>
    </row>
    <row r="1835" spans="1:10">
      <c r="A1835" s="174"/>
      <c r="B1835" s="184"/>
      <c r="C1835" s="184"/>
      <c r="D1835" s="184"/>
      <c r="E1835" s="184"/>
      <c r="F1835" s="184"/>
      <c r="G1835" s="187"/>
      <c r="I1835" s="186"/>
      <c r="J1835" s="184"/>
    </row>
    <row r="1836" spans="1:10">
      <c r="A1836" s="174"/>
      <c r="B1836" s="184"/>
      <c r="C1836" s="184"/>
      <c r="D1836" s="184"/>
      <c r="E1836" s="184"/>
      <c r="F1836" s="184"/>
      <c r="G1836" s="187"/>
      <c r="I1836" s="186"/>
      <c r="J1836" s="184"/>
    </row>
    <row r="1837" spans="1:10">
      <c r="A1837" s="174"/>
      <c r="B1837" s="184"/>
      <c r="C1837" s="184"/>
      <c r="D1837" s="184"/>
      <c r="E1837" s="184"/>
      <c r="F1837" s="184"/>
      <c r="G1837" s="187"/>
      <c r="I1837" s="186"/>
      <c r="J1837" s="184"/>
    </row>
    <row r="1838" spans="1:10">
      <c r="A1838" s="174"/>
      <c r="B1838" s="184"/>
      <c r="C1838" s="184"/>
      <c r="D1838" s="184"/>
      <c r="E1838" s="184"/>
      <c r="F1838" s="184"/>
      <c r="G1838" s="187"/>
      <c r="I1838" s="186"/>
      <c r="J1838" s="184"/>
    </row>
    <row r="1839" spans="1:10">
      <c r="A1839" s="174"/>
      <c r="B1839" s="184"/>
      <c r="C1839" s="184"/>
      <c r="D1839" s="184"/>
      <c r="E1839" s="184"/>
      <c r="F1839" s="184"/>
      <c r="G1839" s="187"/>
      <c r="I1839" s="186"/>
      <c r="J1839" s="184"/>
    </row>
    <row r="1840" spans="1:10">
      <c r="A1840" s="174"/>
      <c r="B1840" s="184"/>
      <c r="C1840" s="184"/>
      <c r="D1840" s="184"/>
      <c r="E1840" s="184"/>
      <c r="F1840" s="184"/>
      <c r="G1840" s="187"/>
      <c r="I1840" s="186"/>
      <c r="J1840" s="184"/>
    </row>
    <row r="1841" spans="1:10">
      <c r="A1841" s="174"/>
      <c r="B1841" s="184"/>
      <c r="C1841" s="184"/>
      <c r="D1841" s="184"/>
      <c r="E1841" s="184"/>
      <c r="F1841" s="184"/>
      <c r="G1841" s="187"/>
      <c r="I1841" s="186"/>
      <c r="J1841" s="184"/>
    </row>
    <row r="1842" spans="1:10">
      <c r="A1842" s="174"/>
      <c r="B1842" s="184"/>
      <c r="C1842" s="184"/>
      <c r="D1842" s="184"/>
      <c r="E1842" s="184"/>
      <c r="F1842" s="184"/>
      <c r="G1842" s="187"/>
      <c r="I1842" s="186"/>
      <c r="J1842" s="184"/>
    </row>
    <row r="1843" spans="1:10">
      <c r="A1843" s="174"/>
      <c r="B1843" s="184"/>
      <c r="C1843" s="184"/>
      <c r="D1843" s="184"/>
      <c r="E1843" s="184"/>
      <c r="F1843" s="184"/>
      <c r="G1843" s="187"/>
      <c r="I1843" s="186"/>
      <c r="J1843" s="184"/>
    </row>
    <row r="1844" spans="1:10">
      <c r="A1844" s="174"/>
      <c r="B1844" s="184"/>
      <c r="C1844" s="184"/>
      <c r="D1844" s="184"/>
      <c r="E1844" s="184"/>
      <c r="F1844" s="184"/>
      <c r="G1844" s="187"/>
      <c r="I1844" s="186"/>
      <c r="J1844" s="184"/>
    </row>
    <row r="1845" spans="1:10">
      <c r="A1845" s="174"/>
      <c r="B1845" s="184"/>
      <c r="C1845" s="184"/>
      <c r="D1845" s="184"/>
      <c r="E1845" s="184"/>
      <c r="F1845" s="184"/>
      <c r="G1845" s="187"/>
      <c r="I1845" s="186"/>
      <c r="J1845" s="184"/>
    </row>
    <row r="1846" spans="1:10">
      <c r="A1846" s="174"/>
      <c r="B1846" s="184"/>
      <c r="C1846" s="184"/>
      <c r="D1846" s="184"/>
      <c r="E1846" s="184"/>
      <c r="F1846" s="184"/>
      <c r="G1846" s="187"/>
      <c r="I1846" s="186"/>
      <c r="J1846" s="184"/>
    </row>
    <row r="1847" spans="1:10">
      <c r="A1847" s="174"/>
      <c r="B1847" s="184"/>
      <c r="C1847" s="184"/>
      <c r="D1847" s="184"/>
      <c r="E1847" s="184"/>
      <c r="F1847" s="184"/>
      <c r="G1847" s="187"/>
      <c r="I1847" s="186"/>
      <c r="J1847" s="184"/>
    </row>
    <row r="1848" spans="1:10">
      <c r="A1848" s="174"/>
      <c r="B1848" s="184"/>
      <c r="C1848" s="184"/>
      <c r="D1848" s="184"/>
      <c r="E1848" s="184"/>
      <c r="F1848" s="184"/>
      <c r="G1848" s="187"/>
      <c r="I1848" s="186"/>
      <c r="J1848" s="184"/>
    </row>
    <row r="1849" spans="1:10">
      <c r="A1849" s="174"/>
      <c r="B1849" s="184"/>
      <c r="C1849" s="184"/>
      <c r="D1849" s="184"/>
      <c r="E1849" s="184"/>
      <c r="F1849" s="184"/>
      <c r="G1849" s="187"/>
      <c r="I1849" s="186"/>
      <c r="J1849" s="184"/>
    </row>
    <row r="1850" spans="1:10">
      <c r="A1850" s="174"/>
      <c r="B1850" s="184"/>
      <c r="C1850" s="184"/>
      <c r="D1850" s="184"/>
      <c r="E1850" s="184"/>
      <c r="F1850" s="184"/>
      <c r="G1850" s="187"/>
      <c r="I1850" s="186"/>
      <c r="J1850" s="184"/>
    </row>
    <row r="1851" spans="1:10">
      <c r="A1851" s="174"/>
      <c r="B1851" s="184"/>
      <c r="C1851" s="184"/>
      <c r="D1851" s="184"/>
      <c r="E1851" s="184"/>
      <c r="F1851" s="184"/>
      <c r="G1851" s="187"/>
      <c r="I1851" s="186"/>
      <c r="J1851" s="184"/>
    </row>
    <row r="1852" spans="1:10">
      <c r="A1852" s="174"/>
      <c r="B1852" s="184"/>
      <c r="C1852" s="184"/>
      <c r="D1852" s="184"/>
      <c r="E1852" s="184"/>
      <c r="F1852" s="184"/>
      <c r="G1852" s="187"/>
      <c r="I1852" s="186"/>
      <c r="J1852" s="184"/>
    </row>
    <row r="1853" spans="1:10">
      <c r="A1853" s="174"/>
      <c r="B1853" s="184"/>
      <c r="C1853" s="184"/>
      <c r="D1853" s="184"/>
      <c r="E1853" s="184"/>
      <c r="F1853" s="184"/>
      <c r="G1853" s="187"/>
      <c r="I1853" s="186"/>
      <c r="J1853" s="184"/>
    </row>
    <row r="1854" spans="1:10">
      <c r="A1854" s="174"/>
      <c r="B1854" s="184"/>
      <c r="C1854" s="184"/>
      <c r="D1854" s="184"/>
      <c r="E1854" s="184"/>
      <c r="F1854" s="184"/>
      <c r="G1854" s="187"/>
      <c r="I1854" s="186"/>
      <c r="J1854" s="184"/>
    </row>
    <row r="1855" spans="1:10">
      <c r="A1855" s="174"/>
      <c r="B1855" s="184"/>
      <c r="C1855" s="184"/>
      <c r="D1855" s="184"/>
      <c r="E1855" s="184"/>
      <c r="F1855" s="184"/>
      <c r="G1855" s="187"/>
      <c r="I1855" s="186"/>
      <c r="J1855" s="184"/>
    </row>
    <row r="1856" spans="1:10">
      <c r="A1856" s="174"/>
      <c r="B1856" s="184"/>
      <c r="C1856" s="184"/>
      <c r="D1856" s="184"/>
      <c r="E1856" s="184"/>
      <c r="F1856" s="184"/>
      <c r="G1856" s="187"/>
      <c r="I1856" s="186"/>
      <c r="J1856" s="184"/>
    </row>
    <row r="1857" spans="1:10">
      <c r="A1857" s="174"/>
      <c r="B1857" s="184"/>
      <c r="C1857" s="184"/>
      <c r="D1857" s="184"/>
      <c r="E1857" s="184"/>
      <c r="F1857" s="184"/>
      <c r="G1857" s="187"/>
      <c r="I1857" s="186"/>
      <c r="J1857" s="184"/>
    </row>
    <row r="1858" spans="1:10">
      <c r="A1858" s="174"/>
      <c r="B1858" s="184"/>
      <c r="C1858" s="184"/>
      <c r="D1858" s="184"/>
      <c r="E1858" s="184"/>
      <c r="F1858" s="184"/>
      <c r="G1858" s="187"/>
      <c r="I1858" s="186"/>
      <c r="J1858" s="184"/>
    </row>
    <row r="1859" spans="1:10">
      <c r="A1859" s="174"/>
      <c r="B1859" s="184"/>
      <c r="C1859" s="184"/>
      <c r="D1859" s="184"/>
      <c r="E1859" s="184"/>
      <c r="F1859" s="184"/>
      <c r="G1859" s="187"/>
      <c r="I1859" s="186"/>
      <c r="J1859" s="184"/>
    </row>
    <row r="1860" spans="1:10">
      <c r="A1860" s="174"/>
      <c r="B1860" s="184"/>
      <c r="C1860" s="184"/>
      <c r="D1860" s="184"/>
      <c r="E1860" s="184"/>
      <c r="F1860" s="184"/>
      <c r="G1860" s="187"/>
      <c r="I1860" s="186"/>
      <c r="J1860" s="184"/>
    </row>
    <row r="1861" spans="1:10">
      <c r="A1861" s="174"/>
      <c r="B1861" s="184"/>
      <c r="C1861" s="184"/>
      <c r="D1861" s="184"/>
      <c r="E1861" s="184"/>
      <c r="F1861" s="184"/>
      <c r="G1861" s="187"/>
      <c r="I1861" s="186"/>
      <c r="J1861" s="184"/>
    </row>
    <row r="1862" spans="1:10">
      <c r="A1862" s="174"/>
      <c r="B1862" s="184"/>
      <c r="C1862" s="184"/>
      <c r="D1862" s="184"/>
      <c r="E1862" s="184"/>
      <c r="F1862" s="184"/>
      <c r="G1862" s="187"/>
      <c r="I1862" s="186"/>
      <c r="J1862" s="184"/>
    </row>
    <row r="1863" spans="1:10">
      <c r="A1863" s="174"/>
      <c r="B1863" s="184"/>
      <c r="C1863" s="184"/>
      <c r="D1863" s="184"/>
      <c r="E1863" s="184"/>
      <c r="F1863" s="184"/>
      <c r="G1863" s="187"/>
      <c r="I1863" s="186"/>
      <c r="J1863" s="184"/>
    </row>
    <row r="1864" spans="1:10">
      <c r="A1864" s="174"/>
      <c r="B1864" s="184"/>
      <c r="C1864" s="184"/>
      <c r="D1864" s="184"/>
      <c r="E1864" s="184"/>
      <c r="F1864" s="184"/>
      <c r="G1864" s="187"/>
      <c r="I1864" s="186"/>
      <c r="J1864" s="184"/>
    </row>
    <row r="1865" spans="1:10">
      <c r="A1865" s="174"/>
      <c r="B1865" s="184"/>
      <c r="C1865" s="184"/>
      <c r="D1865" s="184"/>
      <c r="E1865" s="184"/>
      <c r="F1865" s="184"/>
      <c r="G1865" s="187"/>
      <c r="I1865" s="186"/>
      <c r="J1865" s="184"/>
    </row>
    <row r="1866" spans="1:10">
      <c r="A1866" s="174"/>
      <c r="B1866" s="184"/>
      <c r="C1866" s="184"/>
      <c r="D1866" s="184"/>
      <c r="E1866" s="184"/>
      <c r="F1866" s="184"/>
      <c r="G1866" s="187"/>
      <c r="I1866" s="186"/>
      <c r="J1866" s="184"/>
    </row>
    <row r="1867" spans="1:10">
      <c r="A1867" s="174"/>
      <c r="B1867" s="184"/>
      <c r="C1867" s="184"/>
      <c r="D1867" s="184"/>
      <c r="E1867" s="184"/>
      <c r="F1867" s="184"/>
      <c r="G1867" s="187"/>
      <c r="I1867" s="186"/>
      <c r="J1867" s="184"/>
    </row>
    <row r="1868" spans="1:10">
      <c r="A1868" s="174"/>
      <c r="B1868" s="184"/>
      <c r="C1868" s="184"/>
      <c r="D1868" s="184"/>
      <c r="E1868" s="184"/>
      <c r="F1868" s="184"/>
      <c r="G1868" s="187"/>
      <c r="I1868" s="186"/>
      <c r="J1868" s="184"/>
    </row>
    <row r="1869" spans="1:10">
      <c r="A1869" s="174"/>
      <c r="B1869" s="184"/>
      <c r="C1869" s="184"/>
      <c r="D1869" s="184"/>
      <c r="E1869" s="184"/>
      <c r="F1869" s="184"/>
      <c r="G1869" s="187"/>
      <c r="I1869" s="186"/>
      <c r="J1869" s="184"/>
    </row>
    <row r="1870" spans="1:10">
      <c r="A1870" s="174"/>
      <c r="B1870" s="184"/>
      <c r="C1870" s="184"/>
      <c r="D1870" s="184"/>
      <c r="E1870" s="184"/>
      <c r="F1870" s="184"/>
      <c r="G1870" s="187"/>
      <c r="I1870" s="186"/>
      <c r="J1870" s="184"/>
    </row>
    <row r="1871" spans="1:10">
      <c r="A1871" s="174"/>
      <c r="B1871" s="184"/>
      <c r="C1871" s="184"/>
      <c r="D1871" s="184"/>
      <c r="E1871" s="184"/>
      <c r="F1871" s="184"/>
      <c r="G1871" s="187"/>
      <c r="I1871" s="186"/>
      <c r="J1871" s="184"/>
    </row>
    <row r="1872" spans="1:10">
      <c r="A1872" s="174"/>
      <c r="B1872" s="184"/>
      <c r="C1872" s="184"/>
      <c r="D1872" s="184"/>
      <c r="E1872" s="184"/>
      <c r="F1872" s="184"/>
      <c r="G1872" s="187"/>
      <c r="I1872" s="186"/>
      <c r="J1872" s="184"/>
    </row>
    <row r="1873" spans="1:10">
      <c r="A1873" s="174"/>
      <c r="B1873" s="184"/>
      <c r="C1873" s="184"/>
      <c r="D1873" s="184"/>
      <c r="E1873" s="184"/>
      <c r="F1873" s="184"/>
      <c r="G1873" s="187"/>
      <c r="I1873" s="186"/>
      <c r="J1873" s="184"/>
    </row>
    <row r="1874" spans="1:10">
      <c r="A1874" s="174"/>
      <c r="B1874" s="184"/>
      <c r="C1874" s="184"/>
      <c r="D1874" s="184"/>
      <c r="E1874" s="184"/>
      <c r="F1874" s="184"/>
      <c r="G1874" s="187"/>
      <c r="I1874" s="186"/>
      <c r="J1874" s="184"/>
    </row>
    <row r="1875" spans="1:10">
      <c r="A1875" s="174"/>
      <c r="B1875" s="184"/>
      <c r="C1875" s="184"/>
      <c r="D1875" s="184"/>
      <c r="E1875" s="184"/>
      <c r="F1875" s="184"/>
      <c r="G1875" s="187"/>
      <c r="I1875" s="186"/>
      <c r="J1875" s="184"/>
    </row>
    <row r="1876" spans="1:10">
      <c r="A1876" s="174"/>
      <c r="B1876" s="184"/>
      <c r="C1876" s="184"/>
      <c r="D1876" s="184"/>
      <c r="E1876" s="184"/>
      <c r="F1876" s="184"/>
      <c r="G1876" s="187"/>
      <c r="I1876" s="186"/>
      <c r="J1876" s="184"/>
    </row>
    <row r="1877" spans="1:10">
      <c r="A1877" s="174"/>
      <c r="B1877" s="184"/>
      <c r="C1877" s="184"/>
      <c r="D1877" s="184"/>
      <c r="E1877" s="184"/>
      <c r="F1877" s="184"/>
      <c r="G1877" s="187"/>
      <c r="I1877" s="186"/>
      <c r="J1877" s="184"/>
    </row>
    <row r="1878" spans="1:10">
      <c r="A1878" s="174"/>
      <c r="B1878" s="184"/>
      <c r="C1878" s="184"/>
      <c r="D1878" s="184"/>
      <c r="E1878" s="184"/>
      <c r="F1878" s="184"/>
      <c r="G1878" s="187"/>
      <c r="I1878" s="186"/>
      <c r="J1878" s="184"/>
    </row>
    <row r="1879" spans="1:10">
      <c r="A1879" s="174"/>
      <c r="B1879" s="184"/>
      <c r="C1879" s="184"/>
      <c r="D1879" s="184"/>
      <c r="E1879" s="184"/>
      <c r="F1879" s="184"/>
      <c r="G1879" s="187"/>
      <c r="I1879" s="186"/>
      <c r="J1879" s="184"/>
    </row>
    <row r="1880" spans="1:10">
      <c r="A1880" s="174"/>
      <c r="B1880" s="184"/>
      <c r="C1880" s="184"/>
      <c r="D1880" s="184"/>
      <c r="E1880" s="184"/>
      <c r="F1880" s="184"/>
      <c r="G1880" s="187"/>
      <c r="I1880" s="186"/>
      <c r="J1880" s="184"/>
    </row>
    <row r="1881" spans="1:10">
      <c r="A1881" s="174"/>
      <c r="B1881" s="184"/>
      <c r="C1881" s="184"/>
      <c r="D1881" s="184"/>
      <c r="E1881" s="184"/>
      <c r="F1881" s="184"/>
      <c r="G1881" s="187"/>
      <c r="I1881" s="186"/>
      <c r="J1881" s="184"/>
    </row>
    <row r="1882" spans="1:10">
      <c r="A1882" s="174"/>
      <c r="B1882" s="184"/>
      <c r="C1882" s="184"/>
      <c r="D1882" s="184"/>
      <c r="E1882" s="184"/>
      <c r="F1882" s="184"/>
      <c r="G1882" s="187"/>
      <c r="I1882" s="186"/>
      <c r="J1882" s="184"/>
    </row>
    <row r="1883" spans="1:10">
      <c r="A1883" s="174"/>
      <c r="B1883" s="184"/>
      <c r="C1883" s="184"/>
      <c r="D1883" s="184"/>
      <c r="E1883" s="184"/>
      <c r="F1883" s="184"/>
      <c r="G1883" s="187"/>
      <c r="I1883" s="186"/>
      <c r="J1883" s="184"/>
    </row>
    <row r="1884" spans="1:10">
      <c r="A1884" s="174"/>
      <c r="B1884" s="184"/>
      <c r="C1884" s="184"/>
      <c r="D1884" s="184"/>
      <c r="E1884" s="184"/>
      <c r="F1884" s="184"/>
      <c r="G1884" s="187"/>
      <c r="I1884" s="186"/>
      <c r="J1884" s="184"/>
    </row>
    <row r="1885" spans="1:10">
      <c r="A1885" s="174"/>
      <c r="B1885" s="184"/>
      <c r="C1885" s="184"/>
      <c r="D1885" s="184"/>
      <c r="E1885" s="184"/>
      <c r="F1885" s="184"/>
      <c r="G1885" s="187"/>
      <c r="I1885" s="186"/>
      <c r="J1885" s="184"/>
    </row>
    <row r="1886" spans="1:10">
      <c r="A1886" s="174"/>
      <c r="B1886" s="184"/>
      <c r="C1886" s="184"/>
      <c r="D1886" s="184"/>
      <c r="E1886" s="184"/>
      <c r="F1886" s="184"/>
      <c r="G1886" s="187"/>
      <c r="I1886" s="186"/>
      <c r="J1886" s="184"/>
    </row>
    <row r="1887" spans="1:10">
      <c r="A1887" s="174"/>
      <c r="B1887" s="184"/>
      <c r="C1887" s="184"/>
      <c r="D1887" s="184"/>
      <c r="E1887" s="184"/>
      <c r="F1887" s="184"/>
      <c r="G1887" s="187"/>
      <c r="I1887" s="186"/>
      <c r="J1887" s="184"/>
    </row>
    <row r="1888" spans="1:10">
      <c r="A1888" s="174"/>
      <c r="B1888" s="184"/>
      <c r="C1888" s="184"/>
      <c r="D1888" s="184"/>
      <c r="E1888" s="184"/>
      <c r="F1888" s="184"/>
      <c r="G1888" s="187"/>
      <c r="I1888" s="186"/>
      <c r="J1888" s="184"/>
    </row>
    <row r="1889" spans="1:10">
      <c r="A1889" s="174"/>
      <c r="B1889" s="184"/>
      <c r="C1889" s="184"/>
      <c r="D1889" s="184"/>
      <c r="E1889" s="184"/>
      <c r="F1889" s="184"/>
      <c r="G1889" s="187"/>
      <c r="I1889" s="186"/>
      <c r="J1889" s="184"/>
    </row>
    <row r="1890" spans="1:10">
      <c r="A1890" s="174"/>
      <c r="B1890" s="184"/>
      <c r="C1890" s="184"/>
      <c r="D1890" s="184"/>
      <c r="E1890" s="184"/>
      <c r="F1890" s="184"/>
      <c r="G1890" s="187"/>
      <c r="I1890" s="186"/>
      <c r="J1890" s="184"/>
    </row>
    <row r="1891" spans="1:10">
      <c r="A1891" s="174"/>
      <c r="B1891" s="184"/>
      <c r="C1891" s="184"/>
      <c r="D1891" s="184"/>
      <c r="E1891" s="184"/>
      <c r="F1891" s="184"/>
      <c r="G1891" s="187"/>
      <c r="I1891" s="186"/>
      <c r="J1891" s="184"/>
    </row>
    <row r="1892" spans="1:10">
      <c r="A1892" s="174"/>
      <c r="B1892" s="184"/>
      <c r="C1892" s="184"/>
      <c r="D1892" s="184"/>
      <c r="E1892" s="184"/>
      <c r="F1892" s="184"/>
      <c r="G1892" s="187"/>
      <c r="I1892" s="186"/>
      <c r="J1892" s="184"/>
    </row>
    <row r="1893" spans="1:10">
      <c r="A1893" s="174"/>
      <c r="B1893" s="184"/>
      <c r="C1893" s="184"/>
      <c r="D1893" s="184"/>
      <c r="E1893" s="184"/>
      <c r="F1893" s="184"/>
      <c r="G1893" s="187"/>
      <c r="I1893" s="186"/>
      <c r="J1893" s="184"/>
    </row>
    <row r="1894" spans="1:10">
      <c r="A1894" s="174"/>
      <c r="B1894" s="184"/>
      <c r="C1894" s="184"/>
      <c r="D1894" s="184"/>
      <c r="E1894" s="184"/>
      <c r="F1894" s="184"/>
      <c r="G1894" s="187"/>
      <c r="I1894" s="186"/>
      <c r="J1894" s="184"/>
    </row>
    <row r="1895" spans="1:10">
      <c r="A1895" s="174"/>
      <c r="B1895" s="184"/>
      <c r="C1895" s="184"/>
      <c r="D1895" s="184"/>
      <c r="E1895" s="184"/>
      <c r="F1895" s="184"/>
      <c r="G1895" s="187"/>
      <c r="I1895" s="186"/>
      <c r="J1895" s="184"/>
    </row>
    <row r="1896" spans="1:10">
      <c r="A1896" s="174"/>
      <c r="B1896" s="184"/>
      <c r="C1896" s="184"/>
      <c r="D1896" s="184"/>
      <c r="E1896" s="184"/>
      <c r="F1896" s="184"/>
      <c r="G1896" s="187"/>
      <c r="I1896" s="186"/>
      <c r="J1896" s="184"/>
    </row>
    <row r="1897" spans="1:10">
      <c r="A1897" s="174"/>
      <c r="B1897" s="184"/>
      <c r="C1897" s="184"/>
      <c r="D1897" s="184"/>
      <c r="E1897" s="184"/>
      <c r="F1897" s="184"/>
      <c r="G1897" s="187"/>
      <c r="I1897" s="186"/>
      <c r="J1897" s="184"/>
    </row>
    <row r="1898" spans="1:10">
      <c r="A1898" s="174"/>
      <c r="B1898" s="184"/>
      <c r="C1898" s="184"/>
      <c r="D1898" s="184"/>
      <c r="E1898" s="184"/>
      <c r="F1898" s="184"/>
      <c r="G1898" s="187"/>
      <c r="I1898" s="186"/>
      <c r="J1898" s="184"/>
    </row>
    <row r="1899" spans="1:10">
      <c r="A1899" s="174"/>
      <c r="B1899" s="184"/>
      <c r="C1899" s="184"/>
      <c r="D1899" s="184"/>
      <c r="E1899" s="184"/>
      <c r="F1899" s="184"/>
      <c r="G1899" s="187"/>
      <c r="I1899" s="186"/>
      <c r="J1899" s="184"/>
    </row>
    <row r="1900" spans="1:10">
      <c r="A1900" s="174"/>
      <c r="B1900" s="184"/>
      <c r="C1900" s="184"/>
      <c r="D1900" s="184"/>
      <c r="E1900" s="184"/>
      <c r="F1900" s="184"/>
      <c r="G1900" s="187"/>
      <c r="I1900" s="186"/>
      <c r="J1900" s="184"/>
    </row>
    <row r="1901" spans="1:10">
      <c r="A1901" s="174"/>
      <c r="B1901" s="184"/>
      <c r="C1901" s="184"/>
      <c r="D1901" s="184"/>
      <c r="E1901" s="184"/>
      <c r="F1901" s="184"/>
      <c r="G1901" s="187"/>
      <c r="I1901" s="186"/>
      <c r="J1901" s="184"/>
    </row>
    <row r="1902" spans="1:10">
      <c r="A1902" s="174"/>
      <c r="B1902" s="184"/>
      <c r="C1902" s="184"/>
      <c r="D1902" s="184"/>
      <c r="E1902" s="184"/>
      <c r="F1902" s="184"/>
      <c r="G1902" s="187"/>
      <c r="I1902" s="186"/>
      <c r="J1902" s="184"/>
    </row>
    <row r="1903" spans="1:10">
      <c r="A1903" s="174"/>
      <c r="B1903" s="184"/>
      <c r="C1903" s="184"/>
      <c r="D1903" s="184"/>
      <c r="E1903" s="184"/>
      <c r="F1903" s="184"/>
      <c r="G1903" s="187"/>
      <c r="I1903" s="186"/>
      <c r="J1903" s="184"/>
    </row>
    <row r="1904" spans="1:10">
      <c r="A1904" s="174"/>
      <c r="B1904" s="184"/>
      <c r="C1904" s="184"/>
      <c r="D1904" s="184"/>
      <c r="E1904" s="184"/>
      <c r="F1904" s="184"/>
      <c r="G1904" s="187"/>
      <c r="I1904" s="186"/>
      <c r="J1904" s="184"/>
    </row>
    <row r="1905" spans="1:10">
      <c r="A1905" s="174"/>
      <c r="B1905" s="184"/>
      <c r="C1905" s="184"/>
      <c r="D1905" s="184"/>
      <c r="E1905" s="184"/>
      <c r="F1905" s="184"/>
      <c r="G1905" s="187"/>
      <c r="I1905" s="186"/>
      <c r="J1905" s="184"/>
    </row>
    <row r="1906" spans="1:10">
      <c r="A1906" s="174"/>
      <c r="B1906" s="184"/>
      <c r="C1906" s="184"/>
      <c r="D1906" s="184"/>
      <c r="E1906" s="184"/>
      <c r="F1906" s="184"/>
      <c r="G1906" s="187"/>
      <c r="I1906" s="186"/>
      <c r="J1906" s="184"/>
    </row>
    <row r="1907" spans="1:10">
      <c r="A1907" s="174"/>
      <c r="B1907" s="184"/>
      <c r="C1907" s="184"/>
      <c r="D1907" s="184"/>
      <c r="E1907" s="184"/>
      <c r="F1907" s="184"/>
      <c r="G1907" s="187"/>
      <c r="I1907" s="186"/>
      <c r="J1907" s="184"/>
    </row>
    <row r="1908" spans="1:10">
      <c r="A1908" s="174"/>
      <c r="B1908" s="184"/>
      <c r="C1908" s="184"/>
      <c r="D1908" s="184"/>
      <c r="E1908" s="184"/>
      <c r="F1908" s="184"/>
      <c r="G1908" s="187"/>
      <c r="I1908" s="186"/>
      <c r="J1908" s="184"/>
    </row>
    <row r="1909" spans="1:10">
      <c r="A1909" s="174"/>
      <c r="B1909" s="184"/>
      <c r="C1909" s="184"/>
      <c r="D1909" s="184"/>
      <c r="E1909" s="184"/>
      <c r="F1909" s="184"/>
      <c r="G1909" s="187"/>
      <c r="I1909" s="186"/>
      <c r="J1909" s="184"/>
    </row>
    <row r="1910" spans="1:10">
      <c r="A1910" s="174"/>
      <c r="B1910" s="184"/>
      <c r="C1910" s="184"/>
      <c r="D1910" s="184"/>
      <c r="E1910" s="184"/>
      <c r="F1910" s="184"/>
      <c r="G1910" s="187"/>
      <c r="I1910" s="186"/>
      <c r="J1910" s="184"/>
    </row>
    <row r="1911" spans="1:10">
      <c r="A1911" s="174"/>
      <c r="B1911" s="184"/>
      <c r="C1911" s="184"/>
      <c r="D1911" s="184"/>
      <c r="E1911" s="184"/>
      <c r="F1911" s="184"/>
      <c r="G1911" s="187"/>
      <c r="I1911" s="186"/>
      <c r="J1911" s="184"/>
    </row>
    <row r="1912" spans="1:10">
      <c r="A1912" s="174"/>
      <c r="B1912" s="184"/>
      <c r="C1912" s="184"/>
      <c r="D1912" s="184"/>
      <c r="E1912" s="184"/>
      <c r="F1912" s="184"/>
      <c r="G1912" s="187"/>
      <c r="I1912" s="186"/>
      <c r="J1912" s="184"/>
    </row>
    <row r="1913" spans="1:10">
      <c r="A1913" s="174"/>
      <c r="B1913" s="184"/>
      <c r="C1913" s="184"/>
      <c r="D1913" s="184"/>
      <c r="E1913" s="184"/>
      <c r="F1913" s="184"/>
      <c r="G1913" s="187"/>
      <c r="I1913" s="186"/>
      <c r="J1913" s="184"/>
    </row>
    <row r="1914" spans="1:10">
      <c r="A1914" s="174"/>
      <c r="B1914" s="184"/>
      <c r="C1914" s="184"/>
      <c r="D1914" s="184"/>
      <c r="E1914" s="184"/>
      <c r="F1914" s="184"/>
      <c r="G1914" s="187"/>
      <c r="I1914" s="186"/>
      <c r="J1914" s="184"/>
    </row>
    <row r="1915" spans="1:10">
      <c r="A1915" s="174"/>
      <c r="B1915" s="184"/>
      <c r="C1915" s="184"/>
      <c r="D1915" s="184"/>
      <c r="E1915" s="184"/>
      <c r="F1915" s="184"/>
      <c r="G1915" s="187"/>
      <c r="I1915" s="186"/>
      <c r="J1915" s="184"/>
    </row>
    <row r="1916" spans="1:10">
      <c r="A1916" s="174"/>
      <c r="B1916" s="184"/>
      <c r="C1916" s="184"/>
      <c r="D1916" s="184"/>
      <c r="E1916" s="184"/>
      <c r="F1916" s="184"/>
      <c r="G1916" s="187"/>
      <c r="I1916" s="186"/>
      <c r="J1916" s="184"/>
    </row>
    <row r="1917" spans="1:10">
      <c r="A1917" s="174"/>
      <c r="B1917" s="184"/>
      <c r="C1917" s="184"/>
      <c r="D1917" s="184"/>
      <c r="E1917" s="184"/>
      <c r="F1917" s="184"/>
      <c r="G1917" s="187"/>
      <c r="I1917" s="186"/>
      <c r="J1917" s="184"/>
    </row>
    <row r="1918" spans="1:10">
      <c r="A1918" s="174"/>
      <c r="B1918" s="184"/>
      <c r="C1918" s="184"/>
      <c r="D1918" s="184"/>
      <c r="E1918" s="184"/>
      <c r="F1918" s="184"/>
      <c r="G1918" s="187"/>
      <c r="I1918" s="186"/>
      <c r="J1918" s="184"/>
    </row>
    <row r="1919" spans="1:10">
      <c r="A1919" s="174"/>
      <c r="B1919" s="184"/>
      <c r="C1919" s="184"/>
      <c r="D1919" s="184"/>
      <c r="E1919" s="184"/>
      <c r="F1919" s="184"/>
      <c r="G1919" s="187"/>
      <c r="I1919" s="186"/>
      <c r="J1919" s="184"/>
    </row>
    <row r="1920" spans="1:10">
      <c r="A1920" s="174"/>
      <c r="B1920" s="184"/>
      <c r="C1920" s="184"/>
      <c r="D1920" s="184"/>
      <c r="E1920" s="184"/>
      <c r="F1920" s="184"/>
      <c r="G1920" s="187"/>
      <c r="I1920" s="186"/>
      <c r="J1920" s="184"/>
    </row>
    <row r="1921" spans="1:10">
      <c r="A1921" s="174"/>
      <c r="B1921" s="184"/>
      <c r="C1921" s="184"/>
      <c r="D1921" s="184"/>
      <c r="E1921" s="184"/>
      <c r="F1921" s="184"/>
      <c r="G1921" s="187"/>
      <c r="I1921" s="186"/>
      <c r="J1921" s="184"/>
    </row>
    <row r="1922" spans="1:10">
      <c r="A1922" s="174"/>
      <c r="B1922" s="184"/>
      <c r="C1922" s="184"/>
      <c r="D1922" s="184"/>
      <c r="E1922" s="184"/>
      <c r="F1922" s="184"/>
      <c r="G1922" s="187"/>
      <c r="I1922" s="186"/>
      <c r="J1922" s="184"/>
    </row>
    <row r="1923" spans="1:10">
      <c r="A1923" s="174"/>
      <c r="B1923" s="184"/>
      <c r="C1923" s="184"/>
      <c r="D1923" s="184"/>
      <c r="E1923" s="184"/>
      <c r="F1923" s="184"/>
      <c r="G1923" s="187"/>
      <c r="I1923" s="186"/>
      <c r="J1923" s="184"/>
    </row>
    <row r="1924" spans="1:10">
      <c r="A1924" s="174"/>
      <c r="B1924" s="184"/>
      <c r="C1924" s="184"/>
      <c r="D1924" s="184"/>
      <c r="E1924" s="184"/>
      <c r="F1924" s="184"/>
      <c r="G1924" s="187"/>
      <c r="I1924" s="186"/>
      <c r="J1924" s="184"/>
    </row>
    <row r="1925" spans="1:10">
      <c r="A1925" s="174"/>
      <c r="B1925" s="184"/>
      <c r="C1925" s="184"/>
      <c r="D1925" s="184"/>
      <c r="E1925" s="184"/>
      <c r="F1925" s="184"/>
      <c r="G1925" s="187"/>
      <c r="I1925" s="186"/>
      <c r="J1925" s="184"/>
    </row>
    <row r="1926" spans="1:10">
      <c r="A1926" s="174"/>
      <c r="B1926" s="184"/>
      <c r="C1926" s="184"/>
      <c r="D1926" s="184"/>
      <c r="E1926" s="184"/>
      <c r="F1926" s="184"/>
      <c r="G1926" s="187"/>
      <c r="I1926" s="186"/>
      <c r="J1926" s="184"/>
    </row>
    <row r="1927" spans="1:10">
      <c r="A1927" s="174"/>
      <c r="B1927" s="184"/>
      <c r="C1927" s="184"/>
      <c r="D1927" s="184"/>
      <c r="E1927" s="184"/>
      <c r="F1927" s="184"/>
      <c r="G1927" s="187"/>
      <c r="I1927" s="186"/>
      <c r="J1927" s="184"/>
    </row>
    <row r="1928" spans="1:10">
      <c r="A1928" s="174"/>
      <c r="B1928" s="184"/>
      <c r="C1928" s="184"/>
      <c r="D1928" s="184"/>
      <c r="E1928" s="184"/>
      <c r="F1928" s="184"/>
      <c r="G1928" s="187"/>
      <c r="I1928" s="186"/>
      <c r="J1928" s="184"/>
    </row>
    <row r="1929" spans="1:10">
      <c r="A1929" s="174"/>
      <c r="B1929" s="184"/>
      <c r="C1929" s="184"/>
      <c r="D1929" s="184"/>
      <c r="E1929" s="184"/>
      <c r="F1929" s="184"/>
      <c r="G1929" s="187"/>
      <c r="I1929" s="186"/>
      <c r="J1929" s="184"/>
    </row>
    <row r="1930" spans="1:10">
      <c r="A1930" s="174"/>
      <c r="B1930" s="184"/>
      <c r="C1930" s="184"/>
      <c r="D1930" s="184"/>
      <c r="E1930" s="184"/>
      <c r="F1930" s="184"/>
      <c r="G1930" s="187"/>
      <c r="I1930" s="186"/>
      <c r="J1930" s="184"/>
    </row>
    <row r="1931" spans="1:10">
      <c r="A1931" s="174"/>
      <c r="B1931" s="184"/>
      <c r="C1931" s="184"/>
      <c r="D1931" s="184"/>
      <c r="E1931" s="184"/>
      <c r="F1931" s="184"/>
      <c r="G1931" s="187"/>
      <c r="I1931" s="186"/>
      <c r="J1931" s="184"/>
    </row>
    <row r="1932" spans="1:10">
      <c r="A1932" s="174"/>
      <c r="B1932" s="184"/>
      <c r="C1932" s="184"/>
      <c r="D1932" s="184"/>
      <c r="E1932" s="184"/>
      <c r="F1932" s="184"/>
      <c r="G1932" s="187"/>
      <c r="I1932" s="186"/>
      <c r="J1932" s="184"/>
    </row>
    <row r="1933" spans="1:10">
      <c r="A1933" s="174"/>
      <c r="B1933" s="184"/>
      <c r="C1933" s="184"/>
      <c r="D1933" s="184"/>
      <c r="E1933" s="184"/>
      <c r="F1933" s="184"/>
      <c r="G1933" s="187"/>
      <c r="I1933" s="186"/>
      <c r="J1933" s="184"/>
    </row>
    <row r="1934" spans="1:10">
      <c r="A1934" s="174"/>
      <c r="B1934" s="184"/>
      <c r="C1934" s="184"/>
      <c r="D1934" s="184"/>
      <c r="E1934" s="184"/>
      <c r="F1934" s="184"/>
      <c r="G1934" s="187"/>
      <c r="I1934" s="186"/>
      <c r="J1934" s="184"/>
    </row>
    <row r="1935" spans="1:10">
      <c r="A1935" s="174"/>
      <c r="B1935" s="184"/>
      <c r="C1935" s="184"/>
      <c r="D1935" s="184"/>
      <c r="E1935" s="184"/>
      <c r="F1935" s="184"/>
      <c r="G1935" s="187"/>
      <c r="I1935" s="186"/>
      <c r="J1935" s="184"/>
    </row>
    <row r="1936" spans="1:10">
      <c r="A1936" s="174"/>
      <c r="B1936" s="184"/>
      <c r="C1936" s="184"/>
      <c r="D1936" s="184"/>
      <c r="E1936" s="184"/>
      <c r="F1936" s="184"/>
      <c r="G1936" s="187"/>
      <c r="I1936" s="186"/>
      <c r="J1936" s="184"/>
    </row>
    <row r="1937" spans="1:10">
      <c r="A1937" s="174"/>
      <c r="B1937" s="184"/>
      <c r="C1937" s="184"/>
      <c r="D1937" s="184"/>
      <c r="E1937" s="184"/>
      <c r="F1937" s="184"/>
      <c r="G1937" s="187"/>
      <c r="I1937" s="186"/>
      <c r="J1937" s="184"/>
    </row>
    <row r="1938" spans="1:10">
      <c r="A1938" s="174"/>
      <c r="B1938" s="184"/>
      <c r="C1938" s="184"/>
      <c r="D1938" s="184"/>
      <c r="E1938" s="184"/>
      <c r="F1938" s="184"/>
      <c r="G1938" s="187"/>
      <c r="I1938" s="186"/>
      <c r="J1938" s="184"/>
    </row>
    <row r="1939" spans="1:10">
      <c r="A1939" s="174"/>
      <c r="B1939" s="184"/>
      <c r="C1939" s="184"/>
      <c r="D1939" s="184"/>
      <c r="E1939" s="184"/>
      <c r="F1939" s="184"/>
      <c r="G1939" s="187"/>
      <c r="I1939" s="186"/>
      <c r="J1939" s="184"/>
    </row>
    <row r="1940" spans="1:10">
      <c r="A1940" s="174"/>
      <c r="B1940" s="184"/>
      <c r="C1940" s="184"/>
      <c r="D1940" s="184"/>
      <c r="E1940" s="184"/>
      <c r="F1940" s="184"/>
      <c r="G1940" s="187"/>
      <c r="I1940" s="186"/>
      <c r="J1940" s="184"/>
    </row>
    <row r="1941" spans="1:10">
      <c r="A1941" s="174"/>
      <c r="B1941" s="184"/>
      <c r="C1941" s="184"/>
      <c r="D1941" s="184"/>
      <c r="E1941" s="184"/>
      <c r="F1941" s="184"/>
      <c r="G1941" s="187"/>
      <c r="I1941" s="186"/>
      <c r="J1941" s="184"/>
    </row>
    <row r="1942" spans="1:10">
      <c r="A1942" s="174"/>
      <c r="B1942" s="184"/>
      <c r="C1942" s="184"/>
      <c r="D1942" s="184"/>
      <c r="E1942" s="184"/>
      <c r="F1942" s="184"/>
      <c r="G1942" s="187"/>
      <c r="I1942" s="186"/>
      <c r="J1942" s="184"/>
    </row>
    <row r="1943" spans="1:10">
      <c r="A1943" s="174"/>
      <c r="B1943" s="184"/>
      <c r="C1943" s="184"/>
      <c r="D1943" s="184"/>
      <c r="E1943" s="184"/>
      <c r="F1943" s="184"/>
      <c r="G1943" s="187"/>
      <c r="I1943" s="186"/>
      <c r="J1943" s="184"/>
    </row>
    <row r="1944" spans="1:10">
      <c r="A1944" s="174"/>
      <c r="B1944" s="184"/>
      <c r="C1944" s="184"/>
      <c r="D1944" s="184"/>
      <c r="E1944" s="184"/>
      <c r="F1944" s="184"/>
      <c r="G1944" s="187"/>
      <c r="I1944" s="186"/>
      <c r="J1944" s="184"/>
    </row>
    <row r="1945" spans="1:10">
      <c r="A1945" s="174"/>
      <c r="B1945" s="184"/>
      <c r="C1945" s="184"/>
      <c r="D1945" s="184"/>
      <c r="E1945" s="184"/>
      <c r="F1945" s="184"/>
      <c r="G1945" s="187"/>
      <c r="I1945" s="186"/>
      <c r="J1945" s="184"/>
    </row>
    <row r="1946" spans="1:10">
      <c r="A1946" s="174"/>
      <c r="B1946" s="184"/>
      <c r="C1946" s="184"/>
      <c r="D1946" s="184"/>
      <c r="E1946" s="184"/>
      <c r="F1946" s="184"/>
      <c r="G1946" s="187"/>
      <c r="I1946" s="186"/>
      <c r="J1946" s="184"/>
    </row>
    <row r="1947" spans="1:10">
      <c r="A1947" s="174"/>
      <c r="B1947" s="184"/>
      <c r="C1947" s="184"/>
      <c r="D1947" s="184"/>
      <c r="E1947" s="184"/>
      <c r="F1947" s="184"/>
      <c r="G1947" s="187"/>
      <c r="I1947" s="186"/>
      <c r="J1947" s="184"/>
    </row>
    <row r="1948" spans="1:10">
      <c r="A1948" s="174"/>
      <c r="B1948" s="184"/>
      <c r="C1948" s="184"/>
      <c r="D1948" s="184"/>
      <c r="E1948" s="184"/>
      <c r="F1948" s="184"/>
      <c r="G1948" s="187"/>
      <c r="I1948" s="186"/>
      <c r="J1948" s="184"/>
    </row>
    <row r="1949" spans="1:10">
      <c r="A1949" s="174"/>
      <c r="B1949" s="184"/>
      <c r="C1949" s="184"/>
      <c r="D1949" s="184"/>
      <c r="E1949" s="184"/>
      <c r="F1949" s="184"/>
      <c r="G1949" s="187"/>
      <c r="I1949" s="186"/>
      <c r="J1949" s="184"/>
    </row>
    <row r="1950" spans="1:10">
      <c r="A1950" s="174"/>
      <c r="B1950" s="184"/>
      <c r="C1950" s="184"/>
      <c r="D1950" s="184"/>
      <c r="E1950" s="184"/>
      <c r="F1950" s="184"/>
      <c r="I1950" s="186"/>
      <c r="J1950" s="184"/>
    </row>
    <row r="1951" spans="1:10">
      <c r="A1951" s="174"/>
      <c r="B1951" s="184"/>
      <c r="C1951" s="184"/>
      <c r="D1951" s="184"/>
      <c r="E1951" s="184"/>
      <c r="F1951" s="184"/>
      <c r="I1951" s="186"/>
      <c r="J1951" s="184"/>
    </row>
    <row r="1952" spans="1:10">
      <c r="A1952" s="174"/>
      <c r="B1952" s="184"/>
      <c r="C1952" s="184"/>
      <c r="D1952" s="184"/>
      <c r="E1952" s="184"/>
      <c r="F1952" s="184"/>
      <c r="I1952" s="186"/>
      <c r="J1952" s="184"/>
    </row>
    <row r="1953" spans="1:10">
      <c r="A1953" s="174"/>
      <c r="B1953" s="184"/>
      <c r="C1953" s="184"/>
      <c r="D1953" s="184"/>
      <c r="E1953" s="184"/>
      <c r="F1953" s="184"/>
      <c r="G1953" s="187"/>
      <c r="I1953" s="186"/>
      <c r="J1953" s="184"/>
    </row>
    <row r="1954" spans="1:10">
      <c r="A1954" s="174"/>
      <c r="B1954" s="184"/>
      <c r="C1954" s="184"/>
      <c r="D1954" s="184"/>
      <c r="E1954" s="184"/>
      <c r="F1954" s="184"/>
      <c r="I1954" s="186"/>
      <c r="J1954" s="184"/>
    </row>
    <row r="1955" spans="1:10">
      <c r="A1955" s="174"/>
      <c r="B1955" s="184"/>
      <c r="C1955" s="184"/>
      <c r="D1955" s="184"/>
      <c r="E1955" s="184"/>
      <c r="F1955" s="184"/>
      <c r="I1955" s="186"/>
      <c r="J1955" s="184"/>
    </row>
    <row r="1956" spans="1:10">
      <c r="A1956" s="174"/>
      <c r="B1956" s="184"/>
      <c r="C1956" s="184"/>
      <c r="D1956" s="184"/>
      <c r="E1956" s="184"/>
      <c r="F1956" s="184"/>
      <c r="I1956" s="186"/>
      <c r="J1956" s="184"/>
    </row>
    <row r="1957" spans="1:10">
      <c r="A1957" s="174"/>
      <c r="B1957" s="184"/>
      <c r="C1957" s="184"/>
      <c r="D1957" s="184"/>
      <c r="E1957" s="184"/>
      <c r="F1957" s="184"/>
      <c r="I1957" s="186"/>
      <c r="J1957" s="184"/>
    </row>
    <row r="1958" spans="1:10">
      <c r="A1958" s="174"/>
      <c r="B1958" s="184"/>
      <c r="C1958" s="184"/>
      <c r="D1958" s="184"/>
      <c r="E1958" s="184"/>
      <c r="F1958" s="184"/>
      <c r="I1958" s="186"/>
      <c r="J1958" s="184"/>
    </row>
    <row r="1959" spans="1:10">
      <c r="A1959" s="174"/>
      <c r="B1959" s="184"/>
      <c r="C1959" s="184"/>
      <c r="D1959" s="184"/>
      <c r="E1959" s="184"/>
      <c r="F1959" s="184"/>
      <c r="I1959" s="186"/>
      <c r="J1959" s="184"/>
    </row>
    <row r="1960" spans="1:10">
      <c r="A1960" s="174"/>
      <c r="B1960" s="184"/>
      <c r="C1960" s="184"/>
      <c r="D1960" s="184"/>
      <c r="E1960" s="184"/>
      <c r="F1960" s="184"/>
      <c r="I1960" s="186"/>
      <c r="J1960" s="184"/>
    </row>
    <row r="1961" spans="1:10">
      <c r="A1961" s="174"/>
      <c r="B1961" s="184"/>
      <c r="C1961" s="184"/>
      <c r="D1961" s="184"/>
      <c r="E1961" s="184"/>
      <c r="F1961" s="184"/>
      <c r="I1961" s="186"/>
      <c r="J1961" s="184"/>
    </row>
    <row r="1962" spans="1:10">
      <c r="A1962" s="174"/>
      <c r="B1962" s="184"/>
      <c r="C1962" s="184"/>
      <c r="D1962" s="184"/>
      <c r="E1962" s="184"/>
      <c r="F1962" s="184"/>
      <c r="I1962" s="186"/>
      <c r="J1962" s="184"/>
    </row>
    <row r="1963" spans="1:10">
      <c r="A1963" s="174"/>
      <c r="B1963" s="184"/>
      <c r="C1963" s="184"/>
      <c r="D1963" s="184"/>
      <c r="E1963" s="184"/>
      <c r="F1963" s="184"/>
      <c r="I1963" s="186"/>
      <c r="J1963" s="184"/>
    </row>
    <row r="1964" spans="1:10">
      <c r="A1964" s="174"/>
      <c r="B1964" s="184"/>
      <c r="C1964" s="184"/>
      <c r="D1964" s="184"/>
      <c r="E1964" s="184"/>
      <c r="F1964" s="184"/>
      <c r="I1964" s="186"/>
      <c r="J1964" s="184"/>
    </row>
    <row r="1965" spans="1:10">
      <c r="A1965" s="174"/>
      <c r="B1965" s="184"/>
      <c r="C1965" s="184"/>
      <c r="D1965" s="184"/>
      <c r="E1965" s="184"/>
      <c r="F1965" s="184"/>
      <c r="I1965" s="186"/>
      <c r="J1965" s="184"/>
    </row>
    <row r="1966" spans="1:10">
      <c r="A1966" s="174"/>
      <c r="B1966" s="184"/>
      <c r="C1966" s="184"/>
      <c r="D1966" s="184"/>
      <c r="E1966" s="184"/>
      <c r="F1966" s="184"/>
      <c r="I1966" s="186"/>
      <c r="J1966" s="184"/>
    </row>
    <row r="1967" spans="1:10">
      <c r="A1967" s="174"/>
      <c r="B1967" s="184"/>
      <c r="C1967" s="184"/>
      <c r="D1967" s="184"/>
      <c r="E1967" s="184"/>
      <c r="F1967" s="184"/>
      <c r="I1967" s="186"/>
      <c r="J1967" s="184"/>
    </row>
    <row r="1968" spans="1:10">
      <c r="A1968" s="174"/>
      <c r="B1968" s="184"/>
      <c r="C1968" s="184"/>
      <c r="D1968" s="184"/>
      <c r="E1968" s="184"/>
      <c r="F1968" s="184"/>
      <c r="I1968" s="186"/>
      <c r="J1968" s="184"/>
    </row>
    <row r="1969" spans="1:10">
      <c r="A1969" s="174"/>
      <c r="B1969" s="184"/>
      <c r="C1969" s="184"/>
      <c r="D1969" s="184"/>
      <c r="E1969" s="184"/>
      <c r="F1969" s="184"/>
      <c r="I1969" s="186"/>
      <c r="J1969" s="184"/>
    </row>
    <row r="1970" spans="1:10">
      <c r="A1970" s="174"/>
      <c r="B1970" s="184"/>
      <c r="C1970" s="184"/>
      <c r="D1970" s="184"/>
      <c r="E1970" s="184"/>
      <c r="F1970" s="184"/>
      <c r="I1970" s="186"/>
      <c r="J1970" s="184"/>
    </row>
    <row r="1971" spans="1:10">
      <c r="A1971" s="174"/>
      <c r="B1971" s="184"/>
      <c r="C1971" s="184"/>
      <c r="D1971" s="184"/>
      <c r="E1971" s="184"/>
      <c r="F1971" s="184"/>
      <c r="I1971" s="186"/>
      <c r="J1971" s="184"/>
    </row>
    <row r="1972" spans="1:10">
      <c r="A1972" s="174"/>
      <c r="B1972" s="184"/>
      <c r="C1972" s="184"/>
      <c r="D1972" s="184"/>
      <c r="E1972" s="184"/>
      <c r="F1972" s="184"/>
      <c r="I1972" s="186"/>
      <c r="J1972" s="184"/>
    </row>
    <row r="1973" spans="1:10">
      <c r="A1973" s="174"/>
      <c r="B1973" s="184"/>
      <c r="C1973" s="184"/>
      <c r="D1973" s="184"/>
      <c r="E1973" s="184"/>
      <c r="F1973" s="184"/>
      <c r="I1973" s="186"/>
      <c r="J1973" s="184"/>
    </row>
    <row r="1974" spans="1:10">
      <c r="A1974" s="174"/>
      <c r="B1974" s="184"/>
      <c r="C1974" s="184"/>
      <c r="D1974" s="184"/>
      <c r="E1974" s="184"/>
      <c r="F1974" s="184"/>
      <c r="I1974" s="186"/>
      <c r="J1974" s="184"/>
    </row>
    <row r="1975" spans="1:10">
      <c r="A1975" s="174"/>
      <c r="B1975" s="184"/>
      <c r="C1975" s="184"/>
      <c r="D1975" s="184"/>
      <c r="E1975" s="184"/>
      <c r="F1975" s="184"/>
      <c r="I1975" s="186"/>
      <c r="J1975" s="184"/>
    </row>
    <row r="1976" spans="1:10">
      <c r="A1976" s="174"/>
      <c r="B1976" s="184"/>
      <c r="C1976" s="184"/>
      <c r="D1976" s="184"/>
      <c r="E1976" s="184"/>
      <c r="F1976" s="184"/>
      <c r="I1976" s="186"/>
      <c r="J1976" s="184"/>
    </row>
    <row r="1977" spans="1:10">
      <c r="A1977" s="174"/>
      <c r="B1977" s="184"/>
      <c r="C1977" s="184"/>
      <c r="D1977" s="184"/>
      <c r="E1977" s="184"/>
      <c r="F1977" s="184"/>
      <c r="I1977" s="186"/>
      <c r="J1977" s="184"/>
    </row>
    <row r="1978" spans="1:10">
      <c r="A1978" s="174"/>
      <c r="B1978" s="184"/>
      <c r="C1978" s="184"/>
      <c r="D1978" s="184"/>
      <c r="E1978" s="184"/>
      <c r="F1978" s="184"/>
      <c r="I1978" s="186"/>
      <c r="J1978" s="184"/>
    </row>
    <row r="1979" spans="1:10">
      <c r="A1979" s="174"/>
      <c r="B1979" s="184"/>
      <c r="C1979" s="184"/>
      <c r="D1979" s="184"/>
      <c r="E1979" s="184"/>
      <c r="F1979" s="184"/>
      <c r="I1979" s="186"/>
      <c r="J1979" s="184"/>
    </row>
    <row r="1980" spans="1:10">
      <c r="A1980" s="174"/>
      <c r="B1980" s="184"/>
      <c r="C1980" s="184"/>
      <c r="D1980" s="184"/>
      <c r="E1980" s="184"/>
      <c r="F1980" s="184"/>
      <c r="I1980" s="186"/>
      <c r="J1980" s="184"/>
    </row>
    <row r="1981" spans="1:10">
      <c r="A1981" s="174"/>
      <c r="B1981" s="184"/>
      <c r="C1981" s="184"/>
      <c r="D1981" s="184"/>
      <c r="E1981" s="184"/>
      <c r="F1981" s="184"/>
      <c r="I1981" s="186"/>
      <c r="J1981" s="184"/>
    </row>
    <row r="1982" spans="1:10">
      <c r="A1982" s="174"/>
      <c r="B1982" s="184"/>
      <c r="C1982" s="184"/>
      <c r="D1982" s="184"/>
      <c r="E1982" s="184"/>
      <c r="F1982" s="184"/>
      <c r="I1982" s="186"/>
      <c r="J1982" s="184"/>
    </row>
    <row r="1983" spans="1:10">
      <c r="A1983" s="174"/>
      <c r="B1983" s="184"/>
      <c r="C1983" s="184"/>
      <c r="D1983" s="184"/>
      <c r="E1983" s="184"/>
      <c r="F1983" s="184"/>
      <c r="I1983" s="186"/>
      <c r="J1983" s="184"/>
    </row>
    <row r="1984" spans="1:10">
      <c r="A1984" s="174"/>
      <c r="B1984" s="184"/>
      <c r="C1984" s="184"/>
      <c r="D1984" s="184"/>
      <c r="E1984" s="184"/>
      <c r="F1984" s="184"/>
      <c r="I1984" s="186"/>
      <c r="J1984" s="184"/>
    </row>
    <row r="1985" spans="1:10">
      <c r="A1985" s="174"/>
      <c r="B1985" s="184"/>
      <c r="C1985" s="184"/>
      <c r="D1985" s="184"/>
      <c r="E1985" s="184"/>
      <c r="F1985" s="184"/>
      <c r="I1985" s="186"/>
      <c r="J1985" s="184"/>
    </row>
    <row r="1986" spans="1:10">
      <c r="A1986" s="174"/>
      <c r="B1986" s="184"/>
      <c r="C1986" s="184"/>
      <c r="D1986" s="184"/>
      <c r="E1986" s="184"/>
      <c r="F1986" s="184"/>
      <c r="I1986" s="186"/>
      <c r="J1986" s="184"/>
    </row>
    <row r="1987" spans="1:10">
      <c r="A1987" s="174"/>
      <c r="B1987" s="184"/>
      <c r="C1987" s="184"/>
      <c r="D1987" s="184"/>
      <c r="E1987" s="184"/>
      <c r="F1987" s="184"/>
      <c r="I1987" s="186"/>
      <c r="J1987" s="184"/>
    </row>
    <row r="1988" spans="1:10">
      <c r="A1988" s="174"/>
      <c r="B1988" s="184"/>
      <c r="C1988" s="184"/>
      <c r="D1988" s="184"/>
      <c r="E1988" s="184"/>
      <c r="F1988" s="184"/>
      <c r="I1988" s="186"/>
      <c r="J1988" s="184"/>
    </row>
    <row r="1989" spans="1:10">
      <c r="A1989" s="174"/>
      <c r="B1989" s="184"/>
      <c r="C1989" s="184"/>
      <c r="D1989" s="184"/>
      <c r="E1989" s="184"/>
      <c r="F1989" s="184"/>
      <c r="I1989" s="186"/>
      <c r="J1989" s="184"/>
    </row>
    <row r="1990" spans="1:10">
      <c r="A1990" s="174"/>
      <c r="B1990" s="184"/>
      <c r="C1990" s="184"/>
      <c r="D1990" s="184"/>
      <c r="E1990" s="184"/>
      <c r="F1990" s="184"/>
      <c r="I1990" s="186"/>
      <c r="J1990" s="184"/>
    </row>
    <row r="1991" spans="1:10">
      <c r="A1991" s="174"/>
      <c r="B1991" s="184"/>
      <c r="C1991" s="184"/>
      <c r="D1991" s="184"/>
      <c r="E1991" s="184"/>
      <c r="F1991" s="184"/>
      <c r="I1991" s="186"/>
      <c r="J1991" s="184"/>
    </row>
    <row r="1992" spans="1:10">
      <c r="A1992" s="174"/>
      <c r="B1992" s="184"/>
      <c r="C1992" s="184"/>
      <c r="D1992" s="184"/>
      <c r="E1992" s="184"/>
      <c r="F1992" s="184"/>
      <c r="I1992" s="186"/>
      <c r="J1992" s="184"/>
    </row>
    <row r="1993" spans="1:10">
      <c r="A1993" s="174"/>
      <c r="B1993" s="184"/>
      <c r="C1993" s="184"/>
      <c r="D1993" s="184"/>
      <c r="E1993" s="184"/>
      <c r="F1993" s="184"/>
      <c r="I1993" s="186"/>
      <c r="J1993" s="184"/>
    </row>
    <row r="1994" spans="1:10">
      <c r="A1994" s="174"/>
      <c r="B1994" s="184"/>
      <c r="C1994" s="184"/>
      <c r="D1994" s="184"/>
      <c r="E1994" s="184"/>
      <c r="F1994" s="184"/>
      <c r="I1994" s="186"/>
      <c r="J1994" s="184"/>
    </row>
    <row r="1995" spans="1:10">
      <c r="A1995" s="174"/>
      <c r="B1995" s="184"/>
      <c r="C1995" s="184"/>
      <c r="D1995" s="184"/>
      <c r="E1995" s="184"/>
      <c r="F1995" s="184"/>
      <c r="I1995" s="186"/>
      <c r="J1995" s="184"/>
    </row>
    <row r="1996" spans="1:10">
      <c r="A1996" s="174"/>
      <c r="B1996" s="184"/>
      <c r="C1996" s="184"/>
      <c r="D1996" s="184"/>
      <c r="E1996" s="184"/>
      <c r="F1996" s="184"/>
      <c r="I1996" s="186"/>
      <c r="J1996" s="184"/>
    </row>
    <row r="1997" spans="1:10">
      <c r="A1997" s="174"/>
      <c r="B1997" s="184"/>
      <c r="C1997" s="184"/>
      <c r="D1997" s="184"/>
      <c r="E1997" s="184"/>
      <c r="F1997" s="184"/>
      <c r="I1997" s="186"/>
      <c r="J1997" s="184"/>
    </row>
    <row r="1998" spans="1:10">
      <c r="A1998" s="174"/>
      <c r="B1998" s="184"/>
      <c r="C1998" s="184"/>
      <c r="D1998" s="184"/>
      <c r="E1998" s="184"/>
      <c r="F1998" s="184"/>
      <c r="I1998" s="186"/>
      <c r="J1998" s="184"/>
    </row>
    <row r="1999" spans="1:10">
      <c r="A1999" s="174"/>
      <c r="B1999" s="184"/>
      <c r="C1999" s="184"/>
      <c r="D1999" s="184"/>
      <c r="E1999" s="184"/>
      <c r="F1999" s="184"/>
      <c r="I1999" s="186"/>
      <c r="J1999" s="184"/>
    </row>
    <row r="2000" spans="1:10">
      <c r="A2000" s="174"/>
      <c r="B2000" s="184"/>
      <c r="C2000" s="184"/>
      <c r="D2000" s="184"/>
      <c r="E2000" s="184"/>
      <c r="F2000" s="184"/>
      <c r="I2000" s="186"/>
      <c r="J2000" s="184"/>
    </row>
    <row r="2001" spans="1:10">
      <c r="A2001" s="174"/>
      <c r="B2001" s="184"/>
      <c r="C2001" s="184"/>
      <c r="D2001" s="184"/>
      <c r="E2001" s="184"/>
      <c r="F2001" s="184"/>
      <c r="I2001" s="186"/>
      <c r="J2001" s="184"/>
    </row>
    <row r="2002" spans="1:10">
      <c r="A2002" s="174"/>
      <c r="B2002" s="184"/>
      <c r="C2002" s="184"/>
      <c r="D2002" s="184"/>
      <c r="E2002" s="184"/>
      <c r="F2002" s="184"/>
      <c r="I2002" s="186"/>
      <c r="J2002" s="184"/>
    </row>
    <row r="2003" spans="1:10">
      <c r="A2003" s="174"/>
      <c r="B2003" s="184"/>
      <c r="C2003" s="184"/>
      <c r="D2003" s="184"/>
      <c r="E2003" s="184"/>
      <c r="F2003" s="184"/>
      <c r="I2003" s="186"/>
      <c r="J2003" s="184"/>
    </row>
    <row r="2004" spans="1:10">
      <c r="A2004" s="174"/>
      <c r="B2004" s="184"/>
      <c r="C2004" s="184"/>
      <c r="D2004" s="184"/>
      <c r="E2004" s="184"/>
      <c r="F2004" s="184"/>
      <c r="I2004" s="186"/>
      <c r="J2004" s="184"/>
    </row>
    <row r="2005" spans="1:10">
      <c r="A2005" s="174"/>
      <c r="B2005" s="184"/>
      <c r="C2005" s="184"/>
      <c r="D2005" s="184"/>
      <c r="E2005" s="184"/>
      <c r="F2005" s="184"/>
      <c r="I2005" s="186"/>
      <c r="J2005" s="184"/>
    </row>
    <row r="2006" spans="1:10">
      <c r="A2006" s="174"/>
      <c r="B2006" s="184"/>
      <c r="C2006" s="184"/>
      <c r="D2006" s="184"/>
      <c r="E2006" s="184"/>
      <c r="F2006" s="184"/>
      <c r="I2006" s="186"/>
      <c r="J2006" s="184"/>
    </row>
    <row r="2007" spans="1:10">
      <c r="A2007" s="174"/>
      <c r="B2007" s="184"/>
      <c r="C2007" s="184"/>
      <c r="D2007" s="184"/>
      <c r="E2007" s="184"/>
      <c r="F2007" s="184"/>
      <c r="I2007" s="186"/>
      <c r="J2007" s="184"/>
    </row>
    <row r="2008" spans="1:10">
      <c r="A2008" s="174"/>
      <c r="B2008" s="184"/>
      <c r="C2008" s="184"/>
      <c r="D2008" s="184"/>
      <c r="E2008" s="184"/>
      <c r="F2008" s="184"/>
      <c r="I2008" s="186"/>
      <c r="J2008" s="184"/>
    </row>
    <row r="2009" spans="1:10">
      <c r="A2009" s="174"/>
      <c r="B2009" s="184"/>
      <c r="C2009" s="184"/>
      <c r="D2009" s="184"/>
      <c r="E2009" s="184"/>
      <c r="F2009" s="184"/>
      <c r="I2009" s="186"/>
      <c r="J2009" s="184"/>
    </row>
    <row r="2010" spans="1:10">
      <c r="A2010" s="174"/>
      <c r="B2010" s="184"/>
      <c r="C2010" s="184"/>
      <c r="D2010" s="184"/>
      <c r="E2010" s="184"/>
      <c r="F2010" s="184"/>
      <c r="I2010" s="186"/>
      <c r="J2010" s="184"/>
    </row>
    <row r="2011" spans="1:10">
      <c r="A2011" s="174"/>
      <c r="B2011" s="184"/>
      <c r="C2011" s="184"/>
      <c r="D2011" s="184"/>
      <c r="E2011" s="184"/>
      <c r="F2011" s="184"/>
      <c r="I2011" s="186"/>
      <c r="J2011" s="184"/>
    </row>
    <row r="2012" spans="1:10">
      <c r="A2012" s="174"/>
      <c r="B2012" s="184"/>
      <c r="C2012" s="184"/>
      <c r="D2012" s="184"/>
      <c r="E2012" s="184"/>
      <c r="F2012" s="184"/>
      <c r="I2012" s="186"/>
      <c r="J2012" s="184"/>
    </row>
    <row r="2013" spans="1:10">
      <c r="A2013" s="174"/>
      <c r="B2013" s="184"/>
      <c r="C2013" s="184"/>
      <c r="D2013" s="184"/>
      <c r="E2013" s="184"/>
      <c r="F2013" s="184"/>
      <c r="I2013" s="186"/>
      <c r="J2013" s="184"/>
    </row>
    <row r="2014" spans="1:10">
      <c r="A2014" s="174"/>
      <c r="B2014" s="184"/>
      <c r="C2014" s="184"/>
      <c r="D2014" s="184"/>
      <c r="E2014" s="184"/>
      <c r="F2014" s="184"/>
      <c r="I2014" s="186"/>
      <c r="J2014" s="184"/>
    </row>
    <row r="2015" spans="1:10">
      <c r="A2015" s="174"/>
      <c r="B2015" s="184"/>
      <c r="C2015" s="184"/>
      <c r="D2015" s="184"/>
      <c r="E2015" s="184"/>
      <c r="F2015" s="184"/>
      <c r="I2015" s="186"/>
      <c r="J2015" s="184"/>
    </row>
    <row r="2016" spans="1:10">
      <c r="A2016" s="174"/>
      <c r="B2016" s="184"/>
      <c r="C2016" s="184"/>
      <c r="D2016" s="184"/>
      <c r="E2016" s="184"/>
      <c r="F2016" s="184"/>
      <c r="I2016" s="186"/>
      <c r="J2016" s="184"/>
    </row>
    <row r="2017" spans="1:10">
      <c r="A2017" s="174"/>
      <c r="B2017" s="184"/>
      <c r="C2017" s="184"/>
      <c r="D2017" s="184"/>
      <c r="E2017" s="184"/>
      <c r="F2017" s="184"/>
      <c r="I2017" s="186"/>
      <c r="J2017" s="184"/>
    </row>
    <row r="2018" spans="1:10">
      <c r="A2018" s="174"/>
      <c r="B2018" s="184"/>
      <c r="C2018" s="184"/>
      <c r="D2018" s="184"/>
      <c r="E2018" s="184"/>
      <c r="F2018" s="184"/>
      <c r="I2018" s="186"/>
      <c r="J2018" s="184"/>
    </row>
    <row r="2019" spans="1:10">
      <c r="A2019" s="174"/>
      <c r="B2019" s="184"/>
      <c r="C2019" s="184"/>
      <c r="D2019" s="184"/>
      <c r="E2019" s="184"/>
      <c r="F2019" s="184"/>
      <c r="I2019" s="186"/>
      <c r="J2019" s="184"/>
    </row>
    <row r="2020" spans="1:10">
      <c r="A2020" s="174"/>
      <c r="B2020" s="184"/>
      <c r="C2020" s="184"/>
      <c r="D2020" s="184"/>
      <c r="E2020" s="184"/>
      <c r="F2020" s="184"/>
      <c r="I2020" s="186"/>
      <c r="J2020" s="184"/>
    </row>
    <row r="2021" spans="1:10">
      <c r="A2021" s="174"/>
      <c r="B2021" s="184"/>
      <c r="C2021" s="184"/>
      <c r="D2021" s="184"/>
      <c r="E2021" s="184"/>
      <c r="F2021" s="184"/>
      <c r="I2021" s="186"/>
      <c r="J2021" s="184"/>
    </row>
    <row r="2022" spans="1:10">
      <c r="A2022" s="174"/>
      <c r="B2022" s="184"/>
      <c r="C2022" s="184"/>
      <c r="D2022" s="184"/>
      <c r="E2022" s="184"/>
      <c r="F2022" s="184"/>
      <c r="I2022" s="186"/>
      <c r="J2022" s="184"/>
    </row>
    <row r="2023" spans="1:10">
      <c r="A2023" s="174"/>
      <c r="B2023" s="184"/>
      <c r="C2023" s="184"/>
      <c r="D2023" s="184"/>
      <c r="E2023" s="184"/>
      <c r="F2023" s="184"/>
      <c r="I2023" s="186"/>
      <c r="J2023" s="184"/>
    </row>
    <row r="2024" spans="1:10">
      <c r="A2024" s="174"/>
      <c r="B2024" s="184"/>
      <c r="C2024" s="184"/>
      <c r="D2024" s="184"/>
      <c r="E2024" s="184"/>
      <c r="F2024" s="184"/>
      <c r="I2024" s="186"/>
      <c r="J2024" s="184"/>
    </row>
    <row r="2025" spans="1:10">
      <c r="A2025" s="174"/>
      <c r="B2025" s="184"/>
      <c r="C2025" s="184"/>
      <c r="D2025" s="184"/>
      <c r="E2025" s="184"/>
      <c r="F2025" s="184"/>
      <c r="I2025" s="186"/>
      <c r="J2025" s="184"/>
    </row>
    <row r="2026" spans="1:10">
      <c r="A2026" s="174"/>
      <c r="B2026" s="184"/>
      <c r="C2026" s="184"/>
      <c r="D2026" s="184"/>
      <c r="E2026" s="184"/>
      <c r="F2026" s="184"/>
      <c r="I2026" s="186"/>
      <c r="J2026" s="184"/>
    </row>
    <row r="2027" spans="1:10">
      <c r="A2027" s="174"/>
      <c r="B2027" s="184"/>
      <c r="C2027" s="184"/>
      <c r="D2027" s="184"/>
      <c r="E2027" s="184"/>
      <c r="F2027" s="184"/>
      <c r="I2027" s="186"/>
      <c r="J2027" s="184"/>
    </row>
    <row r="2028" spans="1:10">
      <c r="A2028" s="174"/>
      <c r="B2028" s="184"/>
      <c r="C2028" s="184"/>
      <c r="D2028" s="184"/>
      <c r="E2028" s="184"/>
      <c r="F2028" s="184"/>
      <c r="I2028" s="186"/>
      <c r="J2028" s="184"/>
    </row>
    <row r="2029" spans="1:10">
      <c r="A2029" s="174"/>
      <c r="B2029" s="184"/>
      <c r="C2029" s="184"/>
      <c r="D2029" s="184"/>
      <c r="E2029" s="184"/>
      <c r="F2029" s="184"/>
      <c r="I2029" s="186"/>
      <c r="J2029" s="184"/>
    </row>
    <row r="2030" spans="1:10">
      <c r="A2030" s="174"/>
      <c r="B2030" s="184"/>
      <c r="C2030" s="184"/>
      <c r="D2030" s="184"/>
      <c r="E2030" s="184"/>
      <c r="F2030" s="184"/>
      <c r="I2030" s="186"/>
      <c r="J2030" s="184"/>
    </row>
    <row r="2031" spans="1:10">
      <c r="A2031" s="174"/>
      <c r="B2031" s="184"/>
      <c r="C2031" s="184"/>
      <c r="D2031" s="184"/>
      <c r="E2031" s="184"/>
      <c r="F2031" s="184"/>
      <c r="I2031" s="186"/>
      <c r="J2031" s="184"/>
    </row>
    <row r="2032" spans="1:10">
      <c r="A2032" s="174"/>
      <c r="B2032" s="184"/>
      <c r="C2032" s="184"/>
      <c r="D2032" s="184"/>
      <c r="E2032" s="184"/>
      <c r="F2032" s="184"/>
      <c r="I2032" s="186"/>
      <c r="J2032" s="184"/>
    </row>
    <row r="2033" spans="1:10">
      <c r="A2033" s="174"/>
      <c r="B2033" s="184"/>
      <c r="C2033" s="184"/>
      <c r="D2033" s="184"/>
      <c r="E2033" s="184"/>
      <c r="F2033" s="184"/>
      <c r="I2033" s="186"/>
      <c r="J2033" s="184"/>
    </row>
    <row r="2034" spans="1:10">
      <c r="A2034" s="174"/>
      <c r="B2034" s="184"/>
      <c r="C2034" s="184"/>
      <c r="D2034" s="184"/>
      <c r="E2034" s="184"/>
      <c r="F2034" s="184"/>
      <c r="I2034" s="186"/>
      <c r="J2034" s="184"/>
    </row>
    <row r="2035" spans="1:10">
      <c r="A2035" s="174"/>
      <c r="B2035" s="184"/>
      <c r="C2035" s="184"/>
      <c r="D2035" s="184"/>
      <c r="E2035" s="184"/>
      <c r="F2035" s="184"/>
      <c r="I2035" s="186"/>
      <c r="J2035" s="184"/>
    </row>
    <row r="2036" spans="1:10">
      <c r="A2036" s="174"/>
      <c r="B2036" s="184"/>
      <c r="C2036" s="184"/>
      <c r="D2036" s="184"/>
      <c r="E2036" s="184"/>
      <c r="F2036" s="184"/>
      <c r="I2036" s="186"/>
      <c r="J2036" s="184"/>
    </row>
    <row r="2037" spans="1:10">
      <c r="A2037" s="174"/>
      <c r="B2037" s="184"/>
      <c r="C2037" s="184"/>
      <c r="D2037" s="184"/>
      <c r="E2037" s="184"/>
      <c r="F2037" s="184"/>
      <c r="I2037" s="186"/>
      <c r="J2037" s="184"/>
    </row>
    <row r="2038" spans="1:10">
      <c r="A2038" s="174"/>
      <c r="B2038" s="184"/>
      <c r="C2038" s="184"/>
      <c r="D2038" s="184"/>
      <c r="E2038" s="184"/>
      <c r="F2038" s="184"/>
      <c r="I2038" s="186"/>
      <c r="J2038" s="184"/>
    </row>
    <row r="2039" spans="1:10">
      <c r="A2039" s="174"/>
      <c r="B2039" s="184"/>
      <c r="C2039" s="184"/>
      <c r="D2039" s="184"/>
      <c r="E2039" s="184"/>
      <c r="F2039" s="184"/>
      <c r="I2039" s="186"/>
      <c r="J2039" s="184"/>
    </row>
    <row r="2040" spans="1:10">
      <c r="A2040" s="174"/>
      <c r="B2040" s="184"/>
      <c r="C2040" s="184"/>
      <c r="D2040" s="184"/>
      <c r="E2040" s="184"/>
      <c r="F2040" s="184"/>
      <c r="I2040" s="186"/>
      <c r="J2040" s="184"/>
    </row>
    <row r="2041" spans="1:10">
      <c r="A2041" s="174"/>
      <c r="B2041" s="184"/>
      <c r="C2041" s="184"/>
      <c r="D2041" s="184"/>
      <c r="E2041" s="184"/>
      <c r="F2041" s="184"/>
      <c r="I2041" s="186"/>
      <c r="J2041" s="184"/>
    </row>
    <row r="2042" spans="1:10">
      <c r="A2042" s="174"/>
      <c r="B2042" s="184"/>
      <c r="C2042" s="184"/>
      <c r="D2042" s="184"/>
      <c r="E2042" s="184"/>
      <c r="F2042" s="184"/>
      <c r="I2042" s="186"/>
      <c r="J2042" s="184"/>
    </row>
    <row r="2043" spans="1:10">
      <c r="A2043" s="174"/>
      <c r="B2043" s="184"/>
      <c r="C2043" s="184"/>
      <c r="D2043" s="184"/>
      <c r="E2043" s="184"/>
      <c r="F2043" s="184"/>
      <c r="I2043" s="186"/>
      <c r="J2043" s="184"/>
    </row>
    <row r="2044" spans="1:10">
      <c r="A2044" s="174"/>
      <c r="B2044" s="184"/>
      <c r="C2044" s="184"/>
      <c r="D2044" s="184"/>
      <c r="E2044" s="184"/>
      <c r="F2044" s="184"/>
      <c r="I2044" s="186"/>
      <c r="J2044" s="184"/>
    </row>
    <row r="2045" spans="1:10">
      <c r="A2045" s="174"/>
      <c r="B2045" s="184"/>
      <c r="C2045" s="184"/>
      <c r="D2045" s="184"/>
      <c r="E2045" s="184"/>
      <c r="F2045" s="184"/>
      <c r="I2045" s="186"/>
      <c r="J2045" s="184"/>
    </row>
    <row r="2046" spans="1:10">
      <c r="A2046" s="174"/>
      <c r="B2046" s="184"/>
      <c r="C2046" s="184"/>
      <c r="D2046" s="184"/>
      <c r="E2046" s="184"/>
      <c r="F2046" s="184"/>
      <c r="I2046" s="186"/>
      <c r="J2046" s="184"/>
    </row>
    <row r="2047" spans="1:10">
      <c r="A2047" s="174"/>
      <c r="B2047" s="184"/>
      <c r="C2047" s="184"/>
      <c r="D2047" s="184"/>
      <c r="E2047" s="184"/>
      <c r="F2047" s="184"/>
      <c r="I2047" s="186"/>
      <c r="J2047" s="184"/>
    </row>
    <row r="2048" spans="1:10">
      <c r="A2048" s="174"/>
      <c r="B2048" s="184"/>
      <c r="C2048" s="184"/>
      <c r="D2048" s="184"/>
      <c r="E2048" s="184"/>
      <c r="F2048" s="184"/>
      <c r="I2048" s="186"/>
      <c r="J2048" s="184"/>
    </row>
    <row r="2049" spans="1:10">
      <c r="A2049" s="174"/>
      <c r="B2049" s="184"/>
      <c r="C2049" s="184"/>
      <c r="D2049" s="184"/>
      <c r="E2049" s="184"/>
      <c r="F2049" s="184"/>
      <c r="I2049" s="186"/>
      <c r="J2049" s="184"/>
    </row>
    <row r="2050" spans="1:10">
      <c r="A2050" s="174"/>
      <c r="B2050" s="184"/>
      <c r="C2050" s="184"/>
      <c r="D2050" s="184"/>
      <c r="E2050" s="184"/>
      <c r="F2050" s="184"/>
      <c r="I2050" s="186"/>
      <c r="J2050" s="184"/>
    </row>
    <row r="2051" spans="1:10">
      <c r="A2051" s="174"/>
      <c r="B2051" s="184"/>
      <c r="C2051" s="184"/>
      <c r="D2051" s="184"/>
      <c r="E2051" s="184"/>
      <c r="F2051" s="184"/>
      <c r="I2051" s="186"/>
      <c r="J2051" s="184"/>
    </row>
    <row r="2052" spans="1:10">
      <c r="A2052" s="174"/>
      <c r="B2052" s="184"/>
      <c r="C2052" s="184"/>
      <c r="D2052" s="184"/>
      <c r="E2052" s="184"/>
      <c r="F2052" s="184"/>
      <c r="I2052" s="186"/>
      <c r="J2052" s="184"/>
    </row>
    <row r="2053" spans="1:10">
      <c r="A2053" s="174"/>
      <c r="B2053" s="184"/>
      <c r="C2053" s="184"/>
      <c r="D2053" s="184"/>
      <c r="E2053" s="184"/>
      <c r="F2053" s="184"/>
      <c r="I2053" s="186"/>
      <c r="J2053" s="184"/>
    </row>
    <row r="2054" spans="1:10">
      <c r="A2054" s="174"/>
      <c r="B2054" s="184"/>
      <c r="C2054" s="184"/>
      <c r="D2054" s="184"/>
      <c r="E2054" s="184"/>
      <c r="F2054" s="184"/>
      <c r="I2054" s="186"/>
      <c r="J2054" s="184"/>
    </row>
    <row r="2055" spans="1:10">
      <c r="A2055" s="174"/>
      <c r="B2055" s="184"/>
      <c r="C2055" s="184"/>
      <c r="D2055" s="184"/>
      <c r="E2055" s="184"/>
      <c r="F2055" s="184"/>
      <c r="I2055" s="186"/>
      <c r="J2055" s="184"/>
    </row>
    <row r="2056" spans="1:10">
      <c r="A2056" s="174"/>
      <c r="B2056" s="184"/>
      <c r="C2056" s="184"/>
      <c r="D2056" s="184"/>
      <c r="E2056" s="184"/>
      <c r="F2056" s="184"/>
      <c r="I2056" s="186"/>
      <c r="J2056" s="184"/>
    </row>
    <row r="2057" spans="1:10">
      <c r="A2057" s="174"/>
      <c r="B2057" s="184"/>
      <c r="C2057" s="184"/>
      <c r="D2057" s="184"/>
      <c r="E2057" s="184"/>
      <c r="F2057" s="184"/>
      <c r="I2057" s="186"/>
      <c r="J2057" s="184"/>
    </row>
    <row r="2058" spans="1:10">
      <c r="A2058" s="174"/>
      <c r="B2058" s="184"/>
      <c r="C2058" s="184"/>
      <c r="D2058" s="184"/>
      <c r="E2058" s="184"/>
      <c r="F2058" s="184"/>
      <c r="I2058" s="186"/>
      <c r="J2058" s="184"/>
    </row>
    <row r="2059" spans="1:10">
      <c r="A2059" s="174"/>
      <c r="B2059" s="184"/>
      <c r="C2059" s="184"/>
      <c r="D2059" s="184"/>
      <c r="E2059" s="184"/>
      <c r="F2059" s="184"/>
      <c r="I2059" s="186"/>
      <c r="J2059" s="184"/>
    </row>
    <row r="2060" spans="1:10">
      <c r="A2060" s="174"/>
      <c r="B2060" s="184"/>
      <c r="C2060" s="184"/>
      <c r="D2060" s="184"/>
      <c r="E2060" s="184"/>
      <c r="F2060" s="184"/>
      <c r="I2060" s="186"/>
      <c r="J2060" s="184"/>
    </row>
    <row r="2061" spans="1:10">
      <c r="A2061" s="174"/>
      <c r="B2061" s="184"/>
      <c r="C2061" s="184"/>
      <c r="D2061" s="184"/>
      <c r="E2061" s="184"/>
      <c r="F2061" s="184"/>
      <c r="I2061" s="186"/>
      <c r="J2061" s="184"/>
    </row>
    <row r="2062" spans="1:10">
      <c r="A2062" s="174"/>
      <c r="B2062" s="184"/>
      <c r="C2062" s="184"/>
      <c r="D2062" s="184"/>
      <c r="E2062" s="184"/>
      <c r="F2062" s="184"/>
      <c r="I2062" s="186"/>
      <c r="J2062" s="184"/>
    </row>
    <row r="2063" spans="1:10">
      <c r="A2063" s="174"/>
      <c r="B2063" s="184"/>
      <c r="C2063" s="184"/>
      <c r="D2063" s="184"/>
      <c r="E2063" s="184"/>
      <c r="F2063" s="184"/>
      <c r="I2063" s="186"/>
      <c r="J2063" s="184"/>
    </row>
    <row r="2064" spans="1:10">
      <c r="A2064" s="174"/>
      <c r="B2064" s="184"/>
      <c r="C2064" s="184"/>
      <c r="D2064" s="184"/>
      <c r="E2064" s="184"/>
      <c r="F2064" s="184"/>
      <c r="G2064" s="187"/>
      <c r="I2064" s="186"/>
      <c r="J2064" s="184"/>
    </row>
    <row r="2065" spans="1:10">
      <c r="A2065" s="174"/>
      <c r="B2065" s="184"/>
      <c r="C2065" s="184"/>
      <c r="D2065" s="184"/>
      <c r="E2065" s="184"/>
      <c r="F2065" s="184"/>
      <c r="G2065" s="187"/>
      <c r="I2065" s="186"/>
      <c r="J2065" s="184"/>
    </row>
    <row r="2066" spans="1:10">
      <c r="A2066" s="174"/>
      <c r="B2066" s="184"/>
      <c r="C2066" s="184"/>
      <c r="D2066" s="184"/>
      <c r="E2066" s="184"/>
      <c r="F2066" s="184"/>
      <c r="G2066" s="187"/>
      <c r="I2066" s="186"/>
      <c r="J2066" s="184"/>
    </row>
    <row r="2067" spans="1:10">
      <c r="A2067" s="174"/>
      <c r="B2067" s="184"/>
      <c r="C2067" s="184"/>
      <c r="D2067" s="184"/>
      <c r="E2067" s="184"/>
      <c r="F2067" s="184"/>
      <c r="G2067" s="187"/>
      <c r="H2067" s="174"/>
      <c r="I2067" s="186"/>
      <c r="J2067" s="184"/>
    </row>
    <row r="2068" spans="1:10">
      <c r="A2068" s="174"/>
      <c r="B2068" s="184"/>
      <c r="C2068" s="184"/>
      <c r="D2068" s="184"/>
      <c r="E2068" s="184"/>
      <c r="F2068" s="184"/>
      <c r="H2068" s="174"/>
      <c r="I2068" s="186"/>
      <c r="J2068" s="184"/>
    </row>
    <row r="2069" spans="1:10">
      <c r="A2069" s="174"/>
      <c r="B2069" s="184"/>
      <c r="C2069" s="184"/>
      <c r="D2069" s="184"/>
      <c r="E2069" s="184"/>
      <c r="F2069" s="184"/>
      <c r="G2069" s="187"/>
      <c r="H2069" s="174"/>
      <c r="I2069" s="186"/>
      <c r="J2069" s="184"/>
    </row>
    <row r="2070" spans="1:10">
      <c r="A2070" s="174"/>
      <c r="B2070" s="184"/>
      <c r="C2070" s="184"/>
      <c r="D2070" s="184"/>
      <c r="E2070" s="184"/>
      <c r="F2070" s="184"/>
      <c r="I2070" s="186"/>
      <c r="J2070" s="184"/>
    </row>
    <row r="2071" spans="1:10">
      <c r="A2071" s="174"/>
      <c r="B2071" s="184"/>
      <c r="C2071" s="184"/>
      <c r="D2071" s="184"/>
      <c r="E2071" s="184"/>
      <c r="F2071" s="184"/>
      <c r="I2071" s="186"/>
      <c r="J2071" s="184"/>
    </row>
    <row r="2072" spans="1:10">
      <c r="A2072" s="174"/>
      <c r="B2072" s="184"/>
      <c r="C2072" s="184"/>
      <c r="D2072" s="184"/>
      <c r="E2072" s="184"/>
      <c r="F2072" s="184"/>
      <c r="G2072" s="187"/>
      <c r="H2072" s="174"/>
      <c r="I2072" s="186"/>
      <c r="J2072" s="184"/>
    </row>
    <row r="2073" spans="1:10">
      <c r="A2073" s="174"/>
      <c r="B2073" s="184"/>
      <c r="C2073" s="184"/>
      <c r="D2073" s="184"/>
      <c r="E2073" s="184"/>
      <c r="F2073" s="184"/>
      <c r="G2073" s="187"/>
      <c r="H2073" s="174"/>
      <c r="I2073" s="186"/>
      <c r="J2073" s="184"/>
    </row>
    <row r="2074" spans="1:10">
      <c r="A2074" s="174"/>
      <c r="B2074" s="184"/>
      <c r="C2074" s="184"/>
      <c r="D2074" s="184"/>
      <c r="E2074" s="184"/>
      <c r="F2074" s="184"/>
      <c r="G2074" s="187"/>
      <c r="I2074" s="186"/>
      <c r="J2074" s="184"/>
    </row>
    <row r="2075" spans="1:10">
      <c r="A2075" s="174"/>
      <c r="B2075" s="184"/>
      <c r="C2075" s="184"/>
      <c r="D2075" s="184"/>
      <c r="E2075" s="184"/>
      <c r="F2075" s="184"/>
      <c r="G2075" s="187"/>
      <c r="I2075" s="186"/>
      <c r="J2075" s="184"/>
    </row>
    <row r="2076" spans="1:10">
      <c r="A2076" s="174"/>
      <c r="B2076" s="184"/>
      <c r="C2076" s="184"/>
      <c r="D2076" s="184"/>
      <c r="E2076" s="184"/>
      <c r="F2076" s="184"/>
      <c r="G2076" s="187"/>
      <c r="I2076" s="186"/>
      <c r="J2076" s="184"/>
    </row>
    <row r="2077" spans="1:10">
      <c r="A2077" s="174"/>
      <c r="B2077" s="184"/>
      <c r="C2077" s="184"/>
      <c r="D2077" s="184"/>
      <c r="E2077" s="184"/>
      <c r="F2077" s="184"/>
      <c r="G2077" s="187"/>
      <c r="I2077" s="186"/>
      <c r="J2077" s="184"/>
    </row>
    <row r="2078" spans="1:10">
      <c r="A2078" s="174"/>
      <c r="B2078" s="184"/>
      <c r="C2078" s="184"/>
      <c r="D2078" s="184"/>
      <c r="E2078" s="184"/>
      <c r="F2078" s="184"/>
      <c r="G2078" s="187"/>
      <c r="I2078" s="186"/>
      <c r="J2078" s="184"/>
    </row>
    <row r="2079" spans="1:10">
      <c r="A2079" s="174"/>
      <c r="B2079" s="184"/>
      <c r="C2079" s="184"/>
      <c r="D2079" s="184"/>
      <c r="E2079" s="184"/>
      <c r="F2079" s="184"/>
      <c r="G2079" s="187"/>
      <c r="I2079" s="186"/>
      <c r="J2079" s="184"/>
    </row>
    <row r="2080" spans="1:10">
      <c r="A2080" s="174"/>
      <c r="B2080" s="184"/>
      <c r="C2080" s="184"/>
      <c r="D2080" s="184"/>
      <c r="E2080" s="184"/>
      <c r="F2080" s="184"/>
      <c r="G2080" s="187"/>
      <c r="I2080" s="186"/>
      <c r="J2080" s="184"/>
    </row>
    <row r="2081" spans="1:10">
      <c r="A2081" s="174"/>
      <c r="B2081" s="184"/>
      <c r="C2081" s="184"/>
      <c r="D2081" s="184"/>
      <c r="E2081" s="184"/>
      <c r="F2081" s="184"/>
      <c r="G2081" s="187"/>
      <c r="I2081" s="186"/>
      <c r="J2081" s="184"/>
    </row>
    <row r="2082" spans="1:10">
      <c r="A2082" s="174"/>
      <c r="B2082" s="184"/>
      <c r="C2082" s="184"/>
      <c r="D2082" s="184"/>
      <c r="E2082" s="184"/>
      <c r="F2082" s="184"/>
      <c r="G2082" s="187"/>
      <c r="I2082" s="186"/>
      <c r="J2082" s="184"/>
    </row>
    <row r="2083" spans="1:10">
      <c r="A2083" s="174"/>
      <c r="B2083" s="184"/>
      <c r="C2083" s="184"/>
      <c r="D2083" s="184"/>
      <c r="E2083" s="184"/>
      <c r="F2083" s="184"/>
      <c r="G2083" s="187"/>
      <c r="H2083" s="174"/>
      <c r="I2083" s="186"/>
      <c r="J2083" s="184"/>
    </row>
    <row r="2084" spans="1:10">
      <c r="A2084" s="174"/>
      <c r="B2084" s="184"/>
      <c r="C2084" s="184"/>
      <c r="D2084" s="184"/>
      <c r="E2084" s="184"/>
      <c r="F2084" s="184"/>
      <c r="G2084" s="187"/>
      <c r="I2084" s="186"/>
      <c r="J2084" s="184"/>
    </row>
    <row r="2085" spans="1:10">
      <c r="A2085" s="174"/>
      <c r="B2085" s="184"/>
      <c r="C2085" s="184"/>
      <c r="D2085" s="184"/>
      <c r="E2085" s="184"/>
      <c r="F2085" s="184"/>
      <c r="G2085" s="187"/>
      <c r="I2085" s="186"/>
      <c r="J2085" s="184"/>
    </row>
    <row r="2086" spans="1:10">
      <c r="A2086" s="174"/>
      <c r="B2086" s="184"/>
      <c r="C2086" s="184"/>
      <c r="D2086" s="184"/>
      <c r="E2086" s="184"/>
      <c r="F2086" s="184"/>
      <c r="G2086" s="187"/>
      <c r="I2086" s="186"/>
      <c r="J2086" s="184"/>
    </row>
    <row r="2087" spans="1:10">
      <c r="A2087" s="174"/>
      <c r="B2087" s="184"/>
      <c r="C2087" s="184"/>
      <c r="D2087" s="184"/>
      <c r="E2087" s="184"/>
      <c r="F2087" s="184"/>
      <c r="I2087" s="186"/>
      <c r="J2087" s="184"/>
    </row>
    <row r="2088" spans="1:10">
      <c r="A2088" s="174"/>
      <c r="B2088" s="184"/>
      <c r="C2088" s="184"/>
      <c r="D2088" s="184"/>
      <c r="E2088" s="184"/>
      <c r="F2088" s="184"/>
      <c r="I2088" s="186"/>
      <c r="J2088" s="184"/>
    </row>
    <row r="2089" spans="1:10">
      <c r="A2089" s="174"/>
      <c r="B2089" s="184"/>
      <c r="C2089" s="184"/>
      <c r="D2089" s="184"/>
      <c r="E2089" s="184"/>
      <c r="F2089" s="184"/>
      <c r="I2089" s="186"/>
      <c r="J2089" s="184"/>
    </row>
    <row r="2090" spans="1:10">
      <c r="A2090" s="174"/>
      <c r="B2090" s="184"/>
      <c r="C2090" s="184"/>
      <c r="D2090" s="184"/>
      <c r="E2090" s="184"/>
      <c r="F2090" s="184"/>
      <c r="G2090" s="187"/>
      <c r="I2090" s="186"/>
      <c r="J2090" s="184"/>
    </row>
    <row r="2091" spans="1:10">
      <c r="A2091" s="174"/>
      <c r="B2091" s="184"/>
      <c r="C2091" s="184"/>
      <c r="D2091" s="184"/>
      <c r="E2091" s="184"/>
      <c r="F2091" s="184"/>
      <c r="G2091" s="187"/>
      <c r="I2091" s="186"/>
      <c r="J2091" s="184"/>
    </row>
    <row r="2092" spans="1:10">
      <c r="A2092" s="174"/>
      <c r="B2092" s="184"/>
      <c r="C2092" s="184"/>
      <c r="D2092" s="184"/>
      <c r="E2092" s="184"/>
      <c r="F2092" s="184"/>
      <c r="H2092" s="174"/>
      <c r="I2092" s="186"/>
      <c r="J2092" s="184"/>
    </row>
    <row r="2093" spans="1:10">
      <c r="A2093" s="174"/>
      <c r="B2093" s="184"/>
      <c r="C2093" s="184"/>
      <c r="D2093" s="184"/>
      <c r="E2093" s="184"/>
      <c r="F2093" s="184"/>
      <c r="H2093" s="174"/>
      <c r="I2093" s="186"/>
      <c r="J2093" s="184"/>
    </row>
    <row r="2094" spans="1:10">
      <c r="A2094" s="174"/>
      <c r="B2094" s="184"/>
      <c r="C2094" s="184"/>
      <c r="D2094" s="184"/>
      <c r="E2094" s="184"/>
      <c r="F2094" s="184"/>
      <c r="H2094" s="174"/>
      <c r="I2094" s="186"/>
      <c r="J2094" s="184"/>
    </row>
    <row r="2095" spans="1:10">
      <c r="A2095" s="174"/>
      <c r="B2095" s="184"/>
      <c r="C2095" s="184"/>
      <c r="D2095" s="184"/>
      <c r="E2095" s="184"/>
      <c r="F2095" s="184"/>
      <c r="H2095" s="174"/>
      <c r="I2095" s="186"/>
      <c r="J2095" s="184"/>
    </row>
    <row r="2096" spans="1:10">
      <c r="A2096" s="174"/>
      <c r="B2096" s="184"/>
      <c r="C2096" s="184"/>
      <c r="D2096" s="184"/>
      <c r="E2096" s="184"/>
      <c r="F2096" s="184"/>
      <c r="I2096" s="186"/>
      <c r="J2096" s="184"/>
    </row>
    <row r="2097" spans="1:10">
      <c r="A2097" s="174"/>
      <c r="B2097" s="184"/>
      <c r="C2097" s="184"/>
      <c r="D2097" s="184"/>
      <c r="E2097" s="184"/>
      <c r="F2097" s="184"/>
      <c r="G2097" s="187"/>
      <c r="I2097" s="186"/>
      <c r="J2097" s="184"/>
    </row>
    <row r="2098" spans="1:10">
      <c r="A2098" s="174"/>
      <c r="B2098" s="184"/>
      <c r="C2098" s="184"/>
      <c r="D2098" s="184"/>
      <c r="E2098" s="184"/>
      <c r="F2098" s="184"/>
      <c r="G2098" s="187"/>
      <c r="I2098" s="186"/>
      <c r="J2098" s="184"/>
    </row>
    <row r="2099" spans="1:10">
      <c r="A2099" s="174"/>
      <c r="B2099" s="184"/>
      <c r="C2099" s="184"/>
      <c r="D2099" s="184"/>
      <c r="E2099" s="184"/>
      <c r="F2099" s="184"/>
      <c r="I2099" s="186"/>
      <c r="J2099" s="184"/>
    </row>
    <row r="2100" spans="1:10">
      <c r="A2100" s="174"/>
      <c r="B2100" s="184"/>
      <c r="C2100" s="184"/>
      <c r="D2100" s="184"/>
      <c r="E2100" s="184"/>
      <c r="F2100" s="184"/>
      <c r="G2100" s="187"/>
      <c r="I2100" s="186"/>
      <c r="J2100" s="184"/>
    </row>
    <row r="2101" spans="1:10">
      <c r="A2101" s="174"/>
      <c r="B2101" s="184"/>
      <c r="C2101" s="184"/>
      <c r="D2101" s="184"/>
      <c r="E2101" s="184"/>
      <c r="F2101" s="184"/>
      <c r="I2101" s="186"/>
      <c r="J2101" s="184"/>
    </row>
    <row r="2102" spans="1:10">
      <c r="A2102" s="174"/>
      <c r="B2102" s="184"/>
      <c r="C2102" s="184"/>
      <c r="D2102" s="184"/>
      <c r="E2102" s="184"/>
      <c r="F2102" s="184"/>
      <c r="I2102" s="186"/>
      <c r="J2102" s="184"/>
    </row>
    <row r="2103" spans="1:10">
      <c r="A2103" s="174"/>
      <c r="B2103" s="184"/>
      <c r="C2103" s="184"/>
      <c r="D2103" s="184"/>
      <c r="E2103" s="184"/>
      <c r="F2103" s="184"/>
      <c r="G2103" s="187"/>
      <c r="I2103" s="186"/>
      <c r="J2103" s="184"/>
    </row>
    <row r="2104" spans="1:10">
      <c r="A2104" s="174"/>
      <c r="B2104" s="184"/>
      <c r="C2104" s="184"/>
      <c r="D2104" s="184"/>
      <c r="E2104" s="184"/>
      <c r="F2104" s="184"/>
      <c r="I2104" s="186"/>
      <c r="J2104" s="184"/>
    </row>
    <row r="2105" spans="1:10">
      <c r="A2105" s="174"/>
      <c r="B2105" s="184"/>
      <c r="C2105" s="184"/>
      <c r="D2105" s="184"/>
      <c r="E2105" s="184"/>
      <c r="F2105" s="184"/>
      <c r="I2105" s="186"/>
      <c r="J2105" s="184"/>
    </row>
    <row r="2106" spans="1:10">
      <c r="A2106" s="174"/>
      <c r="B2106" s="184"/>
      <c r="C2106" s="184"/>
      <c r="D2106" s="184"/>
      <c r="E2106" s="184"/>
      <c r="F2106" s="184"/>
      <c r="I2106" s="186"/>
      <c r="J2106" s="184"/>
    </row>
    <row r="2107" spans="1:10">
      <c r="A2107" s="174"/>
      <c r="B2107" s="184"/>
      <c r="C2107" s="184"/>
      <c r="D2107" s="184"/>
      <c r="E2107" s="184"/>
      <c r="F2107" s="184"/>
      <c r="I2107" s="186"/>
      <c r="J2107" s="184"/>
    </row>
    <row r="2108" spans="1:10">
      <c r="A2108" s="174"/>
      <c r="B2108" s="184"/>
      <c r="C2108" s="184"/>
      <c r="D2108" s="184"/>
      <c r="E2108" s="184"/>
      <c r="F2108" s="184"/>
      <c r="G2108" s="187"/>
      <c r="I2108" s="186"/>
      <c r="J2108" s="184"/>
    </row>
    <row r="2109" spans="1:10">
      <c r="A2109" s="174"/>
      <c r="B2109" s="184"/>
      <c r="C2109" s="184"/>
      <c r="D2109" s="184"/>
      <c r="E2109" s="184"/>
      <c r="F2109" s="184"/>
      <c r="I2109" s="186"/>
      <c r="J2109" s="184"/>
    </row>
    <row r="2110" spans="1:10">
      <c r="A2110" s="174"/>
      <c r="B2110" s="184"/>
      <c r="C2110" s="184"/>
      <c r="D2110" s="184"/>
      <c r="E2110" s="184"/>
      <c r="F2110" s="184"/>
      <c r="I2110" s="186"/>
      <c r="J2110" s="184"/>
    </row>
    <row r="2111" spans="1:10">
      <c r="A2111" s="174"/>
      <c r="B2111" s="184"/>
      <c r="C2111" s="184"/>
      <c r="D2111" s="184"/>
      <c r="E2111" s="184"/>
      <c r="F2111" s="184"/>
      <c r="I2111" s="186"/>
      <c r="J2111" s="184"/>
    </row>
    <row r="2112" spans="1:10">
      <c r="A2112" s="174"/>
      <c r="B2112" s="184"/>
      <c r="C2112" s="184"/>
      <c r="D2112" s="184"/>
      <c r="E2112" s="184"/>
      <c r="F2112" s="184"/>
      <c r="I2112" s="186"/>
      <c r="J2112" s="184"/>
    </row>
    <row r="2113" spans="1:10">
      <c r="A2113" s="174"/>
      <c r="B2113" s="184"/>
      <c r="C2113" s="184"/>
      <c r="D2113" s="184"/>
      <c r="E2113" s="184"/>
      <c r="F2113" s="184"/>
      <c r="G2113" s="187"/>
      <c r="I2113" s="186"/>
      <c r="J2113" s="184"/>
    </row>
    <row r="2114" spans="1:10">
      <c r="A2114" s="174"/>
      <c r="B2114" s="184"/>
      <c r="C2114" s="184"/>
      <c r="D2114" s="184"/>
      <c r="E2114" s="184"/>
      <c r="F2114" s="184"/>
      <c r="G2114" s="187"/>
      <c r="I2114" s="186"/>
      <c r="J2114" s="184"/>
    </row>
    <row r="2115" spans="1:10">
      <c r="A2115" s="174"/>
      <c r="B2115" s="184"/>
      <c r="C2115" s="184"/>
      <c r="D2115" s="184"/>
      <c r="E2115" s="184"/>
      <c r="F2115" s="184"/>
      <c r="I2115" s="186"/>
      <c r="J2115" s="184"/>
    </row>
    <row r="2116" spans="1:10">
      <c r="A2116" s="174"/>
      <c r="B2116" s="184"/>
      <c r="C2116" s="184"/>
      <c r="D2116" s="184"/>
      <c r="E2116" s="184"/>
      <c r="F2116" s="184"/>
      <c r="I2116" s="186"/>
      <c r="J2116" s="184"/>
    </row>
    <row r="2117" spans="1:10">
      <c r="A2117" s="174"/>
      <c r="B2117" s="184"/>
      <c r="C2117" s="184"/>
      <c r="D2117" s="184"/>
      <c r="E2117" s="184"/>
      <c r="F2117" s="184"/>
      <c r="I2117" s="186"/>
      <c r="J2117" s="184"/>
    </row>
    <row r="2118" spans="1:10">
      <c r="A2118" s="174"/>
      <c r="B2118" s="184"/>
      <c r="C2118" s="184"/>
      <c r="D2118" s="184"/>
      <c r="E2118" s="184"/>
      <c r="F2118" s="184"/>
      <c r="G2118" s="187"/>
      <c r="I2118" s="186"/>
      <c r="J2118" s="184"/>
    </row>
    <row r="2119" spans="1:10">
      <c r="A2119" s="174"/>
      <c r="B2119" s="184"/>
      <c r="C2119" s="184"/>
      <c r="D2119" s="184"/>
      <c r="E2119" s="184"/>
      <c r="F2119" s="184"/>
      <c r="G2119" s="187"/>
      <c r="I2119" s="186"/>
      <c r="J2119" s="184"/>
    </row>
    <row r="2120" spans="1:10">
      <c r="A2120" s="174"/>
      <c r="B2120" s="184"/>
      <c r="C2120" s="184"/>
      <c r="D2120" s="184"/>
      <c r="E2120" s="184"/>
      <c r="F2120" s="184"/>
      <c r="G2120" s="187"/>
      <c r="I2120" s="186"/>
      <c r="J2120" s="184"/>
    </row>
    <row r="2121" spans="1:10">
      <c r="A2121" s="174"/>
      <c r="B2121" s="184"/>
      <c r="C2121" s="184"/>
      <c r="D2121" s="184"/>
      <c r="E2121" s="184"/>
      <c r="F2121" s="184"/>
      <c r="G2121" s="187"/>
      <c r="I2121" s="186"/>
      <c r="J2121" s="184"/>
    </row>
    <row r="2122" spans="1:10">
      <c r="A2122" s="174"/>
      <c r="B2122" s="184"/>
      <c r="C2122" s="184"/>
      <c r="D2122" s="184"/>
      <c r="E2122" s="184"/>
      <c r="F2122" s="184"/>
      <c r="G2122" s="187"/>
      <c r="I2122" s="186"/>
      <c r="J2122" s="184"/>
    </row>
    <row r="2123" spans="1:10">
      <c r="A2123" s="174"/>
      <c r="B2123" s="184"/>
      <c r="C2123" s="184"/>
      <c r="D2123" s="184"/>
      <c r="E2123" s="184"/>
      <c r="F2123" s="184"/>
      <c r="G2123" s="187"/>
      <c r="I2123" s="186"/>
      <c r="J2123" s="184"/>
    </row>
    <row r="2124" spans="1:10">
      <c r="A2124" s="174"/>
      <c r="B2124" s="184"/>
      <c r="C2124" s="184"/>
      <c r="D2124" s="184"/>
      <c r="E2124" s="184"/>
      <c r="F2124" s="184"/>
      <c r="G2124" s="187"/>
      <c r="I2124" s="186"/>
      <c r="J2124" s="184"/>
    </row>
    <row r="2125" spans="1:10">
      <c r="A2125" s="174"/>
      <c r="B2125" s="184"/>
      <c r="C2125" s="184"/>
      <c r="D2125" s="184"/>
      <c r="E2125" s="184"/>
      <c r="F2125" s="184"/>
      <c r="G2125" s="187"/>
      <c r="I2125" s="186"/>
      <c r="J2125" s="184"/>
    </row>
    <row r="2126" spans="1:10">
      <c r="A2126" s="174"/>
      <c r="B2126" s="184"/>
      <c r="C2126" s="184"/>
      <c r="D2126" s="184"/>
      <c r="E2126" s="184"/>
      <c r="F2126" s="184"/>
      <c r="I2126" s="186"/>
      <c r="J2126" s="184"/>
    </row>
    <row r="2127" spans="1:10">
      <c r="A2127" s="174"/>
      <c r="B2127" s="184"/>
      <c r="C2127" s="184"/>
      <c r="D2127" s="184"/>
      <c r="E2127" s="184"/>
      <c r="F2127" s="184"/>
      <c r="I2127" s="186"/>
      <c r="J2127" s="184"/>
    </row>
    <row r="2128" spans="1:10">
      <c r="A2128" s="174"/>
      <c r="B2128" s="184"/>
      <c r="C2128" s="184"/>
      <c r="D2128" s="184"/>
      <c r="E2128" s="184"/>
      <c r="F2128" s="184"/>
      <c r="I2128" s="186"/>
      <c r="J2128" s="184"/>
    </row>
    <row r="2129" spans="1:10">
      <c r="A2129" s="174"/>
      <c r="B2129" s="184"/>
      <c r="C2129" s="184"/>
      <c r="D2129" s="184"/>
      <c r="E2129" s="184"/>
      <c r="F2129" s="184"/>
      <c r="I2129" s="186"/>
      <c r="J2129" s="184"/>
    </row>
    <row r="2130" spans="1:10">
      <c r="A2130" s="174"/>
      <c r="B2130" s="184"/>
      <c r="C2130" s="184"/>
      <c r="D2130" s="184"/>
      <c r="E2130" s="184"/>
      <c r="F2130" s="184"/>
      <c r="G2130" s="187"/>
      <c r="I2130" s="186"/>
      <c r="J2130" s="184"/>
    </row>
    <row r="2131" spans="1:10">
      <c r="A2131" s="174"/>
      <c r="B2131" s="184"/>
      <c r="C2131" s="184"/>
      <c r="D2131" s="184"/>
      <c r="E2131" s="184"/>
      <c r="F2131" s="184"/>
      <c r="I2131" s="186"/>
      <c r="J2131" s="184"/>
    </row>
    <row r="2132" spans="1:10">
      <c r="A2132" s="174"/>
      <c r="B2132" s="184"/>
      <c r="C2132" s="184"/>
      <c r="D2132" s="184"/>
      <c r="E2132" s="184"/>
      <c r="F2132" s="184"/>
      <c r="I2132" s="186"/>
      <c r="J2132" s="184"/>
    </row>
    <row r="2133" spans="1:10">
      <c r="A2133" s="174"/>
      <c r="B2133" s="184"/>
      <c r="C2133" s="184"/>
      <c r="D2133" s="184"/>
      <c r="E2133" s="184"/>
      <c r="F2133" s="184"/>
      <c r="I2133" s="186"/>
      <c r="J2133" s="184"/>
    </row>
    <row r="2134" spans="1:10">
      <c r="A2134" s="174"/>
      <c r="B2134" s="184"/>
      <c r="C2134" s="184"/>
      <c r="D2134" s="184"/>
      <c r="E2134" s="184"/>
      <c r="F2134" s="184"/>
      <c r="I2134" s="186"/>
      <c r="J2134" s="184"/>
    </row>
    <row r="2135" spans="1:10">
      <c r="A2135" s="174"/>
      <c r="B2135" s="184"/>
      <c r="C2135" s="184"/>
      <c r="D2135" s="184"/>
      <c r="E2135" s="184"/>
      <c r="F2135" s="184"/>
      <c r="I2135" s="186"/>
      <c r="J2135" s="184"/>
    </row>
    <row r="2136" spans="1:10">
      <c r="A2136" s="174"/>
      <c r="B2136" s="184"/>
      <c r="C2136" s="184"/>
      <c r="D2136" s="184"/>
      <c r="E2136" s="184"/>
      <c r="F2136" s="184"/>
      <c r="I2136" s="186"/>
      <c r="J2136" s="184"/>
    </row>
    <row r="2137" spans="1:10">
      <c r="A2137" s="174"/>
      <c r="B2137" s="184"/>
      <c r="C2137" s="184"/>
      <c r="D2137" s="184"/>
      <c r="E2137" s="184"/>
      <c r="F2137" s="184"/>
      <c r="I2137" s="186"/>
      <c r="J2137" s="184"/>
    </row>
    <row r="2138" spans="1:10">
      <c r="A2138" s="174"/>
      <c r="B2138" s="184"/>
      <c r="C2138" s="184"/>
      <c r="D2138" s="184"/>
      <c r="E2138" s="184"/>
      <c r="F2138" s="184"/>
      <c r="I2138" s="186"/>
      <c r="J2138" s="184"/>
    </row>
    <row r="2139" spans="1:10">
      <c r="A2139" s="174"/>
      <c r="B2139" s="184"/>
      <c r="C2139" s="184"/>
      <c r="D2139" s="184"/>
      <c r="E2139" s="184"/>
      <c r="F2139" s="184"/>
      <c r="I2139" s="186"/>
      <c r="J2139" s="184"/>
    </row>
    <row r="2140" spans="1:10">
      <c r="A2140" s="174"/>
      <c r="B2140" s="184"/>
      <c r="C2140" s="184"/>
      <c r="D2140" s="184"/>
      <c r="E2140" s="184"/>
      <c r="F2140" s="184"/>
      <c r="I2140" s="186"/>
      <c r="J2140" s="184"/>
    </row>
    <row r="2141" spans="1:10">
      <c r="A2141" s="174"/>
      <c r="B2141" s="184"/>
      <c r="C2141" s="184"/>
      <c r="D2141" s="184"/>
      <c r="E2141" s="184"/>
      <c r="F2141" s="184"/>
      <c r="I2141" s="186"/>
      <c r="J2141" s="184"/>
    </row>
    <row r="2142" spans="1:10">
      <c r="A2142" s="174"/>
      <c r="B2142" s="184"/>
      <c r="C2142" s="184"/>
      <c r="D2142" s="184"/>
      <c r="E2142" s="184"/>
      <c r="F2142" s="184"/>
      <c r="I2142" s="186"/>
      <c r="J2142" s="184"/>
    </row>
    <row r="2143" spans="1:10">
      <c r="A2143" s="174"/>
      <c r="B2143" s="184"/>
      <c r="C2143" s="184"/>
      <c r="D2143" s="184"/>
      <c r="E2143" s="184"/>
      <c r="F2143" s="184"/>
      <c r="I2143" s="186"/>
      <c r="J2143" s="184"/>
    </row>
    <row r="2144" spans="1:10">
      <c r="A2144" s="174"/>
      <c r="B2144" s="184"/>
      <c r="C2144" s="184"/>
      <c r="D2144" s="184"/>
      <c r="E2144" s="184"/>
      <c r="F2144" s="184"/>
      <c r="I2144" s="186"/>
      <c r="J2144" s="184"/>
    </row>
    <row r="2145" spans="1:10">
      <c r="A2145" s="174"/>
      <c r="B2145" s="184"/>
      <c r="C2145" s="184"/>
      <c r="D2145" s="184"/>
      <c r="E2145" s="184"/>
      <c r="F2145" s="184"/>
      <c r="I2145" s="186"/>
      <c r="J2145" s="184"/>
    </row>
    <row r="2146" spans="1:10">
      <c r="A2146" s="174"/>
      <c r="B2146" s="184"/>
      <c r="C2146" s="184"/>
      <c r="D2146" s="184"/>
      <c r="E2146" s="184"/>
      <c r="F2146" s="184"/>
      <c r="I2146" s="186"/>
      <c r="J2146" s="184"/>
    </row>
    <row r="2147" spans="1:10">
      <c r="A2147" s="174"/>
      <c r="B2147" s="184"/>
      <c r="C2147" s="184"/>
      <c r="D2147" s="184"/>
      <c r="E2147" s="184"/>
      <c r="F2147" s="184"/>
      <c r="I2147" s="186"/>
      <c r="J2147" s="184"/>
    </row>
    <row r="2148" spans="1:10">
      <c r="A2148" s="174"/>
      <c r="B2148" s="184"/>
      <c r="C2148" s="184"/>
      <c r="D2148" s="184"/>
      <c r="E2148" s="184"/>
      <c r="F2148" s="184"/>
      <c r="G2148" s="187"/>
      <c r="I2148" s="186"/>
      <c r="J2148" s="184"/>
    </row>
    <row r="2149" spans="1:10">
      <c r="A2149" s="174"/>
      <c r="B2149" s="184"/>
      <c r="C2149" s="184"/>
      <c r="D2149" s="184"/>
      <c r="E2149" s="184"/>
      <c r="F2149" s="184"/>
      <c r="I2149" s="186"/>
      <c r="J2149" s="184"/>
    </row>
    <row r="2150" spans="1:10">
      <c r="A2150" s="174"/>
      <c r="B2150" s="184"/>
      <c r="C2150" s="184"/>
      <c r="D2150" s="184"/>
      <c r="E2150" s="184"/>
      <c r="F2150" s="184"/>
      <c r="I2150" s="186"/>
      <c r="J2150" s="184"/>
    </row>
    <row r="2151" spans="1:10">
      <c r="A2151" s="174"/>
      <c r="B2151" s="184"/>
      <c r="C2151" s="184"/>
      <c r="D2151" s="184"/>
      <c r="E2151" s="184"/>
      <c r="F2151" s="184"/>
      <c r="H2151" s="174"/>
      <c r="I2151" s="186"/>
      <c r="J2151" s="184"/>
    </row>
    <row r="2152" spans="1:10">
      <c r="A2152" s="174"/>
      <c r="B2152" s="184"/>
      <c r="C2152" s="184"/>
      <c r="D2152" s="184"/>
      <c r="E2152" s="184"/>
      <c r="F2152" s="184"/>
      <c r="G2152" s="187"/>
      <c r="I2152" s="186"/>
      <c r="J2152" s="184"/>
    </row>
    <row r="2153" spans="1:10">
      <c r="A2153" s="174"/>
      <c r="B2153" s="184"/>
      <c r="C2153" s="184"/>
      <c r="D2153" s="184"/>
      <c r="E2153" s="184"/>
      <c r="F2153" s="184"/>
      <c r="G2153" s="187"/>
      <c r="H2153" s="174"/>
      <c r="I2153" s="186"/>
      <c r="J2153" s="184"/>
    </row>
    <row r="2154" spans="1:10">
      <c r="A2154" s="174"/>
      <c r="B2154" s="184"/>
      <c r="C2154" s="184"/>
      <c r="D2154" s="184"/>
      <c r="E2154" s="184"/>
      <c r="F2154" s="184"/>
      <c r="I2154" s="186"/>
      <c r="J2154" s="184"/>
    </row>
    <row r="2155" spans="1:10">
      <c r="A2155" s="174"/>
      <c r="B2155" s="184"/>
      <c r="C2155" s="184"/>
      <c r="D2155" s="184"/>
      <c r="E2155" s="184"/>
      <c r="F2155" s="184"/>
      <c r="I2155" s="186"/>
      <c r="J2155" s="184"/>
    </row>
    <row r="2156" spans="1:10">
      <c r="A2156" s="174"/>
      <c r="B2156" s="184"/>
      <c r="C2156" s="184"/>
      <c r="D2156" s="184"/>
      <c r="E2156" s="184"/>
      <c r="F2156" s="184"/>
      <c r="G2156" s="187"/>
      <c r="I2156" s="186"/>
      <c r="J2156" s="184"/>
    </row>
    <row r="2157" spans="1:10">
      <c r="A2157" s="174"/>
      <c r="B2157" s="184"/>
      <c r="C2157" s="184"/>
      <c r="D2157" s="184"/>
      <c r="E2157" s="184"/>
      <c r="F2157" s="184"/>
      <c r="I2157" s="186"/>
      <c r="J2157" s="184"/>
    </row>
    <row r="2158" spans="1:10">
      <c r="A2158" s="174"/>
      <c r="B2158" s="184"/>
      <c r="C2158" s="184"/>
      <c r="D2158" s="184"/>
      <c r="E2158" s="184"/>
      <c r="F2158" s="184"/>
      <c r="I2158" s="186"/>
      <c r="J2158" s="184"/>
    </row>
    <row r="2159" spans="1:10">
      <c r="A2159" s="174"/>
      <c r="B2159" s="184"/>
      <c r="C2159" s="184"/>
      <c r="D2159" s="184"/>
      <c r="E2159" s="184"/>
      <c r="F2159" s="184"/>
      <c r="G2159" s="187"/>
      <c r="I2159" s="186"/>
      <c r="J2159" s="184"/>
    </row>
    <row r="2160" spans="1:10">
      <c r="A2160" s="174"/>
      <c r="B2160" s="184"/>
      <c r="C2160" s="184"/>
      <c r="D2160" s="184"/>
      <c r="E2160" s="184"/>
      <c r="F2160" s="184"/>
      <c r="I2160" s="186"/>
      <c r="J2160" s="184"/>
    </row>
    <row r="2161" spans="1:10">
      <c r="A2161" s="174"/>
      <c r="B2161" s="184"/>
      <c r="C2161" s="184"/>
      <c r="D2161" s="184"/>
      <c r="E2161" s="184"/>
      <c r="F2161" s="184"/>
      <c r="I2161" s="186"/>
      <c r="J2161" s="184"/>
    </row>
    <row r="2162" spans="1:10">
      <c r="A2162" s="174"/>
      <c r="B2162" s="184"/>
      <c r="C2162" s="184"/>
      <c r="D2162" s="184"/>
      <c r="E2162" s="184"/>
      <c r="F2162" s="184"/>
      <c r="G2162" s="187"/>
      <c r="I2162" s="186"/>
      <c r="J2162" s="184"/>
    </row>
    <row r="2163" spans="1:10">
      <c r="A2163" s="174"/>
      <c r="B2163" s="184"/>
      <c r="C2163" s="184"/>
      <c r="D2163" s="184"/>
      <c r="E2163" s="184"/>
      <c r="F2163" s="184"/>
      <c r="G2163" s="187"/>
      <c r="I2163" s="186"/>
      <c r="J2163" s="184"/>
    </row>
    <row r="2164" spans="1:10">
      <c r="A2164" s="174"/>
      <c r="B2164" s="184"/>
      <c r="C2164" s="184"/>
      <c r="D2164" s="184"/>
      <c r="E2164" s="184"/>
      <c r="F2164" s="184"/>
      <c r="I2164" s="186"/>
      <c r="J2164" s="184"/>
    </row>
    <row r="2165" spans="1:10">
      <c r="A2165" s="174"/>
      <c r="B2165" s="184"/>
      <c r="C2165" s="184"/>
      <c r="D2165" s="184"/>
      <c r="E2165" s="184"/>
      <c r="F2165" s="184"/>
      <c r="I2165" s="186"/>
      <c r="J2165" s="184"/>
    </row>
    <row r="2166" spans="1:10">
      <c r="A2166" s="174"/>
      <c r="B2166" s="184"/>
      <c r="C2166" s="184"/>
      <c r="D2166" s="184"/>
      <c r="E2166" s="184"/>
      <c r="F2166" s="184"/>
      <c r="I2166" s="186"/>
      <c r="J2166" s="184"/>
    </row>
    <row r="2167" spans="1:10">
      <c r="A2167" s="174"/>
      <c r="B2167" s="184"/>
      <c r="C2167" s="184"/>
      <c r="D2167" s="184"/>
      <c r="E2167" s="184"/>
      <c r="F2167" s="184"/>
      <c r="I2167" s="186"/>
      <c r="J2167" s="184"/>
    </row>
    <row r="2168" spans="1:10">
      <c r="A2168" s="174"/>
      <c r="B2168" s="184"/>
      <c r="C2168" s="184"/>
      <c r="D2168" s="184"/>
      <c r="E2168" s="184"/>
      <c r="F2168" s="184"/>
      <c r="I2168" s="186"/>
      <c r="J2168" s="184"/>
    </row>
    <row r="2169" spans="1:10">
      <c r="A2169" s="174"/>
      <c r="B2169" s="184"/>
      <c r="C2169" s="184"/>
      <c r="D2169" s="184"/>
      <c r="E2169" s="184"/>
      <c r="F2169" s="184"/>
      <c r="I2169" s="186"/>
      <c r="J2169" s="184"/>
    </row>
    <row r="2170" spans="1:10">
      <c r="A2170" s="174"/>
      <c r="B2170" s="184"/>
      <c r="C2170" s="184"/>
      <c r="D2170" s="184"/>
      <c r="E2170" s="184"/>
      <c r="F2170" s="184"/>
      <c r="I2170" s="186"/>
      <c r="J2170" s="184"/>
    </row>
    <row r="2171" spans="1:10">
      <c r="A2171" s="174"/>
      <c r="B2171" s="184"/>
      <c r="C2171" s="184"/>
      <c r="D2171" s="184"/>
      <c r="E2171" s="184"/>
      <c r="F2171" s="184"/>
      <c r="I2171" s="186"/>
      <c r="J2171" s="184"/>
    </row>
    <row r="2172" spans="1:10">
      <c r="A2172" s="174"/>
      <c r="B2172" s="184"/>
      <c r="C2172" s="184"/>
      <c r="D2172" s="184"/>
      <c r="E2172" s="184"/>
      <c r="F2172" s="184"/>
      <c r="I2172" s="186"/>
      <c r="J2172" s="184"/>
    </row>
    <row r="2173" spans="1:10">
      <c r="A2173" s="174"/>
      <c r="B2173" s="184"/>
      <c r="C2173" s="184"/>
      <c r="D2173" s="184"/>
      <c r="E2173" s="184"/>
      <c r="F2173" s="184"/>
      <c r="I2173" s="186"/>
      <c r="J2173" s="184"/>
    </row>
    <row r="2174" spans="1:10">
      <c r="A2174" s="174"/>
      <c r="B2174" s="184"/>
      <c r="C2174" s="184"/>
      <c r="D2174" s="184"/>
      <c r="E2174" s="184"/>
      <c r="F2174" s="184"/>
      <c r="I2174" s="186"/>
      <c r="J2174" s="184"/>
    </row>
    <row r="2175" spans="1:10">
      <c r="A2175" s="174"/>
      <c r="B2175" s="184"/>
      <c r="C2175" s="184"/>
      <c r="D2175" s="184"/>
      <c r="E2175" s="184"/>
      <c r="F2175" s="184"/>
      <c r="I2175" s="186"/>
      <c r="J2175" s="184"/>
    </row>
    <row r="2176" spans="1:10">
      <c r="A2176" s="174"/>
      <c r="B2176" s="184"/>
      <c r="C2176" s="184"/>
      <c r="D2176" s="184"/>
      <c r="E2176" s="184"/>
      <c r="F2176" s="184"/>
      <c r="G2176" s="187"/>
      <c r="I2176" s="186"/>
      <c r="J2176" s="184"/>
    </row>
    <row r="2177" spans="1:10">
      <c r="A2177" s="174"/>
      <c r="B2177" s="184"/>
      <c r="C2177" s="184"/>
      <c r="D2177" s="184"/>
      <c r="E2177" s="184"/>
      <c r="F2177" s="184"/>
      <c r="I2177" s="186"/>
      <c r="J2177" s="184"/>
    </row>
    <row r="2178" spans="1:10">
      <c r="A2178" s="174"/>
      <c r="B2178" s="184"/>
      <c r="C2178" s="184"/>
      <c r="D2178" s="184"/>
      <c r="E2178" s="184"/>
      <c r="F2178" s="184"/>
      <c r="I2178" s="186"/>
      <c r="J2178" s="184"/>
    </row>
    <row r="2179" spans="1:10">
      <c r="A2179" s="174"/>
      <c r="B2179" s="184"/>
      <c r="C2179" s="184"/>
      <c r="D2179" s="184"/>
      <c r="E2179" s="184"/>
      <c r="F2179" s="184"/>
      <c r="I2179" s="186"/>
      <c r="J2179" s="184"/>
    </row>
    <row r="2180" spans="1:10">
      <c r="A2180" s="174"/>
      <c r="B2180" s="184"/>
      <c r="C2180" s="184"/>
      <c r="D2180" s="184"/>
      <c r="E2180" s="184"/>
      <c r="F2180" s="184"/>
      <c r="I2180" s="186"/>
      <c r="J2180" s="184"/>
    </row>
    <row r="2181" spans="1:10">
      <c r="A2181" s="174"/>
      <c r="B2181" s="184"/>
      <c r="C2181" s="184"/>
      <c r="D2181" s="184"/>
      <c r="E2181" s="184"/>
      <c r="F2181" s="184"/>
      <c r="I2181" s="186"/>
      <c r="J2181" s="184"/>
    </row>
    <row r="2182" spans="1:10">
      <c r="A2182" s="174"/>
      <c r="B2182" s="184"/>
      <c r="C2182" s="184"/>
      <c r="D2182" s="184"/>
      <c r="E2182" s="184"/>
      <c r="F2182" s="184"/>
      <c r="I2182" s="186"/>
      <c r="J2182" s="184"/>
    </row>
    <row r="2183" spans="1:10">
      <c r="A2183" s="174"/>
      <c r="B2183" s="184"/>
      <c r="C2183" s="184"/>
      <c r="D2183" s="184"/>
      <c r="E2183" s="184"/>
      <c r="F2183" s="184"/>
      <c r="I2183" s="186"/>
      <c r="J2183" s="184"/>
    </row>
    <row r="2184" spans="1:10">
      <c r="A2184" s="174"/>
      <c r="B2184" s="184"/>
      <c r="C2184" s="184"/>
      <c r="D2184" s="184"/>
      <c r="E2184" s="184"/>
      <c r="F2184" s="184"/>
      <c r="I2184" s="186"/>
      <c r="J2184" s="184"/>
    </row>
    <row r="2185" spans="1:10">
      <c r="A2185" s="174"/>
      <c r="B2185" s="184"/>
      <c r="C2185" s="184"/>
      <c r="D2185" s="184"/>
      <c r="E2185" s="184"/>
      <c r="F2185" s="184"/>
      <c r="I2185" s="186"/>
      <c r="J2185" s="184"/>
    </row>
    <row r="2186" spans="1:10">
      <c r="A2186" s="174"/>
      <c r="B2186" s="184"/>
      <c r="C2186" s="184"/>
      <c r="D2186" s="184"/>
      <c r="E2186" s="184"/>
      <c r="F2186" s="184"/>
      <c r="I2186" s="186"/>
      <c r="J2186" s="184"/>
    </row>
    <row r="2187" spans="1:10">
      <c r="A2187" s="174"/>
      <c r="B2187" s="184"/>
      <c r="C2187" s="184"/>
      <c r="D2187" s="184"/>
      <c r="E2187" s="184"/>
      <c r="F2187" s="184"/>
      <c r="I2187" s="186"/>
      <c r="J2187" s="184"/>
    </row>
    <row r="2188" spans="1:10">
      <c r="A2188" s="174"/>
      <c r="B2188" s="184"/>
      <c r="C2188" s="184"/>
      <c r="D2188" s="184"/>
      <c r="E2188" s="184"/>
      <c r="F2188" s="184"/>
      <c r="I2188" s="186"/>
      <c r="J2188" s="184"/>
    </row>
    <row r="2189" spans="1:10">
      <c r="A2189" s="174"/>
      <c r="B2189" s="184"/>
      <c r="C2189" s="184"/>
      <c r="D2189" s="184"/>
      <c r="E2189" s="184"/>
      <c r="F2189" s="184"/>
      <c r="I2189" s="186"/>
      <c r="J2189" s="184"/>
    </row>
    <row r="2190" spans="1:10">
      <c r="A2190" s="174"/>
      <c r="B2190" s="184"/>
      <c r="C2190" s="184"/>
      <c r="D2190" s="184"/>
      <c r="E2190" s="184"/>
      <c r="F2190" s="184"/>
      <c r="I2190" s="186"/>
      <c r="J2190" s="184"/>
    </row>
    <row r="2191" spans="1:10">
      <c r="A2191" s="174"/>
      <c r="B2191" s="184"/>
      <c r="C2191" s="184"/>
      <c r="D2191" s="184"/>
      <c r="E2191" s="184"/>
      <c r="F2191" s="184"/>
      <c r="I2191" s="186"/>
      <c r="J2191" s="184"/>
    </row>
    <row r="2192" spans="1:10">
      <c r="A2192" s="174"/>
      <c r="B2192" s="184"/>
      <c r="C2192" s="184"/>
      <c r="D2192" s="184"/>
      <c r="E2192" s="184"/>
      <c r="F2192" s="184"/>
      <c r="I2192" s="186"/>
      <c r="J2192" s="184"/>
    </row>
    <row r="2193" spans="1:10">
      <c r="A2193" s="174"/>
      <c r="B2193" s="184"/>
      <c r="C2193" s="184"/>
      <c r="D2193" s="184"/>
      <c r="E2193" s="184"/>
      <c r="F2193" s="184"/>
      <c r="I2193" s="186"/>
      <c r="J2193" s="184"/>
    </row>
    <row r="2194" spans="1:10">
      <c r="A2194" s="174"/>
      <c r="B2194" s="184"/>
      <c r="C2194" s="184"/>
      <c r="D2194" s="184"/>
      <c r="E2194" s="184"/>
      <c r="F2194" s="184"/>
      <c r="I2194" s="186"/>
      <c r="J2194" s="184"/>
    </row>
    <row r="2195" spans="1:10">
      <c r="A2195" s="174"/>
      <c r="B2195" s="184"/>
      <c r="C2195" s="184"/>
      <c r="D2195" s="184"/>
      <c r="E2195" s="184"/>
      <c r="F2195" s="184"/>
      <c r="I2195" s="186"/>
      <c r="J2195" s="184"/>
    </row>
    <row r="2196" spans="1:10">
      <c r="A2196" s="174"/>
      <c r="B2196" s="184"/>
      <c r="C2196" s="184"/>
      <c r="D2196" s="184"/>
      <c r="E2196" s="184"/>
      <c r="F2196" s="184"/>
      <c r="I2196" s="186"/>
      <c r="J2196" s="184"/>
    </row>
    <row r="2197" spans="1:10">
      <c r="A2197" s="174"/>
      <c r="B2197" s="184"/>
      <c r="C2197" s="184"/>
      <c r="D2197" s="184"/>
      <c r="E2197" s="184"/>
      <c r="F2197" s="184"/>
      <c r="H2197" s="174"/>
      <c r="I2197" s="186"/>
      <c r="J2197" s="184"/>
    </row>
    <row r="2198" spans="1:10">
      <c r="A2198" s="174"/>
      <c r="B2198" s="184"/>
      <c r="C2198" s="184"/>
      <c r="D2198" s="184"/>
      <c r="E2198" s="184"/>
      <c r="F2198" s="184"/>
      <c r="I2198" s="186"/>
      <c r="J2198" s="184"/>
    </row>
    <row r="2199" spans="1:10">
      <c r="A2199" s="174"/>
      <c r="B2199" s="184"/>
      <c r="C2199" s="184"/>
      <c r="D2199" s="184"/>
      <c r="E2199" s="184"/>
      <c r="F2199" s="184"/>
      <c r="I2199" s="186"/>
      <c r="J2199" s="184"/>
    </row>
    <row r="2200" spans="1:10">
      <c r="A2200" s="174"/>
      <c r="B2200" s="184"/>
      <c r="C2200" s="184"/>
      <c r="D2200" s="184"/>
      <c r="E2200" s="184"/>
      <c r="F2200" s="184"/>
      <c r="I2200" s="186"/>
      <c r="J2200" s="184"/>
    </row>
    <row r="2201" spans="1:10">
      <c r="A2201" s="174"/>
      <c r="B2201" s="184"/>
      <c r="C2201" s="184"/>
      <c r="D2201" s="184"/>
      <c r="E2201" s="184"/>
      <c r="F2201" s="184"/>
      <c r="I2201" s="186"/>
      <c r="J2201" s="184"/>
    </row>
    <row r="2202" spans="1:10">
      <c r="A2202" s="174"/>
      <c r="B2202" s="184"/>
      <c r="C2202" s="184"/>
      <c r="D2202" s="184"/>
      <c r="E2202" s="184"/>
      <c r="F2202" s="184"/>
      <c r="I2202" s="186"/>
      <c r="J2202" s="184"/>
    </row>
    <row r="2203" spans="1:10">
      <c r="A2203" s="174"/>
      <c r="B2203" s="184"/>
      <c r="C2203" s="184"/>
      <c r="D2203" s="184"/>
      <c r="E2203" s="184"/>
      <c r="F2203" s="184"/>
      <c r="I2203" s="186"/>
      <c r="J2203" s="184"/>
    </row>
    <row r="2204" spans="1:10">
      <c r="A2204" s="174"/>
      <c r="B2204" s="184"/>
      <c r="C2204" s="184"/>
      <c r="D2204" s="184"/>
      <c r="E2204" s="184"/>
      <c r="F2204" s="184"/>
      <c r="I2204" s="186"/>
      <c r="J2204" s="184"/>
    </row>
    <row r="2205" spans="1:10">
      <c r="A2205" s="174"/>
      <c r="B2205" s="184"/>
      <c r="C2205" s="184"/>
      <c r="D2205" s="184"/>
      <c r="E2205" s="184"/>
      <c r="F2205" s="184"/>
      <c r="I2205" s="186"/>
      <c r="J2205" s="184"/>
    </row>
    <row r="2206" spans="1:10">
      <c r="A2206" s="174"/>
      <c r="B2206" s="184"/>
      <c r="C2206" s="184"/>
      <c r="D2206" s="184"/>
      <c r="E2206" s="184"/>
      <c r="F2206" s="184"/>
      <c r="I2206" s="186"/>
      <c r="J2206" s="184"/>
    </row>
    <row r="2207" spans="1:10">
      <c r="A2207" s="174"/>
      <c r="B2207" s="184"/>
      <c r="C2207" s="184"/>
      <c r="D2207" s="184"/>
      <c r="E2207" s="184"/>
      <c r="F2207" s="184"/>
      <c r="I2207" s="186"/>
      <c r="J2207" s="184"/>
    </row>
    <row r="2208" spans="1:10">
      <c r="A2208" s="174"/>
      <c r="B2208" s="184"/>
      <c r="C2208" s="184"/>
      <c r="D2208" s="184"/>
      <c r="E2208" s="184"/>
      <c r="F2208" s="184"/>
      <c r="I2208" s="186"/>
      <c r="J2208" s="184"/>
    </row>
    <row r="2209" spans="1:10">
      <c r="A2209" s="174"/>
      <c r="B2209" s="184"/>
      <c r="C2209" s="184"/>
      <c r="D2209" s="184"/>
      <c r="E2209" s="184"/>
      <c r="F2209" s="184"/>
      <c r="I2209" s="186"/>
      <c r="J2209" s="184"/>
    </row>
    <row r="2210" spans="1:10">
      <c r="A2210" s="174"/>
      <c r="B2210" s="184"/>
      <c r="C2210" s="184"/>
      <c r="D2210" s="184"/>
      <c r="E2210" s="184"/>
      <c r="F2210" s="184"/>
      <c r="I2210" s="186"/>
      <c r="J2210" s="184"/>
    </row>
    <row r="2211" spans="1:10">
      <c r="A2211" s="174"/>
      <c r="B2211" s="184"/>
      <c r="C2211" s="184"/>
      <c r="D2211" s="184"/>
      <c r="E2211" s="184"/>
      <c r="F2211" s="184"/>
      <c r="I2211" s="186"/>
      <c r="J2211" s="184"/>
    </row>
    <row r="2212" spans="1:10">
      <c r="A2212" s="174"/>
      <c r="B2212" s="184"/>
      <c r="C2212" s="184"/>
      <c r="D2212" s="184"/>
      <c r="E2212" s="184"/>
      <c r="F2212" s="184"/>
      <c r="I2212" s="186"/>
      <c r="J2212" s="184"/>
    </row>
    <row r="2213" spans="1:10">
      <c r="A2213" s="174"/>
      <c r="B2213" s="184"/>
      <c r="C2213" s="184"/>
      <c r="D2213" s="184"/>
      <c r="E2213" s="184"/>
      <c r="F2213" s="184"/>
      <c r="I2213" s="186"/>
      <c r="J2213" s="184"/>
    </row>
    <row r="2214" spans="1:10">
      <c r="A2214" s="174"/>
      <c r="B2214" s="184"/>
      <c r="C2214" s="184"/>
      <c r="D2214" s="184"/>
      <c r="E2214" s="184"/>
      <c r="F2214" s="184"/>
      <c r="I2214" s="186"/>
      <c r="J2214" s="184"/>
    </row>
    <row r="2215" spans="1:10">
      <c r="A2215" s="174"/>
      <c r="B2215" s="184"/>
      <c r="C2215" s="184"/>
      <c r="D2215" s="184"/>
      <c r="E2215" s="184"/>
      <c r="F2215" s="184"/>
      <c r="I2215" s="186"/>
      <c r="J2215" s="184"/>
    </row>
    <row r="2216" spans="1:10">
      <c r="A2216" s="174"/>
      <c r="B2216" s="184"/>
      <c r="C2216" s="184"/>
      <c r="D2216" s="184"/>
      <c r="E2216" s="184"/>
      <c r="F2216" s="184"/>
      <c r="I2216" s="186"/>
      <c r="J2216" s="184"/>
    </row>
    <row r="2217" spans="1:10">
      <c r="A2217" s="174"/>
      <c r="B2217" s="184"/>
      <c r="C2217" s="184"/>
      <c r="D2217" s="184"/>
      <c r="E2217" s="184"/>
      <c r="F2217" s="184"/>
      <c r="G2217" s="187"/>
      <c r="I2217" s="186"/>
      <c r="J2217" s="184"/>
    </row>
    <row r="2218" spans="1:10">
      <c r="A2218" s="174"/>
      <c r="B2218" s="184"/>
      <c r="C2218" s="184"/>
      <c r="D2218" s="184"/>
      <c r="E2218" s="184"/>
      <c r="F2218" s="184"/>
      <c r="G2218" s="187"/>
      <c r="I2218" s="186"/>
      <c r="J2218" s="184"/>
    </row>
    <row r="2219" spans="1:10">
      <c r="A2219" s="174"/>
      <c r="B2219" s="184"/>
      <c r="C2219" s="184"/>
      <c r="D2219" s="184"/>
      <c r="E2219" s="184"/>
      <c r="F2219" s="184"/>
      <c r="G2219" s="187"/>
      <c r="I2219" s="186"/>
      <c r="J2219" s="184"/>
    </row>
    <row r="2220" spans="1:10">
      <c r="A2220" s="174"/>
      <c r="B2220" s="184"/>
      <c r="C2220" s="184"/>
      <c r="D2220" s="184"/>
      <c r="E2220" s="184"/>
      <c r="F2220" s="184"/>
      <c r="I2220" s="186"/>
      <c r="J2220" s="184"/>
    </row>
    <row r="2221" spans="1:10">
      <c r="A2221" s="174"/>
      <c r="B2221" s="184"/>
      <c r="C2221" s="184"/>
      <c r="D2221" s="184"/>
      <c r="E2221" s="184"/>
      <c r="F2221" s="184"/>
      <c r="I2221" s="186"/>
      <c r="J2221" s="184"/>
    </row>
    <row r="2222" spans="1:10">
      <c r="A2222" s="174"/>
      <c r="B2222" s="184"/>
      <c r="C2222" s="184"/>
      <c r="D2222" s="184"/>
      <c r="E2222" s="184"/>
      <c r="F2222" s="184"/>
      <c r="I2222" s="186"/>
      <c r="J2222" s="184"/>
    </row>
    <row r="2223" spans="1:10">
      <c r="A2223" s="174"/>
      <c r="B2223" s="184"/>
      <c r="C2223" s="184"/>
      <c r="D2223" s="184"/>
      <c r="E2223" s="184"/>
      <c r="F2223" s="184"/>
      <c r="G2223" s="187"/>
      <c r="H2223" s="174"/>
      <c r="I2223" s="186"/>
      <c r="J2223" s="184"/>
    </row>
    <row r="2224" spans="1:10">
      <c r="A2224" s="174"/>
      <c r="B2224" s="184"/>
      <c r="C2224" s="184"/>
      <c r="D2224" s="184"/>
      <c r="E2224" s="184"/>
      <c r="F2224" s="184"/>
      <c r="H2224" s="174"/>
      <c r="I2224" s="186"/>
      <c r="J2224" s="184"/>
    </row>
    <row r="2225" spans="1:10">
      <c r="A2225" s="174"/>
      <c r="B2225" s="184"/>
      <c r="C2225" s="184"/>
      <c r="D2225" s="184"/>
      <c r="E2225" s="184"/>
      <c r="F2225" s="184"/>
      <c r="H2225" s="174"/>
      <c r="I2225" s="186"/>
      <c r="J2225" s="184"/>
    </row>
    <row r="2226" spans="1:10">
      <c r="A2226" s="174"/>
      <c r="B2226" s="184"/>
      <c r="C2226" s="184"/>
      <c r="D2226" s="184"/>
      <c r="E2226" s="184"/>
      <c r="F2226" s="184"/>
      <c r="I2226" s="186"/>
      <c r="J2226" s="184"/>
    </row>
    <row r="2227" spans="1:10">
      <c r="A2227" s="174"/>
      <c r="B2227" s="184"/>
      <c r="C2227" s="184"/>
      <c r="D2227" s="184"/>
      <c r="E2227" s="184"/>
      <c r="F2227" s="184"/>
      <c r="I2227" s="186"/>
      <c r="J2227" s="184"/>
    </row>
    <row r="2228" spans="1:10">
      <c r="A2228" s="174"/>
      <c r="B2228" s="184"/>
      <c r="C2228" s="184"/>
      <c r="D2228" s="184"/>
      <c r="E2228" s="184"/>
      <c r="F2228" s="184"/>
      <c r="I2228" s="186"/>
      <c r="J2228" s="184"/>
    </row>
    <row r="2229" spans="1:10">
      <c r="A2229" s="174"/>
      <c r="B2229" s="184"/>
      <c r="C2229" s="184"/>
      <c r="D2229" s="184"/>
      <c r="E2229" s="184"/>
      <c r="F2229" s="184"/>
      <c r="I2229" s="186"/>
      <c r="J2229" s="184"/>
    </row>
    <row r="2230" spans="1:10">
      <c r="A2230" s="174"/>
      <c r="B2230" s="184"/>
      <c r="C2230" s="184"/>
      <c r="D2230" s="184"/>
      <c r="E2230" s="184"/>
      <c r="F2230" s="184"/>
      <c r="I2230" s="186"/>
      <c r="J2230" s="184"/>
    </row>
    <row r="2231" spans="1:10">
      <c r="A2231" s="174"/>
      <c r="B2231" s="184"/>
      <c r="C2231" s="184"/>
      <c r="D2231" s="184"/>
      <c r="E2231" s="184"/>
      <c r="F2231" s="184"/>
      <c r="I2231" s="186"/>
      <c r="J2231" s="184"/>
    </row>
    <row r="2232" spans="1:10">
      <c r="A2232" s="174"/>
      <c r="B2232" s="184"/>
      <c r="C2232" s="184"/>
      <c r="D2232" s="184"/>
      <c r="E2232" s="184"/>
      <c r="F2232" s="184"/>
      <c r="I2232" s="186"/>
      <c r="J2232" s="184"/>
    </row>
    <row r="2233" spans="1:10">
      <c r="A2233" s="174"/>
      <c r="B2233" s="184"/>
      <c r="C2233" s="184"/>
      <c r="D2233" s="184"/>
      <c r="E2233" s="184"/>
      <c r="F2233" s="184"/>
      <c r="I2233" s="186"/>
      <c r="J2233" s="184"/>
    </row>
    <row r="2234" spans="1:10">
      <c r="A2234" s="174"/>
      <c r="B2234" s="184"/>
      <c r="C2234" s="184"/>
      <c r="D2234" s="184"/>
      <c r="E2234" s="184"/>
      <c r="F2234" s="184"/>
      <c r="I2234" s="186"/>
      <c r="J2234" s="184"/>
    </row>
    <row r="2235" spans="1:10">
      <c r="A2235" s="174"/>
      <c r="B2235" s="184"/>
      <c r="C2235" s="184"/>
      <c r="D2235" s="184"/>
      <c r="E2235" s="184"/>
      <c r="F2235" s="184"/>
      <c r="I2235" s="186"/>
      <c r="J2235" s="184"/>
    </row>
    <row r="2236" spans="1:10">
      <c r="A2236" s="174"/>
      <c r="B2236" s="184"/>
      <c r="C2236" s="184"/>
      <c r="D2236" s="184"/>
      <c r="E2236" s="184"/>
      <c r="F2236" s="184"/>
      <c r="I2236" s="186"/>
      <c r="J2236" s="184"/>
    </row>
    <row r="2237" spans="1:10">
      <c r="A2237" s="174"/>
      <c r="B2237" s="184"/>
      <c r="C2237" s="184"/>
      <c r="D2237" s="184"/>
      <c r="E2237" s="184"/>
      <c r="F2237" s="184"/>
      <c r="I2237" s="186"/>
      <c r="J2237" s="184"/>
    </row>
    <row r="2238" spans="1:10">
      <c r="A2238" s="174"/>
      <c r="B2238" s="184"/>
      <c r="C2238" s="184"/>
      <c r="D2238" s="184"/>
      <c r="E2238" s="184"/>
      <c r="F2238" s="184"/>
      <c r="I2238" s="186"/>
      <c r="J2238" s="184"/>
    </row>
    <row r="2239" spans="1:10">
      <c r="A2239" s="174"/>
      <c r="B2239" s="184"/>
      <c r="C2239" s="184"/>
      <c r="D2239" s="184"/>
      <c r="E2239" s="184"/>
      <c r="F2239" s="184"/>
      <c r="H2239" s="174"/>
      <c r="I2239" s="186"/>
      <c r="J2239" s="184"/>
    </row>
    <row r="2240" spans="1:10">
      <c r="A2240" s="174"/>
      <c r="B2240" s="184"/>
      <c r="C2240" s="184"/>
      <c r="D2240" s="184"/>
      <c r="E2240" s="184"/>
      <c r="F2240" s="184"/>
      <c r="I2240" s="186"/>
      <c r="J2240" s="184"/>
    </row>
    <row r="2241" spans="1:10">
      <c r="A2241" s="174"/>
      <c r="B2241" s="184"/>
      <c r="C2241" s="184"/>
      <c r="D2241" s="184"/>
      <c r="E2241" s="184"/>
      <c r="F2241" s="184"/>
      <c r="H2241" s="174"/>
      <c r="I2241" s="186"/>
      <c r="J2241" s="184"/>
    </row>
    <row r="2242" spans="1:10">
      <c r="A2242" s="174"/>
      <c r="B2242" s="184"/>
      <c r="C2242" s="184"/>
      <c r="D2242" s="184"/>
      <c r="E2242" s="184"/>
      <c r="F2242" s="184"/>
      <c r="I2242" s="186"/>
      <c r="J2242" s="184"/>
    </row>
    <row r="2243" spans="1:10">
      <c r="A2243" s="174"/>
      <c r="B2243" s="184"/>
      <c r="C2243" s="184"/>
      <c r="D2243" s="184"/>
      <c r="E2243" s="184"/>
      <c r="F2243" s="184"/>
      <c r="I2243" s="186"/>
      <c r="J2243" s="184"/>
    </row>
    <row r="2244" spans="1:10">
      <c r="A2244" s="174"/>
      <c r="B2244" s="184"/>
      <c r="C2244" s="184"/>
      <c r="D2244" s="184"/>
      <c r="E2244" s="184"/>
      <c r="F2244" s="184"/>
      <c r="I2244" s="186"/>
      <c r="J2244" s="184"/>
    </row>
    <row r="2245" spans="1:10">
      <c r="A2245" s="174"/>
      <c r="B2245" s="184"/>
      <c r="C2245" s="184"/>
      <c r="D2245" s="184"/>
      <c r="E2245" s="184"/>
      <c r="F2245" s="184"/>
      <c r="G2245" s="187"/>
      <c r="I2245" s="186"/>
      <c r="J2245" s="184"/>
    </row>
    <row r="2246" spans="1:10">
      <c r="A2246" s="174"/>
      <c r="B2246" s="184"/>
      <c r="C2246" s="184"/>
      <c r="D2246" s="184"/>
      <c r="E2246" s="184"/>
      <c r="F2246" s="184"/>
      <c r="I2246" s="186"/>
      <c r="J2246" s="184"/>
    </row>
    <row r="2247" spans="1:10">
      <c r="A2247" s="174"/>
      <c r="B2247" s="184"/>
      <c r="C2247" s="184"/>
      <c r="D2247" s="184"/>
      <c r="E2247" s="184"/>
      <c r="F2247" s="184"/>
      <c r="I2247" s="186"/>
      <c r="J2247" s="184"/>
    </row>
    <row r="2248" spans="1:10">
      <c r="A2248" s="174"/>
      <c r="B2248" s="184"/>
      <c r="C2248" s="184"/>
      <c r="D2248" s="184"/>
      <c r="E2248" s="184"/>
      <c r="F2248" s="184"/>
      <c r="I2248" s="186"/>
      <c r="J2248" s="184"/>
    </row>
    <row r="2249" spans="1:10">
      <c r="A2249" s="174"/>
      <c r="B2249" s="184"/>
      <c r="C2249" s="184"/>
      <c r="D2249" s="184"/>
      <c r="E2249" s="184"/>
      <c r="F2249" s="184"/>
      <c r="G2249" s="187"/>
      <c r="I2249" s="186"/>
      <c r="J2249" s="184"/>
    </row>
    <row r="2250" spans="1:10">
      <c r="A2250" s="174"/>
      <c r="B2250" s="184"/>
      <c r="C2250" s="184"/>
      <c r="D2250" s="184"/>
      <c r="E2250" s="184"/>
      <c r="F2250" s="184"/>
      <c r="I2250" s="186"/>
      <c r="J2250" s="184"/>
    </row>
    <row r="2251" spans="1:10">
      <c r="A2251" s="174"/>
      <c r="B2251" s="184"/>
      <c r="C2251" s="184"/>
      <c r="D2251" s="184"/>
      <c r="E2251" s="184"/>
      <c r="F2251" s="184"/>
      <c r="I2251" s="186"/>
      <c r="J2251" s="184"/>
    </row>
    <row r="2252" spans="1:10">
      <c r="A2252" s="174"/>
      <c r="B2252" s="184"/>
      <c r="C2252" s="184"/>
      <c r="D2252" s="184"/>
      <c r="E2252" s="184"/>
      <c r="F2252" s="184"/>
      <c r="I2252" s="186"/>
      <c r="J2252" s="184"/>
    </row>
    <row r="2253" spans="1:10">
      <c r="A2253" s="174"/>
      <c r="B2253" s="184"/>
      <c r="C2253" s="184"/>
      <c r="D2253" s="184"/>
      <c r="E2253" s="184"/>
      <c r="F2253" s="184"/>
      <c r="I2253" s="186"/>
      <c r="J2253" s="184"/>
    </row>
    <row r="2254" spans="1:10">
      <c r="A2254" s="174"/>
      <c r="B2254" s="184"/>
      <c r="C2254" s="184"/>
      <c r="D2254" s="184"/>
      <c r="E2254" s="184"/>
      <c r="F2254" s="184"/>
      <c r="I2254" s="186"/>
      <c r="J2254" s="184"/>
    </row>
    <row r="2255" spans="1:10">
      <c r="A2255" s="174"/>
      <c r="B2255" s="184"/>
      <c r="C2255" s="184"/>
      <c r="D2255" s="184"/>
      <c r="E2255" s="184"/>
      <c r="F2255" s="184"/>
      <c r="I2255" s="186"/>
      <c r="J2255" s="184"/>
    </row>
    <row r="2256" spans="1:10">
      <c r="A2256" s="174"/>
      <c r="B2256" s="184"/>
      <c r="C2256" s="184"/>
      <c r="D2256" s="184"/>
      <c r="E2256" s="184"/>
      <c r="F2256" s="184"/>
      <c r="I2256" s="186"/>
      <c r="J2256" s="184"/>
    </row>
    <row r="2257" spans="1:10">
      <c r="A2257" s="174"/>
      <c r="B2257" s="184"/>
      <c r="C2257" s="184"/>
      <c r="D2257" s="184"/>
      <c r="E2257" s="184"/>
      <c r="F2257" s="184"/>
      <c r="I2257" s="186"/>
      <c r="J2257" s="184"/>
    </row>
    <row r="2258" spans="1:10">
      <c r="A2258" s="174"/>
      <c r="B2258" s="184"/>
      <c r="C2258" s="184"/>
      <c r="D2258" s="184"/>
      <c r="E2258" s="184"/>
      <c r="F2258" s="184"/>
      <c r="I2258" s="186"/>
      <c r="J2258" s="184"/>
    </row>
    <row r="2259" spans="1:10">
      <c r="A2259" s="174"/>
      <c r="B2259" s="184"/>
      <c r="C2259" s="184"/>
      <c r="D2259" s="184"/>
      <c r="E2259" s="184"/>
      <c r="F2259" s="184"/>
      <c r="I2259" s="186"/>
      <c r="J2259" s="184"/>
    </row>
    <row r="2260" spans="1:10">
      <c r="A2260" s="174"/>
      <c r="B2260" s="184"/>
      <c r="C2260" s="184"/>
      <c r="D2260" s="184"/>
      <c r="E2260" s="184"/>
      <c r="F2260" s="184"/>
      <c r="I2260" s="186"/>
      <c r="J2260" s="184"/>
    </row>
    <row r="2261" spans="1:10">
      <c r="A2261" s="174"/>
      <c r="B2261" s="184"/>
      <c r="C2261" s="184"/>
      <c r="D2261" s="184"/>
      <c r="E2261" s="184"/>
      <c r="F2261" s="184"/>
      <c r="I2261" s="186"/>
      <c r="J2261" s="184"/>
    </row>
    <row r="2262" spans="1:10">
      <c r="A2262" s="174"/>
      <c r="B2262" s="184"/>
      <c r="C2262" s="184"/>
      <c r="D2262" s="184"/>
      <c r="E2262" s="184"/>
      <c r="F2262" s="184"/>
      <c r="I2262" s="186"/>
      <c r="J2262" s="184"/>
    </row>
    <row r="2263" spans="1:10">
      <c r="A2263" s="174"/>
      <c r="B2263" s="184"/>
      <c r="C2263" s="184"/>
      <c r="D2263" s="184"/>
      <c r="E2263" s="184"/>
      <c r="F2263" s="184"/>
      <c r="I2263" s="186"/>
      <c r="J2263" s="184"/>
    </row>
    <row r="2264" spans="1:10">
      <c r="A2264" s="174"/>
      <c r="B2264" s="184"/>
      <c r="C2264" s="184"/>
      <c r="D2264" s="184"/>
      <c r="E2264" s="184"/>
      <c r="F2264" s="184"/>
      <c r="I2264" s="186"/>
      <c r="J2264" s="184"/>
    </row>
    <row r="2265" spans="1:10">
      <c r="A2265" s="174"/>
      <c r="B2265" s="184"/>
      <c r="C2265" s="184"/>
      <c r="D2265" s="184"/>
      <c r="E2265" s="184"/>
      <c r="F2265" s="184"/>
      <c r="I2265" s="186"/>
      <c r="J2265" s="184"/>
    </row>
    <row r="2266" spans="1:10">
      <c r="A2266" s="174"/>
      <c r="B2266" s="184"/>
      <c r="C2266" s="184"/>
      <c r="D2266" s="184"/>
      <c r="E2266" s="184"/>
      <c r="F2266" s="184"/>
      <c r="I2266" s="186"/>
      <c r="J2266" s="184"/>
    </row>
    <row r="2267" spans="1:10">
      <c r="A2267" s="174"/>
      <c r="B2267" s="184"/>
      <c r="C2267" s="184"/>
      <c r="D2267" s="184"/>
      <c r="E2267" s="184"/>
      <c r="F2267" s="184"/>
      <c r="I2267" s="186"/>
      <c r="J2267" s="184"/>
    </row>
    <row r="2268" spans="1:10">
      <c r="A2268" s="174"/>
      <c r="B2268" s="184"/>
      <c r="C2268" s="184"/>
      <c r="D2268" s="184"/>
      <c r="E2268" s="184"/>
      <c r="F2268" s="184"/>
      <c r="I2268" s="186"/>
      <c r="J2268" s="184"/>
    </row>
    <row r="2269" spans="1:10">
      <c r="A2269" s="174"/>
      <c r="B2269" s="184"/>
      <c r="C2269" s="184"/>
      <c r="D2269" s="184"/>
      <c r="E2269" s="184"/>
      <c r="F2269" s="184"/>
      <c r="I2269" s="186"/>
      <c r="J2269" s="184"/>
    </row>
    <row r="2270" spans="1:10">
      <c r="A2270" s="174"/>
      <c r="B2270" s="184"/>
      <c r="C2270" s="184"/>
      <c r="D2270" s="184"/>
      <c r="E2270" s="184"/>
      <c r="F2270" s="184"/>
      <c r="I2270" s="186"/>
      <c r="J2270" s="184"/>
    </row>
    <row r="2271" spans="1:10">
      <c r="A2271" s="174"/>
      <c r="B2271" s="184"/>
      <c r="C2271" s="184"/>
      <c r="D2271" s="184"/>
      <c r="E2271" s="184"/>
      <c r="F2271" s="184"/>
      <c r="I2271" s="186"/>
      <c r="J2271" s="184"/>
    </row>
    <row r="2272" spans="1:10">
      <c r="A2272" s="174"/>
      <c r="B2272" s="184"/>
      <c r="C2272" s="184"/>
      <c r="D2272" s="184"/>
      <c r="E2272" s="184"/>
      <c r="F2272" s="184"/>
      <c r="I2272" s="186"/>
      <c r="J2272" s="184"/>
    </row>
    <row r="2273" spans="1:10">
      <c r="A2273" s="174"/>
      <c r="B2273" s="184"/>
      <c r="C2273" s="184"/>
      <c r="D2273" s="184"/>
      <c r="E2273" s="184"/>
      <c r="F2273" s="184"/>
      <c r="I2273" s="186"/>
      <c r="J2273" s="184"/>
    </row>
    <row r="2274" spans="1:10">
      <c r="A2274" s="174"/>
      <c r="B2274" s="184"/>
      <c r="C2274" s="184"/>
      <c r="D2274" s="184"/>
      <c r="E2274" s="184"/>
      <c r="F2274" s="184"/>
      <c r="H2274" s="174"/>
      <c r="I2274" s="186"/>
      <c r="J2274" s="184"/>
    </row>
    <row r="2275" spans="1:10">
      <c r="A2275" s="174"/>
      <c r="B2275" s="184"/>
      <c r="C2275" s="184"/>
      <c r="D2275" s="184"/>
      <c r="E2275" s="184"/>
      <c r="F2275" s="184"/>
      <c r="H2275" s="174"/>
      <c r="I2275" s="186"/>
      <c r="J2275" s="184"/>
    </row>
    <row r="2276" spans="1:10">
      <c r="A2276" s="174"/>
      <c r="B2276" s="184"/>
      <c r="C2276" s="184"/>
      <c r="D2276" s="184"/>
      <c r="E2276" s="184"/>
      <c r="F2276" s="184"/>
      <c r="I2276" s="186"/>
      <c r="J2276" s="184"/>
    </row>
    <row r="2277" spans="1:10">
      <c r="A2277" s="174"/>
      <c r="B2277" s="184"/>
      <c r="C2277" s="184"/>
      <c r="D2277" s="184"/>
      <c r="E2277" s="184"/>
      <c r="F2277" s="184"/>
      <c r="I2277" s="186"/>
      <c r="J2277" s="184"/>
    </row>
    <row r="2278" spans="1:10">
      <c r="A2278" s="174"/>
      <c r="B2278" s="184"/>
      <c r="C2278" s="184"/>
      <c r="D2278" s="184"/>
      <c r="E2278" s="184"/>
      <c r="F2278" s="184"/>
      <c r="I2278" s="186"/>
      <c r="J2278" s="184"/>
    </row>
    <row r="2279" spans="1:10">
      <c r="A2279" s="174"/>
      <c r="B2279" s="184"/>
      <c r="C2279" s="184"/>
      <c r="D2279" s="184"/>
      <c r="E2279" s="184"/>
      <c r="F2279" s="184"/>
      <c r="G2279" s="187"/>
      <c r="I2279" s="186"/>
      <c r="J2279" s="184"/>
    </row>
    <row r="2280" spans="1:10">
      <c r="A2280" s="174"/>
      <c r="B2280" s="184"/>
      <c r="C2280" s="184"/>
      <c r="D2280" s="184"/>
      <c r="E2280" s="184"/>
      <c r="F2280" s="184"/>
      <c r="I2280" s="186"/>
      <c r="J2280" s="184"/>
    </row>
    <row r="2281" spans="1:10">
      <c r="A2281" s="174"/>
      <c r="B2281" s="184"/>
      <c r="C2281" s="184"/>
      <c r="D2281" s="184"/>
      <c r="E2281" s="184"/>
      <c r="F2281" s="184"/>
      <c r="I2281" s="186"/>
      <c r="J2281" s="184"/>
    </row>
    <row r="2282" spans="1:10">
      <c r="A2282" s="174"/>
      <c r="B2282" s="184"/>
      <c r="C2282" s="184"/>
      <c r="D2282" s="184"/>
      <c r="E2282" s="184"/>
      <c r="F2282" s="184"/>
      <c r="I2282" s="186"/>
      <c r="J2282" s="184"/>
    </row>
    <row r="2283" spans="1:10">
      <c r="A2283" s="174"/>
      <c r="B2283" s="184"/>
      <c r="C2283" s="184"/>
      <c r="D2283" s="184"/>
      <c r="E2283" s="184"/>
      <c r="F2283" s="184"/>
      <c r="I2283" s="186"/>
      <c r="J2283" s="184"/>
    </row>
    <row r="2284" spans="1:10">
      <c r="A2284" s="174"/>
      <c r="B2284" s="184"/>
      <c r="C2284" s="184"/>
      <c r="D2284" s="184"/>
      <c r="E2284" s="184"/>
      <c r="F2284" s="184"/>
      <c r="I2284" s="186"/>
      <c r="J2284" s="184"/>
    </row>
    <row r="2285" spans="1:10">
      <c r="A2285" s="174"/>
      <c r="B2285" s="184"/>
      <c r="C2285" s="184"/>
      <c r="D2285" s="184"/>
      <c r="E2285" s="184"/>
      <c r="F2285" s="184"/>
      <c r="G2285" s="187"/>
      <c r="I2285" s="186"/>
      <c r="J2285" s="184"/>
    </row>
    <row r="2286" spans="1:10">
      <c r="A2286" s="174"/>
      <c r="B2286" s="184"/>
      <c r="C2286" s="184"/>
      <c r="D2286" s="184"/>
      <c r="E2286" s="184"/>
      <c r="F2286" s="184"/>
      <c r="I2286" s="186"/>
      <c r="J2286" s="184"/>
    </row>
    <row r="2287" spans="1:10">
      <c r="A2287" s="174"/>
      <c r="B2287" s="184"/>
      <c r="C2287" s="184"/>
      <c r="D2287" s="184"/>
      <c r="E2287" s="184"/>
      <c r="F2287" s="184"/>
      <c r="I2287" s="186"/>
      <c r="J2287" s="184"/>
    </row>
    <row r="2288" spans="1:10">
      <c r="A2288" s="174"/>
      <c r="B2288" s="184"/>
      <c r="C2288" s="184"/>
      <c r="D2288" s="184"/>
      <c r="E2288" s="184"/>
      <c r="F2288" s="184"/>
      <c r="I2288" s="186"/>
      <c r="J2288" s="184"/>
    </row>
    <row r="2289" spans="1:10">
      <c r="A2289" s="174"/>
      <c r="B2289" s="184"/>
      <c r="C2289" s="184"/>
      <c r="D2289" s="184"/>
      <c r="E2289" s="184"/>
      <c r="F2289" s="184"/>
      <c r="I2289" s="186"/>
      <c r="J2289" s="184"/>
    </row>
    <row r="2290" spans="1:10">
      <c r="A2290" s="174"/>
      <c r="B2290" s="184"/>
      <c r="C2290" s="184"/>
      <c r="D2290" s="184"/>
      <c r="E2290" s="184"/>
      <c r="F2290" s="184"/>
      <c r="I2290" s="186"/>
      <c r="J2290" s="184"/>
    </row>
    <row r="2291" spans="1:10">
      <c r="A2291" s="174"/>
      <c r="B2291" s="184"/>
      <c r="C2291" s="184"/>
      <c r="D2291" s="184"/>
      <c r="E2291" s="184"/>
      <c r="F2291" s="184"/>
      <c r="I2291" s="186"/>
      <c r="J2291" s="184"/>
    </row>
    <row r="2292" spans="1:10">
      <c r="A2292" s="174"/>
      <c r="B2292" s="184"/>
      <c r="C2292" s="184"/>
      <c r="D2292" s="184"/>
      <c r="E2292" s="184"/>
      <c r="F2292" s="184"/>
      <c r="I2292" s="186"/>
      <c r="J2292" s="184"/>
    </row>
    <row r="2293" spans="1:10">
      <c r="A2293" s="174"/>
      <c r="B2293" s="184"/>
      <c r="C2293" s="184"/>
      <c r="D2293" s="184"/>
      <c r="E2293" s="184"/>
      <c r="F2293" s="184"/>
      <c r="G2293" s="187"/>
      <c r="I2293" s="186"/>
      <c r="J2293" s="184"/>
    </row>
    <row r="2294" spans="1:10">
      <c r="A2294" s="174"/>
      <c r="B2294" s="184"/>
      <c r="C2294" s="184"/>
      <c r="D2294" s="184"/>
      <c r="E2294" s="184"/>
      <c r="F2294" s="184"/>
      <c r="G2294" s="187"/>
      <c r="I2294" s="186"/>
      <c r="J2294" s="184"/>
    </row>
    <row r="2295" spans="1:10">
      <c r="A2295" s="174"/>
      <c r="B2295" s="184"/>
      <c r="C2295" s="184"/>
      <c r="D2295" s="184"/>
      <c r="E2295" s="184"/>
      <c r="F2295" s="184"/>
      <c r="G2295" s="187"/>
      <c r="I2295" s="186"/>
      <c r="J2295" s="184"/>
    </row>
    <row r="2296" spans="1:10">
      <c r="A2296" s="174"/>
      <c r="B2296" s="184"/>
      <c r="C2296" s="184"/>
      <c r="D2296" s="184"/>
      <c r="E2296" s="184"/>
      <c r="F2296" s="184"/>
      <c r="I2296" s="186"/>
      <c r="J2296" s="184"/>
    </row>
    <row r="2297" spans="1:10">
      <c r="A2297" s="174"/>
      <c r="B2297" s="184"/>
      <c r="C2297" s="184"/>
      <c r="D2297" s="184"/>
      <c r="E2297" s="184"/>
      <c r="F2297" s="184"/>
      <c r="I2297" s="186"/>
      <c r="J2297" s="184"/>
    </row>
    <row r="2298" spans="1:10">
      <c r="A2298" s="174"/>
      <c r="B2298" s="184"/>
      <c r="C2298" s="184"/>
      <c r="D2298" s="184"/>
      <c r="E2298" s="184"/>
      <c r="F2298" s="184"/>
      <c r="I2298" s="186"/>
      <c r="J2298" s="184"/>
    </row>
    <row r="2299" spans="1:10">
      <c r="A2299" s="174"/>
      <c r="B2299" s="184"/>
      <c r="C2299" s="184"/>
      <c r="D2299" s="184"/>
      <c r="E2299" s="184"/>
      <c r="F2299" s="184"/>
      <c r="I2299" s="186"/>
      <c r="J2299" s="184"/>
    </row>
    <row r="2300" spans="1:10">
      <c r="A2300" s="174"/>
      <c r="B2300" s="184"/>
      <c r="C2300" s="184"/>
      <c r="D2300" s="184"/>
      <c r="E2300" s="184"/>
      <c r="F2300" s="184"/>
      <c r="I2300" s="186"/>
      <c r="J2300" s="184"/>
    </row>
    <row r="2301" spans="1:10">
      <c r="A2301" s="174"/>
      <c r="B2301" s="184"/>
      <c r="C2301" s="184"/>
      <c r="D2301" s="184"/>
      <c r="E2301" s="184"/>
      <c r="F2301" s="184"/>
      <c r="I2301" s="186"/>
      <c r="J2301" s="184"/>
    </row>
    <row r="2302" spans="1:10">
      <c r="A2302" s="174"/>
      <c r="B2302" s="184"/>
      <c r="C2302" s="184"/>
      <c r="D2302" s="184"/>
      <c r="E2302" s="184"/>
      <c r="F2302" s="184"/>
      <c r="I2302" s="186"/>
      <c r="J2302" s="184"/>
    </row>
    <row r="2303" spans="1:10">
      <c r="A2303" s="174"/>
      <c r="B2303" s="184"/>
      <c r="C2303" s="184"/>
      <c r="D2303" s="184"/>
      <c r="E2303" s="184"/>
      <c r="F2303" s="184"/>
      <c r="I2303" s="186"/>
      <c r="J2303" s="184"/>
    </row>
    <row r="2304" spans="1:10">
      <c r="A2304" s="174"/>
      <c r="B2304" s="184"/>
      <c r="C2304" s="184"/>
      <c r="D2304" s="184"/>
      <c r="E2304" s="184"/>
      <c r="F2304" s="184"/>
      <c r="I2304" s="186"/>
      <c r="J2304" s="184"/>
    </row>
    <row r="2305" spans="1:10">
      <c r="A2305" s="174"/>
      <c r="B2305" s="184"/>
      <c r="C2305" s="184"/>
      <c r="D2305" s="184"/>
      <c r="E2305" s="184"/>
      <c r="F2305" s="184"/>
      <c r="I2305" s="186"/>
      <c r="J2305" s="184"/>
    </row>
    <row r="2306" spans="1:10">
      <c r="A2306" s="174"/>
      <c r="B2306" s="184"/>
      <c r="C2306" s="184"/>
      <c r="D2306" s="184"/>
      <c r="E2306" s="184"/>
      <c r="F2306" s="184"/>
      <c r="I2306" s="186"/>
      <c r="J2306" s="184"/>
    </row>
    <row r="2307" spans="1:10">
      <c r="A2307" s="174"/>
      <c r="B2307" s="184"/>
      <c r="C2307" s="184"/>
      <c r="D2307" s="184"/>
      <c r="E2307" s="184"/>
      <c r="F2307" s="184"/>
      <c r="I2307" s="186"/>
      <c r="J2307" s="184"/>
    </row>
    <row r="2308" spans="1:10">
      <c r="A2308" s="174"/>
      <c r="B2308" s="184"/>
      <c r="C2308" s="184"/>
      <c r="D2308" s="184"/>
      <c r="E2308" s="184"/>
      <c r="F2308" s="184"/>
      <c r="I2308" s="186"/>
      <c r="J2308" s="184"/>
    </row>
    <row r="2309" spans="1:10">
      <c r="A2309" s="174"/>
      <c r="B2309" s="184"/>
      <c r="C2309" s="184"/>
      <c r="D2309" s="184"/>
      <c r="E2309" s="184"/>
      <c r="F2309" s="184"/>
      <c r="I2309" s="186"/>
      <c r="J2309" s="184"/>
    </row>
    <row r="2310" spans="1:10">
      <c r="A2310" s="174"/>
      <c r="B2310" s="184"/>
      <c r="C2310" s="184"/>
      <c r="D2310" s="184"/>
      <c r="E2310" s="184"/>
      <c r="F2310" s="184"/>
      <c r="I2310" s="186"/>
      <c r="J2310" s="184"/>
    </row>
    <row r="2311" spans="1:10">
      <c r="A2311" s="174"/>
      <c r="B2311" s="184"/>
      <c r="C2311" s="184"/>
      <c r="D2311" s="184"/>
      <c r="E2311" s="184"/>
      <c r="F2311" s="184"/>
      <c r="I2311" s="186"/>
      <c r="J2311" s="184"/>
    </row>
    <row r="2312" spans="1:10">
      <c r="A2312" s="174"/>
      <c r="B2312" s="184"/>
      <c r="C2312" s="184"/>
      <c r="D2312" s="184"/>
      <c r="E2312" s="184"/>
      <c r="F2312" s="184"/>
      <c r="I2312" s="186"/>
      <c r="J2312" s="184"/>
    </row>
    <row r="2313" spans="1:10">
      <c r="A2313" s="174"/>
      <c r="B2313" s="184"/>
      <c r="C2313" s="184"/>
      <c r="D2313" s="184"/>
      <c r="E2313" s="184"/>
      <c r="F2313" s="184"/>
      <c r="I2313" s="186"/>
      <c r="J2313" s="184"/>
    </row>
    <row r="2314" spans="1:10">
      <c r="A2314" s="174"/>
      <c r="B2314" s="184"/>
      <c r="C2314" s="184"/>
      <c r="D2314" s="184"/>
      <c r="E2314" s="184"/>
      <c r="F2314" s="184"/>
      <c r="I2314" s="186"/>
      <c r="J2314" s="184"/>
    </row>
    <row r="2315" spans="1:10">
      <c r="A2315" s="174"/>
      <c r="B2315" s="184"/>
      <c r="C2315" s="184"/>
      <c r="D2315" s="184"/>
      <c r="E2315" s="184"/>
      <c r="F2315" s="184"/>
      <c r="I2315" s="186"/>
      <c r="J2315" s="184"/>
    </row>
    <row r="2316" spans="1:10">
      <c r="A2316" s="174"/>
      <c r="B2316" s="184"/>
      <c r="C2316" s="184"/>
      <c r="D2316" s="184"/>
      <c r="E2316" s="184"/>
      <c r="F2316" s="184"/>
      <c r="I2316" s="186"/>
      <c r="J2316" s="184"/>
    </row>
    <row r="2317" spans="1:10">
      <c r="A2317" s="174"/>
      <c r="B2317" s="184"/>
      <c r="C2317" s="184"/>
      <c r="D2317" s="184"/>
      <c r="E2317" s="184"/>
      <c r="F2317" s="184"/>
      <c r="I2317" s="186"/>
      <c r="J2317" s="184"/>
    </row>
    <row r="2318" spans="1:10">
      <c r="A2318" s="174"/>
      <c r="B2318" s="184"/>
      <c r="C2318" s="184"/>
      <c r="D2318" s="184"/>
      <c r="E2318" s="184"/>
      <c r="F2318" s="184"/>
      <c r="G2318" s="187"/>
      <c r="I2318" s="186"/>
      <c r="J2318" s="184"/>
    </row>
    <row r="2319" spans="1:10">
      <c r="A2319" s="174"/>
      <c r="B2319" s="184"/>
      <c r="C2319" s="184"/>
      <c r="D2319" s="184"/>
      <c r="E2319" s="184"/>
      <c r="F2319" s="184"/>
      <c r="G2319" s="187"/>
      <c r="I2319" s="186"/>
      <c r="J2319" s="184"/>
    </row>
    <row r="2320" spans="1:10">
      <c r="A2320" s="174"/>
      <c r="B2320" s="184"/>
      <c r="C2320" s="184"/>
      <c r="D2320" s="184"/>
      <c r="E2320" s="184"/>
      <c r="F2320" s="184"/>
      <c r="I2320" s="186"/>
      <c r="J2320" s="184"/>
    </row>
    <row r="2321" spans="1:10">
      <c r="A2321" s="174"/>
      <c r="B2321" s="184"/>
      <c r="C2321" s="184"/>
      <c r="D2321" s="184"/>
      <c r="E2321" s="184"/>
      <c r="F2321" s="184"/>
      <c r="I2321" s="186"/>
      <c r="J2321" s="184"/>
    </row>
    <row r="2322" spans="1:10">
      <c r="A2322" s="174"/>
      <c r="B2322" s="184"/>
      <c r="C2322" s="184"/>
      <c r="D2322" s="184"/>
      <c r="E2322" s="184"/>
      <c r="F2322" s="184"/>
      <c r="I2322" s="186"/>
      <c r="J2322" s="184"/>
    </row>
    <row r="2323" spans="1:10">
      <c r="A2323" s="174"/>
      <c r="B2323" s="184"/>
      <c r="C2323" s="184"/>
      <c r="D2323" s="184"/>
      <c r="E2323" s="184"/>
      <c r="F2323" s="184"/>
      <c r="I2323" s="186"/>
      <c r="J2323" s="184"/>
    </row>
    <row r="2324" spans="1:10">
      <c r="A2324" s="174"/>
      <c r="B2324" s="184"/>
      <c r="C2324" s="184"/>
      <c r="D2324" s="184"/>
      <c r="E2324" s="184"/>
      <c r="F2324" s="184"/>
      <c r="G2324" s="187"/>
      <c r="I2324" s="186"/>
      <c r="J2324" s="184"/>
    </row>
    <row r="2325" spans="1:10">
      <c r="A2325" s="174"/>
      <c r="B2325" s="184"/>
      <c r="C2325" s="184"/>
      <c r="D2325" s="184"/>
      <c r="E2325" s="184"/>
      <c r="F2325" s="184"/>
      <c r="I2325" s="186"/>
      <c r="J2325" s="184"/>
    </row>
    <row r="2326" spans="1:10">
      <c r="A2326" s="174"/>
      <c r="B2326" s="184"/>
      <c r="C2326" s="184"/>
      <c r="D2326" s="184"/>
      <c r="E2326" s="184"/>
      <c r="F2326" s="184"/>
      <c r="I2326" s="186"/>
      <c r="J2326" s="184"/>
    </row>
    <row r="2327" spans="1:10">
      <c r="A2327" s="174"/>
      <c r="B2327" s="184"/>
      <c r="C2327" s="184"/>
      <c r="D2327" s="184"/>
      <c r="E2327" s="184"/>
      <c r="F2327" s="184"/>
      <c r="I2327" s="186"/>
      <c r="J2327" s="184"/>
    </row>
    <row r="2328" spans="1:10">
      <c r="A2328" s="174"/>
      <c r="B2328" s="184"/>
      <c r="C2328" s="184"/>
      <c r="D2328" s="184"/>
      <c r="E2328" s="184"/>
      <c r="F2328" s="184"/>
      <c r="I2328" s="186"/>
      <c r="J2328" s="184"/>
    </row>
    <row r="2329" spans="1:10">
      <c r="A2329" s="174"/>
      <c r="B2329" s="184"/>
      <c r="C2329" s="184"/>
      <c r="D2329" s="184"/>
      <c r="E2329" s="184"/>
      <c r="F2329" s="184"/>
      <c r="I2329" s="186"/>
      <c r="J2329" s="184"/>
    </row>
    <row r="2330" spans="1:10">
      <c r="A2330" s="174"/>
      <c r="B2330" s="184"/>
      <c r="C2330" s="184"/>
      <c r="D2330" s="184"/>
      <c r="E2330" s="184"/>
      <c r="F2330" s="184"/>
      <c r="I2330" s="186"/>
      <c r="J2330" s="184"/>
    </row>
    <row r="2331" spans="1:10">
      <c r="A2331" s="174"/>
      <c r="B2331" s="184"/>
      <c r="C2331" s="184"/>
      <c r="D2331" s="184"/>
      <c r="E2331" s="184"/>
      <c r="F2331" s="184"/>
      <c r="I2331" s="186"/>
      <c r="J2331" s="184"/>
    </row>
    <row r="2332" spans="1:10">
      <c r="A2332" s="174"/>
      <c r="B2332" s="184"/>
      <c r="C2332" s="184"/>
      <c r="D2332" s="184"/>
      <c r="E2332" s="184"/>
      <c r="F2332" s="184"/>
      <c r="I2332" s="186"/>
      <c r="J2332" s="184"/>
    </row>
    <row r="2333" spans="1:10">
      <c r="A2333" s="174"/>
      <c r="B2333" s="184"/>
      <c r="C2333" s="184"/>
      <c r="D2333" s="184"/>
      <c r="E2333" s="184"/>
      <c r="F2333" s="184"/>
      <c r="I2333" s="186"/>
      <c r="J2333" s="184"/>
    </row>
    <row r="2334" spans="1:10">
      <c r="A2334" s="174"/>
      <c r="B2334" s="184"/>
      <c r="C2334" s="184"/>
      <c r="D2334" s="184"/>
      <c r="E2334" s="184"/>
      <c r="F2334" s="184"/>
      <c r="I2334" s="186"/>
      <c r="J2334" s="184"/>
    </row>
    <row r="2335" spans="1:10">
      <c r="A2335" s="174"/>
      <c r="B2335" s="184"/>
      <c r="C2335" s="184"/>
      <c r="D2335" s="184"/>
      <c r="E2335" s="184"/>
      <c r="F2335" s="184"/>
      <c r="I2335" s="186"/>
      <c r="J2335" s="184"/>
    </row>
    <row r="2336" spans="1:10">
      <c r="A2336" s="174"/>
      <c r="B2336" s="184"/>
      <c r="C2336" s="184"/>
      <c r="D2336" s="184"/>
      <c r="E2336" s="184"/>
      <c r="F2336" s="184"/>
      <c r="I2336" s="186"/>
      <c r="J2336" s="184"/>
    </row>
    <row r="2337" spans="1:10">
      <c r="A2337" s="174"/>
      <c r="B2337" s="184"/>
      <c r="C2337" s="184"/>
      <c r="D2337" s="184"/>
      <c r="E2337" s="184"/>
      <c r="F2337" s="184"/>
      <c r="I2337" s="186"/>
      <c r="J2337" s="184"/>
    </row>
    <row r="2338" spans="1:10">
      <c r="A2338" s="174"/>
      <c r="B2338" s="184"/>
      <c r="C2338" s="184"/>
      <c r="D2338" s="184"/>
      <c r="E2338" s="184"/>
      <c r="F2338" s="184"/>
      <c r="I2338" s="186"/>
      <c r="J2338" s="184"/>
    </row>
    <row r="2339" spans="1:10">
      <c r="A2339" s="174"/>
      <c r="B2339" s="184"/>
      <c r="C2339" s="184"/>
      <c r="D2339" s="184"/>
      <c r="E2339" s="184"/>
      <c r="F2339" s="184"/>
      <c r="G2339" s="187"/>
      <c r="I2339" s="186"/>
      <c r="J2339" s="184"/>
    </row>
    <row r="2340" spans="1:10">
      <c r="A2340" s="174"/>
      <c r="B2340" s="184"/>
      <c r="C2340" s="184"/>
      <c r="D2340" s="184"/>
      <c r="E2340" s="184"/>
      <c r="F2340" s="184"/>
      <c r="G2340" s="187"/>
      <c r="I2340" s="186"/>
      <c r="J2340" s="184"/>
    </row>
    <row r="2341" spans="1:10">
      <c r="A2341" s="174"/>
      <c r="B2341" s="184"/>
      <c r="C2341" s="184"/>
      <c r="D2341" s="184"/>
      <c r="E2341" s="184"/>
      <c r="F2341" s="184"/>
      <c r="G2341" s="187"/>
      <c r="I2341" s="186"/>
      <c r="J2341" s="184"/>
    </row>
    <row r="2342" spans="1:10">
      <c r="A2342" s="174"/>
      <c r="B2342" s="184"/>
      <c r="C2342" s="184"/>
      <c r="D2342" s="184"/>
      <c r="E2342" s="184"/>
      <c r="F2342" s="184"/>
      <c r="G2342" s="187"/>
      <c r="I2342" s="186"/>
      <c r="J2342" s="184"/>
    </row>
    <row r="2343" spans="1:10">
      <c r="A2343" s="174"/>
      <c r="B2343" s="184"/>
      <c r="C2343" s="184"/>
      <c r="D2343" s="184"/>
      <c r="E2343" s="184"/>
      <c r="F2343" s="184"/>
      <c r="G2343" s="187"/>
      <c r="I2343" s="186"/>
      <c r="J2343" s="184"/>
    </row>
    <row r="2344" spans="1:10">
      <c r="A2344" s="174"/>
      <c r="B2344" s="184"/>
      <c r="C2344" s="184"/>
      <c r="D2344" s="184"/>
      <c r="E2344" s="184"/>
      <c r="F2344" s="184"/>
      <c r="G2344" s="187"/>
      <c r="I2344" s="186"/>
      <c r="J2344" s="184"/>
    </row>
    <row r="2345" spans="1:10">
      <c r="A2345" s="174"/>
      <c r="B2345" s="184"/>
      <c r="C2345" s="184"/>
      <c r="D2345" s="184"/>
      <c r="E2345" s="184"/>
      <c r="F2345" s="184"/>
      <c r="G2345" s="187"/>
      <c r="I2345" s="186"/>
      <c r="J2345" s="184"/>
    </row>
    <row r="2346" spans="1:10">
      <c r="A2346" s="174"/>
      <c r="B2346" s="184"/>
      <c r="C2346" s="184"/>
      <c r="D2346" s="184"/>
      <c r="E2346" s="184"/>
      <c r="F2346" s="184"/>
      <c r="G2346" s="187"/>
      <c r="I2346" s="186"/>
      <c r="J2346" s="184"/>
    </row>
    <row r="2347" spans="1:10">
      <c r="A2347" s="174"/>
      <c r="B2347" s="184"/>
      <c r="C2347" s="184"/>
      <c r="D2347" s="184"/>
      <c r="E2347" s="184"/>
      <c r="F2347" s="184"/>
      <c r="G2347" s="187"/>
      <c r="I2347" s="186"/>
      <c r="J2347" s="184"/>
    </row>
    <row r="2348" spans="1:10">
      <c r="A2348" s="174"/>
      <c r="B2348" s="184"/>
      <c r="C2348" s="184"/>
      <c r="D2348" s="184"/>
      <c r="E2348" s="184"/>
      <c r="F2348" s="184"/>
      <c r="I2348" s="186"/>
      <c r="J2348" s="184"/>
    </row>
    <row r="2349" spans="1:10">
      <c r="A2349" s="174"/>
      <c r="B2349" s="184"/>
      <c r="C2349" s="184"/>
      <c r="D2349" s="184"/>
      <c r="E2349" s="184"/>
      <c r="F2349" s="184"/>
      <c r="I2349" s="186"/>
      <c r="J2349" s="184"/>
    </row>
    <row r="2350" spans="1:10">
      <c r="A2350" s="174"/>
      <c r="B2350" s="184"/>
      <c r="C2350" s="184"/>
      <c r="D2350" s="184"/>
      <c r="E2350" s="184"/>
      <c r="F2350" s="184"/>
      <c r="I2350" s="186"/>
      <c r="J2350" s="184"/>
    </row>
    <row r="2351" spans="1:10">
      <c r="A2351" s="174"/>
      <c r="B2351" s="184"/>
      <c r="C2351" s="184"/>
      <c r="D2351" s="184"/>
      <c r="E2351" s="184"/>
      <c r="F2351" s="184"/>
      <c r="G2351" s="187"/>
      <c r="I2351" s="186"/>
      <c r="J2351" s="184"/>
    </row>
    <row r="2352" spans="1:10">
      <c r="A2352" s="174"/>
      <c r="B2352" s="184"/>
      <c r="C2352" s="184"/>
      <c r="D2352" s="184"/>
      <c r="E2352" s="184"/>
      <c r="F2352" s="184"/>
      <c r="G2352" s="187"/>
      <c r="I2352" s="186"/>
      <c r="J2352" s="184"/>
    </row>
    <row r="2353" spans="1:10">
      <c r="A2353" s="174"/>
      <c r="B2353" s="184"/>
      <c r="C2353" s="184"/>
      <c r="D2353" s="184"/>
      <c r="E2353" s="184"/>
      <c r="F2353" s="184"/>
      <c r="G2353" s="187"/>
      <c r="I2353" s="186"/>
      <c r="J2353" s="184"/>
    </row>
    <row r="2354" spans="1:10">
      <c r="A2354" s="174"/>
      <c r="B2354" s="184"/>
      <c r="C2354" s="184"/>
      <c r="D2354" s="184"/>
      <c r="E2354" s="184"/>
      <c r="F2354" s="184"/>
      <c r="G2354" s="187"/>
      <c r="I2354" s="186"/>
      <c r="J2354" s="184"/>
    </row>
    <row r="2355" spans="1:10">
      <c r="A2355" s="174"/>
      <c r="B2355" s="184"/>
      <c r="C2355" s="184"/>
      <c r="D2355" s="184"/>
      <c r="E2355" s="184"/>
      <c r="F2355" s="184"/>
      <c r="G2355" s="187"/>
      <c r="I2355" s="186"/>
      <c r="J2355" s="184"/>
    </row>
    <row r="2356" spans="1:10">
      <c r="A2356" s="174"/>
      <c r="B2356" s="184"/>
      <c r="C2356" s="184"/>
      <c r="D2356" s="184"/>
      <c r="E2356" s="184"/>
      <c r="F2356" s="184"/>
      <c r="I2356" s="186"/>
      <c r="J2356" s="184"/>
    </row>
    <row r="2357" spans="1:10">
      <c r="A2357" s="174"/>
      <c r="B2357" s="184"/>
      <c r="C2357" s="184"/>
      <c r="D2357" s="184"/>
      <c r="E2357" s="184"/>
      <c r="F2357" s="184"/>
      <c r="I2357" s="186"/>
      <c r="J2357" s="184"/>
    </row>
    <row r="2358" spans="1:10">
      <c r="A2358" s="174"/>
      <c r="B2358" s="184"/>
      <c r="C2358" s="184"/>
      <c r="D2358" s="184"/>
      <c r="E2358" s="184"/>
      <c r="F2358" s="184"/>
      <c r="I2358" s="186"/>
      <c r="J2358" s="184"/>
    </row>
    <row r="2359" spans="1:10">
      <c r="A2359" s="174"/>
      <c r="B2359" s="184"/>
      <c r="C2359" s="184"/>
      <c r="D2359" s="184"/>
      <c r="E2359" s="184"/>
      <c r="F2359" s="184"/>
      <c r="I2359" s="186"/>
      <c r="J2359" s="184"/>
    </row>
    <row r="2360" spans="1:10">
      <c r="A2360" s="174"/>
      <c r="B2360" s="184"/>
      <c r="C2360" s="184"/>
      <c r="D2360" s="184"/>
      <c r="E2360" s="184"/>
      <c r="F2360" s="184"/>
      <c r="I2360" s="186"/>
      <c r="J2360" s="184"/>
    </row>
    <row r="2361" spans="1:10">
      <c r="A2361" s="174"/>
      <c r="B2361" s="184"/>
      <c r="C2361" s="184"/>
      <c r="D2361" s="184"/>
      <c r="E2361" s="184"/>
      <c r="F2361" s="184"/>
      <c r="I2361" s="186"/>
      <c r="J2361" s="184"/>
    </row>
    <row r="2362" spans="1:10">
      <c r="A2362" s="174"/>
      <c r="B2362" s="184"/>
      <c r="C2362" s="184"/>
      <c r="D2362" s="184"/>
      <c r="E2362" s="184"/>
      <c r="F2362" s="184"/>
      <c r="I2362" s="186"/>
      <c r="J2362" s="184"/>
    </row>
    <row r="2363" spans="1:10">
      <c r="A2363" s="174"/>
      <c r="B2363" s="184"/>
      <c r="C2363" s="184"/>
      <c r="D2363" s="184"/>
      <c r="E2363" s="184"/>
      <c r="F2363" s="184"/>
      <c r="I2363" s="186"/>
      <c r="J2363" s="184"/>
    </row>
    <row r="2364" spans="1:10">
      <c r="A2364" s="174"/>
      <c r="B2364" s="184"/>
      <c r="C2364" s="184"/>
      <c r="D2364" s="184"/>
      <c r="E2364" s="184"/>
      <c r="F2364" s="184"/>
      <c r="I2364" s="186"/>
      <c r="J2364" s="184"/>
    </row>
    <row r="2365" spans="1:10">
      <c r="A2365" s="174"/>
      <c r="B2365" s="184"/>
      <c r="C2365" s="184"/>
      <c r="D2365" s="184"/>
      <c r="E2365" s="184"/>
      <c r="F2365" s="184"/>
      <c r="I2365" s="186"/>
      <c r="J2365" s="184"/>
    </row>
    <row r="2366" spans="1:10">
      <c r="A2366" s="174"/>
      <c r="B2366" s="184"/>
      <c r="C2366" s="184"/>
      <c r="D2366" s="184"/>
      <c r="E2366" s="184"/>
      <c r="F2366" s="184"/>
      <c r="I2366" s="186"/>
      <c r="J2366" s="184"/>
    </row>
    <row r="2367" spans="1:10">
      <c r="A2367" s="174"/>
      <c r="B2367" s="184"/>
      <c r="C2367" s="184"/>
      <c r="D2367" s="184"/>
      <c r="E2367" s="184"/>
      <c r="F2367" s="184"/>
      <c r="I2367" s="186"/>
      <c r="J2367" s="184"/>
    </row>
    <row r="2368" spans="1:10">
      <c r="A2368" s="174"/>
      <c r="B2368" s="184"/>
      <c r="C2368" s="184"/>
      <c r="D2368" s="184"/>
      <c r="E2368" s="184"/>
      <c r="F2368" s="184"/>
      <c r="I2368" s="186"/>
      <c r="J2368" s="184"/>
    </row>
    <row r="2369" spans="1:10">
      <c r="A2369" s="174"/>
      <c r="B2369" s="184"/>
      <c r="C2369" s="184"/>
      <c r="D2369" s="184"/>
      <c r="E2369" s="184"/>
      <c r="F2369" s="184"/>
      <c r="I2369" s="186"/>
      <c r="J2369" s="184"/>
    </row>
    <row r="2370" spans="1:10">
      <c r="A2370" s="174"/>
      <c r="B2370" s="184"/>
      <c r="C2370" s="184"/>
      <c r="D2370" s="184"/>
      <c r="E2370" s="184"/>
      <c r="F2370" s="184"/>
      <c r="I2370" s="186"/>
      <c r="J2370" s="184"/>
    </row>
    <row r="2371" spans="1:10">
      <c r="A2371" s="174"/>
      <c r="B2371" s="184"/>
      <c r="C2371" s="184"/>
      <c r="D2371" s="184"/>
      <c r="E2371" s="184"/>
      <c r="F2371" s="184"/>
      <c r="G2371" s="187"/>
      <c r="I2371" s="186"/>
      <c r="J2371" s="184"/>
    </row>
    <row r="2372" spans="1:10">
      <c r="A2372" s="174"/>
      <c r="B2372" s="184"/>
      <c r="C2372" s="184"/>
      <c r="D2372" s="184"/>
      <c r="E2372" s="184"/>
      <c r="F2372" s="184"/>
      <c r="G2372" s="187"/>
      <c r="I2372" s="186"/>
      <c r="J2372" s="184"/>
    </row>
    <row r="2373" spans="1:10">
      <c r="A2373" s="174"/>
      <c r="B2373" s="184"/>
      <c r="C2373" s="184"/>
      <c r="D2373" s="184"/>
      <c r="E2373" s="184"/>
      <c r="F2373" s="184"/>
      <c r="G2373" s="187"/>
      <c r="I2373" s="186"/>
      <c r="J2373" s="184"/>
    </row>
    <row r="2374" spans="1:10">
      <c r="A2374" s="174"/>
      <c r="B2374" s="184"/>
      <c r="C2374" s="184"/>
      <c r="D2374" s="184"/>
      <c r="E2374" s="184"/>
      <c r="F2374" s="184"/>
      <c r="G2374" s="187"/>
      <c r="I2374" s="186"/>
      <c r="J2374" s="184"/>
    </row>
    <row r="2375" spans="1:10">
      <c r="A2375" s="174"/>
      <c r="B2375" s="184"/>
      <c r="C2375" s="184"/>
      <c r="D2375" s="184"/>
      <c r="E2375" s="184"/>
      <c r="F2375" s="184"/>
      <c r="G2375" s="187"/>
      <c r="I2375" s="186"/>
      <c r="J2375" s="184"/>
    </row>
    <row r="2376" spans="1:10">
      <c r="A2376" s="174"/>
      <c r="B2376" s="184"/>
      <c r="C2376" s="184"/>
      <c r="D2376" s="184"/>
      <c r="E2376" s="184"/>
      <c r="F2376" s="184"/>
      <c r="G2376" s="187"/>
      <c r="I2376" s="186"/>
      <c r="J2376" s="184"/>
    </row>
    <row r="2377" spans="1:10">
      <c r="A2377" s="174"/>
      <c r="B2377" s="184"/>
      <c r="C2377" s="184"/>
      <c r="D2377" s="184"/>
      <c r="E2377" s="184"/>
      <c r="F2377" s="184"/>
      <c r="G2377" s="187"/>
      <c r="I2377" s="186"/>
      <c r="J2377" s="184"/>
    </row>
    <row r="2378" spans="1:10">
      <c r="A2378" s="174"/>
      <c r="B2378" s="184"/>
      <c r="C2378" s="184"/>
      <c r="D2378" s="184"/>
      <c r="E2378" s="184"/>
      <c r="F2378" s="184"/>
      <c r="G2378" s="187"/>
      <c r="I2378" s="186"/>
      <c r="J2378" s="184"/>
    </row>
    <row r="2379" spans="1:10">
      <c r="A2379" s="174"/>
      <c r="B2379" s="184"/>
      <c r="C2379" s="184"/>
      <c r="D2379" s="184"/>
      <c r="E2379" s="184"/>
      <c r="F2379" s="184"/>
      <c r="G2379" s="187"/>
      <c r="I2379" s="186"/>
      <c r="J2379" s="184"/>
    </row>
    <row r="2380" spans="1:10">
      <c r="A2380" s="174"/>
      <c r="B2380" s="184"/>
      <c r="C2380" s="184"/>
      <c r="D2380" s="184"/>
      <c r="E2380" s="184"/>
      <c r="F2380" s="184"/>
      <c r="G2380" s="187"/>
      <c r="I2380" s="186"/>
      <c r="J2380" s="184"/>
    </row>
    <row r="2381" spans="1:10">
      <c r="A2381" s="174"/>
      <c r="B2381" s="184"/>
      <c r="C2381" s="184"/>
      <c r="D2381" s="184"/>
      <c r="E2381" s="184"/>
      <c r="F2381" s="184"/>
      <c r="G2381" s="187"/>
      <c r="I2381" s="186"/>
      <c r="J2381" s="184"/>
    </row>
    <row r="2382" spans="1:10">
      <c r="A2382" s="174"/>
      <c r="B2382" s="184"/>
      <c r="C2382" s="184"/>
      <c r="D2382" s="184"/>
      <c r="E2382" s="184"/>
      <c r="F2382" s="184"/>
      <c r="G2382" s="187"/>
      <c r="I2382" s="186"/>
      <c r="J2382" s="184"/>
    </row>
    <row r="2383" spans="1:10">
      <c r="A2383" s="174"/>
      <c r="B2383" s="184"/>
      <c r="C2383" s="184"/>
      <c r="D2383" s="184"/>
      <c r="E2383" s="184"/>
      <c r="F2383" s="184"/>
      <c r="G2383" s="187"/>
      <c r="I2383" s="186"/>
      <c r="J2383" s="184"/>
    </row>
    <row r="2384" spans="1:10">
      <c r="A2384" s="174"/>
      <c r="B2384" s="184"/>
      <c r="C2384" s="184"/>
      <c r="D2384" s="184"/>
      <c r="E2384" s="184"/>
      <c r="F2384" s="184"/>
      <c r="G2384" s="187"/>
      <c r="I2384" s="186"/>
      <c r="J2384" s="184"/>
    </row>
    <row r="2385" spans="1:10">
      <c r="A2385" s="174"/>
      <c r="B2385" s="184"/>
      <c r="C2385" s="184"/>
      <c r="D2385" s="184"/>
      <c r="E2385" s="184"/>
      <c r="F2385" s="184"/>
      <c r="G2385" s="187"/>
      <c r="I2385" s="186"/>
      <c r="J2385" s="184"/>
    </row>
    <row r="2386" spans="1:10">
      <c r="A2386" s="174"/>
      <c r="B2386" s="184"/>
      <c r="C2386" s="184"/>
      <c r="D2386" s="184"/>
      <c r="E2386" s="184"/>
      <c r="F2386" s="184"/>
      <c r="G2386" s="187"/>
      <c r="I2386" s="186"/>
      <c r="J2386" s="184"/>
    </row>
    <row r="2387" spans="1:10">
      <c r="A2387" s="174"/>
      <c r="B2387" s="184"/>
      <c r="C2387" s="184"/>
      <c r="D2387" s="184"/>
      <c r="E2387" s="184"/>
      <c r="F2387" s="184"/>
      <c r="G2387" s="187"/>
      <c r="I2387" s="186"/>
      <c r="J2387" s="184"/>
    </row>
    <row r="2388" spans="1:10">
      <c r="A2388" s="174"/>
      <c r="B2388" s="184"/>
      <c r="C2388" s="184"/>
      <c r="D2388" s="184"/>
      <c r="E2388" s="184"/>
      <c r="F2388" s="184"/>
      <c r="G2388" s="187"/>
      <c r="I2388" s="186"/>
      <c r="J2388" s="184"/>
    </row>
    <row r="2389" spans="1:10">
      <c r="A2389" s="174"/>
      <c r="B2389" s="184"/>
      <c r="C2389" s="184"/>
      <c r="D2389" s="184"/>
      <c r="E2389" s="184"/>
      <c r="F2389" s="184"/>
      <c r="G2389" s="187"/>
      <c r="I2389" s="186"/>
      <c r="J2389" s="184"/>
    </row>
    <row r="2390" spans="1:10">
      <c r="A2390" s="174"/>
      <c r="B2390" s="184"/>
      <c r="C2390" s="184"/>
      <c r="D2390" s="184"/>
      <c r="E2390" s="184"/>
      <c r="F2390" s="184"/>
      <c r="G2390" s="187"/>
      <c r="I2390" s="186"/>
      <c r="J2390" s="184"/>
    </row>
    <row r="2391" spans="1:10">
      <c r="A2391" s="174"/>
      <c r="B2391" s="184"/>
      <c r="C2391" s="184"/>
      <c r="D2391" s="184"/>
      <c r="E2391" s="184"/>
      <c r="F2391" s="184"/>
      <c r="G2391" s="187"/>
      <c r="I2391" s="186"/>
      <c r="J2391" s="184"/>
    </row>
    <row r="2392" spans="1:10">
      <c r="A2392" s="174"/>
      <c r="B2392" s="184"/>
      <c r="C2392" s="184"/>
      <c r="D2392" s="184"/>
      <c r="E2392" s="184"/>
      <c r="F2392" s="184"/>
      <c r="G2392" s="187"/>
      <c r="I2392" s="186"/>
      <c r="J2392" s="184"/>
    </row>
    <row r="2393" spans="1:10">
      <c r="A2393" s="174"/>
      <c r="B2393" s="184"/>
      <c r="C2393" s="184"/>
      <c r="D2393" s="184"/>
      <c r="E2393" s="184"/>
      <c r="F2393" s="184"/>
      <c r="G2393" s="187"/>
      <c r="I2393" s="186"/>
      <c r="J2393" s="184"/>
    </row>
    <row r="2394" spans="1:10">
      <c r="A2394" s="174"/>
      <c r="B2394" s="184"/>
      <c r="C2394" s="184"/>
      <c r="D2394" s="184"/>
      <c r="E2394" s="184"/>
      <c r="F2394" s="184"/>
      <c r="G2394" s="187"/>
      <c r="I2394" s="186"/>
      <c r="J2394" s="184"/>
    </row>
    <row r="2395" spans="1:10">
      <c r="A2395" s="174"/>
      <c r="B2395" s="184"/>
      <c r="C2395" s="184"/>
      <c r="D2395" s="184"/>
      <c r="E2395" s="184"/>
      <c r="F2395" s="184"/>
      <c r="I2395" s="186"/>
      <c r="J2395" s="184"/>
    </row>
    <row r="2396" spans="1:10">
      <c r="A2396" s="174"/>
      <c r="B2396" s="184"/>
      <c r="C2396" s="184"/>
      <c r="D2396" s="184"/>
      <c r="E2396" s="184"/>
      <c r="F2396" s="184"/>
      <c r="G2396" s="187"/>
      <c r="I2396" s="186"/>
      <c r="J2396" s="184"/>
    </row>
    <row r="2397" spans="1:10">
      <c r="A2397" s="174"/>
      <c r="B2397" s="184"/>
      <c r="C2397" s="184"/>
      <c r="D2397" s="184"/>
      <c r="E2397" s="184"/>
      <c r="F2397" s="184"/>
      <c r="G2397" s="187"/>
      <c r="I2397" s="186"/>
      <c r="J2397" s="184"/>
    </row>
    <row r="2398" spans="1:10">
      <c r="A2398" s="174"/>
      <c r="B2398" s="184"/>
      <c r="C2398" s="184"/>
      <c r="D2398" s="184"/>
      <c r="E2398" s="184"/>
      <c r="F2398" s="184"/>
      <c r="G2398" s="187"/>
      <c r="I2398" s="186"/>
      <c r="J2398" s="184"/>
    </row>
    <row r="2399" spans="1:10">
      <c r="A2399" s="174"/>
      <c r="B2399" s="184"/>
      <c r="C2399" s="184"/>
      <c r="D2399" s="184"/>
      <c r="E2399" s="184"/>
      <c r="F2399" s="184"/>
      <c r="G2399" s="187"/>
      <c r="I2399" s="186"/>
      <c r="J2399" s="184"/>
    </row>
    <row r="2400" spans="1:10">
      <c r="A2400" s="174"/>
      <c r="B2400" s="184"/>
      <c r="C2400" s="184"/>
      <c r="D2400" s="184"/>
      <c r="E2400" s="184"/>
      <c r="F2400" s="184"/>
      <c r="G2400" s="187"/>
      <c r="H2400" s="174"/>
      <c r="I2400" s="186"/>
      <c r="J2400" s="184"/>
    </row>
    <row r="2401" spans="1:10">
      <c r="A2401" s="174"/>
      <c r="B2401" s="184"/>
      <c r="C2401" s="184"/>
      <c r="D2401" s="184"/>
      <c r="E2401" s="184"/>
      <c r="F2401" s="184"/>
      <c r="G2401" s="187"/>
      <c r="I2401" s="186"/>
      <c r="J2401" s="184"/>
    </row>
    <row r="2402" spans="1:10">
      <c r="A2402" s="174"/>
      <c r="B2402" s="184"/>
      <c r="C2402" s="184"/>
      <c r="D2402" s="184"/>
      <c r="E2402" s="184"/>
      <c r="F2402" s="184"/>
      <c r="I2402" s="186"/>
      <c r="J2402" s="184"/>
    </row>
    <row r="2403" spans="1:10">
      <c r="A2403" s="174"/>
      <c r="B2403" s="184"/>
      <c r="C2403" s="184"/>
      <c r="D2403" s="184"/>
      <c r="E2403" s="184"/>
      <c r="F2403" s="184"/>
      <c r="G2403" s="187"/>
      <c r="I2403" s="186"/>
      <c r="J2403" s="184"/>
    </row>
    <row r="2404" spans="1:10">
      <c r="A2404" s="174"/>
      <c r="B2404" s="184"/>
      <c r="C2404" s="184"/>
      <c r="D2404" s="184"/>
      <c r="E2404" s="184"/>
      <c r="F2404" s="184"/>
      <c r="G2404" s="187"/>
      <c r="I2404" s="186"/>
      <c r="J2404" s="184"/>
    </row>
    <row r="2405" spans="1:10">
      <c r="A2405" s="174"/>
      <c r="B2405" s="184"/>
      <c r="C2405" s="184"/>
      <c r="D2405" s="184"/>
      <c r="E2405" s="184"/>
      <c r="F2405" s="184"/>
      <c r="G2405" s="187"/>
      <c r="I2405" s="186"/>
      <c r="J2405" s="184"/>
    </row>
    <row r="2406" spans="1:10">
      <c r="A2406" s="174"/>
      <c r="B2406" s="184"/>
      <c r="C2406" s="184"/>
      <c r="D2406" s="184"/>
      <c r="E2406" s="184"/>
      <c r="F2406" s="184"/>
      <c r="I2406" s="186"/>
      <c r="J2406" s="184"/>
    </row>
    <row r="2407" spans="1:10">
      <c r="A2407" s="174"/>
      <c r="B2407" s="184"/>
      <c r="C2407" s="184"/>
      <c r="D2407" s="184"/>
      <c r="E2407" s="184"/>
      <c r="F2407" s="184"/>
      <c r="G2407" s="187"/>
      <c r="I2407" s="186"/>
      <c r="J2407" s="184"/>
    </row>
    <row r="2408" spans="1:10">
      <c r="A2408" s="174"/>
      <c r="B2408" s="184"/>
      <c r="C2408" s="184"/>
      <c r="D2408" s="184"/>
      <c r="E2408" s="184"/>
      <c r="F2408" s="184"/>
      <c r="G2408" s="187"/>
      <c r="I2408" s="186"/>
      <c r="J2408" s="184"/>
    </row>
    <row r="2409" spans="1:10">
      <c r="A2409" s="174"/>
      <c r="B2409" s="184"/>
      <c r="C2409" s="184"/>
      <c r="D2409" s="184"/>
      <c r="E2409" s="184"/>
      <c r="F2409" s="184"/>
      <c r="G2409" s="187"/>
      <c r="I2409" s="186"/>
      <c r="J2409" s="184"/>
    </row>
    <row r="2410" spans="1:10">
      <c r="A2410" s="174"/>
      <c r="B2410" s="184"/>
      <c r="C2410" s="184"/>
      <c r="D2410" s="184"/>
      <c r="E2410" s="184"/>
      <c r="F2410" s="184"/>
      <c r="G2410" s="187"/>
      <c r="I2410" s="186"/>
      <c r="J2410" s="184"/>
    </row>
    <row r="2411" spans="1:10">
      <c r="A2411" s="174"/>
      <c r="B2411" s="184"/>
      <c r="C2411" s="184"/>
      <c r="D2411" s="184"/>
      <c r="E2411" s="184"/>
      <c r="F2411" s="184"/>
      <c r="G2411" s="187"/>
      <c r="I2411" s="186"/>
      <c r="J2411" s="184"/>
    </row>
    <row r="2412" spans="1:10">
      <c r="A2412" s="174"/>
      <c r="B2412" s="184"/>
      <c r="C2412" s="184"/>
      <c r="D2412" s="184"/>
      <c r="E2412" s="184"/>
      <c r="F2412" s="184"/>
      <c r="I2412" s="186"/>
      <c r="J2412" s="184"/>
    </row>
    <row r="2413" spans="1:10">
      <c r="A2413" s="174"/>
      <c r="B2413" s="184"/>
      <c r="C2413" s="184"/>
      <c r="D2413" s="184"/>
      <c r="E2413" s="184"/>
      <c r="F2413" s="184"/>
      <c r="G2413" s="187"/>
      <c r="I2413" s="186"/>
      <c r="J2413" s="184"/>
    </row>
    <row r="2414" spans="1:10">
      <c r="A2414" s="174"/>
      <c r="B2414" s="184"/>
      <c r="C2414" s="184"/>
      <c r="D2414" s="184"/>
      <c r="E2414" s="184"/>
      <c r="F2414" s="184"/>
      <c r="G2414" s="187"/>
      <c r="I2414" s="186"/>
      <c r="J2414" s="184"/>
    </row>
    <row r="2415" spans="1:10">
      <c r="A2415" s="174"/>
      <c r="B2415" s="184"/>
      <c r="C2415" s="184"/>
      <c r="D2415" s="184"/>
      <c r="E2415" s="184"/>
      <c r="F2415" s="184"/>
      <c r="G2415" s="187"/>
      <c r="I2415" s="186"/>
      <c r="J2415" s="184"/>
    </row>
    <row r="2416" spans="1:10">
      <c r="A2416" s="174"/>
      <c r="B2416" s="184"/>
      <c r="C2416" s="184"/>
      <c r="D2416" s="184"/>
      <c r="E2416" s="184"/>
      <c r="F2416" s="184"/>
      <c r="G2416" s="187"/>
      <c r="I2416" s="186"/>
      <c r="J2416" s="184"/>
    </row>
    <row r="2417" spans="1:10">
      <c r="A2417" s="174"/>
      <c r="B2417" s="184"/>
      <c r="C2417" s="184"/>
      <c r="D2417" s="184"/>
      <c r="E2417" s="184"/>
      <c r="F2417" s="184"/>
      <c r="G2417" s="187"/>
      <c r="I2417" s="186"/>
      <c r="J2417" s="184"/>
    </row>
    <row r="2418" spans="1:10">
      <c r="A2418" s="174"/>
      <c r="B2418" s="184"/>
      <c r="C2418" s="184"/>
      <c r="D2418" s="184"/>
      <c r="E2418" s="184"/>
      <c r="F2418" s="184"/>
      <c r="G2418" s="187"/>
      <c r="I2418" s="186"/>
      <c r="J2418" s="184"/>
    </row>
    <row r="2419" spans="1:10">
      <c r="A2419" s="174"/>
      <c r="B2419" s="184"/>
      <c r="C2419" s="184"/>
      <c r="D2419" s="184"/>
      <c r="E2419" s="184"/>
      <c r="F2419" s="184"/>
      <c r="I2419" s="186"/>
      <c r="J2419" s="184"/>
    </row>
    <row r="2420" spans="1:10">
      <c r="A2420" s="174"/>
      <c r="B2420" s="184"/>
      <c r="C2420" s="184"/>
      <c r="D2420" s="184"/>
      <c r="E2420" s="184"/>
      <c r="F2420" s="184"/>
      <c r="G2420" s="187"/>
      <c r="I2420" s="186"/>
      <c r="J2420" s="184"/>
    </row>
    <row r="2421" spans="1:10">
      <c r="A2421" s="174"/>
      <c r="B2421" s="184"/>
      <c r="C2421" s="184"/>
      <c r="D2421" s="184"/>
      <c r="E2421" s="184"/>
      <c r="F2421" s="184"/>
      <c r="I2421" s="186"/>
      <c r="J2421" s="184"/>
    </row>
    <row r="2422" spans="1:10">
      <c r="A2422" s="174"/>
      <c r="B2422" s="184"/>
      <c r="C2422" s="184"/>
      <c r="D2422" s="184"/>
      <c r="E2422" s="184"/>
      <c r="F2422" s="184"/>
      <c r="G2422" s="187"/>
      <c r="I2422" s="186"/>
      <c r="J2422" s="184"/>
    </row>
    <row r="2423" spans="1:10">
      <c r="A2423" s="174"/>
      <c r="B2423" s="184"/>
      <c r="C2423" s="184"/>
      <c r="D2423" s="184"/>
      <c r="E2423" s="184"/>
      <c r="F2423" s="184"/>
      <c r="I2423" s="186"/>
      <c r="J2423" s="184"/>
    </row>
    <row r="2424" spans="1:10">
      <c r="A2424" s="174"/>
      <c r="B2424" s="184"/>
      <c r="C2424" s="184"/>
      <c r="D2424" s="184"/>
      <c r="E2424" s="184"/>
      <c r="F2424" s="184"/>
      <c r="I2424" s="186"/>
      <c r="J2424" s="184"/>
    </row>
    <row r="2425" spans="1:10">
      <c r="A2425" s="174"/>
      <c r="B2425" s="184"/>
      <c r="C2425" s="184"/>
      <c r="D2425" s="184"/>
      <c r="E2425" s="184"/>
      <c r="F2425" s="184"/>
      <c r="G2425" s="187"/>
      <c r="I2425" s="186"/>
      <c r="J2425" s="184"/>
    </row>
    <row r="2426" spans="1:10">
      <c r="A2426" s="174"/>
      <c r="B2426" s="184"/>
      <c r="C2426" s="184"/>
      <c r="D2426" s="184"/>
      <c r="E2426" s="184"/>
      <c r="F2426" s="184"/>
      <c r="G2426" s="187"/>
      <c r="I2426" s="186"/>
      <c r="J2426" s="184"/>
    </row>
    <row r="2427" spans="1:10">
      <c r="A2427" s="174"/>
      <c r="B2427" s="184"/>
      <c r="C2427" s="184"/>
      <c r="D2427" s="184"/>
      <c r="E2427" s="184"/>
      <c r="F2427" s="184"/>
      <c r="G2427" s="187"/>
      <c r="I2427" s="186"/>
      <c r="J2427" s="184"/>
    </row>
    <row r="2428" spans="1:10">
      <c r="A2428" s="174"/>
      <c r="B2428" s="184"/>
      <c r="C2428" s="184"/>
      <c r="D2428" s="184"/>
      <c r="E2428" s="184"/>
      <c r="F2428" s="184"/>
      <c r="G2428" s="187"/>
      <c r="I2428" s="186"/>
      <c r="J2428" s="184"/>
    </row>
    <row r="2429" spans="1:10">
      <c r="A2429" s="174"/>
      <c r="B2429" s="184"/>
      <c r="C2429" s="184"/>
      <c r="D2429" s="184"/>
      <c r="E2429" s="184"/>
      <c r="F2429" s="184"/>
      <c r="G2429" s="187"/>
      <c r="I2429" s="186"/>
      <c r="J2429" s="184"/>
    </row>
    <row r="2430" spans="1:10">
      <c r="A2430" s="174"/>
      <c r="B2430" s="184"/>
      <c r="C2430" s="184"/>
      <c r="D2430" s="184"/>
      <c r="E2430" s="184"/>
      <c r="F2430" s="184"/>
      <c r="G2430" s="187"/>
      <c r="I2430" s="186"/>
      <c r="J2430" s="184"/>
    </row>
    <row r="2431" spans="1:10">
      <c r="A2431" s="174"/>
      <c r="B2431" s="184"/>
      <c r="C2431" s="184"/>
      <c r="D2431" s="184"/>
      <c r="E2431" s="184"/>
      <c r="F2431" s="184"/>
      <c r="G2431" s="187"/>
      <c r="I2431" s="186"/>
      <c r="J2431" s="184"/>
    </row>
    <row r="2432" spans="1:10">
      <c r="A2432" s="174"/>
      <c r="B2432" s="184"/>
      <c r="C2432" s="184"/>
      <c r="D2432" s="184"/>
      <c r="E2432" s="184"/>
      <c r="F2432" s="184"/>
      <c r="G2432" s="187"/>
      <c r="I2432" s="186"/>
      <c r="J2432" s="184"/>
    </row>
    <row r="2433" spans="1:10">
      <c r="A2433" s="174"/>
      <c r="B2433" s="184"/>
      <c r="C2433" s="184"/>
      <c r="D2433" s="184"/>
      <c r="E2433" s="184"/>
      <c r="F2433" s="184"/>
      <c r="G2433" s="187"/>
      <c r="I2433" s="186"/>
      <c r="J2433" s="184"/>
    </row>
    <row r="2434" spans="1:10">
      <c r="A2434" s="174"/>
      <c r="B2434" s="184"/>
      <c r="C2434" s="184"/>
      <c r="D2434" s="184"/>
      <c r="E2434" s="184"/>
      <c r="F2434" s="184"/>
      <c r="G2434" s="187"/>
      <c r="I2434" s="186"/>
      <c r="J2434" s="184"/>
    </row>
    <row r="2435" spans="1:10">
      <c r="A2435" s="174"/>
      <c r="B2435" s="184"/>
      <c r="C2435" s="184"/>
      <c r="D2435" s="184"/>
      <c r="E2435" s="184"/>
      <c r="F2435" s="184"/>
      <c r="G2435" s="187"/>
      <c r="I2435" s="186"/>
      <c r="J2435" s="184"/>
    </row>
    <row r="2436" spans="1:10">
      <c r="A2436" s="174"/>
      <c r="B2436" s="184"/>
      <c r="C2436" s="184"/>
      <c r="D2436" s="184"/>
      <c r="E2436" s="184"/>
      <c r="F2436" s="184"/>
      <c r="G2436" s="187"/>
      <c r="I2436" s="186"/>
      <c r="J2436" s="184"/>
    </row>
    <row r="2437" spans="1:10">
      <c r="A2437" s="174"/>
      <c r="B2437" s="184"/>
      <c r="C2437" s="184"/>
      <c r="D2437" s="184"/>
      <c r="E2437" s="184"/>
      <c r="F2437" s="184"/>
      <c r="G2437" s="187"/>
      <c r="I2437" s="186"/>
      <c r="J2437" s="184"/>
    </row>
    <row r="2438" spans="1:10">
      <c r="A2438" s="174"/>
      <c r="B2438" s="184"/>
      <c r="C2438" s="184"/>
      <c r="D2438" s="184"/>
      <c r="E2438" s="184"/>
      <c r="F2438" s="184"/>
      <c r="G2438" s="187"/>
      <c r="I2438" s="186"/>
      <c r="J2438" s="184"/>
    </row>
    <row r="2439" spans="1:10">
      <c r="A2439" s="174"/>
      <c r="B2439" s="184"/>
      <c r="C2439" s="184"/>
      <c r="D2439" s="184"/>
      <c r="E2439" s="184"/>
      <c r="F2439" s="184"/>
      <c r="G2439" s="187"/>
      <c r="I2439" s="186"/>
      <c r="J2439" s="184"/>
    </row>
    <row r="2440" spans="1:10">
      <c r="A2440" s="174"/>
      <c r="B2440" s="184"/>
      <c r="C2440" s="184"/>
      <c r="D2440" s="184"/>
      <c r="E2440" s="184"/>
      <c r="F2440" s="184"/>
      <c r="I2440" s="186"/>
      <c r="J2440" s="184"/>
    </row>
    <row r="2441" spans="1:10">
      <c r="A2441" s="174"/>
      <c r="B2441" s="184"/>
      <c r="C2441" s="184"/>
      <c r="D2441" s="184"/>
      <c r="E2441" s="184"/>
      <c r="F2441" s="184"/>
      <c r="G2441" s="187"/>
      <c r="I2441" s="186"/>
      <c r="J2441" s="184"/>
    </row>
    <row r="2442" spans="1:10">
      <c r="A2442" s="174"/>
      <c r="B2442" s="184"/>
      <c r="C2442" s="184"/>
      <c r="D2442" s="184"/>
      <c r="E2442" s="184"/>
      <c r="F2442" s="184"/>
      <c r="G2442" s="187"/>
      <c r="I2442" s="186"/>
      <c r="J2442" s="184"/>
    </row>
    <row r="2443" spans="1:10">
      <c r="A2443" s="174"/>
      <c r="B2443" s="184"/>
      <c r="C2443" s="184"/>
      <c r="D2443" s="184"/>
      <c r="E2443" s="184"/>
      <c r="F2443" s="184"/>
      <c r="G2443" s="187"/>
      <c r="I2443" s="186"/>
      <c r="J2443" s="184"/>
    </row>
    <row r="2444" spans="1:10">
      <c r="A2444" s="174"/>
      <c r="B2444" s="184"/>
      <c r="C2444" s="184"/>
      <c r="D2444" s="184"/>
      <c r="E2444" s="184"/>
      <c r="F2444" s="184"/>
      <c r="G2444" s="187"/>
      <c r="I2444" s="186"/>
      <c r="J2444" s="184"/>
    </row>
    <row r="2445" spans="1:10">
      <c r="A2445" s="174"/>
      <c r="B2445" s="184"/>
      <c r="C2445" s="184"/>
      <c r="D2445" s="184"/>
      <c r="E2445" s="184"/>
      <c r="F2445" s="184"/>
      <c r="G2445" s="187"/>
      <c r="I2445" s="186"/>
      <c r="J2445" s="184"/>
    </row>
    <row r="2446" spans="1:10">
      <c r="A2446" s="174"/>
      <c r="B2446" s="184"/>
      <c r="C2446" s="184"/>
      <c r="D2446" s="184"/>
      <c r="E2446" s="184"/>
      <c r="F2446" s="184"/>
      <c r="G2446" s="187"/>
      <c r="I2446" s="186"/>
      <c r="J2446" s="184"/>
    </row>
    <row r="2447" spans="1:10">
      <c r="A2447" s="174"/>
      <c r="B2447" s="184"/>
      <c r="C2447" s="184"/>
      <c r="D2447" s="184"/>
      <c r="E2447" s="184"/>
      <c r="F2447" s="184"/>
      <c r="I2447" s="186"/>
      <c r="J2447" s="184"/>
    </row>
    <row r="2448" spans="1:10">
      <c r="A2448" s="174"/>
      <c r="B2448" s="184"/>
      <c r="C2448" s="184"/>
      <c r="D2448" s="184"/>
      <c r="E2448" s="184"/>
      <c r="F2448" s="184"/>
      <c r="I2448" s="186"/>
      <c r="J2448" s="184"/>
    </row>
    <row r="2449" spans="1:10">
      <c r="A2449" s="174"/>
      <c r="B2449" s="184"/>
      <c r="C2449" s="184"/>
      <c r="D2449" s="184"/>
      <c r="E2449" s="184"/>
      <c r="F2449" s="184"/>
      <c r="I2449" s="186"/>
      <c r="J2449" s="184"/>
    </row>
    <row r="2450" spans="1:10">
      <c r="A2450" s="174"/>
      <c r="B2450" s="184"/>
      <c r="C2450" s="184"/>
      <c r="D2450" s="184"/>
      <c r="E2450" s="184"/>
      <c r="F2450" s="184"/>
      <c r="G2450" s="187"/>
      <c r="I2450" s="186"/>
      <c r="J2450" s="184"/>
    </row>
    <row r="2451" spans="1:10">
      <c r="A2451" s="174"/>
      <c r="B2451" s="184"/>
      <c r="C2451" s="184"/>
      <c r="D2451" s="184"/>
      <c r="E2451" s="184"/>
      <c r="F2451" s="184"/>
      <c r="G2451" s="187"/>
      <c r="I2451" s="186"/>
      <c r="J2451" s="184"/>
    </row>
    <row r="2452" spans="1:10">
      <c r="A2452" s="174"/>
      <c r="B2452" s="184"/>
      <c r="C2452" s="184"/>
      <c r="D2452" s="184"/>
      <c r="E2452" s="184"/>
      <c r="F2452" s="184"/>
      <c r="G2452" s="187"/>
      <c r="I2452" s="186"/>
      <c r="J2452" s="184"/>
    </row>
    <row r="2453" spans="1:10">
      <c r="A2453" s="174"/>
      <c r="B2453" s="184"/>
      <c r="C2453" s="184"/>
      <c r="D2453" s="184"/>
      <c r="E2453" s="184"/>
      <c r="F2453" s="184"/>
      <c r="G2453" s="187"/>
      <c r="I2453" s="186"/>
      <c r="J2453" s="184"/>
    </row>
    <row r="2454" spans="1:10">
      <c r="A2454" s="174"/>
      <c r="B2454" s="184"/>
      <c r="C2454" s="184"/>
      <c r="D2454" s="184"/>
      <c r="E2454" s="184"/>
      <c r="F2454" s="184"/>
      <c r="I2454" s="186"/>
      <c r="J2454" s="184"/>
    </row>
    <row r="2455" spans="1:10">
      <c r="A2455" s="174"/>
      <c r="B2455" s="184"/>
      <c r="C2455" s="184"/>
      <c r="D2455" s="184"/>
      <c r="E2455" s="184"/>
      <c r="F2455" s="184"/>
      <c r="I2455" s="186"/>
      <c r="J2455" s="184"/>
    </row>
    <row r="2456" spans="1:10">
      <c r="A2456" s="174"/>
      <c r="B2456" s="184"/>
      <c r="C2456" s="184"/>
      <c r="D2456" s="184"/>
      <c r="E2456" s="184"/>
      <c r="F2456" s="184"/>
      <c r="I2456" s="186"/>
      <c r="J2456" s="184"/>
    </row>
    <row r="2457" spans="1:10">
      <c r="A2457" s="174"/>
      <c r="B2457" s="184"/>
      <c r="C2457" s="184"/>
      <c r="D2457" s="184"/>
      <c r="E2457" s="184"/>
      <c r="F2457" s="184"/>
      <c r="I2457" s="186"/>
      <c r="J2457" s="184"/>
    </row>
    <row r="2458" spans="1:10">
      <c r="A2458" s="174"/>
      <c r="B2458" s="184"/>
      <c r="C2458" s="184"/>
      <c r="D2458" s="184"/>
      <c r="E2458" s="184"/>
      <c r="F2458" s="184"/>
      <c r="I2458" s="186"/>
      <c r="J2458" s="184"/>
    </row>
    <row r="2459" spans="1:10">
      <c r="A2459" s="174"/>
      <c r="B2459" s="184"/>
      <c r="C2459" s="184"/>
      <c r="D2459" s="184"/>
      <c r="E2459" s="184"/>
      <c r="F2459" s="184"/>
      <c r="I2459" s="186"/>
      <c r="J2459" s="184"/>
    </row>
    <row r="2460" spans="1:10">
      <c r="A2460" s="174"/>
      <c r="B2460" s="184"/>
      <c r="C2460" s="184"/>
      <c r="D2460" s="184"/>
      <c r="E2460" s="184"/>
      <c r="F2460" s="184"/>
      <c r="G2460" s="187"/>
      <c r="I2460" s="186"/>
      <c r="J2460" s="184"/>
    </row>
    <row r="2461" spans="1:10">
      <c r="A2461" s="174"/>
      <c r="B2461" s="184"/>
      <c r="C2461" s="184"/>
      <c r="D2461" s="184"/>
      <c r="E2461" s="184"/>
      <c r="F2461" s="184"/>
      <c r="G2461" s="187"/>
      <c r="I2461" s="186"/>
      <c r="J2461" s="184"/>
    </row>
    <row r="2462" spans="1:10">
      <c r="A2462" s="174"/>
      <c r="B2462" s="184"/>
      <c r="C2462" s="184"/>
      <c r="D2462" s="184"/>
      <c r="E2462" s="184"/>
      <c r="F2462" s="184"/>
      <c r="G2462" s="187"/>
      <c r="I2462" s="186"/>
      <c r="J2462" s="184"/>
    </row>
    <row r="2463" spans="1:10">
      <c r="A2463" s="174"/>
      <c r="B2463" s="184"/>
      <c r="C2463" s="184"/>
      <c r="D2463" s="184"/>
      <c r="E2463" s="184"/>
      <c r="F2463" s="184"/>
      <c r="G2463" s="187"/>
      <c r="I2463" s="186"/>
      <c r="J2463" s="184"/>
    </row>
    <row r="2464" spans="1:10">
      <c r="A2464" s="174"/>
      <c r="B2464" s="184"/>
      <c r="C2464" s="184"/>
      <c r="D2464" s="184"/>
      <c r="E2464" s="184"/>
      <c r="F2464" s="184"/>
      <c r="G2464" s="187"/>
      <c r="I2464" s="186"/>
      <c r="J2464" s="184"/>
    </row>
    <row r="2465" spans="1:10">
      <c r="A2465" s="174"/>
      <c r="B2465" s="184"/>
      <c r="C2465" s="184"/>
      <c r="D2465" s="184"/>
      <c r="E2465" s="184"/>
      <c r="F2465" s="184"/>
      <c r="G2465" s="187"/>
      <c r="I2465" s="186"/>
      <c r="J2465" s="184"/>
    </row>
    <row r="2466" spans="1:10">
      <c r="A2466" s="174"/>
      <c r="B2466" s="184"/>
      <c r="C2466" s="184"/>
      <c r="D2466" s="184"/>
      <c r="E2466" s="184"/>
      <c r="F2466" s="184"/>
      <c r="G2466" s="187"/>
      <c r="I2466" s="186"/>
      <c r="J2466" s="184"/>
    </row>
    <row r="2467" spans="1:10">
      <c r="A2467" s="174"/>
      <c r="B2467" s="184"/>
      <c r="C2467" s="184"/>
      <c r="D2467" s="184"/>
      <c r="E2467" s="184"/>
      <c r="F2467" s="184"/>
      <c r="I2467" s="186"/>
      <c r="J2467" s="184"/>
    </row>
    <row r="2468" spans="1:10">
      <c r="A2468" s="174"/>
      <c r="B2468" s="184"/>
      <c r="C2468" s="184"/>
      <c r="D2468" s="184"/>
      <c r="E2468" s="184"/>
      <c r="F2468" s="184"/>
      <c r="I2468" s="186"/>
      <c r="J2468" s="184"/>
    </row>
    <row r="2469" spans="1:10">
      <c r="A2469" s="174"/>
      <c r="B2469" s="184"/>
      <c r="C2469" s="184"/>
      <c r="D2469" s="184"/>
      <c r="E2469" s="184"/>
      <c r="F2469" s="184"/>
      <c r="I2469" s="186"/>
      <c r="J2469" s="184"/>
    </row>
    <row r="2470" spans="1:10">
      <c r="A2470" s="174"/>
      <c r="B2470" s="184"/>
      <c r="C2470" s="184"/>
      <c r="D2470" s="184"/>
      <c r="E2470" s="184"/>
      <c r="F2470" s="184"/>
      <c r="G2470" s="187"/>
      <c r="I2470" s="186"/>
      <c r="J2470" s="184"/>
    </row>
    <row r="2471" spans="1:10">
      <c r="A2471" s="174"/>
      <c r="B2471" s="184"/>
      <c r="C2471" s="184"/>
      <c r="D2471" s="184"/>
      <c r="E2471" s="184"/>
      <c r="F2471" s="184"/>
      <c r="I2471" s="186"/>
      <c r="J2471" s="184"/>
    </row>
    <row r="2472" spans="1:10">
      <c r="A2472" s="174"/>
      <c r="B2472" s="184"/>
      <c r="C2472" s="184"/>
      <c r="D2472" s="184"/>
      <c r="E2472" s="184"/>
      <c r="F2472" s="184"/>
      <c r="I2472" s="186"/>
      <c r="J2472" s="184"/>
    </row>
    <row r="2473" spans="1:10">
      <c r="A2473" s="174"/>
      <c r="B2473" s="184"/>
      <c r="C2473" s="184"/>
      <c r="D2473" s="184"/>
      <c r="E2473" s="184"/>
      <c r="F2473" s="184"/>
      <c r="I2473" s="186"/>
      <c r="J2473" s="184"/>
    </row>
    <row r="2474" spans="1:10">
      <c r="A2474" s="174"/>
      <c r="B2474" s="184"/>
      <c r="C2474" s="184"/>
      <c r="D2474" s="184"/>
      <c r="E2474" s="184"/>
      <c r="F2474" s="184"/>
      <c r="I2474" s="186"/>
      <c r="J2474" s="184"/>
    </row>
    <row r="2475" spans="1:10">
      <c r="A2475" s="174"/>
      <c r="B2475" s="184"/>
      <c r="C2475" s="184"/>
      <c r="D2475" s="184"/>
      <c r="E2475" s="184"/>
      <c r="F2475" s="184"/>
      <c r="I2475" s="186"/>
      <c r="J2475" s="184"/>
    </row>
    <row r="2476" spans="1:10">
      <c r="A2476" s="174"/>
      <c r="B2476" s="184"/>
      <c r="C2476" s="184"/>
      <c r="D2476" s="184"/>
      <c r="E2476" s="184"/>
      <c r="F2476" s="184"/>
      <c r="I2476" s="186"/>
      <c r="J2476" s="184"/>
    </row>
    <row r="2477" spans="1:10">
      <c r="A2477" s="174"/>
      <c r="B2477" s="184"/>
      <c r="C2477" s="184"/>
      <c r="D2477" s="184"/>
      <c r="E2477" s="184"/>
      <c r="F2477" s="184"/>
      <c r="I2477" s="186"/>
      <c r="J2477" s="184"/>
    </row>
    <row r="2478" spans="1:10">
      <c r="A2478" s="174"/>
      <c r="B2478" s="184"/>
      <c r="C2478" s="184"/>
      <c r="D2478" s="184"/>
      <c r="E2478" s="184"/>
      <c r="F2478" s="184"/>
      <c r="I2478" s="186"/>
      <c r="J2478" s="184"/>
    </row>
    <row r="2479" spans="1:10">
      <c r="A2479" s="174"/>
      <c r="B2479" s="184"/>
      <c r="C2479" s="184"/>
      <c r="D2479" s="184"/>
      <c r="E2479" s="184"/>
      <c r="F2479" s="184"/>
      <c r="I2479" s="186"/>
      <c r="J2479" s="184"/>
    </row>
    <row r="2480" spans="1:10">
      <c r="A2480" s="174"/>
      <c r="B2480" s="184"/>
      <c r="C2480" s="184"/>
      <c r="D2480" s="184"/>
      <c r="E2480" s="184"/>
      <c r="F2480" s="184"/>
      <c r="I2480" s="186"/>
      <c r="J2480" s="184"/>
    </row>
    <row r="2481" spans="1:10">
      <c r="A2481" s="174"/>
      <c r="B2481" s="184"/>
      <c r="C2481" s="184"/>
      <c r="D2481" s="184"/>
      <c r="E2481" s="184"/>
      <c r="F2481" s="184"/>
      <c r="I2481" s="186"/>
      <c r="J2481" s="184"/>
    </row>
    <row r="2482" spans="1:10">
      <c r="A2482" s="174"/>
      <c r="B2482" s="184"/>
      <c r="C2482" s="184"/>
      <c r="D2482" s="184"/>
      <c r="E2482" s="184"/>
      <c r="F2482" s="184"/>
      <c r="I2482" s="186"/>
      <c r="J2482" s="184"/>
    </row>
    <row r="2483" spans="1:10">
      <c r="A2483" s="174"/>
      <c r="B2483" s="184"/>
      <c r="C2483" s="184"/>
      <c r="D2483" s="184"/>
      <c r="E2483" s="184"/>
      <c r="F2483" s="184"/>
      <c r="I2483" s="186"/>
      <c r="J2483" s="184"/>
    </row>
    <row r="2484" spans="1:10">
      <c r="A2484" s="174"/>
      <c r="B2484" s="184"/>
      <c r="C2484" s="184"/>
      <c r="D2484" s="184"/>
      <c r="E2484" s="184"/>
      <c r="F2484" s="184"/>
      <c r="I2484" s="186"/>
      <c r="J2484" s="184"/>
    </row>
    <row r="2485" spans="1:10">
      <c r="A2485" s="174"/>
      <c r="B2485" s="184"/>
      <c r="C2485" s="184"/>
      <c r="D2485" s="184"/>
      <c r="E2485" s="184"/>
      <c r="F2485" s="184"/>
      <c r="I2485" s="186"/>
      <c r="J2485" s="184"/>
    </row>
    <row r="2486" spans="1:10">
      <c r="A2486" s="174"/>
      <c r="B2486" s="184"/>
      <c r="C2486" s="184"/>
      <c r="D2486" s="184"/>
      <c r="E2486" s="184"/>
      <c r="F2486" s="184"/>
      <c r="I2486" s="186"/>
      <c r="J2486" s="184"/>
    </row>
    <row r="2487" spans="1:10">
      <c r="A2487" s="174"/>
      <c r="B2487" s="184"/>
      <c r="C2487" s="184"/>
      <c r="D2487" s="184"/>
      <c r="E2487" s="184"/>
      <c r="F2487" s="184"/>
      <c r="I2487" s="186"/>
      <c r="J2487" s="184"/>
    </row>
    <row r="2488" spans="1:10">
      <c r="A2488" s="174"/>
      <c r="B2488" s="184"/>
      <c r="C2488" s="184"/>
      <c r="D2488" s="184"/>
      <c r="E2488" s="184"/>
      <c r="F2488" s="184"/>
      <c r="I2488" s="186"/>
      <c r="J2488" s="184"/>
    </row>
    <row r="2489" spans="1:10">
      <c r="A2489" s="174"/>
      <c r="B2489" s="184"/>
      <c r="C2489" s="184"/>
      <c r="D2489" s="184"/>
      <c r="E2489" s="184"/>
      <c r="F2489" s="184"/>
      <c r="I2489" s="186"/>
      <c r="J2489" s="184"/>
    </row>
    <row r="2490" spans="1:10">
      <c r="A2490" s="174"/>
      <c r="B2490" s="184"/>
      <c r="C2490" s="184"/>
      <c r="D2490" s="184"/>
      <c r="E2490" s="184"/>
      <c r="F2490" s="184"/>
      <c r="I2490" s="186"/>
      <c r="J2490" s="184"/>
    </row>
    <row r="2491" spans="1:10">
      <c r="A2491" s="174"/>
      <c r="B2491" s="184"/>
      <c r="C2491" s="184"/>
      <c r="D2491" s="184"/>
      <c r="E2491" s="184"/>
      <c r="F2491" s="184"/>
      <c r="I2491" s="186"/>
      <c r="J2491" s="184"/>
    </row>
    <row r="2492" spans="1:10">
      <c r="A2492" s="174"/>
      <c r="B2492" s="184"/>
      <c r="C2492" s="184"/>
      <c r="D2492" s="184"/>
      <c r="E2492" s="184"/>
      <c r="F2492" s="184"/>
      <c r="I2492" s="186"/>
      <c r="J2492" s="184"/>
    </row>
    <row r="2493" spans="1:10">
      <c r="A2493" s="174"/>
      <c r="B2493" s="184"/>
      <c r="C2493" s="184"/>
      <c r="D2493" s="184"/>
      <c r="E2493" s="184"/>
      <c r="F2493" s="184"/>
      <c r="I2493" s="186"/>
      <c r="J2493" s="184"/>
    </row>
    <row r="2494" spans="1:10">
      <c r="A2494" s="174"/>
      <c r="B2494" s="184"/>
      <c r="C2494" s="184"/>
      <c r="D2494" s="184"/>
      <c r="E2494" s="184"/>
      <c r="F2494" s="184"/>
      <c r="I2494" s="186"/>
      <c r="J2494" s="184"/>
    </row>
    <row r="2495" spans="1:10">
      <c r="A2495" s="174"/>
      <c r="B2495" s="184"/>
      <c r="C2495" s="184"/>
      <c r="D2495" s="184"/>
      <c r="E2495" s="184"/>
      <c r="F2495" s="184"/>
      <c r="I2495" s="186"/>
      <c r="J2495" s="184"/>
    </row>
    <row r="2496" spans="1:10">
      <c r="A2496" s="174"/>
      <c r="B2496" s="184"/>
      <c r="C2496" s="184"/>
      <c r="D2496" s="184"/>
      <c r="E2496" s="184"/>
      <c r="F2496" s="184"/>
      <c r="I2496" s="186"/>
      <c r="J2496" s="184"/>
    </row>
    <row r="2497" spans="1:10">
      <c r="A2497" s="174"/>
      <c r="B2497" s="184"/>
      <c r="C2497" s="184"/>
      <c r="D2497" s="184"/>
      <c r="E2497" s="184"/>
      <c r="F2497" s="184"/>
      <c r="I2497" s="186"/>
      <c r="J2497" s="184"/>
    </row>
    <row r="2498" spans="1:10">
      <c r="A2498" s="174"/>
      <c r="B2498" s="184"/>
      <c r="C2498" s="184"/>
      <c r="D2498" s="184"/>
      <c r="E2498" s="184"/>
      <c r="F2498" s="184"/>
      <c r="I2498" s="186"/>
      <c r="J2498" s="184"/>
    </row>
    <row r="2499" spans="1:10">
      <c r="A2499" s="174"/>
      <c r="B2499" s="184"/>
      <c r="C2499" s="184"/>
      <c r="D2499" s="184"/>
      <c r="E2499" s="184"/>
      <c r="F2499" s="184"/>
      <c r="I2499" s="186"/>
      <c r="J2499" s="184"/>
    </row>
    <row r="2500" spans="1:10">
      <c r="A2500" s="174"/>
      <c r="B2500" s="184"/>
      <c r="C2500" s="184"/>
      <c r="D2500" s="184"/>
      <c r="E2500" s="184"/>
      <c r="F2500" s="184"/>
      <c r="I2500" s="186"/>
      <c r="J2500" s="184"/>
    </row>
    <row r="2501" spans="1:10">
      <c r="A2501" s="174"/>
      <c r="B2501" s="184"/>
      <c r="C2501" s="184"/>
      <c r="D2501" s="184"/>
      <c r="E2501" s="184"/>
      <c r="F2501" s="184"/>
      <c r="I2501" s="186"/>
      <c r="J2501" s="184"/>
    </row>
    <row r="2502" spans="1:10">
      <c r="A2502" s="174"/>
      <c r="B2502" s="184"/>
      <c r="C2502" s="184"/>
      <c r="D2502" s="184"/>
      <c r="E2502" s="184"/>
      <c r="F2502" s="184"/>
      <c r="I2502" s="186"/>
      <c r="J2502" s="184"/>
    </row>
    <row r="2503" spans="1:10">
      <c r="A2503" s="174"/>
      <c r="B2503" s="184"/>
      <c r="C2503" s="184"/>
      <c r="D2503" s="184"/>
      <c r="E2503" s="184"/>
      <c r="F2503" s="184"/>
      <c r="I2503" s="186"/>
      <c r="J2503" s="184"/>
    </row>
    <row r="2504" spans="1:10">
      <c r="A2504" s="174"/>
      <c r="B2504" s="184"/>
      <c r="C2504" s="184"/>
      <c r="D2504" s="184"/>
      <c r="E2504" s="184"/>
      <c r="F2504" s="184"/>
      <c r="I2504" s="186"/>
      <c r="J2504" s="184"/>
    </row>
    <row r="2505" spans="1:10">
      <c r="A2505" s="174"/>
      <c r="B2505" s="184"/>
      <c r="C2505" s="184"/>
      <c r="D2505" s="184"/>
      <c r="E2505" s="184"/>
      <c r="F2505" s="184"/>
      <c r="I2505" s="186"/>
      <c r="J2505" s="184"/>
    </row>
    <row r="2506" spans="1:10">
      <c r="A2506" s="174"/>
      <c r="B2506" s="184"/>
      <c r="C2506" s="184"/>
      <c r="D2506" s="184"/>
      <c r="E2506" s="184"/>
      <c r="F2506" s="184"/>
      <c r="G2506" s="187"/>
      <c r="I2506" s="186"/>
      <c r="J2506" s="184"/>
    </row>
    <row r="2507" spans="1:10">
      <c r="A2507" s="174"/>
      <c r="B2507" s="184"/>
      <c r="C2507" s="184"/>
      <c r="D2507" s="184"/>
      <c r="E2507" s="184"/>
      <c r="F2507" s="184"/>
      <c r="I2507" s="186"/>
      <c r="J2507" s="184"/>
    </row>
    <row r="2508" spans="1:10">
      <c r="A2508" s="174"/>
      <c r="B2508" s="184"/>
      <c r="C2508" s="184"/>
      <c r="D2508" s="184"/>
      <c r="E2508" s="184"/>
      <c r="F2508" s="184"/>
      <c r="I2508" s="186"/>
      <c r="J2508" s="184"/>
    </row>
    <row r="2509" spans="1:10">
      <c r="A2509" s="174"/>
      <c r="B2509" s="184"/>
      <c r="C2509" s="184"/>
      <c r="D2509" s="184"/>
      <c r="E2509" s="184"/>
      <c r="F2509" s="184"/>
      <c r="I2509" s="186"/>
      <c r="J2509" s="184"/>
    </row>
    <row r="2510" spans="1:10">
      <c r="A2510" s="174"/>
      <c r="B2510" s="184"/>
      <c r="C2510" s="184"/>
      <c r="D2510" s="184"/>
      <c r="E2510" s="184"/>
      <c r="F2510" s="184"/>
      <c r="I2510" s="186"/>
      <c r="J2510" s="184"/>
    </row>
    <row r="2511" spans="1:10">
      <c r="A2511" s="174"/>
      <c r="B2511" s="184"/>
      <c r="C2511" s="184"/>
      <c r="D2511" s="184"/>
      <c r="E2511" s="184"/>
      <c r="F2511" s="184"/>
      <c r="I2511" s="186"/>
      <c r="J2511" s="184"/>
    </row>
    <row r="2512" spans="1:10">
      <c r="A2512" s="174"/>
      <c r="B2512" s="184"/>
      <c r="C2512" s="184"/>
      <c r="D2512" s="184"/>
      <c r="E2512" s="184"/>
      <c r="F2512" s="184"/>
      <c r="I2512" s="186"/>
      <c r="J2512" s="184"/>
    </row>
    <row r="2513" spans="1:10">
      <c r="A2513" s="174"/>
      <c r="B2513" s="184"/>
      <c r="C2513" s="184"/>
      <c r="D2513" s="184"/>
      <c r="E2513" s="184"/>
      <c r="F2513" s="184"/>
      <c r="I2513" s="186"/>
      <c r="J2513" s="184"/>
    </row>
    <row r="2514" spans="1:10">
      <c r="A2514" s="174"/>
      <c r="B2514" s="184"/>
      <c r="C2514" s="184"/>
      <c r="D2514" s="184"/>
      <c r="E2514" s="184"/>
      <c r="F2514" s="184"/>
      <c r="I2514" s="186"/>
      <c r="J2514" s="184"/>
    </row>
    <row r="2515" spans="1:10">
      <c r="A2515" s="174"/>
      <c r="B2515" s="184"/>
      <c r="C2515" s="184"/>
      <c r="D2515" s="184"/>
      <c r="E2515" s="184"/>
      <c r="F2515" s="184"/>
      <c r="I2515" s="186"/>
      <c r="J2515" s="184"/>
    </row>
    <row r="2516" spans="1:10">
      <c r="A2516" s="174"/>
      <c r="B2516" s="184"/>
      <c r="C2516" s="184"/>
      <c r="D2516" s="184"/>
      <c r="E2516" s="184"/>
      <c r="F2516" s="184"/>
      <c r="I2516" s="186"/>
      <c r="J2516" s="184"/>
    </row>
    <row r="2517" spans="1:10">
      <c r="A2517" s="174"/>
      <c r="B2517" s="184"/>
      <c r="C2517" s="184"/>
      <c r="D2517" s="184"/>
      <c r="E2517" s="184"/>
      <c r="F2517" s="184"/>
      <c r="I2517" s="186"/>
      <c r="J2517" s="184"/>
    </row>
    <row r="2518" spans="1:10">
      <c r="A2518" s="174"/>
      <c r="B2518" s="184"/>
      <c r="C2518" s="184"/>
      <c r="D2518" s="184"/>
      <c r="E2518" s="184"/>
      <c r="F2518" s="184"/>
      <c r="I2518" s="186"/>
      <c r="J2518" s="184"/>
    </row>
    <row r="2519" spans="1:10">
      <c r="A2519" s="174"/>
      <c r="B2519" s="184"/>
      <c r="C2519" s="184"/>
      <c r="D2519" s="184"/>
      <c r="E2519" s="184"/>
      <c r="F2519" s="184"/>
      <c r="I2519" s="186"/>
      <c r="J2519" s="184"/>
    </row>
    <row r="2520" spans="1:10">
      <c r="A2520" s="174"/>
      <c r="B2520" s="184"/>
      <c r="C2520" s="184"/>
      <c r="D2520" s="184"/>
      <c r="E2520" s="184"/>
      <c r="F2520" s="184"/>
      <c r="I2520" s="186"/>
      <c r="J2520" s="184"/>
    </row>
    <row r="2521" spans="1:10">
      <c r="A2521" s="174"/>
      <c r="B2521" s="184"/>
      <c r="C2521" s="184"/>
      <c r="D2521" s="184"/>
      <c r="E2521" s="184"/>
      <c r="F2521" s="184"/>
      <c r="I2521" s="186"/>
      <c r="J2521" s="184"/>
    </row>
    <row r="2522" spans="1:10">
      <c r="A2522" s="174"/>
      <c r="B2522" s="184"/>
      <c r="C2522" s="184"/>
      <c r="D2522" s="184"/>
      <c r="E2522" s="184"/>
      <c r="F2522" s="184"/>
      <c r="I2522" s="186"/>
      <c r="J2522" s="184"/>
    </row>
    <row r="2523" spans="1:10">
      <c r="A2523" s="174"/>
      <c r="B2523" s="184"/>
      <c r="C2523" s="184"/>
      <c r="D2523" s="184"/>
      <c r="E2523" s="184"/>
      <c r="F2523" s="184"/>
      <c r="I2523" s="186"/>
      <c r="J2523" s="184"/>
    </row>
    <row r="2524" spans="1:10">
      <c r="A2524" s="174"/>
      <c r="B2524" s="184"/>
      <c r="C2524" s="184"/>
      <c r="D2524" s="184"/>
      <c r="E2524" s="184"/>
      <c r="F2524" s="184"/>
      <c r="I2524" s="186"/>
      <c r="J2524" s="184"/>
    </row>
    <row r="2525" spans="1:10">
      <c r="A2525" s="174"/>
      <c r="B2525" s="184"/>
      <c r="C2525" s="184"/>
      <c r="D2525" s="184"/>
      <c r="E2525" s="184"/>
      <c r="F2525" s="184"/>
      <c r="I2525" s="186"/>
      <c r="J2525" s="184"/>
    </row>
    <row r="2526" spans="1:10">
      <c r="A2526" s="174"/>
      <c r="B2526" s="184"/>
      <c r="C2526" s="184"/>
      <c r="D2526" s="184"/>
      <c r="E2526" s="184"/>
      <c r="F2526" s="184"/>
      <c r="G2526" s="187"/>
      <c r="I2526" s="186"/>
      <c r="J2526" s="184"/>
    </row>
    <row r="2527" spans="1:10">
      <c r="A2527" s="174"/>
      <c r="B2527" s="184"/>
      <c r="C2527" s="184"/>
      <c r="D2527" s="184"/>
      <c r="E2527" s="184"/>
      <c r="F2527" s="184"/>
      <c r="I2527" s="186"/>
      <c r="J2527" s="184"/>
    </row>
    <row r="2528" spans="1:10">
      <c r="A2528" s="174"/>
      <c r="B2528" s="184"/>
      <c r="C2528" s="184"/>
      <c r="D2528" s="184"/>
      <c r="E2528" s="184"/>
      <c r="F2528" s="184"/>
      <c r="I2528" s="186"/>
      <c r="J2528" s="184"/>
    </row>
    <row r="2529" spans="1:10">
      <c r="A2529" s="174"/>
      <c r="B2529" s="184"/>
      <c r="C2529" s="184"/>
      <c r="D2529" s="184"/>
      <c r="E2529" s="184"/>
      <c r="F2529" s="184"/>
      <c r="I2529" s="186"/>
      <c r="J2529" s="184"/>
    </row>
    <row r="2530" spans="1:10">
      <c r="A2530" s="174"/>
      <c r="B2530" s="184"/>
      <c r="C2530" s="184"/>
      <c r="D2530" s="184"/>
      <c r="E2530" s="184"/>
      <c r="F2530" s="184"/>
      <c r="I2530" s="186"/>
      <c r="J2530" s="184"/>
    </row>
    <row r="2531" spans="1:10">
      <c r="A2531" s="174"/>
      <c r="B2531" s="184"/>
      <c r="C2531" s="184"/>
      <c r="D2531" s="184"/>
      <c r="E2531" s="184"/>
      <c r="F2531" s="184"/>
      <c r="I2531" s="186"/>
      <c r="J2531" s="184"/>
    </row>
    <row r="2532" spans="1:10">
      <c r="A2532" s="174"/>
      <c r="B2532" s="184"/>
      <c r="C2532" s="184"/>
      <c r="D2532" s="184"/>
      <c r="E2532" s="184"/>
      <c r="F2532" s="184"/>
      <c r="I2532" s="186"/>
      <c r="J2532" s="184"/>
    </row>
    <row r="2533" spans="1:10">
      <c r="A2533" s="174"/>
      <c r="B2533" s="184"/>
      <c r="C2533" s="184"/>
      <c r="D2533" s="184"/>
      <c r="E2533" s="184"/>
      <c r="F2533" s="184"/>
      <c r="I2533" s="186"/>
      <c r="J2533" s="184"/>
    </row>
    <row r="2534" spans="1:10">
      <c r="A2534" s="174"/>
      <c r="B2534" s="184"/>
      <c r="C2534" s="184"/>
      <c r="D2534" s="184"/>
      <c r="E2534" s="184"/>
      <c r="F2534" s="184"/>
      <c r="I2534" s="186"/>
      <c r="J2534" s="184"/>
    </row>
    <row r="2535" spans="1:10">
      <c r="A2535" s="174"/>
      <c r="B2535" s="184"/>
      <c r="C2535" s="184"/>
      <c r="D2535" s="184"/>
      <c r="E2535" s="184"/>
      <c r="F2535" s="184"/>
      <c r="I2535" s="186"/>
      <c r="J2535" s="184"/>
    </row>
    <row r="2536" spans="1:10">
      <c r="A2536" s="174"/>
      <c r="B2536" s="184"/>
      <c r="C2536" s="184"/>
      <c r="D2536" s="184"/>
      <c r="E2536" s="184"/>
      <c r="F2536" s="184"/>
      <c r="I2536" s="186"/>
      <c r="J2536" s="184"/>
    </row>
    <row r="2537" spans="1:10">
      <c r="A2537" s="174"/>
      <c r="B2537" s="184"/>
      <c r="C2537" s="184"/>
      <c r="D2537" s="184"/>
      <c r="E2537" s="184"/>
      <c r="F2537" s="184"/>
      <c r="I2537" s="186"/>
      <c r="J2537" s="184"/>
    </row>
    <row r="2538" spans="1:10">
      <c r="A2538" s="174"/>
      <c r="B2538" s="184"/>
      <c r="C2538" s="184"/>
      <c r="D2538" s="184"/>
      <c r="E2538" s="184"/>
      <c r="F2538" s="184"/>
      <c r="I2538" s="186"/>
      <c r="J2538" s="184"/>
    </row>
    <row r="2539" spans="1:10">
      <c r="A2539" s="174"/>
      <c r="B2539" s="184"/>
      <c r="C2539" s="184"/>
      <c r="D2539" s="184"/>
      <c r="E2539" s="184"/>
      <c r="F2539" s="184"/>
      <c r="I2539" s="186"/>
      <c r="J2539" s="184"/>
    </row>
    <row r="2540" spans="1:10">
      <c r="A2540" s="174"/>
      <c r="B2540" s="184"/>
      <c r="C2540" s="184"/>
      <c r="D2540" s="184"/>
      <c r="E2540" s="184"/>
      <c r="F2540" s="184"/>
      <c r="I2540" s="186"/>
      <c r="J2540" s="184"/>
    </row>
    <row r="2541" spans="1:10">
      <c r="A2541" s="174"/>
      <c r="B2541" s="184"/>
      <c r="C2541" s="184"/>
      <c r="D2541" s="184"/>
      <c r="E2541" s="184"/>
      <c r="F2541" s="184"/>
      <c r="I2541" s="186"/>
      <c r="J2541" s="184"/>
    </row>
    <row r="2542" spans="1:10">
      <c r="A2542" s="174"/>
      <c r="B2542" s="184"/>
      <c r="C2542" s="184"/>
      <c r="D2542" s="184"/>
      <c r="E2542" s="184"/>
      <c r="F2542" s="184"/>
      <c r="H2542" s="174"/>
      <c r="I2542" s="186"/>
      <c r="J2542" s="184"/>
    </row>
    <row r="2543" spans="1:10">
      <c r="A2543" s="174"/>
      <c r="B2543" s="184"/>
      <c r="C2543" s="184"/>
      <c r="D2543" s="184"/>
      <c r="E2543" s="184"/>
      <c r="F2543" s="184"/>
      <c r="I2543" s="186"/>
      <c r="J2543" s="184"/>
    </row>
    <row r="2544" spans="1:10">
      <c r="A2544" s="174"/>
      <c r="B2544" s="184"/>
      <c r="C2544" s="184"/>
      <c r="D2544" s="184"/>
      <c r="E2544" s="184"/>
      <c r="F2544" s="184"/>
      <c r="I2544" s="186"/>
      <c r="J2544" s="184"/>
    </row>
    <row r="2545" spans="1:10">
      <c r="A2545" s="174"/>
      <c r="B2545" s="184"/>
      <c r="C2545" s="184"/>
      <c r="D2545" s="184"/>
      <c r="E2545" s="184"/>
      <c r="F2545" s="184"/>
      <c r="I2545" s="186"/>
      <c r="J2545" s="184"/>
    </row>
    <row r="2546" spans="1:10">
      <c r="A2546" s="174"/>
      <c r="B2546" s="184"/>
      <c r="C2546" s="184"/>
      <c r="D2546" s="184"/>
      <c r="E2546" s="184"/>
      <c r="F2546" s="184"/>
      <c r="I2546" s="186"/>
      <c r="J2546" s="184"/>
    </row>
    <row r="2547" spans="1:10">
      <c r="A2547" s="174"/>
      <c r="B2547" s="184"/>
      <c r="C2547" s="184"/>
      <c r="D2547" s="184"/>
      <c r="E2547" s="184"/>
      <c r="F2547" s="184"/>
      <c r="I2547" s="186"/>
      <c r="J2547" s="184"/>
    </row>
    <row r="2548" spans="1:10">
      <c r="A2548" s="174"/>
      <c r="B2548" s="184"/>
      <c r="C2548" s="184"/>
      <c r="D2548" s="184"/>
      <c r="E2548" s="184"/>
      <c r="F2548" s="184"/>
      <c r="I2548" s="186"/>
      <c r="J2548" s="184"/>
    </row>
    <row r="2549" spans="1:10">
      <c r="A2549" s="174"/>
      <c r="B2549" s="184"/>
      <c r="C2549" s="184"/>
      <c r="D2549" s="184"/>
      <c r="E2549" s="184"/>
      <c r="F2549" s="184"/>
      <c r="I2549" s="186"/>
      <c r="J2549" s="184"/>
    </row>
    <row r="2550" spans="1:10">
      <c r="A2550" s="174"/>
      <c r="B2550" s="184"/>
      <c r="C2550" s="184"/>
      <c r="D2550" s="184"/>
      <c r="E2550" s="184"/>
      <c r="F2550" s="184"/>
      <c r="I2550" s="186"/>
      <c r="J2550" s="184"/>
    </row>
    <row r="2551" spans="1:10">
      <c r="A2551" s="174"/>
      <c r="B2551" s="184"/>
      <c r="C2551" s="184"/>
      <c r="D2551" s="184"/>
      <c r="E2551" s="184"/>
      <c r="F2551" s="184"/>
      <c r="I2551" s="186"/>
      <c r="J2551" s="184"/>
    </row>
    <row r="2552" spans="1:10">
      <c r="A2552" s="174"/>
      <c r="B2552" s="184"/>
      <c r="C2552" s="184"/>
      <c r="D2552" s="184"/>
      <c r="E2552" s="184"/>
      <c r="F2552" s="184"/>
      <c r="I2552" s="186"/>
      <c r="J2552" s="184"/>
    </row>
    <row r="2553" spans="1:10">
      <c r="A2553" s="174"/>
      <c r="B2553" s="184"/>
      <c r="C2553" s="184"/>
      <c r="D2553" s="184"/>
      <c r="E2553" s="184"/>
      <c r="F2553" s="184"/>
      <c r="I2553" s="186"/>
      <c r="J2553" s="184"/>
    </row>
    <row r="2554" spans="1:10">
      <c r="A2554" s="174"/>
      <c r="B2554" s="184"/>
      <c r="C2554" s="184"/>
      <c r="D2554" s="184"/>
      <c r="E2554" s="184"/>
      <c r="F2554" s="184"/>
      <c r="I2554" s="186"/>
      <c r="J2554" s="184"/>
    </row>
    <row r="2555" spans="1:10">
      <c r="A2555" s="174"/>
      <c r="B2555" s="184"/>
      <c r="C2555" s="184"/>
      <c r="D2555" s="184"/>
      <c r="E2555" s="184"/>
      <c r="F2555" s="184"/>
      <c r="I2555" s="186"/>
      <c r="J2555" s="184"/>
    </row>
    <row r="2556" spans="1:10">
      <c r="A2556" s="174"/>
      <c r="B2556" s="184"/>
      <c r="C2556" s="184"/>
      <c r="D2556" s="184"/>
      <c r="E2556" s="184"/>
      <c r="F2556" s="184"/>
      <c r="I2556" s="186"/>
      <c r="J2556" s="184"/>
    </row>
    <row r="2557" spans="1:10">
      <c r="A2557" s="174"/>
      <c r="B2557" s="184"/>
      <c r="C2557" s="184"/>
      <c r="D2557" s="184"/>
      <c r="E2557" s="184"/>
      <c r="F2557" s="184"/>
      <c r="I2557" s="186"/>
      <c r="J2557" s="184"/>
    </row>
    <row r="2558" spans="1:10">
      <c r="A2558" s="174"/>
      <c r="B2558" s="184"/>
      <c r="C2558" s="184"/>
      <c r="D2558" s="184"/>
      <c r="E2558" s="184"/>
      <c r="F2558" s="184"/>
      <c r="I2558" s="186"/>
      <c r="J2558" s="184"/>
    </row>
    <row r="2559" spans="1:10">
      <c r="A2559" s="174"/>
      <c r="B2559" s="184"/>
      <c r="C2559" s="184"/>
      <c r="D2559" s="184"/>
      <c r="E2559" s="184"/>
      <c r="F2559" s="184"/>
      <c r="I2559" s="186"/>
      <c r="J2559" s="184"/>
    </row>
    <row r="2560" spans="1:10">
      <c r="A2560" s="174"/>
      <c r="B2560" s="184"/>
      <c r="C2560" s="184"/>
      <c r="D2560" s="184"/>
      <c r="E2560" s="184"/>
      <c r="F2560" s="184"/>
      <c r="I2560" s="186"/>
      <c r="J2560" s="184"/>
    </row>
    <row r="2561" spans="1:10">
      <c r="A2561" s="174"/>
      <c r="B2561" s="184"/>
      <c r="C2561" s="184"/>
      <c r="D2561" s="184"/>
      <c r="E2561" s="184"/>
      <c r="F2561" s="184"/>
      <c r="I2561" s="186"/>
      <c r="J2561" s="184"/>
    </row>
    <row r="2562" spans="1:10">
      <c r="A2562" s="174"/>
      <c r="B2562" s="184"/>
      <c r="C2562" s="184"/>
      <c r="D2562" s="184"/>
      <c r="E2562" s="184"/>
      <c r="F2562" s="184"/>
      <c r="I2562" s="186"/>
      <c r="J2562" s="184"/>
    </row>
    <row r="2563" spans="1:10">
      <c r="A2563" s="174"/>
      <c r="B2563" s="184"/>
      <c r="C2563" s="184"/>
      <c r="D2563" s="184"/>
      <c r="E2563" s="184"/>
      <c r="F2563" s="184"/>
      <c r="I2563" s="186"/>
      <c r="J2563" s="184"/>
    </row>
    <row r="2564" spans="1:10">
      <c r="A2564" s="174"/>
      <c r="B2564" s="184"/>
      <c r="C2564" s="184"/>
      <c r="D2564" s="184"/>
      <c r="E2564" s="184"/>
      <c r="F2564" s="184"/>
      <c r="I2564" s="186"/>
      <c r="J2564" s="184"/>
    </row>
    <row r="2565" spans="1:10">
      <c r="A2565" s="174"/>
      <c r="B2565" s="184"/>
      <c r="C2565" s="184"/>
      <c r="D2565" s="184"/>
      <c r="E2565" s="184"/>
      <c r="F2565" s="184"/>
      <c r="I2565" s="186"/>
      <c r="J2565" s="184"/>
    </row>
    <row r="2566" spans="1:10">
      <c r="A2566" s="174"/>
      <c r="B2566" s="184"/>
      <c r="C2566" s="184"/>
      <c r="D2566" s="184"/>
      <c r="E2566" s="184"/>
      <c r="F2566" s="184"/>
      <c r="I2566" s="186"/>
      <c r="J2566" s="184"/>
    </row>
    <row r="2567" spans="1:10">
      <c r="A2567" s="174"/>
      <c r="B2567" s="184"/>
      <c r="C2567" s="184"/>
      <c r="D2567" s="184"/>
      <c r="E2567" s="184"/>
      <c r="F2567" s="184"/>
      <c r="I2567" s="186"/>
      <c r="J2567" s="184"/>
    </row>
    <row r="2568" spans="1:10">
      <c r="A2568" s="174"/>
      <c r="B2568" s="184"/>
      <c r="C2568" s="184"/>
      <c r="D2568" s="184"/>
      <c r="E2568" s="184"/>
      <c r="F2568" s="184"/>
      <c r="I2568" s="186"/>
      <c r="J2568" s="184"/>
    </row>
    <row r="2569" spans="1:10">
      <c r="A2569" s="174"/>
      <c r="B2569" s="184"/>
      <c r="C2569" s="184"/>
      <c r="D2569" s="184"/>
      <c r="E2569" s="184"/>
      <c r="F2569" s="184"/>
      <c r="I2569" s="186"/>
      <c r="J2569" s="184"/>
    </row>
    <row r="2570" spans="1:10">
      <c r="A2570" s="174"/>
      <c r="B2570" s="184"/>
      <c r="C2570" s="184"/>
      <c r="D2570" s="184"/>
      <c r="E2570" s="184"/>
      <c r="F2570" s="184"/>
      <c r="I2570" s="186"/>
      <c r="J2570" s="184"/>
    </row>
    <row r="2571" spans="1:10">
      <c r="A2571" s="174"/>
      <c r="B2571" s="184"/>
      <c r="C2571" s="184"/>
      <c r="D2571" s="184"/>
      <c r="E2571" s="184"/>
      <c r="F2571" s="184"/>
      <c r="I2571" s="186"/>
      <c r="J2571" s="184"/>
    </row>
    <row r="2572" spans="1:10">
      <c r="A2572" s="174"/>
      <c r="B2572" s="184"/>
      <c r="C2572" s="184"/>
      <c r="D2572" s="184"/>
      <c r="E2572" s="184"/>
      <c r="F2572" s="184"/>
      <c r="I2572" s="186"/>
      <c r="J2572" s="184"/>
    </row>
    <row r="2573" spans="1:10">
      <c r="A2573" s="174"/>
      <c r="B2573" s="184"/>
      <c r="C2573" s="184"/>
      <c r="D2573" s="184"/>
      <c r="E2573" s="184"/>
      <c r="F2573" s="184"/>
      <c r="I2573" s="186"/>
      <c r="J2573" s="184"/>
    </row>
    <row r="2574" spans="1:10">
      <c r="A2574" s="174"/>
      <c r="B2574" s="184"/>
      <c r="C2574" s="184"/>
      <c r="D2574" s="184"/>
      <c r="E2574" s="184"/>
      <c r="F2574" s="184"/>
      <c r="I2574" s="186"/>
      <c r="J2574" s="184"/>
    </row>
    <row r="2575" spans="1:10">
      <c r="A2575" s="174"/>
      <c r="B2575" s="184"/>
      <c r="C2575" s="184"/>
      <c r="D2575" s="184"/>
      <c r="E2575" s="184"/>
      <c r="F2575" s="184"/>
      <c r="I2575" s="186"/>
      <c r="J2575" s="184"/>
    </row>
    <row r="2576" spans="1:10">
      <c r="A2576" s="174"/>
      <c r="B2576" s="184"/>
      <c r="C2576" s="184"/>
      <c r="D2576" s="184"/>
      <c r="E2576" s="184"/>
      <c r="F2576" s="184"/>
      <c r="I2576" s="186"/>
      <c r="J2576" s="184"/>
    </row>
    <row r="2577" spans="1:10">
      <c r="A2577" s="174"/>
      <c r="B2577" s="184"/>
      <c r="C2577" s="184"/>
      <c r="D2577" s="184"/>
      <c r="E2577" s="184"/>
      <c r="F2577" s="184"/>
      <c r="I2577" s="186"/>
      <c r="J2577" s="184"/>
    </row>
    <row r="2578" spans="1:10">
      <c r="A2578" s="174"/>
      <c r="B2578" s="184"/>
      <c r="C2578" s="184"/>
      <c r="D2578" s="184"/>
      <c r="E2578" s="184"/>
      <c r="F2578" s="184"/>
      <c r="I2578" s="186"/>
      <c r="J2578" s="184"/>
    </row>
    <row r="2579" spans="1:10">
      <c r="A2579" s="174"/>
      <c r="B2579" s="184"/>
      <c r="C2579" s="184"/>
      <c r="D2579" s="184"/>
      <c r="E2579" s="184"/>
      <c r="F2579" s="184"/>
      <c r="I2579" s="186"/>
      <c r="J2579" s="184"/>
    </row>
    <row r="2580" spans="1:10">
      <c r="A2580" s="174"/>
      <c r="B2580" s="184"/>
      <c r="C2580" s="184"/>
      <c r="D2580" s="184"/>
      <c r="E2580" s="184"/>
      <c r="F2580" s="184"/>
      <c r="I2580" s="186"/>
      <c r="J2580" s="184"/>
    </row>
    <row r="2581" spans="1:10">
      <c r="A2581" s="174"/>
      <c r="B2581" s="184"/>
      <c r="C2581" s="184"/>
      <c r="D2581" s="184"/>
      <c r="E2581" s="184"/>
      <c r="F2581" s="184"/>
      <c r="I2581" s="186"/>
      <c r="J2581" s="184"/>
    </row>
    <row r="2582" spans="1:10">
      <c r="A2582" s="174"/>
      <c r="B2582" s="184"/>
      <c r="C2582" s="184"/>
      <c r="D2582" s="184"/>
      <c r="E2582" s="184"/>
      <c r="F2582" s="184"/>
      <c r="I2582" s="186"/>
      <c r="J2582" s="184"/>
    </row>
    <row r="2583" spans="1:10">
      <c r="A2583" s="174"/>
      <c r="B2583" s="184"/>
      <c r="C2583" s="184"/>
      <c r="D2583" s="184"/>
      <c r="E2583" s="184"/>
      <c r="F2583" s="184"/>
      <c r="I2583" s="186"/>
      <c r="J2583" s="184"/>
    </row>
    <row r="2584" spans="1:10">
      <c r="A2584" s="174"/>
      <c r="B2584" s="184"/>
      <c r="C2584" s="184"/>
      <c r="D2584" s="184"/>
      <c r="E2584" s="184"/>
      <c r="F2584" s="184"/>
      <c r="I2584" s="186"/>
      <c r="J2584" s="184"/>
    </row>
    <row r="2585" spans="1:10">
      <c r="A2585" s="174"/>
      <c r="B2585" s="184"/>
      <c r="C2585" s="184"/>
      <c r="D2585" s="184"/>
      <c r="E2585" s="184"/>
      <c r="F2585" s="184"/>
      <c r="I2585" s="186"/>
      <c r="J2585" s="184"/>
    </row>
    <row r="2586" spans="1:10">
      <c r="A2586" s="174"/>
      <c r="B2586" s="184"/>
      <c r="C2586" s="184"/>
      <c r="D2586" s="184"/>
      <c r="E2586" s="184"/>
      <c r="F2586" s="184"/>
      <c r="I2586" s="186"/>
      <c r="J2586" s="184"/>
    </row>
    <row r="2587" spans="1:10">
      <c r="A2587" s="174"/>
      <c r="B2587" s="184"/>
      <c r="C2587" s="184"/>
      <c r="D2587" s="184"/>
      <c r="E2587" s="184"/>
      <c r="F2587" s="184"/>
      <c r="I2587" s="186"/>
      <c r="J2587" s="184"/>
    </row>
    <row r="2588" spans="1:10">
      <c r="A2588" s="174"/>
      <c r="B2588" s="184"/>
      <c r="C2588" s="184"/>
      <c r="D2588" s="184"/>
      <c r="E2588" s="184"/>
      <c r="F2588" s="184"/>
      <c r="I2588" s="186"/>
      <c r="J2588" s="184"/>
    </row>
    <row r="2589" spans="1:10">
      <c r="A2589" s="174"/>
      <c r="B2589" s="184"/>
      <c r="C2589" s="184"/>
      <c r="D2589" s="184"/>
      <c r="E2589" s="184"/>
      <c r="F2589" s="184"/>
      <c r="I2589" s="186"/>
      <c r="J2589" s="184"/>
    </row>
    <row r="2590" spans="1:10">
      <c r="A2590" s="174"/>
      <c r="B2590" s="184"/>
      <c r="C2590" s="184"/>
      <c r="D2590" s="184"/>
      <c r="E2590" s="184"/>
      <c r="F2590" s="184"/>
      <c r="I2590" s="186"/>
      <c r="J2590" s="184"/>
    </row>
    <row r="2591" spans="1:10">
      <c r="A2591" s="174"/>
      <c r="B2591" s="184"/>
      <c r="C2591" s="184"/>
      <c r="D2591" s="184"/>
      <c r="E2591" s="184"/>
      <c r="F2591" s="184"/>
      <c r="I2591" s="186"/>
      <c r="J2591" s="184"/>
    </row>
    <row r="2592" spans="1:10">
      <c r="A2592" s="174"/>
      <c r="B2592" s="184"/>
      <c r="C2592" s="184"/>
      <c r="D2592" s="184"/>
      <c r="E2592" s="184"/>
      <c r="F2592" s="184"/>
      <c r="I2592" s="186"/>
      <c r="J2592" s="184"/>
    </row>
    <row r="2593" spans="1:10">
      <c r="A2593" s="174"/>
      <c r="B2593" s="184"/>
      <c r="C2593" s="184"/>
      <c r="D2593" s="184"/>
      <c r="E2593" s="184"/>
      <c r="F2593" s="184"/>
      <c r="I2593" s="186"/>
      <c r="J2593" s="184"/>
    </row>
    <row r="2594" spans="1:10">
      <c r="A2594" s="174"/>
      <c r="B2594" s="184"/>
      <c r="C2594" s="184"/>
      <c r="D2594" s="184"/>
      <c r="E2594" s="184"/>
      <c r="F2594" s="184"/>
      <c r="I2594" s="186"/>
      <c r="J2594" s="184"/>
    </row>
    <row r="2595" spans="1:10">
      <c r="A2595" s="174"/>
      <c r="B2595" s="184"/>
      <c r="C2595" s="184"/>
      <c r="D2595" s="184"/>
      <c r="E2595" s="184"/>
      <c r="F2595" s="184"/>
      <c r="I2595" s="186"/>
      <c r="J2595" s="184"/>
    </row>
    <row r="2596" spans="1:10">
      <c r="A2596" s="174"/>
      <c r="B2596" s="184"/>
      <c r="C2596" s="184"/>
      <c r="D2596" s="184"/>
      <c r="E2596" s="184"/>
      <c r="F2596" s="184"/>
      <c r="I2596" s="186"/>
      <c r="J2596" s="184"/>
    </row>
    <row r="2597" spans="1:10">
      <c r="A2597" s="174"/>
      <c r="B2597" s="184"/>
      <c r="C2597" s="184"/>
      <c r="D2597" s="184"/>
      <c r="E2597" s="184"/>
      <c r="F2597" s="184"/>
      <c r="G2597" s="187"/>
      <c r="I2597" s="186"/>
      <c r="J2597" s="184"/>
    </row>
    <row r="2598" spans="1:10">
      <c r="A2598" s="174"/>
      <c r="B2598" s="184"/>
      <c r="C2598" s="184"/>
      <c r="D2598" s="184"/>
      <c r="E2598" s="184"/>
      <c r="F2598" s="184"/>
      <c r="G2598" s="187"/>
      <c r="I2598" s="186"/>
      <c r="J2598" s="184"/>
    </row>
    <row r="2599" spans="1:10">
      <c r="A2599" s="174"/>
      <c r="B2599" s="184"/>
      <c r="C2599" s="184"/>
      <c r="D2599" s="184"/>
      <c r="E2599" s="184"/>
      <c r="F2599" s="184"/>
      <c r="I2599" s="186"/>
      <c r="J2599" s="184"/>
    </row>
    <row r="2600" spans="1:10">
      <c r="A2600" s="174"/>
      <c r="B2600" s="184"/>
      <c r="C2600" s="184"/>
      <c r="D2600" s="184"/>
      <c r="E2600" s="184"/>
      <c r="F2600" s="184"/>
      <c r="G2600" s="187"/>
      <c r="I2600" s="186"/>
      <c r="J2600" s="184"/>
    </row>
    <row r="2601" spans="1:10">
      <c r="A2601" s="174"/>
      <c r="B2601" s="184"/>
      <c r="C2601" s="184"/>
      <c r="D2601" s="184"/>
      <c r="E2601" s="184"/>
      <c r="F2601" s="184"/>
      <c r="G2601" s="187"/>
      <c r="I2601" s="186"/>
      <c r="J2601" s="184"/>
    </row>
    <row r="2602" spans="1:10">
      <c r="A2602" s="174"/>
      <c r="B2602" s="184"/>
      <c r="C2602" s="184"/>
      <c r="D2602" s="184"/>
      <c r="E2602" s="184"/>
      <c r="F2602" s="184"/>
      <c r="I2602" s="186"/>
      <c r="J2602" s="184"/>
    </row>
    <row r="2603" spans="1:10">
      <c r="A2603" s="174"/>
      <c r="B2603" s="184"/>
      <c r="C2603" s="184"/>
      <c r="D2603" s="184"/>
      <c r="E2603" s="184"/>
      <c r="F2603" s="184"/>
      <c r="I2603" s="186"/>
      <c r="J2603" s="184"/>
    </row>
    <row r="2604" spans="1:10">
      <c r="A2604" s="174"/>
      <c r="B2604" s="184"/>
      <c r="C2604" s="184"/>
      <c r="D2604" s="184"/>
      <c r="E2604" s="184"/>
      <c r="F2604" s="184"/>
      <c r="G2604" s="187"/>
      <c r="I2604" s="186"/>
      <c r="J2604" s="184"/>
    </row>
    <row r="2605" spans="1:10">
      <c r="A2605" s="174"/>
      <c r="B2605" s="184"/>
      <c r="C2605" s="184"/>
      <c r="D2605" s="184"/>
      <c r="E2605" s="184"/>
      <c r="F2605" s="184"/>
      <c r="I2605" s="186"/>
      <c r="J2605" s="184"/>
    </row>
    <row r="2606" spans="1:10">
      <c r="A2606" s="174"/>
      <c r="B2606" s="184"/>
      <c r="C2606" s="184"/>
      <c r="D2606" s="184"/>
      <c r="E2606" s="184"/>
      <c r="F2606" s="184"/>
      <c r="I2606" s="186"/>
      <c r="J2606" s="184"/>
    </row>
    <row r="2607" spans="1:10">
      <c r="A2607" s="174"/>
      <c r="B2607" s="184"/>
      <c r="C2607" s="184"/>
      <c r="D2607" s="184"/>
      <c r="E2607" s="184"/>
      <c r="F2607" s="184"/>
      <c r="G2607" s="187"/>
      <c r="I2607" s="186"/>
      <c r="J2607" s="184"/>
    </row>
    <row r="2608" spans="1:10">
      <c r="A2608" s="174"/>
      <c r="B2608" s="184"/>
      <c r="C2608" s="184"/>
      <c r="D2608" s="184"/>
      <c r="E2608" s="184"/>
      <c r="F2608" s="184"/>
      <c r="G2608" s="187"/>
      <c r="I2608" s="186"/>
      <c r="J2608" s="184"/>
    </row>
    <row r="2609" spans="1:10">
      <c r="A2609" s="174"/>
      <c r="B2609" s="184"/>
      <c r="C2609" s="184"/>
      <c r="D2609" s="184"/>
      <c r="E2609" s="184"/>
      <c r="F2609" s="184"/>
      <c r="I2609" s="186"/>
      <c r="J2609" s="184"/>
    </row>
    <row r="2610" spans="1:10">
      <c r="A2610" s="174"/>
      <c r="B2610" s="184"/>
      <c r="C2610" s="184"/>
      <c r="D2610" s="184"/>
      <c r="E2610" s="184"/>
      <c r="F2610" s="184"/>
      <c r="I2610" s="186"/>
      <c r="J2610" s="184"/>
    </row>
    <row r="2611" spans="1:10">
      <c r="A2611" s="174"/>
      <c r="B2611" s="184"/>
      <c r="C2611" s="184"/>
      <c r="D2611" s="184"/>
      <c r="E2611" s="184"/>
      <c r="F2611" s="184"/>
      <c r="I2611" s="186"/>
      <c r="J2611" s="184"/>
    </row>
    <row r="2612" spans="1:10">
      <c r="A2612" s="174"/>
      <c r="B2612" s="184"/>
      <c r="C2612" s="184"/>
      <c r="D2612" s="184"/>
      <c r="E2612" s="184"/>
      <c r="F2612" s="184"/>
      <c r="G2612" s="187"/>
      <c r="I2612" s="186"/>
      <c r="J2612" s="184"/>
    </row>
    <row r="2613" spans="1:10">
      <c r="A2613" s="174"/>
      <c r="B2613" s="184"/>
      <c r="C2613" s="184"/>
      <c r="D2613" s="184"/>
      <c r="E2613" s="184"/>
      <c r="F2613" s="184"/>
      <c r="I2613" s="186"/>
      <c r="J2613" s="184"/>
    </row>
    <row r="2614" spans="1:10">
      <c r="A2614" s="174"/>
      <c r="B2614" s="184"/>
      <c r="C2614" s="184"/>
      <c r="D2614" s="184"/>
      <c r="E2614" s="184"/>
      <c r="F2614" s="184"/>
      <c r="I2614" s="186"/>
      <c r="J2614" s="184"/>
    </row>
    <row r="2615" spans="1:10">
      <c r="A2615" s="174"/>
      <c r="B2615" s="184"/>
      <c r="C2615" s="184"/>
      <c r="D2615" s="184"/>
      <c r="E2615" s="184"/>
      <c r="F2615" s="184"/>
      <c r="G2615" s="187"/>
      <c r="I2615" s="186"/>
      <c r="J2615" s="184"/>
    </row>
    <row r="2616" spans="1:10">
      <c r="A2616" s="174"/>
      <c r="B2616" s="184"/>
      <c r="C2616" s="184"/>
      <c r="D2616" s="184"/>
      <c r="E2616" s="184"/>
      <c r="F2616" s="184"/>
      <c r="I2616" s="186"/>
      <c r="J2616" s="184"/>
    </row>
    <row r="2617" spans="1:10">
      <c r="A2617" s="174"/>
      <c r="B2617" s="184"/>
      <c r="C2617" s="184"/>
      <c r="D2617" s="184"/>
      <c r="E2617" s="184"/>
      <c r="F2617" s="184"/>
      <c r="I2617" s="186"/>
      <c r="J2617" s="184"/>
    </row>
    <row r="2618" spans="1:10">
      <c r="A2618" s="174"/>
      <c r="B2618" s="184"/>
      <c r="C2618" s="184"/>
      <c r="D2618" s="184"/>
      <c r="E2618" s="184"/>
      <c r="F2618" s="184"/>
      <c r="I2618" s="186"/>
      <c r="J2618" s="184"/>
    </row>
    <row r="2619" spans="1:10">
      <c r="A2619" s="174"/>
      <c r="B2619" s="184"/>
      <c r="C2619" s="184"/>
      <c r="D2619" s="184"/>
      <c r="E2619" s="184"/>
      <c r="F2619" s="184"/>
      <c r="G2619" s="187"/>
      <c r="I2619" s="186"/>
      <c r="J2619" s="184"/>
    </row>
    <row r="2620" spans="1:10">
      <c r="A2620" s="174"/>
      <c r="B2620" s="184"/>
      <c r="C2620" s="184"/>
      <c r="D2620" s="184"/>
      <c r="E2620" s="184"/>
      <c r="F2620" s="184"/>
      <c r="G2620" s="187"/>
      <c r="I2620" s="186"/>
      <c r="J2620" s="184"/>
    </row>
    <row r="2621" spans="1:10">
      <c r="A2621" s="174"/>
      <c r="B2621" s="184"/>
      <c r="C2621" s="184"/>
      <c r="D2621" s="184"/>
      <c r="E2621" s="184"/>
      <c r="F2621" s="184"/>
      <c r="I2621" s="186"/>
      <c r="J2621" s="184"/>
    </row>
    <row r="2622" spans="1:10">
      <c r="A2622" s="174"/>
      <c r="B2622" s="184"/>
      <c r="C2622" s="184"/>
      <c r="D2622" s="184"/>
      <c r="E2622" s="184"/>
      <c r="F2622" s="184"/>
      <c r="I2622" s="186"/>
      <c r="J2622" s="184"/>
    </row>
    <row r="2623" spans="1:10">
      <c r="A2623" s="174"/>
      <c r="B2623" s="184"/>
      <c r="C2623" s="184"/>
      <c r="D2623" s="184"/>
      <c r="E2623" s="184"/>
      <c r="F2623" s="184"/>
      <c r="I2623" s="186"/>
      <c r="J2623" s="184"/>
    </row>
    <row r="2624" spans="1:10">
      <c r="A2624" s="174"/>
      <c r="B2624" s="184"/>
      <c r="C2624" s="184"/>
      <c r="D2624" s="184"/>
      <c r="E2624" s="184"/>
      <c r="F2624" s="184"/>
      <c r="I2624" s="186"/>
      <c r="J2624" s="184"/>
    </row>
    <row r="2625" spans="1:10">
      <c r="A2625" s="174"/>
      <c r="B2625" s="184"/>
      <c r="C2625" s="184"/>
      <c r="D2625" s="184"/>
      <c r="E2625" s="184"/>
      <c r="F2625" s="184"/>
      <c r="I2625" s="186"/>
      <c r="J2625" s="184"/>
    </row>
    <row r="2626" spans="1:10">
      <c r="A2626" s="174"/>
      <c r="B2626" s="184"/>
      <c r="C2626" s="184"/>
      <c r="D2626" s="184"/>
      <c r="E2626" s="184"/>
      <c r="F2626" s="184"/>
      <c r="I2626" s="186"/>
      <c r="J2626" s="184"/>
    </row>
    <row r="2627" spans="1:10">
      <c r="A2627" s="174"/>
      <c r="B2627" s="184"/>
      <c r="C2627" s="184"/>
      <c r="D2627" s="184"/>
      <c r="E2627" s="184"/>
      <c r="F2627" s="184"/>
      <c r="I2627" s="186"/>
      <c r="J2627" s="184"/>
    </row>
    <row r="2628" spans="1:10">
      <c r="A2628" s="174"/>
      <c r="B2628" s="184"/>
      <c r="C2628" s="184"/>
      <c r="D2628" s="184"/>
      <c r="E2628" s="184"/>
      <c r="F2628" s="184"/>
      <c r="I2628" s="186"/>
      <c r="J2628" s="184"/>
    </row>
    <row r="2629" spans="1:10">
      <c r="A2629" s="174"/>
      <c r="B2629" s="184"/>
      <c r="C2629" s="184"/>
      <c r="D2629" s="184"/>
      <c r="E2629" s="184"/>
      <c r="F2629" s="184"/>
      <c r="G2629" s="187"/>
      <c r="I2629" s="186"/>
      <c r="J2629" s="184"/>
    </row>
    <row r="2630" spans="1:10">
      <c r="A2630" s="174"/>
      <c r="B2630" s="184"/>
      <c r="C2630" s="184"/>
      <c r="D2630" s="184"/>
      <c r="E2630" s="184"/>
      <c r="F2630" s="184"/>
      <c r="G2630" s="187"/>
      <c r="I2630" s="186"/>
      <c r="J2630" s="184"/>
    </row>
    <row r="2631" spans="1:10">
      <c r="A2631" s="174"/>
      <c r="B2631" s="184"/>
      <c r="C2631" s="184"/>
      <c r="D2631" s="184"/>
      <c r="E2631" s="184"/>
      <c r="F2631" s="184"/>
      <c r="I2631" s="186"/>
      <c r="J2631" s="184"/>
    </row>
    <row r="2632" spans="1:10">
      <c r="A2632" s="174"/>
      <c r="B2632" s="184"/>
      <c r="C2632" s="184"/>
      <c r="D2632" s="184"/>
      <c r="E2632" s="184"/>
      <c r="F2632" s="184"/>
      <c r="I2632" s="186"/>
      <c r="J2632" s="184"/>
    </row>
    <row r="2633" spans="1:10">
      <c r="A2633" s="174"/>
      <c r="B2633" s="184"/>
      <c r="C2633" s="184"/>
      <c r="D2633" s="184"/>
      <c r="E2633" s="184"/>
      <c r="F2633" s="184"/>
      <c r="G2633" s="187"/>
      <c r="I2633" s="186"/>
      <c r="J2633" s="184"/>
    </row>
    <row r="2634" spans="1:10">
      <c r="A2634" s="174"/>
      <c r="B2634" s="184"/>
      <c r="C2634" s="184"/>
      <c r="D2634" s="184"/>
      <c r="E2634" s="184"/>
      <c r="F2634" s="184"/>
      <c r="G2634" s="187"/>
      <c r="I2634" s="186"/>
      <c r="J2634" s="184"/>
    </row>
    <row r="2635" spans="1:10">
      <c r="A2635" s="174"/>
      <c r="B2635" s="184"/>
      <c r="C2635" s="184"/>
      <c r="D2635" s="184"/>
      <c r="E2635" s="184"/>
      <c r="F2635" s="184"/>
      <c r="G2635" s="187"/>
      <c r="I2635" s="186"/>
      <c r="J2635" s="184"/>
    </row>
    <row r="2636" spans="1:10">
      <c r="A2636" s="174"/>
      <c r="B2636" s="184"/>
      <c r="C2636" s="184"/>
      <c r="D2636" s="184"/>
      <c r="E2636" s="184"/>
      <c r="F2636" s="184"/>
      <c r="G2636" s="187"/>
      <c r="I2636" s="186"/>
      <c r="J2636" s="184"/>
    </row>
    <row r="2637" spans="1:10">
      <c r="A2637" s="174"/>
      <c r="B2637" s="184"/>
      <c r="C2637" s="184"/>
      <c r="D2637" s="184"/>
      <c r="E2637" s="184"/>
      <c r="F2637" s="184"/>
      <c r="I2637" s="186"/>
      <c r="J2637" s="184"/>
    </row>
    <row r="2638" spans="1:10">
      <c r="A2638" s="174"/>
      <c r="B2638" s="184"/>
      <c r="C2638" s="184"/>
      <c r="D2638" s="184"/>
      <c r="E2638" s="184"/>
      <c r="F2638" s="184"/>
      <c r="G2638" s="187"/>
      <c r="I2638" s="186"/>
      <c r="J2638" s="184"/>
    </row>
    <row r="2639" spans="1:10">
      <c r="A2639" s="174"/>
      <c r="B2639" s="184"/>
      <c r="C2639" s="184"/>
      <c r="D2639" s="184"/>
      <c r="E2639" s="184"/>
      <c r="F2639" s="184"/>
      <c r="G2639" s="187"/>
      <c r="I2639" s="186"/>
      <c r="J2639" s="184"/>
    </row>
    <row r="2640" spans="1:10">
      <c r="A2640" s="174"/>
      <c r="B2640" s="184"/>
      <c r="C2640" s="184"/>
      <c r="D2640" s="184"/>
      <c r="E2640" s="184"/>
      <c r="F2640" s="184"/>
      <c r="I2640" s="186"/>
      <c r="J2640" s="184"/>
    </row>
    <row r="2641" spans="1:10">
      <c r="A2641" s="174"/>
      <c r="B2641" s="184"/>
      <c r="C2641" s="184"/>
      <c r="D2641" s="184"/>
      <c r="E2641" s="184"/>
      <c r="F2641" s="184"/>
      <c r="I2641" s="186"/>
      <c r="J2641" s="184"/>
    </row>
    <row r="2642" spans="1:10">
      <c r="A2642" s="174"/>
      <c r="B2642" s="184"/>
      <c r="C2642" s="184"/>
      <c r="D2642" s="184"/>
      <c r="E2642" s="184"/>
      <c r="F2642" s="184"/>
      <c r="I2642" s="186"/>
      <c r="J2642" s="184"/>
    </row>
    <row r="2643" spans="1:10">
      <c r="A2643" s="174"/>
      <c r="B2643" s="184"/>
      <c r="C2643" s="184"/>
      <c r="D2643" s="184"/>
      <c r="E2643" s="184"/>
      <c r="F2643" s="184"/>
      <c r="I2643" s="186"/>
      <c r="J2643" s="184"/>
    </row>
    <row r="2644" spans="1:10">
      <c r="A2644" s="174"/>
      <c r="B2644" s="184"/>
      <c r="C2644" s="184"/>
      <c r="D2644" s="184"/>
      <c r="E2644" s="184"/>
      <c r="F2644" s="184"/>
      <c r="I2644" s="186"/>
      <c r="J2644" s="184"/>
    </row>
    <row r="2645" spans="1:10">
      <c r="A2645" s="174"/>
      <c r="B2645" s="184"/>
      <c r="C2645" s="184"/>
      <c r="D2645" s="184"/>
      <c r="E2645" s="184"/>
      <c r="F2645" s="184"/>
      <c r="I2645" s="186"/>
      <c r="J2645" s="184"/>
    </row>
    <row r="2646" spans="1:10">
      <c r="A2646" s="174"/>
      <c r="B2646" s="184"/>
      <c r="C2646" s="184"/>
      <c r="D2646" s="184"/>
      <c r="E2646" s="184"/>
      <c r="F2646" s="184"/>
      <c r="I2646" s="186"/>
      <c r="J2646" s="184"/>
    </row>
    <row r="2647" spans="1:10">
      <c r="A2647" s="174"/>
      <c r="B2647" s="184"/>
      <c r="C2647" s="184"/>
      <c r="D2647" s="184"/>
      <c r="E2647" s="184"/>
      <c r="F2647" s="184"/>
      <c r="I2647" s="186"/>
      <c r="J2647" s="184"/>
    </row>
    <row r="2648" spans="1:10">
      <c r="A2648" s="174"/>
      <c r="B2648" s="184"/>
      <c r="C2648" s="184"/>
      <c r="D2648" s="184"/>
      <c r="E2648" s="184"/>
      <c r="F2648" s="184"/>
      <c r="G2648" s="187"/>
      <c r="I2648" s="186"/>
      <c r="J2648" s="184"/>
    </row>
    <row r="2649" spans="1:10">
      <c r="A2649" s="174"/>
      <c r="B2649" s="184"/>
      <c r="C2649" s="184"/>
      <c r="D2649" s="184"/>
      <c r="E2649" s="184"/>
      <c r="F2649" s="184"/>
      <c r="I2649" s="186"/>
      <c r="J2649" s="184"/>
    </row>
    <row r="2650" spans="1:10">
      <c r="A2650" s="174"/>
      <c r="B2650" s="184"/>
      <c r="C2650" s="184"/>
      <c r="D2650" s="184"/>
      <c r="E2650" s="184"/>
      <c r="F2650" s="184"/>
      <c r="I2650" s="186"/>
      <c r="J2650" s="184"/>
    </row>
    <row r="2651" spans="1:10">
      <c r="A2651" s="174"/>
      <c r="B2651" s="184"/>
      <c r="C2651" s="184"/>
      <c r="D2651" s="184"/>
      <c r="E2651" s="184"/>
      <c r="F2651" s="184"/>
      <c r="I2651" s="186"/>
      <c r="J2651" s="184"/>
    </row>
    <row r="2652" spans="1:10">
      <c r="A2652" s="174"/>
      <c r="B2652" s="184"/>
      <c r="C2652" s="184"/>
      <c r="D2652" s="184"/>
      <c r="E2652" s="184"/>
      <c r="F2652" s="184"/>
      <c r="I2652" s="186"/>
      <c r="J2652" s="184"/>
    </row>
    <row r="2653" spans="1:10">
      <c r="A2653" s="174"/>
      <c r="B2653" s="184"/>
      <c r="C2653" s="184"/>
      <c r="D2653" s="184"/>
      <c r="E2653" s="184"/>
      <c r="F2653" s="184"/>
      <c r="I2653" s="186"/>
      <c r="J2653" s="184"/>
    </row>
    <row r="2654" spans="1:10">
      <c r="A2654" s="174"/>
      <c r="B2654" s="184"/>
      <c r="C2654" s="184"/>
      <c r="D2654" s="184"/>
      <c r="E2654" s="184"/>
      <c r="F2654" s="184"/>
      <c r="I2654" s="186"/>
      <c r="J2654" s="184"/>
    </row>
    <row r="2655" spans="1:10">
      <c r="A2655" s="174"/>
      <c r="B2655" s="184"/>
      <c r="C2655" s="184"/>
      <c r="D2655" s="184"/>
      <c r="E2655" s="184"/>
      <c r="F2655" s="184"/>
      <c r="I2655" s="186"/>
      <c r="J2655" s="184"/>
    </row>
    <row r="2656" spans="1:10">
      <c r="A2656" s="174"/>
      <c r="B2656" s="184"/>
      <c r="C2656" s="184"/>
      <c r="D2656" s="184"/>
      <c r="E2656" s="184"/>
      <c r="F2656" s="184"/>
      <c r="I2656" s="186"/>
      <c r="J2656" s="184"/>
    </row>
    <row r="2657" spans="1:10">
      <c r="A2657" s="174"/>
      <c r="B2657" s="184"/>
      <c r="C2657" s="184"/>
      <c r="D2657" s="184"/>
      <c r="E2657" s="184"/>
      <c r="F2657" s="184"/>
      <c r="I2657" s="186"/>
      <c r="J2657" s="184"/>
    </row>
    <row r="2658" spans="1:10">
      <c r="A2658" s="174"/>
      <c r="B2658" s="184"/>
      <c r="C2658" s="184"/>
      <c r="D2658" s="184"/>
      <c r="E2658" s="184"/>
      <c r="F2658" s="184"/>
      <c r="I2658" s="186"/>
      <c r="J2658" s="184"/>
    </row>
    <row r="2659" spans="1:10">
      <c r="A2659" s="174"/>
      <c r="B2659" s="184"/>
      <c r="C2659" s="184"/>
      <c r="D2659" s="184"/>
      <c r="E2659" s="184"/>
      <c r="F2659" s="184"/>
      <c r="I2659" s="186"/>
      <c r="J2659" s="184"/>
    </row>
    <row r="2660" spans="1:10">
      <c r="A2660" s="174"/>
      <c r="B2660" s="184"/>
      <c r="C2660" s="184"/>
      <c r="D2660" s="184"/>
      <c r="E2660" s="184"/>
      <c r="F2660" s="184"/>
      <c r="I2660" s="186"/>
      <c r="J2660" s="184"/>
    </row>
    <row r="2661" spans="1:10">
      <c r="A2661" s="174"/>
      <c r="B2661" s="184"/>
      <c r="C2661" s="184"/>
      <c r="D2661" s="184"/>
      <c r="E2661" s="184"/>
      <c r="F2661" s="184"/>
      <c r="I2661" s="186"/>
      <c r="J2661" s="184"/>
    </row>
    <row r="2662" spans="1:10">
      <c r="A2662" s="174"/>
      <c r="B2662" s="184"/>
      <c r="C2662" s="184"/>
      <c r="D2662" s="184"/>
      <c r="E2662" s="184"/>
      <c r="F2662" s="184"/>
      <c r="I2662" s="186"/>
      <c r="J2662" s="184"/>
    </row>
    <row r="2663" spans="1:10">
      <c r="A2663" s="174"/>
      <c r="B2663" s="184"/>
      <c r="C2663" s="184"/>
      <c r="D2663" s="184"/>
      <c r="E2663" s="184"/>
      <c r="F2663" s="184"/>
      <c r="I2663" s="186"/>
      <c r="J2663" s="184"/>
    </row>
    <row r="2664" spans="1:10">
      <c r="A2664" s="174"/>
      <c r="B2664" s="184"/>
      <c r="C2664" s="184"/>
      <c r="D2664" s="184"/>
      <c r="E2664" s="184"/>
      <c r="F2664" s="184"/>
      <c r="I2664" s="186"/>
      <c r="J2664" s="184"/>
    </row>
    <row r="2665" spans="1:10">
      <c r="A2665" s="174"/>
      <c r="B2665" s="184"/>
      <c r="C2665" s="184"/>
      <c r="D2665" s="184"/>
      <c r="E2665" s="184"/>
      <c r="F2665" s="184"/>
      <c r="I2665" s="186"/>
      <c r="J2665" s="184"/>
    </row>
    <row r="2666" spans="1:10">
      <c r="A2666" s="174"/>
      <c r="B2666" s="184"/>
      <c r="C2666" s="184"/>
      <c r="D2666" s="184"/>
      <c r="E2666" s="184"/>
      <c r="F2666" s="184"/>
      <c r="I2666" s="186"/>
      <c r="J2666" s="184"/>
    </row>
    <row r="2667" spans="1:10">
      <c r="A2667" s="174"/>
      <c r="B2667" s="184"/>
      <c r="C2667" s="184"/>
      <c r="D2667" s="184"/>
      <c r="E2667" s="184"/>
      <c r="F2667" s="184"/>
      <c r="I2667" s="186"/>
      <c r="J2667" s="184"/>
    </row>
    <row r="2668" spans="1:10">
      <c r="A2668" s="174"/>
      <c r="B2668" s="184"/>
      <c r="C2668" s="184"/>
      <c r="D2668" s="184"/>
      <c r="E2668" s="184"/>
      <c r="F2668" s="184"/>
      <c r="I2668" s="186"/>
      <c r="J2668" s="184"/>
    </row>
    <row r="2669" spans="1:10">
      <c r="A2669" s="174"/>
      <c r="B2669" s="184"/>
      <c r="C2669" s="184"/>
      <c r="D2669" s="184"/>
      <c r="E2669" s="184"/>
      <c r="F2669" s="184"/>
      <c r="I2669" s="186"/>
      <c r="J2669" s="184"/>
    </row>
    <row r="2670" spans="1:10">
      <c r="A2670" s="174"/>
      <c r="B2670" s="184"/>
      <c r="C2670" s="184"/>
      <c r="D2670" s="184"/>
      <c r="E2670" s="184"/>
      <c r="F2670" s="184"/>
      <c r="I2670" s="186"/>
      <c r="J2670" s="184"/>
    </row>
    <row r="2671" spans="1:10">
      <c r="A2671" s="174"/>
      <c r="B2671" s="184"/>
      <c r="C2671" s="184"/>
      <c r="D2671" s="184"/>
      <c r="E2671" s="184"/>
      <c r="F2671" s="184"/>
      <c r="I2671" s="186"/>
      <c r="J2671" s="184"/>
    </row>
    <row r="2672" spans="1:10">
      <c r="A2672" s="174"/>
      <c r="B2672" s="184"/>
      <c r="C2672" s="184"/>
      <c r="D2672" s="184"/>
      <c r="E2672" s="184"/>
      <c r="F2672" s="184"/>
      <c r="G2672" s="187"/>
      <c r="I2672" s="186"/>
      <c r="J2672" s="184"/>
    </row>
    <row r="2673" spans="1:10">
      <c r="A2673" s="174"/>
      <c r="B2673" s="184"/>
      <c r="C2673" s="184"/>
      <c r="D2673" s="184"/>
      <c r="E2673" s="184"/>
      <c r="F2673" s="184"/>
      <c r="G2673" s="187"/>
      <c r="I2673" s="186"/>
      <c r="J2673" s="184"/>
    </row>
    <row r="2674" spans="1:10">
      <c r="A2674" s="174"/>
      <c r="B2674" s="184"/>
      <c r="C2674" s="184"/>
      <c r="D2674" s="184"/>
      <c r="E2674" s="184"/>
      <c r="F2674" s="184"/>
      <c r="I2674" s="186"/>
      <c r="J2674" s="184"/>
    </row>
    <row r="2675" spans="1:10">
      <c r="A2675" s="174"/>
      <c r="B2675" s="184"/>
      <c r="C2675" s="184"/>
      <c r="D2675" s="184"/>
      <c r="E2675" s="184"/>
      <c r="F2675" s="184"/>
      <c r="I2675" s="186"/>
      <c r="J2675" s="184"/>
    </row>
    <row r="2676" spans="1:10">
      <c r="A2676" s="174"/>
      <c r="B2676" s="184"/>
      <c r="C2676" s="184"/>
      <c r="D2676" s="184"/>
      <c r="E2676" s="184"/>
      <c r="F2676" s="184"/>
      <c r="G2676" s="187"/>
      <c r="I2676" s="186"/>
      <c r="J2676" s="184"/>
    </row>
    <row r="2677" spans="1:10">
      <c r="A2677" s="174"/>
      <c r="B2677" s="184"/>
      <c r="C2677" s="184"/>
      <c r="D2677" s="184"/>
      <c r="E2677" s="184"/>
      <c r="F2677" s="184"/>
      <c r="G2677" s="187"/>
      <c r="I2677" s="186"/>
      <c r="J2677" s="184"/>
    </row>
    <row r="2678" spans="1:10">
      <c r="A2678" s="174"/>
      <c r="B2678" s="184"/>
      <c r="C2678" s="184"/>
      <c r="D2678" s="184"/>
      <c r="E2678" s="184"/>
      <c r="F2678" s="184"/>
      <c r="I2678" s="186"/>
      <c r="J2678" s="184"/>
    </row>
    <row r="2679" spans="1:10">
      <c r="A2679" s="174"/>
      <c r="B2679" s="184"/>
      <c r="C2679" s="184"/>
      <c r="D2679" s="184"/>
      <c r="E2679" s="184"/>
      <c r="F2679" s="184"/>
      <c r="I2679" s="186"/>
      <c r="J2679" s="184"/>
    </row>
    <row r="2680" spans="1:10">
      <c r="A2680" s="174"/>
      <c r="B2680" s="184"/>
      <c r="C2680" s="184"/>
      <c r="D2680" s="184"/>
      <c r="E2680" s="184"/>
      <c r="F2680" s="184"/>
      <c r="I2680" s="186"/>
      <c r="J2680" s="184"/>
    </row>
    <row r="2681" spans="1:10">
      <c r="A2681" s="174"/>
      <c r="B2681" s="184"/>
      <c r="C2681" s="184"/>
      <c r="D2681" s="184"/>
      <c r="E2681" s="184"/>
      <c r="F2681" s="184"/>
      <c r="I2681" s="186"/>
      <c r="J2681" s="184"/>
    </row>
    <row r="2682" spans="1:10">
      <c r="A2682" s="174"/>
      <c r="B2682" s="184"/>
      <c r="C2682" s="184"/>
      <c r="D2682" s="184"/>
      <c r="E2682" s="184"/>
      <c r="F2682" s="184"/>
      <c r="I2682" s="186"/>
      <c r="J2682" s="184"/>
    </row>
    <row r="2683" spans="1:10">
      <c r="A2683" s="174"/>
      <c r="B2683" s="184"/>
      <c r="C2683" s="184"/>
      <c r="D2683" s="184"/>
      <c r="E2683" s="184"/>
      <c r="F2683" s="184"/>
      <c r="I2683" s="186"/>
      <c r="J2683" s="184"/>
    </row>
    <row r="2684" spans="1:10">
      <c r="A2684" s="174"/>
      <c r="B2684" s="184"/>
      <c r="C2684" s="184"/>
      <c r="D2684" s="184"/>
      <c r="E2684" s="184"/>
      <c r="F2684" s="184"/>
      <c r="I2684" s="186"/>
      <c r="J2684" s="184"/>
    </row>
    <row r="2685" spans="1:10">
      <c r="A2685" s="174"/>
      <c r="B2685" s="184"/>
      <c r="C2685" s="184"/>
      <c r="D2685" s="184"/>
      <c r="E2685" s="184"/>
      <c r="F2685" s="184"/>
      <c r="I2685" s="186"/>
      <c r="J2685" s="184"/>
    </row>
    <row r="2686" spans="1:10">
      <c r="A2686" s="174"/>
      <c r="B2686" s="184"/>
      <c r="C2686" s="184"/>
      <c r="D2686" s="184"/>
      <c r="E2686" s="184"/>
      <c r="F2686" s="184"/>
      <c r="I2686" s="186"/>
      <c r="J2686" s="184"/>
    </row>
    <row r="2687" spans="1:10">
      <c r="A2687" s="174"/>
      <c r="B2687" s="184"/>
      <c r="C2687" s="184"/>
      <c r="D2687" s="184"/>
      <c r="E2687" s="184"/>
      <c r="F2687" s="184"/>
      <c r="I2687" s="186"/>
      <c r="J2687" s="184"/>
    </row>
    <row r="2688" spans="1:10">
      <c r="A2688" s="174"/>
      <c r="B2688" s="184"/>
      <c r="C2688" s="184"/>
      <c r="D2688" s="184"/>
      <c r="E2688" s="184"/>
      <c r="F2688" s="184"/>
      <c r="I2688" s="186"/>
      <c r="J2688" s="184"/>
    </row>
    <row r="2689" spans="1:10">
      <c r="A2689" s="174"/>
      <c r="B2689" s="184"/>
      <c r="C2689" s="184"/>
      <c r="D2689" s="184"/>
      <c r="E2689" s="184"/>
      <c r="F2689" s="184"/>
      <c r="I2689" s="186"/>
      <c r="J2689" s="184"/>
    </row>
    <row r="2690" spans="1:10">
      <c r="A2690" s="174"/>
      <c r="B2690" s="184"/>
      <c r="C2690" s="184"/>
      <c r="D2690" s="184"/>
      <c r="E2690" s="184"/>
      <c r="F2690" s="184"/>
      <c r="I2690" s="186"/>
      <c r="J2690" s="184"/>
    </row>
    <row r="2691" spans="1:10">
      <c r="A2691" s="174"/>
      <c r="B2691" s="184"/>
      <c r="C2691" s="184"/>
      <c r="D2691" s="184"/>
      <c r="E2691" s="184"/>
      <c r="F2691" s="184"/>
      <c r="I2691" s="186"/>
      <c r="J2691" s="184"/>
    </row>
    <row r="2692" spans="1:10">
      <c r="A2692" s="174"/>
      <c r="B2692" s="184"/>
      <c r="C2692" s="184"/>
      <c r="D2692" s="184"/>
      <c r="E2692" s="184"/>
      <c r="F2692" s="184"/>
      <c r="G2692" s="187"/>
      <c r="I2692" s="186"/>
      <c r="J2692" s="184"/>
    </row>
    <row r="2693" spans="1:10">
      <c r="A2693" s="174"/>
      <c r="B2693" s="184"/>
      <c r="C2693" s="184"/>
      <c r="D2693" s="184"/>
      <c r="E2693" s="184"/>
      <c r="F2693" s="184"/>
      <c r="I2693" s="186"/>
      <c r="J2693" s="184"/>
    </row>
    <row r="2694" spans="1:10">
      <c r="A2694" s="174"/>
      <c r="B2694" s="184"/>
      <c r="C2694" s="184"/>
      <c r="D2694" s="184"/>
      <c r="E2694" s="184"/>
      <c r="F2694" s="184"/>
      <c r="I2694" s="186"/>
      <c r="J2694" s="184"/>
    </row>
    <row r="2695" spans="1:10">
      <c r="A2695" s="174"/>
      <c r="B2695" s="184"/>
      <c r="C2695" s="184"/>
      <c r="D2695" s="184"/>
      <c r="E2695" s="184"/>
      <c r="F2695" s="184"/>
      <c r="G2695" s="187"/>
      <c r="I2695" s="186"/>
      <c r="J2695" s="184"/>
    </row>
    <row r="2696" spans="1:10">
      <c r="A2696" s="174"/>
      <c r="B2696" s="184"/>
      <c r="C2696" s="184"/>
      <c r="D2696" s="184"/>
      <c r="E2696" s="184"/>
      <c r="F2696" s="184"/>
      <c r="G2696" s="187"/>
      <c r="I2696" s="186"/>
      <c r="J2696" s="184"/>
    </row>
    <row r="2697" spans="1:10">
      <c r="A2697" s="174"/>
      <c r="B2697" s="184"/>
      <c r="C2697" s="184"/>
      <c r="D2697" s="184"/>
      <c r="E2697" s="184"/>
      <c r="F2697" s="184"/>
      <c r="G2697" s="187"/>
      <c r="I2697" s="186"/>
      <c r="J2697" s="184"/>
    </row>
    <row r="2698" spans="1:10">
      <c r="A2698" s="174"/>
      <c r="B2698" s="184"/>
      <c r="C2698" s="184"/>
      <c r="D2698" s="184"/>
      <c r="E2698" s="184"/>
      <c r="F2698" s="184"/>
      <c r="G2698" s="187"/>
      <c r="I2698" s="186"/>
      <c r="J2698" s="184"/>
    </row>
    <row r="2699" spans="1:10">
      <c r="A2699" s="174"/>
      <c r="B2699" s="184"/>
      <c r="C2699" s="184"/>
      <c r="D2699" s="184"/>
      <c r="E2699" s="184"/>
      <c r="F2699" s="184"/>
      <c r="G2699" s="187"/>
      <c r="I2699" s="186"/>
      <c r="J2699" s="184"/>
    </row>
    <row r="2700" spans="1:10">
      <c r="A2700" s="174"/>
      <c r="B2700" s="184"/>
      <c r="C2700" s="184"/>
      <c r="D2700" s="184"/>
      <c r="E2700" s="184"/>
      <c r="F2700" s="184"/>
      <c r="G2700" s="187"/>
      <c r="I2700" s="186"/>
      <c r="J2700" s="184"/>
    </row>
    <row r="2701" spans="1:10">
      <c r="A2701" s="174"/>
      <c r="B2701" s="184"/>
      <c r="C2701" s="184"/>
      <c r="D2701" s="184"/>
      <c r="E2701" s="184"/>
      <c r="F2701" s="184"/>
      <c r="G2701" s="187"/>
      <c r="I2701" s="186"/>
      <c r="J2701" s="184"/>
    </row>
    <row r="2702" spans="1:10">
      <c r="A2702" s="174"/>
      <c r="B2702" s="184"/>
      <c r="C2702" s="184"/>
      <c r="D2702" s="184"/>
      <c r="E2702" s="184"/>
      <c r="F2702" s="184"/>
      <c r="G2702" s="187"/>
      <c r="I2702" s="186"/>
      <c r="J2702" s="184"/>
    </row>
    <row r="2703" spans="1:10">
      <c r="A2703" s="174"/>
      <c r="B2703" s="184"/>
      <c r="C2703" s="184"/>
      <c r="D2703" s="184"/>
      <c r="E2703" s="184"/>
      <c r="F2703" s="184"/>
      <c r="G2703" s="187"/>
      <c r="I2703" s="186"/>
      <c r="J2703" s="184"/>
    </row>
    <row r="2704" spans="1:10">
      <c r="A2704" s="174"/>
      <c r="B2704" s="184"/>
      <c r="C2704" s="184"/>
      <c r="D2704" s="184"/>
      <c r="E2704" s="184"/>
      <c r="F2704" s="184"/>
      <c r="G2704" s="187"/>
      <c r="I2704" s="186"/>
      <c r="J2704" s="184"/>
    </row>
    <row r="2705" spans="1:10">
      <c r="A2705" s="174"/>
      <c r="B2705" s="184"/>
      <c r="C2705" s="184"/>
      <c r="D2705" s="184"/>
      <c r="E2705" s="184"/>
      <c r="F2705" s="184"/>
      <c r="G2705" s="187"/>
      <c r="I2705" s="186"/>
      <c r="J2705" s="184"/>
    </row>
    <row r="2706" spans="1:10">
      <c r="A2706" s="174"/>
      <c r="B2706" s="184"/>
      <c r="C2706" s="184"/>
      <c r="D2706" s="184"/>
      <c r="E2706" s="184"/>
      <c r="F2706" s="184"/>
      <c r="I2706" s="186"/>
      <c r="J2706" s="184"/>
    </row>
    <row r="2707" spans="1:10">
      <c r="A2707" s="174"/>
      <c r="B2707" s="184"/>
      <c r="C2707" s="184"/>
      <c r="D2707" s="184"/>
      <c r="E2707" s="184"/>
      <c r="F2707" s="184"/>
      <c r="I2707" s="186"/>
      <c r="J2707" s="184"/>
    </row>
    <row r="2708" spans="1:10">
      <c r="A2708" s="174"/>
      <c r="B2708" s="184"/>
      <c r="C2708" s="184"/>
      <c r="D2708" s="184"/>
      <c r="E2708" s="184"/>
      <c r="F2708" s="184"/>
      <c r="I2708" s="186"/>
      <c r="J2708" s="184"/>
    </row>
    <row r="2709" spans="1:10">
      <c r="A2709" s="174"/>
      <c r="B2709" s="184"/>
      <c r="C2709" s="184"/>
      <c r="D2709" s="184"/>
      <c r="E2709" s="184"/>
      <c r="F2709" s="184"/>
      <c r="G2709" s="187"/>
      <c r="I2709" s="186"/>
      <c r="J2709" s="184"/>
    </row>
    <row r="2710" spans="1:10">
      <c r="A2710" s="174"/>
      <c r="B2710" s="184"/>
      <c r="C2710" s="184"/>
      <c r="D2710" s="184"/>
      <c r="E2710" s="184"/>
      <c r="F2710" s="184"/>
      <c r="G2710" s="187"/>
      <c r="I2710" s="186"/>
      <c r="J2710" s="184"/>
    </row>
    <row r="2711" spans="1:10">
      <c r="A2711" s="174"/>
      <c r="B2711" s="184"/>
      <c r="C2711" s="184"/>
      <c r="D2711" s="184"/>
      <c r="E2711" s="184"/>
      <c r="F2711" s="184"/>
      <c r="G2711" s="187"/>
      <c r="I2711" s="186"/>
      <c r="J2711" s="184"/>
    </row>
    <row r="2712" spans="1:10">
      <c r="A2712" s="174"/>
      <c r="B2712" s="184"/>
      <c r="C2712" s="184"/>
      <c r="D2712" s="184"/>
      <c r="E2712" s="184"/>
      <c r="F2712" s="184"/>
      <c r="G2712" s="187"/>
      <c r="I2712" s="186"/>
      <c r="J2712" s="184"/>
    </row>
    <row r="2713" spans="1:10">
      <c r="A2713" s="174"/>
      <c r="B2713" s="184"/>
      <c r="C2713" s="184"/>
      <c r="D2713" s="184"/>
      <c r="E2713" s="184"/>
      <c r="F2713" s="184"/>
      <c r="I2713" s="186"/>
      <c r="J2713" s="184"/>
    </row>
    <row r="2714" spans="1:10">
      <c r="A2714" s="174"/>
      <c r="B2714" s="184"/>
      <c r="C2714" s="184"/>
      <c r="D2714" s="184"/>
      <c r="E2714" s="184"/>
      <c r="F2714" s="184"/>
      <c r="I2714" s="186"/>
      <c r="J2714" s="184"/>
    </row>
    <row r="2715" spans="1:10">
      <c r="A2715" s="174"/>
      <c r="B2715" s="184"/>
      <c r="C2715" s="184"/>
      <c r="D2715" s="184"/>
      <c r="E2715" s="184"/>
      <c r="F2715" s="184"/>
      <c r="G2715" s="187"/>
      <c r="I2715" s="186"/>
      <c r="J2715" s="184"/>
    </row>
    <row r="2716" spans="1:10">
      <c r="A2716" s="174"/>
      <c r="B2716" s="184"/>
      <c r="C2716" s="184"/>
      <c r="D2716" s="184"/>
      <c r="E2716" s="184"/>
      <c r="F2716" s="184"/>
      <c r="G2716" s="187"/>
      <c r="I2716" s="186"/>
      <c r="J2716" s="184"/>
    </row>
    <row r="2717" spans="1:10">
      <c r="A2717" s="174"/>
      <c r="B2717" s="184"/>
      <c r="C2717" s="184"/>
      <c r="D2717" s="184"/>
      <c r="E2717" s="184"/>
      <c r="F2717" s="184"/>
      <c r="G2717" s="187"/>
      <c r="I2717" s="186"/>
      <c r="J2717" s="184"/>
    </row>
    <row r="2718" spans="1:10">
      <c r="A2718" s="174"/>
      <c r="B2718" s="184"/>
      <c r="C2718" s="184"/>
      <c r="D2718" s="184"/>
      <c r="E2718" s="184"/>
      <c r="F2718" s="184"/>
      <c r="G2718" s="187"/>
      <c r="I2718" s="186"/>
      <c r="J2718" s="184"/>
    </row>
    <row r="2719" spans="1:10">
      <c r="A2719" s="174"/>
      <c r="B2719" s="184"/>
      <c r="C2719" s="184"/>
      <c r="D2719" s="184"/>
      <c r="E2719" s="184"/>
      <c r="F2719" s="184"/>
      <c r="G2719" s="187"/>
      <c r="I2719" s="186"/>
      <c r="J2719" s="184"/>
    </row>
    <row r="2720" spans="1:10">
      <c r="A2720" s="174"/>
      <c r="B2720" s="184"/>
      <c r="C2720" s="184"/>
      <c r="D2720" s="184"/>
      <c r="E2720" s="184"/>
      <c r="F2720" s="184"/>
      <c r="G2720" s="187"/>
      <c r="I2720" s="186"/>
      <c r="J2720" s="184"/>
    </row>
    <row r="2721" spans="1:10">
      <c r="A2721" s="174"/>
      <c r="B2721" s="184"/>
      <c r="C2721" s="184"/>
      <c r="D2721" s="184"/>
      <c r="E2721" s="184"/>
      <c r="F2721" s="184"/>
      <c r="G2721" s="187"/>
      <c r="I2721" s="186"/>
      <c r="J2721" s="184"/>
    </row>
    <row r="2722" spans="1:10">
      <c r="A2722" s="174"/>
      <c r="B2722" s="184"/>
      <c r="C2722" s="184"/>
      <c r="D2722" s="184"/>
      <c r="E2722" s="184"/>
      <c r="F2722" s="184"/>
      <c r="G2722" s="187"/>
      <c r="I2722" s="186"/>
      <c r="J2722" s="184"/>
    </row>
    <row r="2723" spans="1:10">
      <c r="A2723" s="174"/>
      <c r="B2723" s="184"/>
      <c r="C2723" s="184"/>
      <c r="D2723" s="184"/>
      <c r="E2723" s="184"/>
      <c r="F2723" s="184"/>
      <c r="G2723" s="187"/>
      <c r="I2723" s="186"/>
      <c r="J2723" s="184"/>
    </row>
    <row r="2724" spans="1:10">
      <c r="A2724" s="174"/>
      <c r="B2724" s="184"/>
      <c r="C2724" s="184"/>
      <c r="D2724" s="184"/>
      <c r="E2724" s="184"/>
      <c r="F2724" s="184"/>
      <c r="I2724" s="186"/>
      <c r="J2724" s="184"/>
    </row>
    <row r="2725" spans="1:10">
      <c r="A2725" s="174"/>
      <c r="B2725" s="184"/>
      <c r="C2725" s="184"/>
      <c r="D2725" s="184"/>
      <c r="E2725" s="184"/>
      <c r="F2725" s="184"/>
      <c r="I2725" s="186"/>
      <c r="J2725" s="184"/>
    </row>
    <row r="2726" spans="1:10">
      <c r="A2726" s="174"/>
      <c r="B2726" s="184"/>
      <c r="C2726" s="184"/>
      <c r="D2726" s="184"/>
      <c r="E2726" s="184"/>
      <c r="F2726" s="184"/>
      <c r="I2726" s="186"/>
      <c r="J2726" s="184"/>
    </row>
    <row r="2727" spans="1:10">
      <c r="A2727" s="174"/>
      <c r="B2727" s="184"/>
      <c r="C2727" s="184"/>
      <c r="D2727" s="184"/>
      <c r="E2727" s="184"/>
      <c r="F2727" s="184"/>
      <c r="I2727" s="186"/>
      <c r="J2727" s="184"/>
    </row>
    <row r="2728" spans="1:10">
      <c r="A2728" s="174"/>
      <c r="B2728" s="184"/>
      <c r="C2728" s="184"/>
      <c r="D2728" s="184"/>
      <c r="E2728" s="184"/>
      <c r="F2728" s="184"/>
      <c r="I2728" s="186"/>
      <c r="J2728" s="184"/>
    </row>
    <row r="2729" spans="1:10">
      <c r="A2729" s="174"/>
      <c r="B2729" s="184"/>
      <c r="C2729" s="184"/>
      <c r="D2729" s="184"/>
      <c r="E2729" s="184"/>
      <c r="F2729" s="184"/>
      <c r="G2729" s="187"/>
      <c r="I2729" s="186"/>
      <c r="J2729" s="184"/>
    </row>
    <row r="2730" spans="1:10">
      <c r="A2730" s="174"/>
      <c r="B2730" s="184"/>
      <c r="C2730" s="184"/>
      <c r="D2730" s="184"/>
      <c r="E2730" s="184"/>
      <c r="F2730" s="184"/>
      <c r="G2730" s="187"/>
      <c r="I2730" s="186"/>
      <c r="J2730" s="184"/>
    </row>
    <row r="2731" spans="1:10">
      <c r="A2731" s="174"/>
      <c r="B2731" s="184"/>
      <c r="C2731" s="184"/>
      <c r="D2731" s="184"/>
      <c r="E2731" s="184"/>
      <c r="F2731" s="184"/>
      <c r="I2731" s="186"/>
      <c r="J2731" s="184"/>
    </row>
    <row r="2732" spans="1:10">
      <c r="A2732" s="174"/>
      <c r="B2732" s="184"/>
      <c r="C2732" s="184"/>
      <c r="D2732" s="184"/>
      <c r="E2732" s="184"/>
      <c r="F2732" s="184"/>
      <c r="G2732" s="187"/>
      <c r="I2732" s="186"/>
      <c r="J2732" s="184"/>
    </row>
    <row r="2733" spans="1:10">
      <c r="A2733" s="174"/>
      <c r="B2733" s="184"/>
      <c r="C2733" s="184"/>
      <c r="D2733" s="184"/>
      <c r="E2733" s="184"/>
      <c r="F2733" s="184"/>
      <c r="I2733" s="186"/>
      <c r="J2733" s="184"/>
    </row>
    <row r="2734" spans="1:10">
      <c r="A2734" s="174"/>
      <c r="B2734" s="184"/>
      <c r="C2734" s="184"/>
      <c r="D2734" s="184"/>
      <c r="E2734" s="184"/>
      <c r="F2734" s="184"/>
      <c r="G2734" s="187"/>
      <c r="I2734" s="186"/>
      <c r="J2734" s="184"/>
    </row>
    <row r="2735" spans="1:10">
      <c r="A2735" s="174"/>
      <c r="B2735" s="184"/>
      <c r="C2735" s="184"/>
      <c r="D2735" s="184"/>
      <c r="E2735" s="184"/>
      <c r="F2735" s="184"/>
      <c r="I2735" s="186"/>
      <c r="J2735" s="184"/>
    </row>
    <row r="2736" spans="1:10">
      <c r="A2736" s="174"/>
      <c r="B2736" s="184"/>
      <c r="C2736" s="184"/>
      <c r="D2736" s="184"/>
      <c r="E2736" s="184"/>
      <c r="F2736" s="184"/>
      <c r="I2736" s="186"/>
      <c r="J2736" s="184"/>
    </row>
    <row r="2737" spans="1:10">
      <c r="A2737" s="174"/>
      <c r="B2737" s="184"/>
      <c r="C2737" s="184"/>
      <c r="D2737" s="184"/>
      <c r="E2737" s="184"/>
      <c r="F2737" s="184"/>
      <c r="G2737" s="187"/>
      <c r="I2737" s="186"/>
      <c r="J2737" s="184"/>
    </row>
    <row r="2738" spans="1:10">
      <c r="A2738" s="174"/>
      <c r="B2738" s="184"/>
      <c r="C2738" s="184"/>
      <c r="D2738" s="184"/>
      <c r="E2738" s="184"/>
      <c r="F2738" s="184"/>
      <c r="I2738" s="186"/>
      <c r="J2738" s="184"/>
    </row>
    <row r="2739" spans="1:10">
      <c r="A2739" s="174"/>
      <c r="B2739" s="184"/>
      <c r="C2739" s="184"/>
      <c r="D2739" s="184"/>
      <c r="E2739" s="184"/>
      <c r="F2739" s="184"/>
      <c r="I2739" s="186"/>
      <c r="J2739" s="184"/>
    </row>
    <row r="2740" spans="1:10">
      <c r="A2740" s="174"/>
      <c r="B2740" s="184"/>
      <c r="C2740" s="184"/>
      <c r="D2740" s="184"/>
      <c r="E2740" s="184"/>
      <c r="F2740" s="184"/>
      <c r="G2740" s="187"/>
      <c r="I2740" s="186"/>
      <c r="J2740" s="184"/>
    </row>
    <row r="2741" spans="1:10">
      <c r="A2741" s="174"/>
      <c r="B2741" s="184"/>
      <c r="C2741" s="184"/>
      <c r="D2741" s="184"/>
      <c r="E2741" s="184"/>
      <c r="F2741" s="184"/>
      <c r="G2741" s="187"/>
      <c r="I2741" s="186"/>
      <c r="J2741" s="184"/>
    </row>
    <row r="2742" spans="1:10">
      <c r="A2742" s="174"/>
      <c r="B2742" s="184"/>
      <c r="C2742" s="184"/>
      <c r="D2742" s="184"/>
      <c r="E2742" s="184"/>
      <c r="F2742" s="184"/>
      <c r="G2742" s="187"/>
      <c r="I2742" s="186"/>
      <c r="J2742" s="184"/>
    </row>
    <row r="2743" spans="1:10">
      <c r="A2743" s="174"/>
      <c r="B2743" s="184"/>
      <c r="C2743" s="184"/>
      <c r="D2743" s="184"/>
      <c r="E2743" s="184"/>
      <c r="F2743" s="184"/>
      <c r="I2743" s="186"/>
      <c r="J2743" s="184"/>
    </row>
    <row r="2744" spans="1:10">
      <c r="A2744" s="174"/>
      <c r="B2744" s="184"/>
      <c r="C2744" s="184"/>
      <c r="D2744" s="184"/>
      <c r="E2744" s="184"/>
      <c r="F2744" s="184"/>
      <c r="I2744" s="186"/>
      <c r="J2744" s="184"/>
    </row>
    <row r="2745" spans="1:10">
      <c r="A2745" s="174"/>
      <c r="B2745" s="184"/>
      <c r="C2745" s="184"/>
      <c r="D2745" s="184"/>
      <c r="E2745" s="184"/>
      <c r="F2745" s="184"/>
      <c r="I2745" s="186"/>
      <c r="J2745" s="184"/>
    </row>
    <row r="2746" spans="1:10">
      <c r="A2746" s="174"/>
      <c r="B2746" s="184"/>
      <c r="C2746" s="184"/>
      <c r="D2746" s="184"/>
      <c r="E2746" s="184"/>
      <c r="F2746" s="184"/>
      <c r="I2746" s="186"/>
      <c r="J2746" s="184"/>
    </row>
    <row r="2747" spans="1:10">
      <c r="A2747" s="174"/>
      <c r="B2747" s="184"/>
      <c r="C2747" s="184"/>
      <c r="D2747" s="184"/>
      <c r="E2747" s="184"/>
      <c r="F2747" s="184"/>
      <c r="I2747" s="186"/>
      <c r="J2747" s="184"/>
    </row>
    <row r="2748" spans="1:10">
      <c r="A2748" s="174"/>
      <c r="B2748" s="184"/>
      <c r="C2748" s="184"/>
      <c r="D2748" s="184"/>
      <c r="E2748" s="184"/>
      <c r="F2748" s="184"/>
      <c r="G2748" s="187"/>
      <c r="I2748" s="186"/>
      <c r="J2748" s="184"/>
    </row>
    <row r="2749" spans="1:10">
      <c r="A2749" s="174"/>
      <c r="B2749" s="184"/>
      <c r="C2749" s="184"/>
      <c r="D2749" s="184"/>
      <c r="E2749" s="184"/>
      <c r="F2749" s="184"/>
      <c r="G2749" s="187"/>
      <c r="I2749" s="186"/>
      <c r="J2749" s="184"/>
    </row>
    <row r="2750" spans="1:10">
      <c r="A2750" s="174"/>
      <c r="B2750" s="184"/>
      <c r="C2750" s="184"/>
      <c r="D2750" s="184"/>
      <c r="E2750" s="184"/>
      <c r="F2750" s="184"/>
      <c r="G2750" s="187"/>
      <c r="I2750" s="186"/>
      <c r="J2750" s="184"/>
    </row>
    <row r="2751" spans="1:10">
      <c r="A2751" s="174"/>
      <c r="B2751" s="184"/>
      <c r="C2751" s="184"/>
      <c r="D2751" s="184"/>
      <c r="E2751" s="184"/>
      <c r="F2751" s="184"/>
      <c r="G2751" s="187"/>
      <c r="I2751" s="186"/>
      <c r="J2751" s="184"/>
    </row>
    <row r="2752" spans="1:10">
      <c r="A2752" s="174"/>
      <c r="B2752" s="184"/>
      <c r="C2752" s="184"/>
      <c r="D2752" s="184"/>
      <c r="E2752" s="184"/>
      <c r="F2752" s="184"/>
      <c r="G2752" s="187"/>
      <c r="I2752" s="186"/>
      <c r="J2752" s="184"/>
    </row>
    <row r="2753" spans="1:10">
      <c r="A2753" s="174"/>
      <c r="B2753" s="184"/>
      <c r="C2753" s="184"/>
      <c r="D2753" s="184"/>
      <c r="E2753" s="184"/>
      <c r="F2753" s="184"/>
      <c r="I2753" s="186"/>
      <c r="J2753" s="184"/>
    </row>
    <row r="2754" spans="1:10">
      <c r="A2754" s="174"/>
      <c r="B2754" s="184"/>
      <c r="C2754" s="184"/>
      <c r="D2754" s="184"/>
      <c r="E2754" s="184"/>
      <c r="F2754" s="184"/>
      <c r="I2754" s="186"/>
      <c r="J2754" s="184"/>
    </row>
    <row r="2755" spans="1:10">
      <c r="A2755" s="174"/>
      <c r="B2755" s="184"/>
      <c r="C2755" s="184"/>
      <c r="D2755" s="184"/>
      <c r="E2755" s="184"/>
      <c r="F2755" s="184"/>
      <c r="G2755" s="187"/>
      <c r="I2755" s="186"/>
      <c r="J2755" s="184"/>
    </row>
    <row r="2756" spans="1:10">
      <c r="A2756" s="174"/>
      <c r="B2756" s="184"/>
      <c r="C2756" s="184"/>
      <c r="D2756" s="184"/>
      <c r="E2756" s="184"/>
      <c r="F2756" s="184"/>
      <c r="G2756" s="187"/>
      <c r="I2756" s="186"/>
      <c r="J2756" s="184"/>
    </row>
    <row r="2757" spans="1:10">
      <c r="A2757" s="174"/>
      <c r="B2757" s="184"/>
      <c r="C2757" s="184"/>
      <c r="D2757" s="184"/>
      <c r="E2757" s="184"/>
      <c r="F2757" s="184"/>
      <c r="G2757" s="187"/>
      <c r="I2757" s="186"/>
      <c r="J2757" s="184"/>
    </row>
    <row r="2758" spans="1:10">
      <c r="A2758" s="174"/>
      <c r="B2758" s="184"/>
      <c r="C2758" s="184"/>
      <c r="D2758" s="184"/>
      <c r="E2758" s="184"/>
      <c r="F2758" s="184"/>
      <c r="G2758" s="187"/>
      <c r="I2758" s="186"/>
      <c r="J2758" s="184"/>
    </row>
    <row r="2759" spans="1:10">
      <c r="A2759" s="174"/>
      <c r="B2759" s="184"/>
      <c r="C2759" s="184"/>
      <c r="D2759" s="184"/>
      <c r="E2759" s="184"/>
      <c r="F2759" s="184"/>
      <c r="G2759" s="187"/>
      <c r="I2759" s="186"/>
      <c r="J2759" s="184"/>
    </row>
    <row r="2760" spans="1:10">
      <c r="A2760" s="174"/>
      <c r="B2760" s="184"/>
      <c r="C2760" s="184"/>
      <c r="D2760" s="184"/>
      <c r="E2760" s="184"/>
      <c r="F2760" s="184"/>
      <c r="G2760" s="187"/>
      <c r="I2760" s="186"/>
      <c r="J2760" s="184"/>
    </row>
    <row r="2761" spans="1:10">
      <c r="A2761" s="174"/>
      <c r="B2761" s="184"/>
      <c r="C2761" s="184"/>
      <c r="D2761" s="184"/>
      <c r="E2761" s="184"/>
      <c r="F2761" s="184"/>
      <c r="G2761" s="187"/>
      <c r="I2761" s="186"/>
      <c r="J2761" s="184"/>
    </row>
    <row r="2762" spans="1:10">
      <c r="A2762" s="174"/>
      <c r="B2762" s="184"/>
      <c r="C2762" s="184"/>
      <c r="D2762" s="184"/>
      <c r="E2762" s="184"/>
      <c r="F2762" s="184"/>
      <c r="I2762" s="186"/>
      <c r="J2762" s="184"/>
    </row>
    <row r="2763" spans="1:10">
      <c r="A2763" s="174"/>
      <c r="B2763" s="184"/>
      <c r="C2763" s="184"/>
      <c r="D2763" s="184"/>
      <c r="E2763" s="184"/>
      <c r="F2763" s="184"/>
      <c r="I2763" s="186"/>
      <c r="J2763" s="184"/>
    </row>
    <row r="2764" spans="1:10">
      <c r="A2764" s="174"/>
      <c r="B2764" s="184"/>
      <c r="C2764" s="184"/>
      <c r="D2764" s="184"/>
      <c r="E2764" s="184"/>
      <c r="F2764" s="184"/>
      <c r="I2764" s="186"/>
      <c r="J2764" s="184"/>
    </row>
    <row r="2765" spans="1:10">
      <c r="A2765" s="174"/>
      <c r="B2765" s="184"/>
      <c r="C2765" s="184"/>
      <c r="D2765" s="184"/>
      <c r="E2765" s="184"/>
      <c r="F2765" s="184"/>
      <c r="I2765" s="186"/>
      <c r="J2765" s="184"/>
    </row>
    <row r="2766" spans="1:10">
      <c r="A2766" s="174"/>
      <c r="B2766" s="184"/>
      <c r="C2766" s="184"/>
      <c r="D2766" s="184"/>
      <c r="E2766" s="184"/>
      <c r="F2766" s="184"/>
      <c r="I2766" s="186"/>
      <c r="J2766" s="184"/>
    </row>
    <row r="2767" spans="1:10">
      <c r="A2767" s="174"/>
      <c r="B2767" s="184"/>
      <c r="C2767" s="184"/>
      <c r="D2767" s="184"/>
      <c r="E2767" s="184"/>
      <c r="F2767" s="184"/>
      <c r="G2767" s="187"/>
      <c r="I2767" s="186"/>
      <c r="J2767" s="184"/>
    </row>
    <row r="2768" spans="1:10">
      <c r="A2768" s="174"/>
      <c r="B2768" s="184"/>
      <c r="C2768" s="184"/>
      <c r="D2768" s="184"/>
      <c r="E2768" s="184"/>
      <c r="F2768" s="184"/>
      <c r="I2768" s="186"/>
      <c r="J2768" s="184"/>
    </row>
    <row r="2769" spans="1:10">
      <c r="A2769" s="174"/>
      <c r="B2769" s="184"/>
      <c r="C2769" s="184"/>
      <c r="D2769" s="184"/>
      <c r="E2769" s="184"/>
      <c r="F2769" s="184"/>
      <c r="G2769" s="187"/>
      <c r="I2769" s="186"/>
      <c r="J2769" s="184"/>
    </row>
    <row r="2770" spans="1:10">
      <c r="A2770" s="174"/>
      <c r="B2770" s="184"/>
      <c r="C2770" s="184"/>
      <c r="D2770" s="184"/>
      <c r="E2770" s="184"/>
      <c r="F2770" s="184"/>
      <c r="G2770" s="187"/>
      <c r="I2770" s="186"/>
      <c r="J2770" s="184"/>
    </row>
    <row r="2771" spans="1:10">
      <c r="A2771" s="174"/>
      <c r="B2771" s="184"/>
      <c r="C2771" s="184"/>
      <c r="D2771" s="184"/>
      <c r="E2771" s="184"/>
      <c r="F2771" s="184"/>
      <c r="I2771" s="186"/>
      <c r="J2771" s="184"/>
    </row>
    <row r="2772" spans="1:10">
      <c r="A2772" s="174"/>
      <c r="B2772" s="184"/>
      <c r="C2772" s="184"/>
      <c r="D2772" s="184"/>
      <c r="E2772" s="184"/>
      <c r="F2772" s="184"/>
      <c r="I2772" s="186"/>
      <c r="J2772" s="184"/>
    </row>
    <row r="2773" spans="1:10">
      <c r="A2773" s="174"/>
      <c r="B2773" s="184"/>
      <c r="C2773" s="184"/>
      <c r="D2773" s="184"/>
      <c r="E2773" s="184"/>
      <c r="F2773" s="184"/>
      <c r="I2773" s="186"/>
      <c r="J2773" s="184"/>
    </row>
    <row r="2774" spans="1:10">
      <c r="A2774" s="174"/>
      <c r="B2774" s="184"/>
      <c r="C2774" s="184"/>
      <c r="D2774" s="184"/>
      <c r="E2774" s="184"/>
      <c r="F2774" s="184"/>
      <c r="G2774" s="187"/>
      <c r="I2774" s="186"/>
      <c r="J2774" s="184"/>
    </row>
    <row r="2775" spans="1:10">
      <c r="A2775" s="174"/>
      <c r="B2775" s="184"/>
      <c r="C2775" s="184"/>
      <c r="D2775" s="184"/>
      <c r="E2775" s="184"/>
      <c r="F2775" s="184"/>
      <c r="G2775" s="187"/>
      <c r="I2775" s="186"/>
      <c r="J2775" s="184"/>
    </row>
    <row r="2776" spans="1:10">
      <c r="A2776" s="174"/>
      <c r="B2776" s="184"/>
      <c r="C2776" s="184"/>
      <c r="D2776" s="184"/>
      <c r="E2776" s="184"/>
      <c r="F2776" s="184"/>
      <c r="G2776" s="187"/>
      <c r="I2776" s="186"/>
      <c r="J2776" s="184"/>
    </row>
    <row r="2777" spans="1:10">
      <c r="A2777" s="174"/>
      <c r="B2777" s="184"/>
      <c r="C2777" s="184"/>
      <c r="D2777" s="184"/>
      <c r="E2777" s="184"/>
      <c r="F2777" s="184"/>
      <c r="G2777" s="187"/>
      <c r="I2777" s="186"/>
      <c r="J2777" s="184"/>
    </row>
    <row r="2778" spans="1:10">
      <c r="A2778" s="174"/>
      <c r="B2778" s="184"/>
      <c r="C2778" s="184"/>
      <c r="D2778" s="184"/>
      <c r="E2778" s="184"/>
      <c r="F2778" s="184"/>
      <c r="G2778" s="187"/>
      <c r="I2778" s="186"/>
      <c r="J2778" s="184"/>
    </row>
    <row r="2779" spans="1:10">
      <c r="A2779" s="174"/>
      <c r="B2779" s="184"/>
      <c r="C2779" s="184"/>
      <c r="D2779" s="184"/>
      <c r="E2779" s="184"/>
      <c r="F2779" s="184"/>
      <c r="G2779" s="187"/>
      <c r="I2779" s="186"/>
      <c r="J2779" s="184"/>
    </row>
    <row r="2780" spans="1:10">
      <c r="A2780" s="174"/>
      <c r="B2780" s="184"/>
      <c r="C2780" s="184"/>
      <c r="D2780" s="184"/>
      <c r="E2780" s="184"/>
      <c r="F2780" s="184"/>
      <c r="G2780" s="187"/>
      <c r="I2780" s="186"/>
      <c r="J2780" s="184"/>
    </row>
    <row r="2781" spans="1:10">
      <c r="A2781" s="174"/>
      <c r="B2781" s="184"/>
      <c r="C2781" s="184"/>
      <c r="D2781" s="184"/>
      <c r="E2781" s="184"/>
      <c r="F2781" s="184"/>
      <c r="I2781" s="186"/>
      <c r="J2781" s="184"/>
    </row>
    <row r="2782" spans="1:10">
      <c r="A2782" s="174"/>
      <c r="B2782" s="184"/>
      <c r="C2782" s="184"/>
      <c r="D2782" s="184"/>
      <c r="E2782" s="184"/>
      <c r="F2782" s="184"/>
      <c r="I2782" s="186"/>
      <c r="J2782" s="184"/>
    </row>
    <row r="2783" spans="1:10">
      <c r="A2783" s="174"/>
      <c r="B2783" s="184"/>
      <c r="C2783" s="184"/>
      <c r="D2783" s="184"/>
      <c r="E2783" s="184"/>
      <c r="F2783" s="184"/>
      <c r="I2783" s="186"/>
      <c r="J2783" s="184"/>
    </row>
    <row r="2784" spans="1:10">
      <c r="A2784" s="174"/>
      <c r="B2784" s="184"/>
      <c r="C2784" s="184"/>
      <c r="D2784" s="184"/>
      <c r="E2784" s="184"/>
      <c r="F2784" s="184"/>
      <c r="G2784" s="187"/>
      <c r="I2784" s="186"/>
      <c r="J2784" s="184"/>
    </row>
    <row r="2785" spans="1:10">
      <c r="A2785" s="174"/>
      <c r="B2785" s="184"/>
      <c r="C2785" s="184"/>
      <c r="D2785" s="184"/>
      <c r="E2785" s="184"/>
      <c r="F2785" s="184"/>
      <c r="G2785" s="187"/>
      <c r="I2785" s="186"/>
      <c r="J2785" s="184"/>
    </row>
    <row r="2786" spans="1:10">
      <c r="A2786" s="174"/>
      <c r="B2786" s="184"/>
      <c r="C2786" s="184"/>
      <c r="D2786" s="184"/>
      <c r="E2786" s="184"/>
      <c r="F2786" s="184"/>
      <c r="I2786" s="186"/>
      <c r="J2786" s="184"/>
    </row>
    <row r="2787" spans="1:10">
      <c r="A2787" s="174"/>
      <c r="B2787" s="184"/>
      <c r="C2787" s="184"/>
      <c r="D2787" s="184"/>
      <c r="E2787" s="184"/>
      <c r="F2787" s="184"/>
      <c r="G2787" s="187"/>
      <c r="I2787" s="186"/>
      <c r="J2787" s="184"/>
    </row>
    <row r="2788" spans="1:10">
      <c r="A2788" s="174"/>
      <c r="B2788" s="184"/>
      <c r="C2788" s="184"/>
      <c r="D2788" s="184"/>
      <c r="E2788" s="184"/>
      <c r="F2788" s="184"/>
      <c r="G2788" s="187"/>
      <c r="I2788" s="186"/>
      <c r="J2788" s="184"/>
    </row>
    <row r="2789" spans="1:10">
      <c r="A2789" s="174"/>
      <c r="B2789" s="184"/>
      <c r="C2789" s="184"/>
      <c r="D2789" s="184"/>
      <c r="E2789" s="184"/>
      <c r="F2789" s="184"/>
      <c r="I2789" s="186"/>
      <c r="J2789" s="184"/>
    </row>
    <row r="2790" spans="1:10">
      <c r="A2790" s="174"/>
      <c r="B2790" s="184"/>
      <c r="C2790" s="184"/>
      <c r="D2790" s="184"/>
      <c r="E2790" s="184"/>
      <c r="F2790" s="184"/>
      <c r="I2790" s="186"/>
      <c r="J2790" s="184"/>
    </row>
    <row r="2791" spans="1:10">
      <c r="A2791" s="174"/>
      <c r="B2791" s="184"/>
      <c r="C2791" s="184"/>
      <c r="D2791" s="184"/>
      <c r="E2791" s="184"/>
      <c r="F2791" s="184"/>
      <c r="I2791" s="186"/>
      <c r="J2791" s="184"/>
    </row>
    <row r="2792" spans="1:10">
      <c r="A2792" s="174"/>
      <c r="B2792" s="184"/>
      <c r="C2792" s="184"/>
      <c r="D2792" s="184"/>
      <c r="E2792" s="184"/>
      <c r="F2792" s="184"/>
      <c r="I2792" s="186"/>
      <c r="J2792" s="184"/>
    </row>
    <row r="2793" spans="1:10">
      <c r="A2793" s="174"/>
      <c r="B2793" s="184"/>
      <c r="C2793" s="184"/>
      <c r="D2793" s="184"/>
      <c r="E2793" s="184"/>
      <c r="F2793" s="184"/>
      <c r="G2793" s="187"/>
      <c r="I2793" s="186"/>
      <c r="J2793" s="184"/>
    </row>
    <row r="2794" spans="1:10">
      <c r="A2794" s="174"/>
      <c r="B2794" s="184"/>
      <c r="C2794" s="184"/>
      <c r="D2794" s="184"/>
      <c r="E2794" s="184"/>
      <c r="F2794" s="184"/>
      <c r="I2794" s="186"/>
      <c r="J2794" s="184"/>
    </row>
    <row r="2795" spans="1:10">
      <c r="A2795" s="174"/>
      <c r="B2795" s="184"/>
      <c r="C2795" s="184"/>
      <c r="D2795" s="184"/>
      <c r="E2795" s="184"/>
      <c r="F2795" s="184"/>
      <c r="I2795" s="186"/>
      <c r="J2795" s="184"/>
    </row>
    <row r="2796" spans="1:10">
      <c r="A2796" s="174"/>
      <c r="B2796" s="184"/>
      <c r="C2796" s="184"/>
      <c r="D2796" s="184"/>
      <c r="E2796" s="184"/>
      <c r="F2796" s="184"/>
      <c r="I2796" s="186"/>
      <c r="J2796" s="184"/>
    </row>
    <row r="2797" spans="1:10">
      <c r="A2797" s="174"/>
      <c r="B2797" s="184"/>
      <c r="C2797" s="184"/>
      <c r="D2797" s="184"/>
      <c r="E2797" s="184"/>
      <c r="F2797" s="184"/>
      <c r="G2797" s="187"/>
      <c r="I2797" s="186"/>
      <c r="J2797" s="184"/>
    </row>
    <row r="2798" spans="1:10">
      <c r="A2798" s="174"/>
      <c r="B2798" s="184"/>
      <c r="C2798" s="184"/>
      <c r="D2798" s="184"/>
      <c r="E2798" s="184"/>
      <c r="F2798" s="184"/>
      <c r="G2798" s="187"/>
      <c r="I2798" s="186"/>
      <c r="J2798" s="184"/>
    </row>
    <row r="2799" spans="1:10">
      <c r="A2799" s="174"/>
      <c r="B2799" s="184"/>
      <c r="C2799" s="184"/>
      <c r="D2799" s="184"/>
      <c r="E2799" s="184"/>
      <c r="F2799" s="184"/>
      <c r="G2799" s="187"/>
      <c r="I2799" s="186"/>
      <c r="J2799" s="184"/>
    </row>
    <row r="2800" spans="1:10">
      <c r="A2800" s="174"/>
      <c r="B2800" s="184"/>
      <c r="C2800" s="184"/>
      <c r="D2800" s="184"/>
      <c r="E2800" s="184"/>
      <c r="F2800" s="184"/>
      <c r="I2800" s="186"/>
      <c r="J2800" s="184"/>
    </row>
    <row r="2801" spans="1:10">
      <c r="A2801" s="174"/>
      <c r="B2801" s="184"/>
      <c r="C2801" s="184"/>
      <c r="D2801" s="184"/>
      <c r="E2801" s="184"/>
      <c r="F2801" s="184"/>
      <c r="I2801" s="186"/>
      <c r="J2801" s="184"/>
    </row>
    <row r="2802" spans="1:10">
      <c r="A2802" s="174"/>
      <c r="B2802" s="184"/>
      <c r="C2802" s="184"/>
      <c r="D2802" s="184"/>
      <c r="E2802" s="184"/>
      <c r="F2802" s="184"/>
      <c r="G2802" s="187"/>
      <c r="I2802" s="186"/>
      <c r="J2802" s="184"/>
    </row>
    <row r="2803" spans="1:10">
      <c r="A2803" s="174"/>
      <c r="B2803" s="184"/>
      <c r="C2803" s="184"/>
      <c r="D2803" s="184"/>
      <c r="E2803" s="184"/>
      <c r="F2803" s="184"/>
      <c r="G2803" s="187"/>
      <c r="I2803" s="186"/>
      <c r="J2803" s="184"/>
    </row>
    <row r="2804" spans="1:10">
      <c r="A2804" s="174"/>
      <c r="B2804" s="184"/>
      <c r="C2804" s="184"/>
      <c r="D2804" s="184"/>
      <c r="E2804" s="184"/>
      <c r="F2804" s="184"/>
      <c r="G2804" s="187"/>
      <c r="I2804" s="186"/>
      <c r="J2804" s="184"/>
    </row>
    <row r="2805" spans="1:10">
      <c r="A2805" s="174"/>
      <c r="B2805" s="184"/>
      <c r="C2805" s="184"/>
      <c r="D2805" s="184"/>
      <c r="E2805" s="184"/>
      <c r="F2805" s="184"/>
      <c r="G2805" s="187"/>
      <c r="I2805" s="186"/>
      <c r="J2805" s="184"/>
    </row>
    <row r="2806" spans="1:10">
      <c r="A2806" s="174"/>
      <c r="B2806" s="184"/>
      <c r="C2806" s="184"/>
      <c r="D2806" s="184"/>
      <c r="E2806" s="184"/>
      <c r="F2806" s="184"/>
      <c r="G2806" s="187"/>
      <c r="I2806" s="186"/>
      <c r="J2806" s="184"/>
    </row>
    <row r="2807" spans="1:10">
      <c r="A2807" s="174"/>
      <c r="B2807" s="184"/>
      <c r="C2807" s="184"/>
      <c r="D2807" s="184"/>
      <c r="E2807" s="184"/>
      <c r="F2807" s="184"/>
      <c r="G2807" s="187"/>
      <c r="I2807" s="186"/>
      <c r="J2807" s="184"/>
    </row>
    <row r="2808" spans="1:10">
      <c r="A2808" s="174"/>
      <c r="B2808" s="184"/>
      <c r="C2808" s="184"/>
      <c r="D2808" s="184"/>
      <c r="E2808" s="184"/>
      <c r="F2808" s="184"/>
      <c r="G2808" s="187"/>
      <c r="I2808" s="186"/>
      <c r="J2808" s="184"/>
    </row>
    <row r="2809" spans="1:10">
      <c r="A2809" s="174"/>
      <c r="B2809" s="184"/>
      <c r="C2809" s="184"/>
      <c r="D2809" s="184"/>
      <c r="E2809" s="184"/>
      <c r="F2809" s="184"/>
      <c r="G2809" s="187"/>
      <c r="I2809" s="186"/>
      <c r="J2809" s="184"/>
    </row>
    <row r="2810" spans="1:10">
      <c r="A2810" s="174"/>
      <c r="B2810" s="184"/>
      <c r="C2810" s="184"/>
      <c r="D2810" s="184"/>
      <c r="E2810" s="184"/>
      <c r="F2810" s="184"/>
      <c r="G2810" s="187"/>
      <c r="I2810" s="186"/>
      <c r="J2810" s="184"/>
    </row>
    <row r="2811" spans="1:10">
      <c r="A2811" s="174"/>
      <c r="B2811" s="184"/>
      <c r="C2811" s="184"/>
      <c r="D2811" s="184"/>
      <c r="E2811" s="184"/>
      <c r="F2811" s="184"/>
      <c r="G2811" s="187"/>
      <c r="I2811" s="186"/>
      <c r="J2811" s="184"/>
    </row>
    <row r="2812" spans="1:10">
      <c r="A2812" s="174"/>
      <c r="B2812" s="184"/>
      <c r="C2812" s="184"/>
      <c r="D2812" s="184"/>
      <c r="E2812" s="184"/>
      <c r="F2812" s="184"/>
      <c r="G2812" s="187"/>
      <c r="I2812" s="186"/>
      <c r="J2812" s="184"/>
    </row>
    <row r="2813" spans="1:10">
      <c r="A2813" s="174"/>
      <c r="B2813" s="184"/>
      <c r="C2813" s="184"/>
      <c r="D2813" s="184"/>
      <c r="E2813" s="184"/>
      <c r="F2813" s="184"/>
      <c r="I2813" s="186"/>
      <c r="J2813" s="184"/>
    </row>
    <row r="2814" spans="1:10">
      <c r="A2814" s="174"/>
      <c r="B2814" s="184"/>
      <c r="C2814" s="184"/>
      <c r="D2814" s="184"/>
      <c r="E2814" s="184"/>
      <c r="F2814" s="184"/>
      <c r="G2814" s="187"/>
      <c r="I2814" s="186"/>
      <c r="J2814" s="184"/>
    </row>
    <row r="2815" spans="1:10">
      <c r="A2815" s="174"/>
      <c r="B2815" s="184"/>
      <c r="C2815" s="184"/>
      <c r="D2815" s="184"/>
      <c r="E2815" s="184"/>
      <c r="F2815" s="184"/>
      <c r="G2815" s="187"/>
      <c r="I2815" s="186"/>
      <c r="J2815" s="184"/>
    </row>
    <row r="2816" spans="1:10">
      <c r="A2816" s="174"/>
      <c r="B2816" s="184"/>
      <c r="C2816" s="184"/>
      <c r="D2816" s="184"/>
      <c r="E2816" s="184"/>
      <c r="F2816" s="184"/>
      <c r="G2816" s="187"/>
      <c r="I2816" s="186"/>
      <c r="J2816" s="184"/>
    </row>
    <row r="2817" spans="1:10">
      <c r="A2817" s="174"/>
      <c r="B2817" s="184"/>
      <c r="C2817" s="184"/>
      <c r="D2817" s="184"/>
      <c r="E2817" s="184"/>
      <c r="F2817" s="184"/>
      <c r="I2817" s="186"/>
      <c r="J2817" s="184"/>
    </row>
    <row r="2818" spans="1:10">
      <c r="A2818" s="174"/>
      <c r="B2818" s="184"/>
      <c r="C2818" s="184"/>
      <c r="D2818" s="184"/>
      <c r="E2818" s="184"/>
      <c r="F2818" s="184"/>
      <c r="G2818" s="187"/>
      <c r="I2818" s="186"/>
      <c r="J2818" s="184"/>
    </row>
    <row r="2819" spans="1:10">
      <c r="A2819" s="174"/>
      <c r="B2819" s="184"/>
      <c r="C2819" s="184"/>
      <c r="D2819" s="184"/>
      <c r="E2819" s="184"/>
      <c r="F2819" s="184"/>
      <c r="G2819" s="187"/>
      <c r="I2819" s="186"/>
      <c r="J2819" s="184"/>
    </row>
    <row r="2820" spans="1:10">
      <c r="A2820" s="174"/>
      <c r="B2820" s="184"/>
      <c r="C2820" s="184"/>
      <c r="D2820" s="184"/>
      <c r="E2820" s="184"/>
      <c r="F2820" s="184"/>
      <c r="G2820" s="187"/>
      <c r="I2820" s="186"/>
      <c r="J2820" s="184"/>
    </row>
    <row r="2821" spans="1:10">
      <c r="A2821" s="174"/>
      <c r="B2821" s="184"/>
      <c r="C2821" s="184"/>
      <c r="D2821" s="184"/>
      <c r="E2821" s="184"/>
      <c r="F2821" s="184"/>
      <c r="G2821" s="187"/>
      <c r="I2821" s="186"/>
      <c r="J2821" s="184"/>
    </row>
    <row r="2822" spans="1:10">
      <c r="A2822" s="174"/>
      <c r="B2822" s="184"/>
      <c r="C2822" s="184"/>
      <c r="D2822" s="184"/>
      <c r="E2822" s="184"/>
      <c r="F2822" s="184"/>
      <c r="I2822" s="186"/>
      <c r="J2822" s="184"/>
    </row>
    <row r="2823" spans="1:10">
      <c r="A2823" s="174"/>
      <c r="B2823" s="184"/>
      <c r="C2823" s="184"/>
      <c r="D2823" s="184"/>
      <c r="E2823" s="184"/>
      <c r="F2823" s="184"/>
      <c r="I2823" s="186"/>
      <c r="J2823" s="184"/>
    </row>
    <row r="2824" spans="1:10">
      <c r="A2824" s="174"/>
      <c r="B2824" s="184"/>
      <c r="C2824" s="184"/>
      <c r="D2824" s="184"/>
      <c r="E2824" s="184"/>
      <c r="F2824" s="184"/>
      <c r="I2824" s="186"/>
      <c r="J2824" s="184"/>
    </row>
    <row r="2825" spans="1:10">
      <c r="A2825" s="174"/>
      <c r="B2825" s="184"/>
      <c r="C2825" s="184"/>
      <c r="D2825" s="184"/>
      <c r="E2825" s="184"/>
      <c r="F2825" s="184"/>
      <c r="G2825" s="187"/>
      <c r="I2825" s="186"/>
      <c r="J2825" s="184"/>
    </row>
    <row r="2826" spans="1:10">
      <c r="A2826" s="174"/>
      <c r="B2826" s="184"/>
      <c r="C2826" s="184"/>
      <c r="D2826" s="184"/>
      <c r="E2826" s="184"/>
      <c r="F2826" s="184"/>
      <c r="G2826" s="187"/>
      <c r="I2826" s="186"/>
      <c r="J2826" s="184"/>
    </row>
    <row r="2827" spans="1:10">
      <c r="A2827" s="174"/>
      <c r="B2827" s="184"/>
      <c r="C2827" s="184"/>
      <c r="D2827" s="184"/>
      <c r="E2827" s="184"/>
      <c r="F2827" s="184"/>
      <c r="G2827" s="187"/>
      <c r="I2827" s="186"/>
      <c r="J2827" s="184"/>
    </row>
    <row r="2828" spans="1:10">
      <c r="A2828" s="174"/>
      <c r="B2828" s="184"/>
      <c r="C2828" s="184"/>
      <c r="D2828" s="184"/>
      <c r="E2828" s="184"/>
      <c r="F2828" s="184"/>
      <c r="G2828" s="187"/>
      <c r="I2828" s="186"/>
      <c r="J2828" s="184"/>
    </row>
    <row r="2829" spans="1:10">
      <c r="A2829" s="174"/>
      <c r="B2829" s="184"/>
      <c r="C2829" s="184"/>
      <c r="D2829" s="184"/>
      <c r="E2829" s="184"/>
      <c r="F2829" s="184"/>
      <c r="G2829" s="187"/>
      <c r="I2829" s="186"/>
      <c r="J2829" s="184"/>
    </row>
    <row r="2830" spans="1:10">
      <c r="A2830" s="174"/>
      <c r="B2830" s="184"/>
      <c r="C2830" s="184"/>
      <c r="D2830" s="184"/>
      <c r="E2830" s="184"/>
      <c r="F2830" s="184"/>
      <c r="I2830" s="186"/>
      <c r="J2830" s="184"/>
    </row>
    <row r="2831" spans="1:10">
      <c r="A2831" s="174"/>
      <c r="B2831" s="184"/>
      <c r="C2831" s="184"/>
      <c r="D2831" s="184"/>
      <c r="E2831" s="184"/>
      <c r="F2831" s="184"/>
      <c r="G2831" s="187"/>
      <c r="I2831" s="186"/>
      <c r="J2831" s="184"/>
    </row>
    <row r="2832" spans="1:10">
      <c r="A2832" s="174"/>
      <c r="B2832" s="184"/>
      <c r="C2832" s="184"/>
      <c r="D2832" s="184"/>
      <c r="E2832" s="184"/>
      <c r="F2832" s="184"/>
      <c r="G2832" s="187"/>
      <c r="I2832" s="186"/>
      <c r="J2832" s="184"/>
    </row>
    <row r="2833" spans="1:10">
      <c r="A2833" s="174"/>
      <c r="B2833" s="184"/>
      <c r="C2833" s="184"/>
      <c r="D2833" s="184"/>
      <c r="E2833" s="184"/>
      <c r="F2833" s="184"/>
      <c r="I2833" s="186"/>
      <c r="J2833" s="184"/>
    </row>
    <row r="2834" spans="1:10">
      <c r="A2834" s="174"/>
      <c r="B2834" s="184"/>
      <c r="C2834" s="184"/>
      <c r="D2834" s="184"/>
      <c r="E2834" s="184"/>
      <c r="F2834" s="184"/>
      <c r="G2834" s="187"/>
      <c r="I2834" s="186"/>
      <c r="J2834" s="184"/>
    </row>
    <row r="2835" spans="1:10">
      <c r="A2835" s="174"/>
      <c r="B2835" s="184"/>
      <c r="C2835" s="184"/>
      <c r="D2835" s="184"/>
      <c r="E2835" s="184"/>
      <c r="F2835" s="184"/>
      <c r="I2835" s="186"/>
      <c r="J2835" s="184"/>
    </row>
    <row r="2836" spans="1:10">
      <c r="A2836" s="174"/>
      <c r="B2836" s="184"/>
      <c r="C2836" s="184"/>
      <c r="D2836" s="184"/>
      <c r="E2836" s="184"/>
      <c r="F2836" s="184"/>
      <c r="I2836" s="186"/>
      <c r="J2836" s="184"/>
    </row>
    <row r="2837" spans="1:10">
      <c r="A2837" s="174"/>
      <c r="B2837" s="184"/>
      <c r="C2837" s="184"/>
      <c r="D2837" s="184"/>
      <c r="E2837" s="184"/>
      <c r="F2837" s="184"/>
      <c r="I2837" s="186"/>
      <c r="J2837" s="184"/>
    </row>
    <row r="2838" spans="1:10">
      <c r="A2838" s="174"/>
      <c r="B2838" s="184"/>
      <c r="C2838" s="184"/>
      <c r="D2838" s="184"/>
      <c r="E2838" s="184"/>
      <c r="F2838" s="184"/>
      <c r="I2838" s="186"/>
      <c r="J2838" s="184"/>
    </row>
    <row r="2839" spans="1:10">
      <c r="A2839" s="174"/>
      <c r="B2839" s="184"/>
      <c r="C2839" s="184"/>
      <c r="D2839" s="184"/>
      <c r="E2839" s="184"/>
      <c r="F2839" s="184"/>
      <c r="I2839" s="186"/>
      <c r="J2839" s="184"/>
    </row>
    <row r="2840" spans="1:10">
      <c r="A2840" s="174"/>
      <c r="B2840" s="184"/>
      <c r="C2840" s="184"/>
      <c r="D2840" s="184"/>
      <c r="E2840" s="184"/>
      <c r="F2840" s="184"/>
      <c r="G2840" s="187"/>
      <c r="I2840" s="186"/>
      <c r="J2840" s="184"/>
    </row>
    <row r="2841" spans="1:10">
      <c r="A2841" s="174"/>
      <c r="B2841" s="184"/>
      <c r="C2841" s="184"/>
      <c r="D2841" s="184"/>
      <c r="E2841" s="184"/>
      <c r="F2841" s="184"/>
      <c r="G2841" s="187"/>
      <c r="I2841" s="186"/>
      <c r="J2841" s="184"/>
    </row>
    <row r="2842" spans="1:10">
      <c r="A2842" s="174"/>
      <c r="B2842" s="184"/>
      <c r="C2842" s="184"/>
      <c r="D2842" s="184"/>
      <c r="E2842" s="184"/>
      <c r="F2842" s="184"/>
      <c r="G2842" s="187"/>
      <c r="I2842" s="186"/>
      <c r="J2842" s="184"/>
    </row>
    <row r="2843" spans="1:10">
      <c r="A2843" s="174"/>
      <c r="B2843" s="184"/>
      <c r="C2843" s="184"/>
      <c r="D2843" s="184"/>
      <c r="E2843" s="184"/>
      <c r="F2843" s="184"/>
      <c r="G2843" s="187"/>
      <c r="I2843" s="186"/>
      <c r="J2843" s="184"/>
    </row>
    <row r="2844" spans="1:10">
      <c r="A2844" s="174"/>
      <c r="B2844" s="184"/>
      <c r="C2844" s="184"/>
      <c r="D2844" s="184"/>
      <c r="E2844" s="184"/>
      <c r="F2844" s="184"/>
      <c r="G2844" s="187"/>
      <c r="I2844" s="186"/>
      <c r="J2844" s="184"/>
    </row>
    <row r="2845" spans="1:10">
      <c r="A2845" s="174"/>
      <c r="B2845" s="184"/>
      <c r="C2845" s="184"/>
      <c r="D2845" s="184"/>
      <c r="E2845" s="184"/>
      <c r="F2845" s="184"/>
      <c r="I2845" s="186"/>
      <c r="J2845" s="184"/>
    </row>
    <row r="2846" spans="1:10">
      <c r="A2846" s="174"/>
      <c r="B2846" s="184"/>
      <c r="C2846" s="184"/>
      <c r="D2846" s="184"/>
      <c r="E2846" s="184"/>
      <c r="F2846" s="184"/>
      <c r="I2846" s="186"/>
      <c r="J2846" s="184"/>
    </row>
    <row r="2847" spans="1:10">
      <c r="A2847" s="174"/>
      <c r="B2847" s="184"/>
      <c r="C2847" s="184"/>
      <c r="D2847" s="184"/>
      <c r="E2847" s="184"/>
      <c r="F2847" s="184"/>
      <c r="I2847" s="186"/>
      <c r="J2847" s="184"/>
    </row>
    <row r="2848" spans="1:10">
      <c r="A2848" s="174"/>
      <c r="B2848" s="184"/>
      <c r="C2848" s="184"/>
      <c r="D2848" s="184"/>
      <c r="E2848" s="184"/>
      <c r="F2848" s="184"/>
      <c r="G2848" s="187"/>
      <c r="I2848" s="186"/>
      <c r="J2848" s="184"/>
    </row>
    <row r="2849" spans="1:10">
      <c r="A2849" s="174"/>
      <c r="B2849" s="184"/>
      <c r="C2849" s="184"/>
      <c r="D2849" s="184"/>
      <c r="E2849" s="184"/>
      <c r="F2849" s="184"/>
      <c r="G2849" s="187"/>
      <c r="I2849" s="186"/>
      <c r="J2849" s="184"/>
    </row>
    <row r="2850" spans="1:10">
      <c r="A2850" s="174"/>
      <c r="B2850" s="184"/>
      <c r="C2850" s="184"/>
      <c r="D2850" s="184"/>
      <c r="E2850" s="184"/>
      <c r="F2850" s="184"/>
      <c r="I2850" s="186"/>
      <c r="J2850" s="184"/>
    </row>
    <row r="2851" spans="1:10">
      <c r="A2851" s="174"/>
      <c r="B2851" s="184"/>
      <c r="C2851" s="184"/>
      <c r="D2851" s="184"/>
      <c r="E2851" s="184"/>
      <c r="F2851" s="184"/>
      <c r="I2851" s="186"/>
      <c r="J2851" s="184"/>
    </row>
    <row r="2852" spans="1:10">
      <c r="A2852" s="174"/>
      <c r="B2852" s="184"/>
      <c r="C2852" s="184"/>
      <c r="D2852" s="184"/>
      <c r="E2852" s="184"/>
      <c r="F2852" s="184"/>
      <c r="G2852" s="187"/>
      <c r="I2852" s="186"/>
      <c r="J2852" s="184"/>
    </row>
    <row r="2853" spans="1:10">
      <c r="A2853" s="174"/>
      <c r="B2853" s="184"/>
      <c r="C2853" s="184"/>
      <c r="D2853" s="184"/>
      <c r="E2853" s="184"/>
      <c r="F2853" s="184"/>
      <c r="I2853" s="186"/>
      <c r="J2853" s="184"/>
    </row>
    <row r="2854" spans="1:10">
      <c r="A2854" s="174"/>
      <c r="B2854" s="184"/>
      <c r="C2854" s="184"/>
      <c r="D2854" s="184"/>
      <c r="E2854" s="184"/>
      <c r="F2854" s="184"/>
      <c r="G2854" s="187"/>
      <c r="I2854" s="186"/>
      <c r="J2854" s="184"/>
    </row>
    <row r="2855" spans="1:10">
      <c r="A2855" s="174"/>
      <c r="B2855" s="184"/>
      <c r="C2855" s="184"/>
      <c r="D2855" s="184"/>
      <c r="E2855" s="184"/>
      <c r="F2855" s="184"/>
      <c r="I2855" s="186"/>
      <c r="J2855" s="184"/>
    </row>
    <row r="2856" spans="1:10">
      <c r="A2856" s="174"/>
      <c r="B2856" s="184"/>
      <c r="C2856" s="184"/>
      <c r="D2856" s="184"/>
      <c r="E2856" s="184"/>
      <c r="F2856" s="184"/>
      <c r="G2856" s="187"/>
      <c r="I2856" s="186"/>
      <c r="J2856" s="184"/>
    </row>
    <row r="2857" spans="1:10">
      <c r="A2857" s="174"/>
      <c r="B2857" s="184"/>
      <c r="C2857" s="184"/>
      <c r="D2857" s="184"/>
      <c r="E2857" s="184"/>
      <c r="F2857" s="184"/>
      <c r="I2857" s="186"/>
      <c r="J2857" s="184"/>
    </row>
    <row r="2858" spans="1:10">
      <c r="A2858" s="174"/>
      <c r="B2858" s="184"/>
      <c r="C2858" s="184"/>
      <c r="D2858" s="184"/>
      <c r="E2858" s="184"/>
      <c r="F2858" s="184"/>
      <c r="I2858" s="186"/>
      <c r="J2858" s="184"/>
    </row>
    <row r="2859" spans="1:10">
      <c r="A2859" s="174"/>
      <c r="B2859" s="184"/>
      <c r="C2859" s="184"/>
      <c r="D2859" s="184"/>
      <c r="E2859" s="184"/>
      <c r="F2859" s="184"/>
      <c r="I2859" s="186"/>
      <c r="J2859" s="184"/>
    </row>
    <row r="2860" spans="1:10">
      <c r="A2860" s="174"/>
      <c r="B2860" s="184"/>
      <c r="C2860" s="184"/>
      <c r="D2860" s="184"/>
      <c r="E2860" s="184"/>
      <c r="F2860" s="184"/>
      <c r="I2860" s="186"/>
      <c r="J2860" s="184"/>
    </row>
    <row r="2861" spans="1:10">
      <c r="B2861" s="184"/>
      <c r="C2861" s="184"/>
      <c r="D2861" s="184"/>
      <c r="E2861" s="184"/>
      <c r="F2861" s="184"/>
      <c r="G2861" s="187"/>
      <c r="I2861" s="186"/>
      <c r="J2861" s="184"/>
    </row>
    <row r="2862" spans="1:10">
      <c r="B2862" s="184"/>
      <c r="C2862" s="184"/>
      <c r="D2862" s="184"/>
      <c r="E2862" s="184"/>
      <c r="F2862" s="184"/>
      <c r="I2862" s="186"/>
      <c r="J2862" s="184"/>
    </row>
    <row r="2863" spans="1:10">
      <c r="B2863" s="184"/>
      <c r="C2863" s="184"/>
      <c r="D2863" s="184"/>
      <c r="E2863" s="184"/>
      <c r="F2863" s="184"/>
      <c r="I2863" s="186"/>
      <c r="J2863" s="184"/>
    </row>
    <row r="2864" spans="1:10">
      <c r="B2864" s="184"/>
      <c r="C2864" s="184"/>
      <c r="D2864" s="184"/>
      <c r="E2864" s="184"/>
      <c r="F2864" s="184"/>
      <c r="I2864" s="186"/>
      <c r="J2864" s="184"/>
    </row>
    <row r="2865" spans="2:10">
      <c r="B2865" s="184"/>
      <c r="C2865" s="184"/>
      <c r="D2865" s="184"/>
      <c r="E2865" s="184"/>
      <c r="F2865" s="184"/>
      <c r="I2865" s="186"/>
      <c r="J2865" s="184"/>
    </row>
    <row r="2866" spans="2:10">
      <c r="B2866" s="184"/>
      <c r="C2866" s="184"/>
      <c r="D2866" s="184"/>
      <c r="E2866" s="184"/>
      <c r="F2866" s="184"/>
      <c r="I2866" s="186"/>
      <c r="J2866" s="184"/>
    </row>
    <row r="2867" spans="2:10">
      <c r="B2867" s="184"/>
      <c r="C2867" s="184"/>
      <c r="D2867" s="184"/>
      <c r="E2867" s="184"/>
      <c r="F2867" s="184"/>
      <c r="G2867" s="187"/>
      <c r="I2867" s="186"/>
      <c r="J2867" s="184"/>
    </row>
    <row r="2868" spans="2:10">
      <c r="B2868" s="184"/>
      <c r="C2868" s="184"/>
      <c r="D2868" s="184"/>
      <c r="E2868" s="184"/>
      <c r="F2868" s="184"/>
      <c r="I2868" s="186"/>
      <c r="J2868" s="184"/>
    </row>
    <row r="2869" spans="2:10">
      <c r="B2869" s="184"/>
      <c r="C2869" s="184"/>
      <c r="D2869" s="184"/>
      <c r="E2869" s="184"/>
      <c r="F2869" s="184"/>
      <c r="I2869" s="186"/>
      <c r="J2869" s="184"/>
    </row>
    <row r="2870" spans="2:10">
      <c r="B2870" s="184"/>
      <c r="C2870" s="184"/>
      <c r="D2870" s="184"/>
      <c r="E2870" s="184"/>
      <c r="F2870" s="184"/>
      <c r="I2870" s="186"/>
      <c r="J2870" s="184"/>
    </row>
    <row r="2871" spans="2:10">
      <c r="B2871" s="184"/>
      <c r="C2871" s="184"/>
      <c r="D2871" s="184"/>
      <c r="E2871" s="184"/>
      <c r="F2871" s="184"/>
      <c r="G2871" s="187"/>
      <c r="I2871" s="186"/>
      <c r="J2871" s="184"/>
    </row>
    <row r="2872" spans="2:10">
      <c r="B2872" s="184"/>
      <c r="C2872" s="184"/>
      <c r="D2872" s="184"/>
      <c r="E2872" s="184"/>
      <c r="F2872" s="184"/>
      <c r="I2872" s="186"/>
      <c r="J2872" s="184"/>
    </row>
    <row r="2873" spans="2:10">
      <c r="B2873" s="184"/>
      <c r="C2873" s="184"/>
      <c r="D2873" s="184"/>
      <c r="E2873" s="184"/>
      <c r="F2873" s="184"/>
      <c r="I2873" s="186"/>
      <c r="J2873" s="184"/>
    </row>
    <row r="2874" spans="2:10">
      <c r="B2874" s="184"/>
      <c r="C2874" s="184"/>
      <c r="D2874" s="184"/>
      <c r="E2874" s="184"/>
      <c r="F2874" s="184"/>
      <c r="G2874" s="187"/>
      <c r="I2874" s="186"/>
      <c r="J2874" s="184"/>
    </row>
    <row r="2875" spans="2:10">
      <c r="B2875" s="184"/>
      <c r="C2875" s="184"/>
      <c r="D2875" s="184"/>
      <c r="E2875" s="184"/>
      <c r="F2875" s="184"/>
      <c r="I2875" s="186"/>
      <c r="J2875" s="184"/>
    </row>
    <row r="2876" spans="2:10">
      <c r="B2876" s="184"/>
      <c r="C2876" s="184"/>
      <c r="D2876" s="184"/>
      <c r="E2876" s="184"/>
      <c r="F2876" s="184"/>
      <c r="I2876" s="186"/>
      <c r="J2876" s="184"/>
    </row>
    <row r="2877" spans="2:10">
      <c r="B2877" s="184"/>
      <c r="C2877" s="184"/>
      <c r="D2877" s="184"/>
      <c r="E2877" s="184"/>
      <c r="F2877" s="184"/>
      <c r="I2877" s="186"/>
      <c r="J2877" s="184"/>
    </row>
    <row r="2878" spans="2:10">
      <c r="B2878" s="184"/>
      <c r="C2878" s="184"/>
      <c r="D2878" s="184"/>
      <c r="E2878" s="184"/>
      <c r="F2878" s="184"/>
      <c r="I2878" s="186"/>
      <c r="J2878" s="184"/>
    </row>
    <row r="2879" spans="2:10">
      <c r="B2879" s="184"/>
      <c r="C2879" s="184"/>
      <c r="D2879" s="184"/>
      <c r="E2879" s="184"/>
      <c r="F2879" s="184"/>
      <c r="G2879" s="187"/>
      <c r="I2879" s="186"/>
      <c r="J2879" s="184"/>
    </row>
    <row r="2880" spans="2:10">
      <c r="B2880" s="184"/>
      <c r="C2880" s="184"/>
      <c r="D2880" s="184"/>
      <c r="E2880" s="184"/>
      <c r="F2880" s="184"/>
      <c r="I2880" s="186"/>
      <c r="J2880" s="184"/>
    </row>
    <row r="2881" spans="2:10">
      <c r="B2881" s="184"/>
      <c r="C2881" s="184"/>
      <c r="D2881" s="184"/>
      <c r="E2881" s="184"/>
      <c r="F2881" s="184"/>
      <c r="I2881" s="186"/>
      <c r="J2881" s="184"/>
    </row>
    <row r="2882" spans="2:10">
      <c r="B2882" s="184"/>
      <c r="C2882" s="184"/>
      <c r="D2882" s="184"/>
      <c r="E2882" s="184"/>
      <c r="F2882" s="184"/>
      <c r="I2882" s="186"/>
      <c r="J2882" s="184"/>
    </row>
    <row r="2883" spans="2:10">
      <c r="B2883" s="184"/>
      <c r="C2883" s="184"/>
      <c r="D2883" s="184"/>
      <c r="E2883" s="184"/>
      <c r="F2883" s="184"/>
      <c r="I2883" s="186"/>
      <c r="J2883" s="184"/>
    </row>
    <row r="2884" spans="2:10">
      <c r="B2884" s="184"/>
      <c r="C2884" s="184"/>
      <c r="D2884" s="184"/>
      <c r="E2884" s="184"/>
      <c r="F2884" s="184"/>
      <c r="I2884" s="186"/>
      <c r="J2884" s="184"/>
    </row>
    <row r="2885" spans="2:10">
      <c r="B2885" s="184"/>
      <c r="C2885" s="184"/>
      <c r="D2885" s="184"/>
      <c r="E2885" s="184"/>
      <c r="F2885" s="184"/>
      <c r="I2885" s="186"/>
      <c r="J2885" s="184"/>
    </row>
    <row r="2886" spans="2:10">
      <c r="B2886" s="184"/>
      <c r="C2886" s="184"/>
      <c r="D2886" s="184"/>
      <c r="E2886" s="184"/>
      <c r="F2886" s="184"/>
      <c r="I2886" s="186"/>
      <c r="J2886" s="184"/>
    </row>
    <row r="2887" spans="2:10">
      <c r="B2887" s="184"/>
      <c r="C2887" s="184"/>
      <c r="D2887" s="184"/>
      <c r="E2887" s="184"/>
      <c r="F2887" s="184"/>
      <c r="G2887" s="187"/>
      <c r="I2887" s="186"/>
      <c r="J2887" s="184"/>
    </row>
    <row r="2888" spans="2:10">
      <c r="B2888" s="184"/>
      <c r="C2888" s="184"/>
      <c r="D2888" s="184"/>
      <c r="E2888" s="184"/>
      <c r="F2888" s="184"/>
      <c r="I2888" s="186"/>
      <c r="J2888" s="184"/>
    </row>
    <row r="2889" spans="2:10">
      <c r="B2889" s="184"/>
      <c r="C2889" s="184"/>
      <c r="D2889" s="184"/>
      <c r="E2889" s="184"/>
      <c r="F2889" s="184"/>
      <c r="G2889" s="187"/>
      <c r="I2889" s="186"/>
      <c r="J2889" s="184"/>
    </row>
    <row r="2890" spans="2:10">
      <c r="B2890" s="184"/>
      <c r="C2890" s="184"/>
      <c r="D2890" s="184"/>
      <c r="E2890" s="184"/>
      <c r="F2890" s="184"/>
      <c r="I2890" s="186"/>
      <c r="J2890" s="184"/>
    </row>
    <row r="2891" spans="2:10">
      <c r="B2891" s="184"/>
      <c r="C2891" s="184"/>
      <c r="D2891" s="184"/>
      <c r="E2891" s="184"/>
      <c r="F2891" s="184"/>
      <c r="I2891" s="186"/>
      <c r="J2891" s="184"/>
    </row>
    <row r="2892" spans="2:10">
      <c r="B2892" s="184"/>
      <c r="C2892" s="184"/>
      <c r="D2892" s="184"/>
      <c r="E2892" s="184"/>
      <c r="F2892" s="184"/>
      <c r="I2892" s="186"/>
      <c r="J2892" s="184"/>
    </row>
    <row r="2893" spans="2:10">
      <c r="B2893" s="184"/>
      <c r="C2893" s="184"/>
      <c r="D2893" s="184"/>
      <c r="E2893" s="184"/>
      <c r="F2893" s="184"/>
      <c r="I2893" s="186"/>
      <c r="J2893" s="184"/>
    </row>
    <row r="2894" spans="2:10">
      <c r="B2894" s="184"/>
      <c r="C2894" s="184"/>
      <c r="D2894" s="184"/>
      <c r="E2894" s="184"/>
      <c r="F2894" s="184"/>
      <c r="I2894" s="186"/>
      <c r="J2894" s="184"/>
    </row>
    <row r="2895" spans="2:10">
      <c r="B2895" s="184"/>
      <c r="C2895" s="184"/>
      <c r="D2895" s="184"/>
      <c r="E2895" s="184"/>
      <c r="F2895" s="184"/>
      <c r="I2895" s="186"/>
      <c r="J2895" s="184"/>
    </row>
    <row r="2896" spans="2:10">
      <c r="B2896" s="184"/>
      <c r="C2896" s="184"/>
      <c r="D2896" s="184"/>
      <c r="E2896" s="184"/>
      <c r="F2896" s="184"/>
      <c r="I2896" s="186"/>
      <c r="J2896" s="184"/>
    </row>
    <row r="2897" spans="2:10">
      <c r="B2897" s="184"/>
      <c r="C2897" s="184"/>
      <c r="D2897" s="184"/>
      <c r="E2897" s="184"/>
      <c r="F2897" s="184"/>
      <c r="G2897" s="187"/>
      <c r="I2897" s="186"/>
      <c r="J2897" s="184"/>
    </row>
    <row r="2898" spans="2:10">
      <c r="B2898" s="184"/>
      <c r="C2898" s="184"/>
      <c r="D2898" s="184"/>
      <c r="E2898" s="184"/>
      <c r="F2898" s="184"/>
      <c r="I2898" s="186"/>
      <c r="J2898" s="184"/>
    </row>
    <row r="2899" spans="2:10">
      <c r="B2899" s="184"/>
      <c r="C2899" s="184"/>
      <c r="D2899" s="184"/>
      <c r="E2899" s="184"/>
      <c r="F2899" s="184"/>
      <c r="I2899" s="186"/>
      <c r="J2899" s="184"/>
    </row>
    <row r="2900" spans="2:10">
      <c r="B2900" s="184"/>
      <c r="C2900" s="184"/>
      <c r="D2900" s="184"/>
      <c r="E2900" s="184"/>
      <c r="F2900" s="184"/>
      <c r="G2900" s="187"/>
      <c r="I2900" s="186"/>
      <c r="J2900" s="184"/>
    </row>
    <row r="2901" spans="2:10">
      <c r="B2901" s="184"/>
      <c r="C2901" s="184"/>
      <c r="D2901" s="184"/>
      <c r="E2901" s="184"/>
      <c r="F2901" s="184"/>
      <c r="I2901" s="186"/>
      <c r="J2901" s="184"/>
    </row>
    <row r="2902" spans="2:10">
      <c r="B2902" s="184"/>
      <c r="C2902" s="184"/>
      <c r="D2902" s="184"/>
      <c r="E2902" s="184"/>
      <c r="F2902" s="184"/>
      <c r="G2902" s="187"/>
      <c r="I2902" s="186"/>
      <c r="J2902" s="184"/>
    </row>
    <row r="2903" spans="2:10">
      <c r="B2903" s="184"/>
      <c r="C2903" s="184"/>
      <c r="D2903" s="184"/>
      <c r="E2903" s="184"/>
      <c r="F2903" s="184"/>
      <c r="I2903" s="186"/>
      <c r="J2903" s="184"/>
    </row>
    <row r="2904" spans="2:10">
      <c r="B2904" s="184"/>
      <c r="C2904" s="184"/>
      <c r="D2904" s="184"/>
      <c r="E2904" s="184"/>
      <c r="F2904" s="184"/>
      <c r="G2904" s="187"/>
      <c r="I2904" s="186"/>
      <c r="J2904" s="184"/>
    </row>
    <row r="2905" spans="2:10">
      <c r="B2905" s="184"/>
      <c r="C2905" s="184"/>
      <c r="D2905" s="184"/>
      <c r="E2905" s="184"/>
      <c r="F2905" s="184"/>
      <c r="I2905" s="186"/>
      <c r="J2905" s="184"/>
    </row>
    <row r="2906" spans="2:10">
      <c r="B2906" s="184"/>
      <c r="C2906" s="184"/>
      <c r="D2906" s="184"/>
      <c r="E2906" s="184"/>
      <c r="F2906" s="184"/>
      <c r="G2906" s="187"/>
      <c r="I2906" s="186"/>
      <c r="J2906" s="184"/>
    </row>
    <row r="2907" spans="2:10">
      <c r="B2907" s="184"/>
      <c r="C2907" s="184"/>
      <c r="D2907" s="184"/>
      <c r="E2907" s="184"/>
      <c r="F2907" s="184"/>
      <c r="I2907" s="186"/>
      <c r="J2907" s="184"/>
    </row>
    <row r="2908" spans="2:10">
      <c r="B2908" s="184"/>
      <c r="C2908" s="184"/>
      <c r="D2908" s="184"/>
      <c r="E2908" s="184"/>
      <c r="F2908" s="184"/>
      <c r="I2908" s="186"/>
      <c r="J2908" s="184"/>
    </row>
    <row r="2909" spans="2:10">
      <c r="B2909" s="184"/>
      <c r="C2909" s="184"/>
      <c r="D2909" s="184"/>
      <c r="E2909" s="184"/>
      <c r="F2909" s="184"/>
      <c r="I2909" s="186"/>
      <c r="J2909" s="184"/>
    </row>
    <row r="2910" spans="2:10">
      <c r="B2910" s="184"/>
      <c r="C2910" s="184"/>
      <c r="D2910" s="184"/>
      <c r="E2910" s="184"/>
      <c r="F2910" s="184"/>
      <c r="G2910" s="187"/>
      <c r="I2910" s="186"/>
      <c r="J2910" s="184"/>
    </row>
    <row r="2911" spans="2:10">
      <c r="B2911" s="184"/>
      <c r="C2911" s="184"/>
      <c r="D2911" s="184"/>
      <c r="E2911" s="184"/>
      <c r="F2911" s="184"/>
      <c r="I2911" s="186"/>
      <c r="J2911" s="184"/>
    </row>
    <row r="2912" spans="2:10">
      <c r="B2912" s="184"/>
      <c r="C2912" s="184"/>
      <c r="D2912" s="184"/>
      <c r="E2912" s="184"/>
      <c r="F2912" s="184"/>
      <c r="G2912" s="187"/>
      <c r="I2912" s="186"/>
      <c r="J2912" s="184"/>
    </row>
    <row r="2913" spans="2:10">
      <c r="B2913" s="184"/>
      <c r="C2913" s="184"/>
      <c r="D2913" s="184"/>
      <c r="E2913" s="184"/>
      <c r="F2913" s="184"/>
      <c r="I2913" s="186"/>
      <c r="J2913" s="184"/>
    </row>
    <row r="2914" spans="2:10">
      <c r="B2914" s="184"/>
      <c r="C2914" s="184"/>
      <c r="D2914" s="184"/>
      <c r="E2914" s="184"/>
      <c r="F2914" s="184"/>
      <c r="I2914" s="186"/>
      <c r="J2914" s="184"/>
    </row>
    <row r="2915" spans="2:10">
      <c r="B2915" s="184"/>
      <c r="C2915" s="184"/>
      <c r="D2915" s="184"/>
      <c r="E2915" s="184"/>
      <c r="F2915" s="184"/>
      <c r="I2915" s="186"/>
      <c r="J2915" s="184"/>
    </row>
    <row r="2916" spans="2:10">
      <c r="B2916" s="184"/>
      <c r="C2916" s="184"/>
      <c r="D2916" s="184"/>
      <c r="E2916" s="184"/>
      <c r="F2916" s="184"/>
      <c r="I2916" s="186"/>
      <c r="J2916" s="184"/>
    </row>
    <row r="2917" spans="2:10">
      <c r="B2917" s="184"/>
      <c r="C2917" s="184"/>
      <c r="D2917" s="184"/>
      <c r="E2917" s="184"/>
      <c r="F2917" s="184"/>
      <c r="I2917" s="186"/>
      <c r="J2917" s="184"/>
    </row>
    <row r="2918" spans="2:10">
      <c r="B2918" s="184"/>
      <c r="C2918" s="184"/>
      <c r="D2918" s="184"/>
      <c r="E2918" s="184"/>
      <c r="F2918" s="184"/>
      <c r="G2918" s="187"/>
      <c r="I2918" s="186"/>
      <c r="J2918" s="184"/>
    </row>
    <row r="2919" spans="2:10">
      <c r="B2919" s="184"/>
      <c r="C2919" s="184"/>
      <c r="D2919" s="184"/>
      <c r="E2919" s="184"/>
      <c r="F2919" s="184"/>
      <c r="I2919" s="186"/>
      <c r="J2919" s="184"/>
    </row>
    <row r="2920" spans="2:10">
      <c r="B2920" s="184"/>
      <c r="C2920" s="184"/>
      <c r="D2920" s="184"/>
      <c r="E2920" s="184"/>
      <c r="F2920" s="184"/>
      <c r="G2920" s="187"/>
      <c r="I2920" s="186"/>
      <c r="J2920" s="184"/>
    </row>
    <row r="2921" spans="2:10">
      <c r="B2921" s="184"/>
      <c r="C2921" s="184"/>
      <c r="D2921" s="184"/>
      <c r="E2921" s="184"/>
      <c r="F2921" s="184"/>
      <c r="I2921" s="186"/>
      <c r="J2921" s="184"/>
    </row>
    <row r="2922" spans="2:10">
      <c r="B2922" s="184"/>
      <c r="C2922" s="184"/>
      <c r="D2922" s="184"/>
      <c r="E2922" s="184"/>
      <c r="F2922" s="184"/>
      <c r="I2922" s="186"/>
      <c r="J2922" s="184"/>
    </row>
    <row r="2923" spans="2:10">
      <c r="B2923" s="184"/>
      <c r="C2923" s="184"/>
      <c r="D2923" s="184"/>
      <c r="E2923" s="184"/>
      <c r="F2923" s="184"/>
      <c r="I2923" s="186"/>
      <c r="J2923" s="184"/>
    </row>
    <row r="2924" spans="2:10">
      <c r="B2924" s="184"/>
      <c r="C2924" s="184"/>
      <c r="D2924" s="184"/>
      <c r="E2924" s="184"/>
      <c r="F2924" s="184"/>
      <c r="I2924" s="186"/>
      <c r="J2924" s="184"/>
    </row>
    <row r="2925" spans="2:10">
      <c r="B2925" s="184"/>
      <c r="C2925" s="184"/>
      <c r="D2925" s="184"/>
      <c r="E2925" s="184"/>
      <c r="F2925" s="184"/>
      <c r="I2925" s="186"/>
      <c r="J2925" s="184"/>
    </row>
    <row r="2926" spans="2:10">
      <c r="B2926" s="184"/>
      <c r="C2926" s="184"/>
      <c r="D2926" s="184"/>
      <c r="E2926" s="184"/>
      <c r="F2926" s="184"/>
      <c r="I2926" s="186"/>
      <c r="J2926" s="184"/>
    </row>
    <row r="2927" spans="2:10">
      <c r="B2927" s="184"/>
      <c r="C2927" s="184"/>
      <c r="D2927" s="184"/>
      <c r="E2927" s="184"/>
      <c r="F2927" s="184"/>
      <c r="I2927" s="186"/>
      <c r="J2927" s="184"/>
    </row>
    <row r="2928" spans="2:10">
      <c r="B2928" s="184"/>
      <c r="C2928" s="184"/>
      <c r="D2928" s="184"/>
      <c r="E2928" s="184"/>
      <c r="F2928" s="184"/>
      <c r="I2928" s="186"/>
      <c r="J2928" s="184"/>
    </row>
    <row r="2929" spans="2:10">
      <c r="B2929" s="184"/>
      <c r="C2929" s="184"/>
      <c r="D2929" s="184"/>
      <c r="E2929" s="184"/>
      <c r="F2929" s="184"/>
      <c r="I2929" s="186"/>
      <c r="J2929" s="184"/>
    </row>
    <row r="2930" spans="2:10">
      <c r="B2930" s="184"/>
      <c r="C2930" s="184"/>
      <c r="D2930" s="184"/>
      <c r="E2930" s="184"/>
      <c r="F2930" s="184"/>
      <c r="I2930" s="186"/>
      <c r="J2930" s="184"/>
    </row>
    <row r="2931" spans="2:10">
      <c r="B2931" s="184"/>
      <c r="C2931" s="184"/>
      <c r="D2931" s="184"/>
      <c r="E2931" s="184"/>
      <c r="F2931" s="184"/>
      <c r="I2931" s="186"/>
      <c r="J2931" s="184"/>
    </row>
    <row r="2932" spans="2:10">
      <c r="B2932" s="184"/>
      <c r="C2932" s="184"/>
      <c r="D2932" s="184"/>
      <c r="E2932" s="184"/>
      <c r="F2932" s="184"/>
      <c r="I2932" s="186"/>
      <c r="J2932" s="184"/>
    </row>
    <row r="2933" spans="2:10">
      <c r="B2933" s="184"/>
      <c r="C2933" s="184"/>
      <c r="D2933" s="184"/>
      <c r="E2933" s="184"/>
      <c r="F2933" s="184"/>
      <c r="I2933" s="186"/>
      <c r="J2933" s="184"/>
    </row>
    <row r="2934" spans="2:10">
      <c r="B2934" s="184"/>
      <c r="C2934" s="184"/>
      <c r="D2934" s="184"/>
      <c r="E2934" s="184"/>
      <c r="F2934" s="184"/>
      <c r="I2934" s="186"/>
      <c r="J2934" s="184"/>
    </row>
    <row r="2935" spans="2:10">
      <c r="B2935" s="184"/>
      <c r="C2935" s="184"/>
      <c r="D2935" s="184"/>
      <c r="E2935" s="184"/>
      <c r="F2935" s="184"/>
      <c r="I2935" s="186"/>
      <c r="J2935" s="184"/>
    </row>
    <row r="2936" spans="2:10">
      <c r="B2936" s="184"/>
      <c r="C2936" s="184"/>
      <c r="D2936" s="184"/>
      <c r="E2936" s="184"/>
      <c r="F2936" s="184"/>
      <c r="I2936" s="186"/>
      <c r="J2936" s="184"/>
    </row>
    <row r="2937" spans="2:10">
      <c r="B2937" s="184"/>
      <c r="C2937" s="184"/>
      <c r="D2937" s="184"/>
      <c r="E2937" s="184"/>
      <c r="F2937" s="184"/>
      <c r="I2937" s="186"/>
      <c r="J2937" s="184"/>
    </row>
    <row r="2938" spans="2:10">
      <c r="B2938" s="184"/>
      <c r="C2938" s="184"/>
      <c r="D2938" s="184"/>
      <c r="E2938" s="184"/>
      <c r="F2938" s="184"/>
      <c r="I2938" s="186"/>
      <c r="J2938" s="184"/>
    </row>
    <row r="2939" spans="2:10">
      <c r="B2939" s="184"/>
      <c r="C2939" s="184"/>
      <c r="D2939" s="184"/>
      <c r="E2939" s="184"/>
      <c r="F2939" s="184"/>
      <c r="I2939" s="186"/>
      <c r="J2939" s="184"/>
    </row>
    <row r="2940" spans="2:10">
      <c r="B2940" s="184"/>
      <c r="C2940" s="184"/>
      <c r="D2940" s="184"/>
      <c r="E2940" s="184"/>
      <c r="F2940" s="184"/>
      <c r="I2940" s="186"/>
      <c r="J2940" s="184"/>
    </row>
    <row r="2941" spans="2:10">
      <c r="B2941" s="184"/>
      <c r="C2941" s="184"/>
      <c r="D2941" s="184"/>
      <c r="E2941" s="184"/>
      <c r="F2941" s="184"/>
      <c r="G2941" s="187"/>
      <c r="I2941" s="186"/>
      <c r="J2941" s="184"/>
    </row>
    <row r="2942" spans="2:10">
      <c r="B2942" s="184"/>
      <c r="C2942" s="184"/>
      <c r="D2942" s="184"/>
      <c r="E2942" s="184"/>
      <c r="F2942" s="184"/>
      <c r="G2942" s="187"/>
      <c r="I2942" s="186"/>
      <c r="J2942" s="184"/>
    </row>
    <row r="2943" spans="2:10">
      <c r="B2943" s="184"/>
      <c r="C2943" s="184"/>
      <c r="D2943" s="184"/>
      <c r="E2943" s="184"/>
      <c r="F2943" s="184"/>
      <c r="G2943" s="187"/>
      <c r="I2943" s="186"/>
      <c r="J2943" s="184"/>
    </row>
    <row r="2944" spans="2:10">
      <c r="B2944" s="184"/>
      <c r="C2944" s="184"/>
      <c r="D2944" s="184"/>
      <c r="E2944" s="184"/>
      <c r="F2944" s="184"/>
      <c r="G2944" s="187"/>
      <c r="I2944" s="186"/>
      <c r="J2944" s="184"/>
    </row>
    <row r="2945" spans="2:10">
      <c r="B2945" s="184"/>
      <c r="C2945" s="184"/>
      <c r="D2945" s="184"/>
      <c r="E2945" s="184"/>
      <c r="F2945" s="184"/>
      <c r="G2945" s="187"/>
      <c r="I2945" s="186"/>
      <c r="J2945" s="184"/>
    </row>
    <row r="2946" spans="2:10">
      <c r="B2946" s="184"/>
      <c r="C2946" s="184"/>
      <c r="D2946" s="184"/>
      <c r="E2946" s="184"/>
      <c r="F2946" s="184"/>
      <c r="G2946" s="187"/>
      <c r="I2946" s="186"/>
      <c r="J2946" s="184"/>
    </row>
    <row r="2947" spans="2:10">
      <c r="B2947" s="184"/>
      <c r="C2947" s="184"/>
      <c r="D2947" s="184"/>
      <c r="E2947" s="184"/>
      <c r="F2947" s="184"/>
      <c r="G2947" s="187"/>
      <c r="I2947" s="186"/>
      <c r="J2947" s="184"/>
    </row>
    <row r="2948" spans="2:10">
      <c r="B2948" s="184"/>
      <c r="C2948" s="184"/>
      <c r="D2948" s="184"/>
      <c r="E2948" s="184"/>
      <c r="F2948" s="184"/>
      <c r="G2948" s="187"/>
      <c r="I2948" s="186"/>
      <c r="J2948" s="184"/>
    </row>
    <row r="2949" spans="2:10">
      <c r="B2949" s="184"/>
      <c r="C2949" s="184"/>
      <c r="D2949" s="184"/>
      <c r="E2949" s="184"/>
      <c r="F2949" s="184"/>
      <c r="G2949" s="187"/>
      <c r="I2949" s="186"/>
      <c r="J2949" s="184"/>
    </row>
    <row r="2950" spans="2:10">
      <c r="B2950" s="184"/>
      <c r="C2950" s="184"/>
      <c r="D2950" s="184"/>
      <c r="E2950" s="184"/>
      <c r="F2950" s="184"/>
      <c r="G2950" s="187"/>
      <c r="I2950" s="186"/>
      <c r="J2950" s="184"/>
    </row>
    <row r="2951" spans="2:10">
      <c r="B2951" s="184"/>
      <c r="C2951" s="184"/>
      <c r="D2951" s="184"/>
      <c r="E2951" s="184"/>
      <c r="F2951" s="184"/>
      <c r="I2951" s="186"/>
      <c r="J2951" s="184"/>
    </row>
    <row r="2952" spans="2:10">
      <c r="B2952" s="184"/>
      <c r="C2952" s="184"/>
      <c r="D2952" s="184"/>
      <c r="E2952" s="184"/>
      <c r="F2952" s="184"/>
      <c r="G2952" s="187"/>
      <c r="I2952" s="186"/>
      <c r="J2952" s="184"/>
    </row>
    <row r="2953" spans="2:10">
      <c r="B2953" s="184"/>
      <c r="C2953" s="184"/>
      <c r="D2953" s="184"/>
      <c r="E2953" s="184"/>
      <c r="F2953" s="184"/>
      <c r="G2953" s="187"/>
      <c r="I2953" s="186"/>
      <c r="J2953" s="184"/>
    </row>
    <row r="2954" spans="2:10">
      <c r="B2954" s="184"/>
      <c r="C2954" s="184"/>
      <c r="D2954" s="184"/>
      <c r="E2954" s="184"/>
      <c r="F2954" s="184"/>
      <c r="G2954" s="187"/>
      <c r="I2954" s="186"/>
      <c r="J2954" s="184"/>
    </row>
    <row r="2955" spans="2:10">
      <c r="B2955" s="184"/>
      <c r="C2955" s="184"/>
      <c r="D2955" s="184"/>
      <c r="E2955" s="184"/>
      <c r="F2955" s="184"/>
      <c r="G2955" s="187"/>
      <c r="I2955" s="186"/>
      <c r="J2955" s="184"/>
    </row>
    <row r="2956" spans="2:10">
      <c r="B2956" s="184"/>
      <c r="C2956" s="184"/>
      <c r="D2956" s="184"/>
      <c r="E2956" s="184"/>
      <c r="F2956" s="184"/>
      <c r="G2956" s="187"/>
      <c r="I2956" s="186"/>
      <c r="J2956" s="184"/>
    </row>
    <row r="2957" spans="2:10">
      <c r="B2957" s="184"/>
      <c r="C2957" s="184"/>
      <c r="D2957" s="184"/>
      <c r="E2957" s="184"/>
      <c r="F2957" s="184"/>
      <c r="G2957" s="187"/>
      <c r="I2957" s="186"/>
      <c r="J2957" s="184"/>
    </row>
    <row r="2958" spans="2:10">
      <c r="B2958" s="184"/>
      <c r="C2958" s="184"/>
      <c r="D2958" s="184"/>
      <c r="E2958" s="184"/>
      <c r="F2958" s="184"/>
      <c r="I2958" s="186"/>
      <c r="J2958" s="184"/>
    </row>
    <row r="2959" spans="2:10">
      <c r="B2959" s="184"/>
      <c r="C2959" s="184"/>
      <c r="D2959" s="184"/>
      <c r="E2959" s="184"/>
      <c r="F2959" s="184"/>
      <c r="I2959" s="186"/>
      <c r="J2959" s="184"/>
    </row>
    <row r="2960" spans="2:10">
      <c r="B2960" s="184"/>
      <c r="C2960" s="184"/>
      <c r="D2960" s="184"/>
      <c r="E2960" s="184"/>
      <c r="F2960" s="184"/>
      <c r="I2960" s="186"/>
      <c r="J2960" s="184"/>
    </row>
    <row r="2961" spans="2:10">
      <c r="B2961" s="184"/>
      <c r="C2961" s="184"/>
      <c r="D2961" s="184"/>
      <c r="E2961" s="184"/>
      <c r="F2961" s="184"/>
      <c r="I2961" s="186"/>
      <c r="J2961" s="184"/>
    </row>
    <row r="2962" spans="2:10">
      <c r="B2962" s="184"/>
      <c r="C2962" s="184"/>
      <c r="D2962" s="184"/>
      <c r="E2962" s="184"/>
      <c r="F2962" s="184"/>
      <c r="G2962" s="187"/>
      <c r="I2962" s="186"/>
      <c r="J2962" s="184"/>
    </row>
    <row r="2963" spans="2:10">
      <c r="B2963" s="184"/>
      <c r="C2963" s="184"/>
      <c r="D2963" s="184"/>
      <c r="E2963" s="184"/>
      <c r="F2963" s="184"/>
      <c r="G2963" s="187"/>
      <c r="I2963" s="186"/>
      <c r="J2963" s="184"/>
    </row>
    <row r="2964" spans="2:10">
      <c r="B2964" s="184"/>
      <c r="C2964" s="184"/>
      <c r="D2964" s="184"/>
      <c r="E2964" s="184"/>
      <c r="F2964" s="184"/>
      <c r="I2964" s="186"/>
      <c r="J2964" s="184"/>
    </row>
    <row r="2965" spans="2:10">
      <c r="B2965" s="184"/>
      <c r="C2965" s="184"/>
      <c r="D2965" s="184"/>
      <c r="E2965" s="184"/>
      <c r="F2965" s="184"/>
      <c r="I2965" s="186"/>
      <c r="J2965" s="184"/>
    </row>
    <row r="2966" spans="2:10">
      <c r="B2966" s="184"/>
      <c r="C2966" s="184"/>
      <c r="D2966" s="184"/>
      <c r="E2966" s="184"/>
      <c r="F2966" s="184"/>
      <c r="I2966" s="186"/>
      <c r="J2966" s="184"/>
    </row>
    <row r="2967" spans="2:10">
      <c r="B2967" s="184"/>
      <c r="C2967" s="184"/>
      <c r="D2967" s="184"/>
      <c r="E2967" s="184"/>
      <c r="F2967" s="184"/>
      <c r="I2967" s="186"/>
      <c r="J2967" s="184"/>
    </row>
    <row r="2968" spans="2:10">
      <c r="B2968" s="184"/>
      <c r="C2968" s="184"/>
      <c r="D2968" s="184"/>
      <c r="E2968" s="184"/>
      <c r="F2968" s="184"/>
      <c r="I2968" s="186"/>
      <c r="J2968" s="184"/>
    </row>
    <row r="2969" spans="2:10">
      <c r="B2969" s="184"/>
      <c r="C2969" s="184"/>
      <c r="D2969" s="184"/>
      <c r="E2969" s="184"/>
      <c r="F2969" s="184"/>
      <c r="I2969" s="186"/>
      <c r="J2969" s="184"/>
    </row>
    <row r="2970" spans="2:10">
      <c r="B2970" s="184"/>
      <c r="C2970" s="184"/>
      <c r="D2970" s="184"/>
      <c r="E2970" s="184"/>
      <c r="F2970" s="184"/>
      <c r="I2970" s="186"/>
      <c r="J2970" s="184"/>
    </row>
    <row r="2971" spans="2:10">
      <c r="B2971" s="184"/>
      <c r="C2971" s="184"/>
      <c r="D2971" s="184"/>
      <c r="E2971" s="184"/>
      <c r="F2971" s="184"/>
      <c r="I2971" s="186"/>
      <c r="J2971" s="184"/>
    </row>
    <row r="2972" spans="2:10">
      <c r="B2972" s="184"/>
      <c r="C2972" s="184"/>
      <c r="D2972" s="184"/>
      <c r="E2972" s="184"/>
      <c r="F2972" s="184"/>
      <c r="I2972" s="186"/>
      <c r="J2972" s="184"/>
    </row>
    <row r="2973" spans="2:10">
      <c r="B2973" s="184"/>
      <c r="C2973" s="184"/>
      <c r="D2973" s="184"/>
      <c r="E2973" s="184"/>
      <c r="F2973" s="184"/>
      <c r="I2973" s="186"/>
      <c r="J2973" s="184"/>
    </row>
    <row r="2974" spans="2:10">
      <c r="B2974" s="184"/>
      <c r="C2974" s="184"/>
      <c r="D2974" s="184"/>
      <c r="E2974" s="184"/>
      <c r="F2974" s="184"/>
      <c r="I2974" s="186"/>
      <c r="J2974" s="184"/>
    </row>
    <row r="2975" spans="2:10">
      <c r="B2975" s="184"/>
      <c r="C2975" s="184"/>
      <c r="D2975" s="184"/>
      <c r="E2975" s="184"/>
      <c r="F2975" s="184"/>
      <c r="I2975" s="186"/>
      <c r="J2975" s="184"/>
    </row>
    <row r="2976" spans="2:10">
      <c r="B2976" s="184"/>
      <c r="C2976" s="184"/>
      <c r="D2976" s="184"/>
      <c r="E2976" s="184"/>
      <c r="F2976" s="184"/>
      <c r="I2976" s="186"/>
      <c r="J2976" s="184"/>
    </row>
    <row r="2977" spans="2:10">
      <c r="B2977" s="184"/>
      <c r="C2977" s="184"/>
      <c r="D2977" s="184"/>
      <c r="E2977" s="184"/>
      <c r="F2977" s="184"/>
      <c r="I2977" s="186"/>
      <c r="J2977" s="184"/>
    </row>
    <row r="2978" spans="2:10">
      <c r="B2978" s="184"/>
      <c r="C2978" s="184"/>
      <c r="D2978" s="184"/>
      <c r="E2978" s="184"/>
      <c r="F2978" s="184"/>
      <c r="I2978" s="186"/>
      <c r="J2978" s="184"/>
    </row>
    <row r="2979" spans="2:10">
      <c r="B2979" s="184"/>
      <c r="C2979" s="184"/>
      <c r="D2979" s="184"/>
      <c r="E2979" s="184"/>
      <c r="F2979" s="184"/>
      <c r="I2979" s="186"/>
      <c r="J2979" s="184"/>
    </row>
    <row r="2980" spans="2:10">
      <c r="B2980" s="184"/>
      <c r="C2980" s="184"/>
      <c r="D2980" s="184"/>
      <c r="E2980" s="184"/>
      <c r="F2980" s="184"/>
      <c r="I2980" s="186"/>
      <c r="J2980" s="184"/>
    </row>
    <row r="2981" spans="2:10">
      <c r="B2981" s="184"/>
      <c r="C2981" s="184"/>
      <c r="D2981" s="184"/>
      <c r="E2981" s="184"/>
      <c r="F2981" s="184"/>
      <c r="I2981" s="186"/>
      <c r="J2981" s="184"/>
    </row>
    <row r="2982" spans="2:10">
      <c r="B2982" s="184"/>
      <c r="C2982" s="184"/>
      <c r="D2982" s="184"/>
      <c r="E2982" s="184"/>
      <c r="F2982" s="184"/>
      <c r="I2982" s="186"/>
      <c r="J2982" s="184"/>
    </row>
    <row r="2983" spans="2:10">
      <c r="B2983" s="184"/>
      <c r="C2983" s="184"/>
      <c r="D2983" s="184"/>
      <c r="E2983" s="184"/>
      <c r="F2983" s="184"/>
      <c r="I2983" s="186"/>
      <c r="J2983" s="184"/>
    </row>
    <row r="2984" spans="2:10">
      <c r="B2984" s="184"/>
      <c r="C2984" s="184"/>
      <c r="D2984" s="184"/>
      <c r="E2984" s="184"/>
      <c r="F2984" s="184"/>
      <c r="I2984" s="186"/>
      <c r="J2984" s="184"/>
    </row>
    <row r="2985" spans="2:10">
      <c r="B2985" s="184"/>
      <c r="C2985" s="184"/>
      <c r="D2985" s="184"/>
      <c r="E2985" s="184"/>
      <c r="F2985" s="184"/>
      <c r="I2985" s="186"/>
      <c r="J2985" s="184"/>
    </row>
    <row r="2986" spans="2:10">
      <c r="B2986" s="184"/>
      <c r="C2986" s="184"/>
      <c r="D2986" s="184"/>
      <c r="E2986" s="184"/>
      <c r="F2986" s="184"/>
      <c r="I2986" s="186"/>
      <c r="J2986" s="184"/>
    </row>
    <row r="2987" spans="2:10">
      <c r="B2987" s="184"/>
      <c r="C2987" s="184"/>
      <c r="D2987" s="184"/>
      <c r="E2987" s="184"/>
      <c r="F2987" s="184"/>
      <c r="I2987" s="186"/>
      <c r="J2987" s="184"/>
    </row>
    <row r="2988" spans="2:10">
      <c r="B2988" s="184"/>
      <c r="C2988" s="184"/>
      <c r="D2988" s="184"/>
      <c r="E2988" s="184"/>
      <c r="F2988" s="184"/>
      <c r="I2988" s="186"/>
      <c r="J2988" s="184"/>
    </row>
    <row r="2989" spans="2:10">
      <c r="B2989" s="184"/>
      <c r="C2989" s="184"/>
      <c r="D2989" s="184"/>
      <c r="E2989" s="184"/>
      <c r="F2989" s="184"/>
      <c r="I2989" s="186"/>
      <c r="J2989" s="184"/>
    </row>
    <row r="2990" spans="2:10">
      <c r="B2990" s="184"/>
      <c r="C2990" s="184"/>
      <c r="D2990" s="184"/>
      <c r="E2990" s="184"/>
      <c r="F2990" s="184"/>
      <c r="I2990" s="186"/>
      <c r="J2990" s="184"/>
    </row>
    <row r="2991" spans="2:10">
      <c r="B2991" s="184"/>
      <c r="C2991" s="184"/>
      <c r="D2991" s="184"/>
      <c r="E2991" s="184"/>
      <c r="F2991" s="184"/>
      <c r="I2991" s="186"/>
      <c r="J2991" s="184"/>
    </row>
    <row r="2992" spans="2:10">
      <c r="B2992" s="184"/>
      <c r="C2992" s="184"/>
      <c r="D2992" s="184"/>
      <c r="E2992" s="184"/>
      <c r="F2992" s="184"/>
      <c r="I2992" s="186"/>
      <c r="J2992" s="184"/>
    </row>
    <row r="2993" spans="2:10">
      <c r="B2993" s="184"/>
      <c r="C2993" s="184"/>
      <c r="D2993" s="184"/>
      <c r="E2993" s="184"/>
      <c r="F2993" s="184"/>
      <c r="I2993" s="186"/>
      <c r="J2993" s="184"/>
    </row>
    <row r="2994" spans="2:10">
      <c r="B2994" s="184"/>
      <c r="C2994" s="184"/>
      <c r="D2994" s="184"/>
      <c r="E2994" s="184"/>
      <c r="F2994" s="184"/>
      <c r="I2994" s="186"/>
      <c r="J2994" s="184"/>
    </row>
    <row r="2995" spans="2:10">
      <c r="B2995" s="184"/>
      <c r="C2995" s="184"/>
      <c r="D2995" s="184"/>
      <c r="E2995" s="184"/>
      <c r="F2995" s="184"/>
      <c r="I2995" s="186"/>
      <c r="J2995" s="184"/>
    </row>
    <row r="2996" spans="2:10">
      <c r="B2996" s="184"/>
      <c r="C2996" s="184"/>
      <c r="D2996" s="184"/>
      <c r="E2996" s="184"/>
      <c r="F2996" s="184"/>
      <c r="I2996" s="186"/>
      <c r="J2996" s="184"/>
    </row>
    <row r="2997" spans="2:10">
      <c r="B2997" s="184"/>
      <c r="C2997" s="184"/>
      <c r="D2997" s="184"/>
      <c r="E2997" s="184"/>
      <c r="F2997" s="184"/>
      <c r="I2997" s="186"/>
      <c r="J2997" s="184"/>
    </row>
    <row r="2998" spans="2:10">
      <c r="B2998" s="184"/>
      <c r="C2998" s="184"/>
      <c r="D2998" s="184"/>
      <c r="E2998" s="184"/>
      <c r="F2998" s="184"/>
      <c r="I2998" s="186"/>
      <c r="J2998" s="184"/>
    </row>
    <row r="2999" spans="2:10">
      <c r="B2999" s="184"/>
      <c r="C2999" s="184"/>
      <c r="D2999" s="184"/>
      <c r="E2999" s="184"/>
      <c r="F2999" s="184"/>
      <c r="I2999" s="186"/>
      <c r="J2999" s="184"/>
    </row>
    <row r="3000" spans="2:10">
      <c r="B3000" s="184"/>
      <c r="C3000" s="184"/>
      <c r="D3000" s="184"/>
      <c r="E3000" s="184"/>
      <c r="F3000" s="184"/>
      <c r="I3000" s="186"/>
      <c r="J3000" s="184"/>
    </row>
    <row r="3001" spans="2:10">
      <c r="B3001" s="184"/>
      <c r="C3001" s="184"/>
      <c r="D3001" s="184"/>
      <c r="E3001" s="184"/>
      <c r="F3001" s="184"/>
      <c r="I3001" s="186"/>
      <c r="J3001" s="184"/>
    </row>
    <row r="3002" spans="2:10">
      <c r="B3002" s="184"/>
      <c r="C3002" s="184"/>
      <c r="D3002" s="184"/>
      <c r="E3002" s="184"/>
      <c r="F3002" s="184"/>
      <c r="I3002" s="186"/>
      <c r="J3002" s="184"/>
    </row>
    <row r="3003" spans="2:10">
      <c r="B3003" s="184"/>
      <c r="C3003" s="184"/>
      <c r="D3003" s="184"/>
      <c r="E3003" s="184"/>
      <c r="F3003" s="184"/>
      <c r="I3003" s="186"/>
      <c r="J3003" s="184"/>
    </row>
    <row r="3004" spans="2:10">
      <c r="B3004" s="184"/>
      <c r="C3004" s="184"/>
      <c r="D3004" s="184"/>
      <c r="E3004" s="184"/>
      <c r="F3004" s="184"/>
      <c r="I3004" s="186"/>
      <c r="J3004" s="184"/>
    </row>
    <row r="3005" spans="2:10">
      <c r="B3005" s="184"/>
      <c r="C3005" s="184"/>
      <c r="D3005" s="184"/>
      <c r="E3005" s="184"/>
      <c r="F3005" s="184"/>
      <c r="I3005" s="186"/>
      <c r="J3005" s="184"/>
    </row>
    <row r="3006" spans="2:10">
      <c r="B3006" s="184"/>
      <c r="C3006" s="184"/>
      <c r="D3006" s="184"/>
      <c r="E3006" s="184"/>
      <c r="F3006" s="184"/>
      <c r="I3006" s="186"/>
      <c r="J3006" s="184"/>
    </row>
    <row r="3007" spans="2:10">
      <c r="B3007" s="184"/>
      <c r="C3007" s="184"/>
      <c r="D3007" s="184"/>
      <c r="E3007" s="184"/>
      <c r="F3007" s="184"/>
      <c r="I3007" s="186"/>
      <c r="J3007" s="184"/>
    </row>
    <row r="3008" spans="2:10">
      <c r="B3008" s="184"/>
      <c r="C3008" s="184"/>
      <c r="D3008" s="184"/>
      <c r="E3008" s="184"/>
      <c r="F3008" s="184"/>
      <c r="I3008" s="186"/>
      <c r="J3008" s="184"/>
    </row>
    <row r="3009" spans="2:10">
      <c r="B3009" s="184"/>
      <c r="C3009" s="184"/>
      <c r="D3009" s="184"/>
      <c r="E3009" s="184"/>
      <c r="F3009" s="184"/>
      <c r="I3009" s="186"/>
      <c r="J3009" s="184"/>
    </row>
    <row r="3010" spans="2:10">
      <c r="B3010" s="184"/>
      <c r="C3010" s="184"/>
      <c r="D3010" s="184"/>
      <c r="E3010" s="184"/>
      <c r="F3010" s="184"/>
      <c r="I3010" s="186"/>
      <c r="J3010" s="184"/>
    </row>
    <row r="3011" spans="2:10">
      <c r="B3011" s="184"/>
      <c r="C3011" s="184"/>
      <c r="D3011" s="184"/>
      <c r="E3011" s="184"/>
      <c r="F3011" s="184"/>
      <c r="I3011" s="186"/>
      <c r="J3011" s="184"/>
    </row>
    <row r="3012" spans="2:10">
      <c r="B3012" s="184"/>
      <c r="C3012" s="184"/>
      <c r="D3012" s="184"/>
      <c r="E3012" s="184"/>
      <c r="F3012" s="184"/>
      <c r="I3012" s="186"/>
      <c r="J3012" s="184"/>
    </row>
    <row r="3013" spans="2:10">
      <c r="B3013" s="184"/>
      <c r="C3013" s="184"/>
      <c r="D3013" s="184"/>
      <c r="E3013" s="184"/>
      <c r="F3013" s="184"/>
      <c r="I3013" s="186"/>
      <c r="J3013" s="184"/>
    </row>
    <row r="3014" spans="2:10">
      <c r="B3014" s="184"/>
      <c r="C3014" s="184"/>
      <c r="D3014" s="184"/>
      <c r="E3014" s="184"/>
      <c r="F3014" s="184"/>
      <c r="I3014" s="186"/>
      <c r="J3014" s="184"/>
    </row>
    <row r="3015" spans="2:10">
      <c r="B3015" s="184"/>
      <c r="C3015" s="184"/>
      <c r="D3015" s="184"/>
      <c r="E3015" s="184"/>
      <c r="F3015" s="184"/>
      <c r="I3015" s="186"/>
      <c r="J3015" s="184"/>
    </row>
    <row r="3016" spans="2:10">
      <c r="B3016" s="184"/>
      <c r="C3016" s="184"/>
      <c r="D3016" s="184"/>
      <c r="E3016" s="184"/>
      <c r="F3016" s="184"/>
      <c r="I3016" s="186"/>
      <c r="J3016" s="184"/>
    </row>
    <row r="3017" spans="2:10">
      <c r="B3017" s="184"/>
      <c r="C3017" s="184"/>
      <c r="D3017" s="184"/>
      <c r="E3017" s="184"/>
      <c r="F3017" s="184"/>
      <c r="I3017" s="186"/>
      <c r="J3017" s="184"/>
    </row>
    <row r="3018" spans="2:10">
      <c r="B3018" s="184"/>
      <c r="C3018" s="184"/>
      <c r="D3018" s="184"/>
      <c r="E3018" s="184"/>
      <c r="F3018" s="184"/>
      <c r="I3018" s="186"/>
      <c r="J3018" s="184"/>
    </row>
    <row r="3019" spans="2:10">
      <c r="B3019" s="184"/>
      <c r="C3019" s="184"/>
      <c r="D3019" s="184"/>
      <c r="E3019" s="184"/>
      <c r="F3019" s="184"/>
      <c r="I3019" s="186"/>
      <c r="J3019" s="184"/>
    </row>
    <row r="3020" spans="2:10">
      <c r="B3020" s="184"/>
      <c r="C3020" s="184"/>
      <c r="D3020" s="184"/>
      <c r="E3020" s="184"/>
      <c r="F3020" s="184"/>
      <c r="I3020" s="186"/>
      <c r="J3020" s="184"/>
    </row>
    <row r="3021" spans="2:10">
      <c r="B3021" s="184"/>
      <c r="C3021" s="184"/>
      <c r="D3021" s="184"/>
      <c r="E3021" s="184"/>
      <c r="F3021" s="184"/>
      <c r="I3021" s="186"/>
      <c r="J3021" s="184"/>
    </row>
    <row r="3022" spans="2:10">
      <c r="B3022" s="184"/>
      <c r="C3022" s="184"/>
      <c r="D3022" s="184"/>
      <c r="E3022" s="184"/>
      <c r="F3022" s="184"/>
      <c r="I3022" s="186"/>
      <c r="J3022" s="184"/>
    </row>
    <row r="3023" spans="2:10">
      <c r="B3023" s="184"/>
      <c r="C3023" s="184"/>
      <c r="D3023" s="184"/>
      <c r="E3023" s="184"/>
      <c r="F3023" s="184"/>
      <c r="I3023" s="186"/>
      <c r="J3023" s="184"/>
    </row>
    <row r="3024" spans="2:10">
      <c r="B3024" s="184"/>
      <c r="C3024" s="184"/>
      <c r="D3024" s="184"/>
      <c r="E3024" s="184"/>
      <c r="F3024" s="184"/>
      <c r="I3024" s="186"/>
      <c r="J3024" s="184"/>
    </row>
    <row r="3025" spans="2:10">
      <c r="B3025" s="184"/>
      <c r="C3025" s="184"/>
      <c r="D3025" s="184"/>
      <c r="E3025" s="184"/>
      <c r="F3025" s="184"/>
      <c r="I3025" s="186"/>
      <c r="J3025" s="184"/>
    </row>
    <row r="3026" spans="2:10">
      <c r="B3026" s="184"/>
      <c r="C3026" s="184"/>
      <c r="D3026" s="184"/>
      <c r="E3026" s="184"/>
      <c r="F3026" s="184"/>
      <c r="I3026" s="186"/>
      <c r="J3026" s="184"/>
    </row>
    <row r="3027" spans="2:10">
      <c r="B3027" s="184"/>
      <c r="C3027" s="184"/>
      <c r="D3027" s="184"/>
      <c r="E3027" s="184"/>
      <c r="F3027" s="184"/>
      <c r="I3027" s="186"/>
      <c r="J3027" s="184"/>
    </row>
    <row r="3028" spans="2:10">
      <c r="B3028" s="184"/>
      <c r="C3028" s="184"/>
      <c r="D3028" s="184"/>
      <c r="E3028" s="184"/>
      <c r="F3028" s="184"/>
      <c r="I3028" s="186"/>
      <c r="J3028" s="184"/>
    </row>
    <row r="3029" spans="2:10">
      <c r="B3029" s="184"/>
      <c r="C3029" s="184"/>
      <c r="D3029" s="184"/>
      <c r="E3029" s="184"/>
      <c r="F3029" s="184"/>
      <c r="I3029" s="186"/>
      <c r="J3029" s="184"/>
    </row>
    <row r="3030" spans="2:10">
      <c r="B3030" s="184"/>
      <c r="C3030" s="184"/>
      <c r="D3030" s="184"/>
      <c r="E3030" s="184"/>
      <c r="F3030" s="184"/>
      <c r="I3030" s="186"/>
      <c r="J3030" s="184"/>
    </row>
    <row r="3031" spans="2:10">
      <c r="B3031" s="184"/>
      <c r="C3031" s="184"/>
      <c r="D3031" s="184"/>
      <c r="E3031" s="184"/>
      <c r="F3031" s="184"/>
      <c r="I3031" s="186"/>
      <c r="J3031" s="184"/>
    </row>
    <row r="3032" spans="2:10">
      <c r="B3032" s="184"/>
      <c r="C3032" s="184"/>
      <c r="D3032" s="184"/>
      <c r="E3032" s="184"/>
      <c r="F3032" s="184"/>
      <c r="I3032" s="186"/>
      <c r="J3032" s="184"/>
    </row>
    <row r="3033" spans="2:10">
      <c r="B3033" s="184"/>
      <c r="C3033" s="184"/>
      <c r="D3033" s="184"/>
      <c r="E3033" s="184"/>
      <c r="F3033" s="184"/>
      <c r="I3033" s="186"/>
      <c r="J3033" s="184"/>
    </row>
    <row r="3034" spans="2:10">
      <c r="B3034" s="184"/>
      <c r="C3034" s="184"/>
      <c r="D3034" s="184"/>
      <c r="E3034" s="184"/>
      <c r="F3034" s="184"/>
      <c r="I3034" s="186"/>
      <c r="J3034" s="184"/>
    </row>
    <row r="3035" spans="2:10">
      <c r="B3035" s="184"/>
      <c r="C3035" s="184"/>
      <c r="D3035" s="184"/>
      <c r="E3035" s="184"/>
      <c r="F3035" s="184"/>
      <c r="I3035" s="186"/>
      <c r="J3035" s="184"/>
    </row>
    <row r="3036" spans="2:10">
      <c r="B3036" s="184"/>
      <c r="C3036" s="184"/>
      <c r="D3036" s="184"/>
      <c r="E3036" s="184"/>
      <c r="F3036" s="184"/>
      <c r="I3036" s="186"/>
      <c r="J3036" s="184"/>
    </row>
    <row r="3037" spans="2:10">
      <c r="B3037" s="184"/>
      <c r="C3037" s="184"/>
      <c r="D3037" s="184"/>
      <c r="E3037" s="184"/>
      <c r="F3037" s="184"/>
      <c r="I3037" s="186"/>
      <c r="J3037" s="184"/>
    </row>
    <row r="3038" spans="2:10">
      <c r="B3038" s="184"/>
      <c r="C3038" s="184"/>
      <c r="D3038" s="184"/>
      <c r="E3038" s="184"/>
      <c r="F3038" s="184"/>
      <c r="I3038" s="186"/>
      <c r="J3038" s="184"/>
    </row>
    <row r="3039" spans="2:10">
      <c r="B3039" s="184"/>
      <c r="C3039" s="184"/>
      <c r="D3039" s="184"/>
      <c r="E3039" s="184"/>
      <c r="F3039" s="184"/>
      <c r="I3039" s="186"/>
      <c r="J3039" s="184"/>
    </row>
    <row r="3040" spans="2:10">
      <c r="B3040" s="184"/>
      <c r="C3040" s="184"/>
      <c r="D3040" s="184"/>
      <c r="E3040" s="184"/>
      <c r="F3040" s="184"/>
      <c r="I3040" s="186"/>
      <c r="J3040" s="184"/>
    </row>
    <row r="3041" spans="2:10">
      <c r="B3041" s="184"/>
      <c r="C3041" s="184"/>
      <c r="D3041" s="184"/>
      <c r="E3041" s="184"/>
      <c r="F3041" s="184"/>
      <c r="I3041" s="186"/>
      <c r="J3041" s="184"/>
    </row>
    <row r="3042" spans="2:10">
      <c r="B3042" s="184"/>
      <c r="C3042" s="184"/>
      <c r="D3042" s="184"/>
      <c r="E3042" s="184"/>
      <c r="F3042" s="184"/>
      <c r="I3042" s="186"/>
      <c r="J3042" s="184"/>
    </row>
    <row r="3043" spans="2:10">
      <c r="B3043" s="184"/>
      <c r="C3043" s="184"/>
      <c r="D3043" s="184"/>
      <c r="E3043" s="184"/>
      <c r="F3043" s="184"/>
      <c r="I3043" s="186"/>
      <c r="J3043" s="184"/>
    </row>
    <row r="3044" spans="2:10">
      <c r="B3044" s="184"/>
      <c r="C3044" s="184"/>
      <c r="D3044" s="184"/>
      <c r="E3044" s="184"/>
      <c r="F3044" s="184"/>
      <c r="I3044" s="186"/>
      <c r="J3044" s="184"/>
    </row>
    <row r="3045" spans="2:10">
      <c r="B3045" s="184"/>
      <c r="C3045" s="184"/>
      <c r="D3045" s="184"/>
      <c r="E3045" s="184"/>
      <c r="F3045" s="184"/>
      <c r="I3045" s="186"/>
      <c r="J3045" s="184"/>
    </row>
    <row r="3046" spans="2:10">
      <c r="B3046" s="184"/>
      <c r="C3046" s="184"/>
      <c r="D3046" s="184"/>
      <c r="E3046" s="184"/>
      <c r="F3046" s="184"/>
      <c r="I3046" s="186"/>
      <c r="J3046" s="184"/>
    </row>
    <row r="3047" spans="2:10">
      <c r="B3047" s="184"/>
      <c r="C3047" s="184"/>
      <c r="D3047" s="184"/>
      <c r="E3047" s="184"/>
      <c r="F3047" s="184"/>
      <c r="I3047" s="186"/>
      <c r="J3047" s="184"/>
    </row>
    <row r="3048" spans="2:10">
      <c r="B3048" s="184"/>
      <c r="C3048" s="184"/>
      <c r="D3048" s="184"/>
      <c r="E3048" s="184"/>
      <c r="F3048" s="184"/>
      <c r="I3048" s="186"/>
      <c r="J3048" s="184"/>
    </row>
    <row r="3049" spans="2:10">
      <c r="B3049" s="184"/>
      <c r="C3049" s="184"/>
      <c r="D3049" s="184"/>
      <c r="E3049" s="184"/>
      <c r="F3049" s="184"/>
      <c r="I3049" s="186"/>
      <c r="J3049" s="184"/>
    </row>
    <row r="3050" spans="2:10">
      <c r="B3050" s="184"/>
      <c r="C3050" s="184"/>
      <c r="D3050" s="184"/>
      <c r="E3050" s="184"/>
      <c r="F3050" s="184"/>
      <c r="I3050" s="186"/>
      <c r="J3050" s="184"/>
    </row>
    <row r="3051" spans="2:10">
      <c r="B3051" s="184"/>
      <c r="C3051" s="184"/>
      <c r="D3051" s="184"/>
      <c r="E3051" s="184"/>
      <c r="F3051" s="184"/>
      <c r="I3051" s="186"/>
      <c r="J3051" s="184"/>
    </row>
    <row r="3052" spans="2:10">
      <c r="B3052" s="184"/>
      <c r="C3052" s="184"/>
      <c r="D3052" s="184"/>
      <c r="E3052" s="184"/>
      <c r="F3052" s="184"/>
      <c r="I3052" s="186"/>
      <c r="J3052" s="184"/>
    </row>
    <row r="3053" spans="2:10">
      <c r="B3053" s="184"/>
      <c r="C3053" s="184"/>
      <c r="D3053" s="184"/>
      <c r="E3053" s="184"/>
      <c r="F3053" s="184"/>
      <c r="I3053" s="186"/>
      <c r="J3053" s="184"/>
    </row>
    <row r="3054" spans="2:10">
      <c r="B3054" s="184"/>
      <c r="C3054" s="184"/>
      <c r="D3054" s="184"/>
      <c r="E3054" s="184"/>
      <c r="F3054" s="184"/>
      <c r="I3054" s="186"/>
      <c r="J3054" s="184"/>
    </row>
    <row r="3055" spans="2:10">
      <c r="B3055" s="184"/>
      <c r="C3055" s="184"/>
      <c r="D3055" s="184"/>
      <c r="E3055" s="184"/>
      <c r="F3055" s="184"/>
      <c r="I3055" s="186"/>
      <c r="J3055" s="184"/>
    </row>
    <row r="3056" spans="2:10">
      <c r="B3056" s="184"/>
      <c r="C3056" s="184"/>
      <c r="D3056" s="184"/>
      <c r="E3056" s="184"/>
      <c r="F3056" s="184"/>
      <c r="I3056" s="186"/>
      <c r="J3056" s="184"/>
    </row>
    <row r="3057" spans="2:10">
      <c r="B3057" s="184"/>
      <c r="C3057" s="184"/>
      <c r="D3057" s="184"/>
      <c r="E3057" s="184"/>
      <c r="F3057" s="184"/>
      <c r="I3057" s="186"/>
      <c r="J3057" s="184"/>
    </row>
    <row r="3058" spans="2:10">
      <c r="B3058" s="184"/>
      <c r="C3058" s="184"/>
      <c r="D3058" s="184"/>
      <c r="E3058" s="184"/>
      <c r="F3058" s="184"/>
      <c r="I3058" s="186"/>
      <c r="J3058" s="184"/>
    </row>
    <row r="3059" spans="2:10">
      <c r="B3059" s="184"/>
      <c r="C3059" s="184"/>
      <c r="D3059" s="184"/>
      <c r="E3059" s="184"/>
      <c r="F3059" s="184"/>
      <c r="I3059" s="186"/>
      <c r="J3059" s="184"/>
    </row>
    <row r="3060" spans="2:10">
      <c r="B3060" s="184"/>
      <c r="C3060" s="184"/>
      <c r="D3060" s="184"/>
      <c r="E3060" s="184"/>
      <c r="F3060" s="184"/>
      <c r="I3060" s="186"/>
      <c r="J3060" s="184"/>
    </row>
    <row r="3061" spans="2:10">
      <c r="B3061" s="184"/>
      <c r="C3061" s="184"/>
      <c r="D3061" s="184"/>
      <c r="E3061" s="184"/>
      <c r="F3061" s="184"/>
      <c r="G3061" s="187"/>
      <c r="I3061" s="186"/>
      <c r="J3061" s="184"/>
    </row>
    <row r="3062" spans="2:10">
      <c r="B3062" s="184"/>
      <c r="C3062" s="184"/>
      <c r="D3062" s="184"/>
      <c r="E3062" s="184"/>
      <c r="F3062" s="184"/>
      <c r="G3062" s="187"/>
      <c r="I3062" s="186"/>
      <c r="J3062" s="184"/>
    </row>
    <row r="3063" spans="2:10">
      <c r="B3063" s="184"/>
      <c r="C3063" s="184"/>
      <c r="D3063" s="184"/>
      <c r="E3063" s="184"/>
      <c r="F3063" s="184"/>
      <c r="I3063" s="186"/>
      <c r="J3063" s="184"/>
    </row>
    <row r="3064" spans="2:10">
      <c r="B3064" s="184"/>
      <c r="C3064" s="184"/>
      <c r="D3064" s="184"/>
      <c r="E3064" s="184"/>
      <c r="F3064" s="184"/>
      <c r="I3064" s="186"/>
      <c r="J3064" s="184"/>
    </row>
    <row r="3065" spans="2:10">
      <c r="B3065" s="184"/>
      <c r="C3065" s="184"/>
      <c r="D3065" s="184"/>
      <c r="E3065" s="184"/>
      <c r="F3065" s="184"/>
      <c r="I3065" s="186"/>
      <c r="J3065" s="184"/>
    </row>
    <row r="3066" spans="2:10">
      <c r="B3066" s="184"/>
      <c r="C3066" s="184"/>
      <c r="D3066" s="184"/>
      <c r="E3066" s="184"/>
      <c r="F3066" s="184"/>
      <c r="I3066" s="186"/>
      <c r="J3066" s="184"/>
    </row>
    <row r="3067" spans="2:10">
      <c r="B3067" s="184"/>
      <c r="C3067" s="184"/>
      <c r="D3067" s="184"/>
      <c r="E3067" s="184"/>
      <c r="F3067" s="184"/>
      <c r="I3067" s="186"/>
      <c r="J3067" s="184"/>
    </row>
    <row r="3068" spans="2:10">
      <c r="B3068" s="184"/>
      <c r="C3068" s="184"/>
      <c r="D3068" s="184"/>
      <c r="E3068" s="184"/>
      <c r="F3068" s="184"/>
      <c r="I3068" s="186"/>
      <c r="J3068" s="184"/>
    </row>
    <row r="3069" spans="2:10">
      <c r="B3069" s="184"/>
      <c r="C3069" s="184"/>
      <c r="D3069" s="184"/>
      <c r="E3069" s="184"/>
      <c r="F3069" s="184"/>
      <c r="I3069" s="186"/>
      <c r="J3069" s="184"/>
    </row>
    <row r="3070" spans="2:10">
      <c r="B3070" s="184"/>
      <c r="C3070" s="184"/>
      <c r="D3070" s="184"/>
      <c r="E3070" s="184"/>
      <c r="F3070" s="184"/>
      <c r="I3070" s="186"/>
      <c r="J3070" s="184"/>
    </row>
    <row r="3071" spans="2:10">
      <c r="B3071" s="184"/>
      <c r="C3071" s="184"/>
      <c r="D3071" s="184"/>
      <c r="E3071" s="184"/>
      <c r="F3071" s="184"/>
      <c r="I3071" s="186"/>
      <c r="J3071" s="184"/>
    </row>
    <row r="3072" spans="2:10">
      <c r="B3072" s="184"/>
      <c r="C3072" s="184"/>
      <c r="D3072" s="184"/>
      <c r="E3072" s="184"/>
      <c r="F3072" s="184"/>
      <c r="I3072" s="186"/>
      <c r="J3072" s="184"/>
    </row>
    <row r="3073" spans="2:10">
      <c r="B3073" s="184"/>
      <c r="C3073" s="184"/>
      <c r="D3073" s="184"/>
      <c r="E3073" s="184"/>
      <c r="F3073" s="184"/>
      <c r="I3073" s="186"/>
      <c r="J3073" s="184"/>
    </row>
    <row r="3074" spans="2:10">
      <c r="B3074" s="184"/>
      <c r="C3074" s="184"/>
      <c r="D3074" s="184"/>
      <c r="E3074" s="184"/>
      <c r="F3074" s="184"/>
      <c r="I3074" s="186"/>
      <c r="J3074" s="184"/>
    </row>
    <row r="3075" spans="2:10">
      <c r="B3075" s="184"/>
      <c r="C3075" s="184"/>
      <c r="D3075" s="184"/>
      <c r="E3075" s="184"/>
      <c r="F3075" s="184"/>
      <c r="I3075" s="186"/>
      <c r="J3075" s="184"/>
    </row>
    <row r="3076" spans="2:10">
      <c r="B3076" s="184"/>
      <c r="C3076" s="184"/>
      <c r="D3076" s="184"/>
      <c r="E3076" s="184"/>
      <c r="F3076" s="184"/>
      <c r="I3076" s="186"/>
      <c r="J3076" s="184"/>
    </row>
    <row r="3077" spans="2:10">
      <c r="B3077" s="184"/>
      <c r="C3077" s="184"/>
      <c r="D3077" s="184"/>
      <c r="E3077" s="184"/>
      <c r="F3077" s="184"/>
      <c r="I3077" s="186"/>
      <c r="J3077" s="184"/>
    </row>
    <row r="3078" spans="2:10">
      <c r="B3078" s="184"/>
      <c r="C3078" s="184"/>
      <c r="D3078" s="184"/>
      <c r="E3078" s="184"/>
      <c r="F3078" s="184"/>
      <c r="I3078" s="186"/>
      <c r="J3078" s="184"/>
    </row>
    <row r="3079" spans="2:10">
      <c r="B3079" s="184"/>
      <c r="C3079" s="184"/>
      <c r="D3079" s="184"/>
      <c r="E3079" s="184"/>
      <c r="F3079" s="184"/>
      <c r="I3079" s="186"/>
      <c r="J3079" s="184"/>
    </row>
    <row r="3080" spans="2:10">
      <c r="B3080" s="184"/>
      <c r="C3080" s="184"/>
      <c r="D3080" s="184"/>
      <c r="E3080" s="184"/>
      <c r="F3080" s="184"/>
      <c r="G3080" s="187"/>
      <c r="I3080" s="186"/>
      <c r="J3080" s="184"/>
    </row>
    <row r="3081" spans="2:10">
      <c r="B3081" s="184"/>
      <c r="C3081" s="184"/>
      <c r="D3081" s="184"/>
      <c r="E3081" s="184"/>
      <c r="F3081" s="184"/>
      <c r="I3081" s="186"/>
      <c r="J3081" s="184"/>
    </row>
    <row r="3082" spans="2:10">
      <c r="B3082" s="184"/>
      <c r="C3082" s="184"/>
      <c r="D3082" s="184"/>
      <c r="E3082" s="184"/>
      <c r="F3082" s="184"/>
      <c r="G3082" s="187"/>
      <c r="I3082" s="186"/>
      <c r="J3082" s="184"/>
    </row>
    <row r="3083" spans="2:10">
      <c r="B3083" s="184"/>
      <c r="C3083" s="184"/>
      <c r="D3083" s="184"/>
      <c r="E3083" s="184"/>
      <c r="F3083" s="184"/>
      <c r="G3083" s="187"/>
      <c r="I3083" s="186"/>
      <c r="J3083" s="184"/>
    </row>
    <row r="3084" spans="2:10">
      <c r="B3084" s="184"/>
      <c r="C3084" s="184"/>
      <c r="D3084" s="184"/>
      <c r="E3084" s="184"/>
      <c r="F3084" s="184"/>
      <c r="I3084" s="186"/>
      <c r="J3084" s="184"/>
    </row>
    <row r="3085" spans="2:10">
      <c r="B3085" s="184"/>
      <c r="C3085" s="184"/>
      <c r="D3085" s="184"/>
      <c r="E3085" s="184"/>
      <c r="F3085" s="184"/>
      <c r="G3085" s="187"/>
      <c r="I3085" s="186"/>
      <c r="J3085" s="184"/>
    </row>
    <row r="3086" spans="2:10">
      <c r="B3086" s="184"/>
      <c r="C3086" s="184"/>
      <c r="D3086" s="184"/>
      <c r="E3086" s="184"/>
      <c r="F3086" s="184"/>
      <c r="G3086" s="187"/>
      <c r="I3086" s="186"/>
      <c r="J3086" s="184"/>
    </row>
    <row r="3087" spans="2:10">
      <c r="B3087" s="184"/>
      <c r="C3087" s="184"/>
      <c r="D3087" s="184"/>
      <c r="E3087" s="184"/>
      <c r="F3087" s="184"/>
      <c r="I3087" s="186"/>
      <c r="J3087" s="184"/>
    </row>
    <row r="3088" spans="2:10">
      <c r="B3088" s="184"/>
      <c r="C3088" s="184"/>
      <c r="D3088" s="184"/>
      <c r="E3088" s="184"/>
      <c r="F3088" s="184"/>
      <c r="I3088" s="186"/>
      <c r="J3088" s="184"/>
    </row>
    <row r="3089" spans="2:10">
      <c r="B3089" s="184"/>
      <c r="C3089" s="184"/>
      <c r="D3089" s="184"/>
      <c r="E3089" s="184"/>
      <c r="F3089" s="184"/>
      <c r="I3089" s="186"/>
      <c r="J3089" s="184"/>
    </row>
    <row r="3090" spans="2:10">
      <c r="B3090" s="184"/>
      <c r="C3090" s="184"/>
      <c r="D3090" s="184"/>
      <c r="E3090" s="184"/>
      <c r="F3090" s="184"/>
      <c r="I3090" s="186"/>
      <c r="J3090" s="184"/>
    </row>
    <row r="3091" spans="2:10">
      <c r="B3091" s="184"/>
      <c r="C3091" s="184"/>
      <c r="D3091" s="184"/>
      <c r="E3091" s="184"/>
      <c r="F3091" s="184"/>
      <c r="G3091" s="187"/>
      <c r="I3091" s="186"/>
      <c r="J3091" s="184"/>
    </row>
    <row r="3092" spans="2:10">
      <c r="B3092" s="184"/>
      <c r="C3092" s="184"/>
      <c r="D3092" s="184"/>
      <c r="E3092" s="184"/>
      <c r="F3092" s="184"/>
      <c r="G3092" s="187"/>
      <c r="I3092" s="186"/>
      <c r="J3092" s="184"/>
    </row>
    <row r="3093" spans="2:10">
      <c r="B3093" s="184"/>
      <c r="C3093" s="184"/>
      <c r="D3093" s="184"/>
      <c r="E3093" s="184"/>
      <c r="F3093" s="184"/>
      <c r="I3093" s="186"/>
      <c r="J3093" s="184"/>
    </row>
    <row r="3094" spans="2:10">
      <c r="B3094" s="184"/>
      <c r="C3094" s="184"/>
      <c r="D3094" s="184"/>
      <c r="E3094" s="184"/>
      <c r="F3094" s="184"/>
      <c r="I3094" s="186"/>
      <c r="J3094" s="184"/>
    </row>
    <row r="3095" spans="2:10">
      <c r="B3095" s="184"/>
      <c r="C3095" s="184"/>
      <c r="D3095" s="184"/>
      <c r="E3095" s="184"/>
      <c r="F3095" s="184"/>
      <c r="G3095" s="187"/>
      <c r="I3095" s="186"/>
      <c r="J3095" s="184"/>
    </row>
    <row r="3096" spans="2:10">
      <c r="B3096" s="184"/>
      <c r="C3096" s="184"/>
      <c r="D3096" s="184"/>
      <c r="E3096" s="184"/>
      <c r="F3096" s="184"/>
      <c r="G3096" s="187"/>
      <c r="I3096" s="186"/>
      <c r="J3096" s="184"/>
    </row>
    <row r="3097" spans="2:10">
      <c r="B3097" s="184"/>
      <c r="C3097" s="184"/>
      <c r="D3097" s="184"/>
      <c r="E3097" s="184"/>
      <c r="F3097" s="184"/>
      <c r="G3097" s="187"/>
      <c r="I3097" s="186"/>
      <c r="J3097" s="184"/>
    </row>
    <row r="3098" spans="2:10">
      <c r="B3098" s="184"/>
      <c r="C3098" s="184"/>
      <c r="D3098" s="184"/>
      <c r="E3098" s="184"/>
      <c r="F3098" s="184"/>
      <c r="I3098" s="186"/>
      <c r="J3098" s="184"/>
    </row>
    <row r="3099" spans="2:10">
      <c r="B3099" s="184"/>
      <c r="C3099" s="184"/>
      <c r="D3099" s="184"/>
      <c r="E3099" s="184"/>
      <c r="F3099" s="184"/>
      <c r="I3099" s="186"/>
      <c r="J3099" s="184"/>
    </row>
    <row r="3100" spans="2:10">
      <c r="B3100" s="184"/>
      <c r="C3100" s="184"/>
      <c r="D3100" s="184"/>
      <c r="E3100" s="184"/>
      <c r="F3100" s="184"/>
      <c r="I3100" s="186"/>
      <c r="J3100" s="184"/>
    </row>
    <row r="3101" spans="2:10">
      <c r="B3101" s="184"/>
      <c r="C3101" s="184"/>
      <c r="D3101" s="184"/>
      <c r="E3101" s="184"/>
      <c r="F3101" s="184"/>
      <c r="I3101" s="186"/>
      <c r="J3101" s="184"/>
    </row>
    <row r="3102" spans="2:10">
      <c r="B3102" s="184"/>
      <c r="C3102" s="184"/>
      <c r="D3102" s="184"/>
      <c r="E3102" s="184"/>
      <c r="F3102" s="184"/>
      <c r="I3102" s="186"/>
      <c r="J3102" s="184"/>
    </row>
    <row r="3103" spans="2:10">
      <c r="B3103" s="184"/>
      <c r="C3103" s="184"/>
      <c r="D3103" s="184"/>
      <c r="E3103" s="184"/>
      <c r="F3103" s="184"/>
      <c r="I3103" s="186"/>
      <c r="J3103" s="184"/>
    </row>
    <row r="3104" spans="2:10">
      <c r="B3104" s="184"/>
      <c r="C3104" s="184"/>
      <c r="D3104" s="184"/>
      <c r="E3104" s="184"/>
      <c r="F3104" s="184"/>
      <c r="I3104" s="186"/>
      <c r="J3104" s="184"/>
    </row>
    <row r="3105" spans="2:10">
      <c r="B3105" s="184"/>
      <c r="C3105" s="184"/>
      <c r="D3105" s="184"/>
      <c r="E3105" s="184"/>
      <c r="F3105" s="184"/>
      <c r="G3105" s="187"/>
      <c r="I3105" s="186"/>
      <c r="J3105" s="184"/>
    </row>
    <row r="3106" spans="2:10">
      <c r="B3106" s="184"/>
      <c r="C3106" s="184"/>
      <c r="D3106" s="184"/>
      <c r="E3106" s="184"/>
      <c r="F3106" s="184"/>
      <c r="I3106" s="186"/>
      <c r="J3106" s="184"/>
    </row>
    <row r="3107" spans="2:10">
      <c r="B3107" s="184"/>
      <c r="C3107" s="184"/>
      <c r="D3107" s="184"/>
      <c r="E3107" s="184"/>
      <c r="F3107" s="184"/>
      <c r="I3107" s="186"/>
      <c r="J3107" s="184"/>
    </row>
    <row r="3108" spans="2:10">
      <c r="B3108" s="184"/>
      <c r="C3108" s="184"/>
      <c r="D3108" s="184"/>
      <c r="E3108" s="184"/>
      <c r="F3108" s="184"/>
      <c r="I3108" s="186"/>
      <c r="J3108" s="184"/>
    </row>
    <row r="3109" spans="2:10">
      <c r="B3109" s="184"/>
      <c r="C3109" s="184"/>
      <c r="D3109" s="184"/>
      <c r="E3109" s="184"/>
      <c r="F3109" s="184"/>
      <c r="I3109" s="186"/>
      <c r="J3109" s="184"/>
    </row>
    <row r="3110" spans="2:10">
      <c r="B3110" s="184"/>
      <c r="C3110" s="184"/>
      <c r="D3110" s="184"/>
      <c r="E3110" s="184"/>
      <c r="F3110" s="184"/>
      <c r="G3110" s="187"/>
      <c r="I3110" s="186"/>
      <c r="J3110" s="184"/>
    </row>
    <row r="3111" spans="2:10">
      <c r="B3111" s="184"/>
      <c r="C3111" s="184"/>
      <c r="D3111" s="184"/>
      <c r="E3111" s="184"/>
      <c r="F3111" s="184"/>
      <c r="I3111" s="186"/>
      <c r="J3111" s="184"/>
    </row>
    <row r="3112" spans="2:10">
      <c r="B3112" s="184"/>
      <c r="C3112" s="184"/>
      <c r="D3112" s="184"/>
      <c r="E3112" s="184"/>
      <c r="F3112" s="184"/>
      <c r="I3112" s="186"/>
      <c r="J3112" s="184"/>
    </row>
    <row r="3113" spans="2:10">
      <c r="B3113" s="184"/>
      <c r="C3113" s="184"/>
      <c r="D3113" s="184"/>
      <c r="E3113" s="184"/>
      <c r="F3113" s="184"/>
      <c r="I3113" s="186"/>
      <c r="J3113" s="184"/>
    </row>
    <row r="3114" spans="2:10">
      <c r="B3114" s="184"/>
      <c r="C3114" s="184"/>
      <c r="D3114" s="184"/>
      <c r="E3114" s="184"/>
      <c r="F3114" s="184"/>
      <c r="I3114" s="186"/>
      <c r="J3114" s="184"/>
    </row>
    <row r="3115" spans="2:10">
      <c r="B3115" s="184"/>
      <c r="C3115" s="184"/>
      <c r="D3115" s="184"/>
      <c r="E3115" s="184"/>
      <c r="F3115" s="184"/>
      <c r="I3115" s="186"/>
      <c r="J3115" s="184"/>
    </row>
    <row r="3116" spans="2:10">
      <c r="B3116" s="184"/>
      <c r="C3116" s="184"/>
      <c r="D3116" s="184"/>
      <c r="E3116" s="184"/>
      <c r="F3116" s="184"/>
      <c r="G3116" s="187"/>
      <c r="I3116" s="186"/>
      <c r="J3116" s="184"/>
    </row>
    <row r="3117" spans="2:10">
      <c r="B3117" s="184"/>
      <c r="C3117" s="184"/>
      <c r="D3117" s="184"/>
      <c r="E3117" s="184"/>
      <c r="F3117" s="184"/>
      <c r="I3117" s="186"/>
      <c r="J3117" s="184"/>
    </row>
    <row r="3118" spans="2:10">
      <c r="B3118" s="184"/>
      <c r="C3118" s="184"/>
      <c r="D3118" s="184"/>
      <c r="E3118" s="184"/>
      <c r="F3118" s="184"/>
      <c r="I3118" s="186"/>
      <c r="J3118" s="184"/>
    </row>
    <row r="3119" spans="2:10">
      <c r="B3119" s="184"/>
      <c r="C3119" s="184"/>
      <c r="D3119" s="184"/>
      <c r="E3119" s="184"/>
      <c r="F3119" s="184"/>
      <c r="I3119" s="186"/>
      <c r="J3119" s="184"/>
    </row>
    <row r="3120" spans="2:10">
      <c r="B3120" s="184"/>
      <c r="C3120" s="184"/>
      <c r="D3120" s="184"/>
      <c r="E3120" s="184"/>
      <c r="F3120" s="184"/>
      <c r="I3120" s="186"/>
      <c r="J3120" s="184"/>
    </row>
    <row r="3121" spans="2:10">
      <c r="B3121" s="184"/>
      <c r="C3121" s="184"/>
      <c r="D3121" s="184"/>
      <c r="E3121" s="184"/>
      <c r="F3121" s="184"/>
      <c r="I3121" s="186"/>
      <c r="J3121" s="184"/>
    </row>
    <row r="3122" spans="2:10">
      <c r="B3122" s="184"/>
      <c r="C3122" s="184"/>
      <c r="D3122" s="184"/>
      <c r="E3122" s="184"/>
      <c r="F3122" s="184"/>
      <c r="I3122" s="186"/>
      <c r="J3122" s="184"/>
    </row>
    <row r="3123" spans="2:10">
      <c r="B3123" s="184"/>
      <c r="C3123" s="184"/>
      <c r="D3123" s="184"/>
      <c r="E3123" s="184"/>
      <c r="F3123" s="184"/>
      <c r="G3123" s="187"/>
      <c r="I3123" s="186"/>
      <c r="J3123" s="184"/>
    </row>
    <row r="3124" spans="2:10">
      <c r="B3124" s="184"/>
      <c r="C3124" s="184"/>
      <c r="D3124" s="184"/>
      <c r="E3124" s="184"/>
      <c r="F3124" s="184"/>
      <c r="G3124" s="187"/>
      <c r="I3124" s="186"/>
      <c r="J3124" s="184"/>
    </row>
    <row r="3125" spans="2:10">
      <c r="B3125" s="184"/>
      <c r="C3125" s="184"/>
      <c r="D3125" s="184"/>
      <c r="E3125" s="184"/>
      <c r="F3125" s="184"/>
      <c r="I3125" s="186"/>
      <c r="J3125" s="184"/>
    </row>
    <row r="3126" spans="2:10">
      <c r="B3126" s="184"/>
      <c r="C3126" s="184"/>
      <c r="D3126" s="184"/>
      <c r="E3126" s="184"/>
      <c r="F3126" s="184"/>
      <c r="G3126" s="187"/>
      <c r="I3126" s="186"/>
      <c r="J3126" s="184"/>
    </row>
    <row r="3127" spans="2:10">
      <c r="B3127" s="184"/>
      <c r="C3127" s="184"/>
      <c r="D3127" s="184"/>
      <c r="E3127" s="184"/>
      <c r="F3127" s="184"/>
      <c r="I3127" s="186"/>
      <c r="J3127" s="184"/>
    </row>
    <row r="3128" spans="2:10">
      <c r="B3128" s="184"/>
      <c r="C3128" s="184"/>
      <c r="D3128" s="184"/>
      <c r="E3128" s="184"/>
      <c r="F3128" s="184"/>
      <c r="I3128" s="186"/>
      <c r="J3128" s="184"/>
    </row>
    <row r="3129" spans="2:10">
      <c r="B3129" s="184"/>
      <c r="C3129" s="184"/>
      <c r="D3129" s="184"/>
      <c r="E3129" s="184"/>
      <c r="F3129" s="184"/>
      <c r="I3129" s="186"/>
      <c r="J3129" s="184"/>
    </row>
    <row r="3130" spans="2:10">
      <c r="B3130" s="184"/>
      <c r="C3130" s="184"/>
      <c r="D3130" s="184"/>
      <c r="E3130" s="184"/>
      <c r="F3130" s="184"/>
      <c r="I3130" s="186"/>
      <c r="J3130" s="184"/>
    </row>
    <row r="3131" spans="2:10">
      <c r="B3131" s="184"/>
      <c r="C3131" s="184"/>
      <c r="D3131" s="184"/>
      <c r="E3131" s="184"/>
      <c r="F3131" s="184"/>
      <c r="I3131" s="186"/>
      <c r="J3131" s="184"/>
    </row>
    <row r="3132" spans="2:10">
      <c r="B3132" s="184"/>
      <c r="C3132" s="184"/>
      <c r="D3132" s="184"/>
      <c r="E3132" s="184"/>
      <c r="F3132" s="184"/>
      <c r="I3132" s="186"/>
      <c r="J3132" s="184"/>
    </row>
    <row r="3133" spans="2:10">
      <c r="B3133" s="184"/>
      <c r="C3133" s="184"/>
      <c r="D3133" s="184"/>
      <c r="E3133" s="184"/>
      <c r="F3133" s="184"/>
      <c r="I3133" s="186"/>
      <c r="J3133" s="184"/>
    </row>
    <row r="3134" spans="2:10">
      <c r="B3134" s="184"/>
      <c r="C3134" s="184"/>
      <c r="D3134" s="184"/>
      <c r="E3134" s="184"/>
      <c r="F3134" s="184"/>
      <c r="G3134" s="187"/>
      <c r="I3134" s="186"/>
      <c r="J3134" s="184"/>
    </row>
    <row r="3135" spans="2:10">
      <c r="B3135" s="184"/>
      <c r="C3135" s="184"/>
      <c r="D3135" s="184"/>
      <c r="E3135" s="184"/>
      <c r="F3135" s="184"/>
      <c r="G3135" s="187"/>
      <c r="I3135" s="186"/>
      <c r="J3135" s="184"/>
    </row>
    <row r="3136" spans="2:10">
      <c r="B3136" s="184"/>
      <c r="C3136" s="184"/>
      <c r="D3136" s="184"/>
      <c r="E3136" s="184"/>
      <c r="F3136" s="184"/>
      <c r="I3136" s="186"/>
      <c r="J3136" s="184"/>
    </row>
    <row r="3137" spans="2:10">
      <c r="B3137" s="184"/>
      <c r="C3137" s="184"/>
      <c r="D3137" s="184"/>
      <c r="E3137" s="184"/>
      <c r="F3137" s="184"/>
      <c r="G3137" s="187"/>
      <c r="I3137" s="186"/>
      <c r="J3137" s="184"/>
    </row>
    <row r="3138" spans="2:10">
      <c r="B3138" s="184"/>
      <c r="C3138" s="184"/>
      <c r="D3138" s="184"/>
      <c r="E3138" s="184"/>
      <c r="F3138" s="184"/>
      <c r="I3138" s="186"/>
      <c r="J3138" s="184"/>
    </row>
    <row r="3139" spans="2:10">
      <c r="B3139" s="184"/>
      <c r="C3139" s="184"/>
      <c r="D3139" s="184"/>
      <c r="E3139" s="184"/>
      <c r="F3139" s="184"/>
      <c r="I3139" s="186"/>
      <c r="J3139" s="184"/>
    </row>
    <row r="3140" spans="2:10">
      <c r="B3140" s="184"/>
      <c r="C3140" s="184"/>
      <c r="D3140" s="184"/>
      <c r="E3140" s="184"/>
      <c r="F3140" s="184"/>
      <c r="I3140" s="186"/>
      <c r="J3140" s="184"/>
    </row>
    <row r="3141" spans="2:10">
      <c r="B3141" s="184"/>
      <c r="C3141" s="184"/>
      <c r="D3141" s="184"/>
      <c r="E3141" s="184"/>
      <c r="F3141" s="184"/>
      <c r="I3141" s="186"/>
      <c r="J3141" s="184"/>
    </row>
    <row r="3142" spans="2:10">
      <c r="B3142" s="184"/>
      <c r="C3142" s="184"/>
      <c r="D3142" s="184"/>
      <c r="E3142" s="184"/>
      <c r="F3142" s="184"/>
      <c r="I3142" s="186"/>
      <c r="J3142" s="184"/>
    </row>
    <row r="3143" spans="2:10">
      <c r="B3143" s="184"/>
      <c r="C3143" s="184"/>
      <c r="D3143" s="184"/>
      <c r="E3143" s="184"/>
      <c r="F3143" s="184"/>
      <c r="I3143" s="186"/>
      <c r="J3143" s="184"/>
    </row>
    <row r="3144" spans="2:10">
      <c r="B3144" s="184"/>
      <c r="C3144" s="184"/>
      <c r="D3144" s="184"/>
      <c r="E3144" s="184"/>
      <c r="F3144" s="184"/>
      <c r="I3144" s="186"/>
      <c r="J3144" s="184"/>
    </row>
    <row r="3145" spans="2:10">
      <c r="B3145" s="184"/>
      <c r="C3145" s="184"/>
      <c r="D3145" s="184"/>
      <c r="E3145" s="184"/>
      <c r="F3145" s="184"/>
      <c r="I3145" s="186"/>
      <c r="J3145" s="184"/>
    </row>
    <row r="3146" spans="2:10">
      <c r="B3146" s="184"/>
      <c r="C3146" s="184"/>
      <c r="D3146" s="184"/>
      <c r="E3146" s="184"/>
      <c r="F3146" s="184"/>
      <c r="I3146" s="186"/>
      <c r="J3146" s="184"/>
    </row>
    <row r="3147" spans="2:10">
      <c r="B3147" s="184"/>
      <c r="C3147" s="184"/>
      <c r="D3147" s="184"/>
      <c r="E3147" s="184"/>
      <c r="F3147" s="184"/>
      <c r="I3147" s="186"/>
      <c r="J3147" s="184"/>
    </row>
    <row r="3148" spans="2:10">
      <c r="B3148" s="184"/>
      <c r="C3148" s="184"/>
      <c r="D3148" s="184"/>
      <c r="E3148" s="184"/>
      <c r="F3148" s="184"/>
      <c r="I3148" s="186"/>
      <c r="J3148" s="184"/>
    </row>
    <row r="3149" spans="2:10">
      <c r="B3149" s="184"/>
      <c r="C3149" s="184"/>
      <c r="D3149" s="184"/>
      <c r="E3149" s="184"/>
      <c r="F3149" s="184"/>
      <c r="I3149" s="186"/>
      <c r="J3149" s="184"/>
    </row>
    <row r="3150" spans="2:10">
      <c r="B3150" s="184"/>
      <c r="C3150" s="184"/>
      <c r="D3150" s="184"/>
      <c r="E3150" s="184"/>
      <c r="F3150" s="184"/>
      <c r="I3150" s="186"/>
      <c r="J3150" s="184"/>
    </row>
    <row r="3151" spans="2:10">
      <c r="B3151" s="184"/>
      <c r="C3151" s="184"/>
      <c r="D3151" s="184"/>
      <c r="E3151" s="184"/>
      <c r="F3151" s="184"/>
      <c r="I3151" s="186"/>
      <c r="J3151" s="184"/>
    </row>
    <row r="3152" spans="2:10">
      <c r="B3152" s="184"/>
      <c r="C3152" s="184"/>
      <c r="D3152" s="184"/>
      <c r="E3152" s="184"/>
      <c r="F3152" s="184"/>
      <c r="I3152" s="186"/>
      <c r="J3152" s="184"/>
    </row>
    <row r="3153" spans="2:10">
      <c r="B3153" s="184"/>
      <c r="C3153" s="184"/>
      <c r="D3153" s="184"/>
      <c r="E3153" s="184"/>
      <c r="F3153" s="184"/>
      <c r="I3153" s="186"/>
      <c r="J3153" s="184"/>
    </row>
    <row r="3154" spans="2:10">
      <c r="B3154" s="184"/>
      <c r="C3154" s="184"/>
      <c r="D3154" s="184"/>
      <c r="E3154" s="184"/>
      <c r="F3154" s="184"/>
      <c r="G3154" s="187"/>
      <c r="I3154" s="186"/>
      <c r="J3154" s="184"/>
    </row>
    <row r="3155" spans="2:10">
      <c r="B3155" s="184"/>
      <c r="C3155" s="184"/>
      <c r="D3155" s="184"/>
      <c r="E3155" s="184"/>
      <c r="F3155" s="184"/>
      <c r="I3155" s="186"/>
      <c r="J3155" s="184"/>
    </row>
    <row r="3156" spans="2:10">
      <c r="B3156" s="184"/>
      <c r="C3156" s="184"/>
      <c r="D3156" s="184"/>
      <c r="E3156" s="184"/>
      <c r="F3156" s="184"/>
      <c r="I3156" s="186"/>
      <c r="J3156" s="184"/>
    </row>
    <row r="3157" spans="2:10">
      <c r="B3157" s="184"/>
      <c r="C3157" s="184"/>
      <c r="D3157" s="184"/>
      <c r="E3157" s="184"/>
      <c r="F3157" s="184"/>
      <c r="I3157" s="186"/>
      <c r="J3157" s="184"/>
    </row>
    <row r="3158" spans="2:10">
      <c r="B3158" s="184"/>
      <c r="C3158" s="184"/>
      <c r="D3158" s="184"/>
      <c r="E3158" s="184"/>
      <c r="F3158" s="184"/>
      <c r="G3158" s="187"/>
      <c r="I3158" s="186"/>
      <c r="J3158" s="184"/>
    </row>
    <row r="3159" spans="2:10">
      <c r="B3159" s="184"/>
      <c r="C3159" s="184"/>
      <c r="D3159" s="184"/>
      <c r="E3159" s="184"/>
      <c r="F3159" s="184"/>
      <c r="I3159" s="186"/>
      <c r="J3159" s="184"/>
    </row>
    <row r="3160" spans="2:10">
      <c r="B3160" s="184"/>
      <c r="C3160" s="184"/>
      <c r="D3160" s="184"/>
      <c r="E3160" s="184"/>
      <c r="F3160" s="184"/>
      <c r="I3160" s="186"/>
      <c r="J3160" s="184"/>
    </row>
    <row r="3161" spans="2:10">
      <c r="B3161" s="184"/>
      <c r="C3161" s="184"/>
      <c r="D3161" s="184"/>
      <c r="E3161" s="184"/>
      <c r="F3161" s="184"/>
      <c r="I3161" s="186"/>
      <c r="J3161" s="184"/>
    </row>
    <row r="3162" spans="2:10">
      <c r="B3162" s="184"/>
      <c r="C3162" s="184"/>
      <c r="D3162" s="184"/>
      <c r="E3162" s="184"/>
      <c r="F3162" s="184"/>
      <c r="G3162" s="187"/>
      <c r="I3162" s="186"/>
      <c r="J3162" s="184"/>
    </row>
    <row r="3163" spans="2:10">
      <c r="B3163" s="184"/>
      <c r="C3163" s="184"/>
      <c r="D3163" s="184"/>
      <c r="E3163" s="184"/>
      <c r="F3163" s="184"/>
      <c r="I3163" s="186"/>
      <c r="J3163" s="184"/>
    </row>
    <row r="3164" spans="2:10">
      <c r="B3164" s="184"/>
      <c r="C3164" s="184"/>
      <c r="D3164" s="184"/>
      <c r="E3164" s="184"/>
      <c r="F3164" s="184"/>
      <c r="I3164" s="186"/>
      <c r="J3164" s="184"/>
    </row>
    <row r="3165" spans="2:10">
      <c r="B3165" s="184"/>
      <c r="C3165" s="184"/>
      <c r="D3165" s="184"/>
      <c r="E3165" s="184"/>
      <c r="F3165" s="184"/>
      <c r="G3165" s="187"/>
      <c r="I3165" s="186"/>
      <c r="J3165" s="184"/>
    </row>
    <row r="3166" spans="2:10">
      <c r="B3166" s="184"/>
      <c r="C3166" s="184"/>
      <c r="D3166" s="184"/>
      <c r="E3166" s="184"/>
      <c r="F3166" s="184"/>
      <c r="G3166" s="187"/>
      <c r="I3166" s="186"/>
      <c r="J3166" s="184"/>
    </row>
    <row r="3167" spans="2:10">
      <c r="B3167" s="184"/>
      <c r="C3167" s="184"/>
      <c r="D3167" s="184"/>
      <c r="E3167" s="184"/>
      <c r="F3167" s="184"/>
      <c r="G3167" s="187"/>
      <c r="I3167" s="186"/>
      <c r="J3167" s="184"/>
    </row>
    <row r="3168" spans="2:10">
      <c r="B3168" s="184"/>
      <c r="C3168" s="184"/>
      <c r="D3168" s="184"/>
      <c r="E3168" s="184"/>
      <c r="F3168" s="184"/>
      <c r="I3168" s="186"/>
      <c r="J3168" s="184"/>
    </row>
    <row r="3169" spans="2:10">
      <c r="B3169" s="184"/>
      <c r="C3169" s="184"/>
      <c r="D3169" s="184"/>
      <c r="E3169" s="184"/>
      <c r="F3169" s="184"/>
      <c r="I3169" s="186"/>
      <c r="J3169" s="184"/>
    </row>
    <row r="3170" spans="2:10">
      <c r="B3170" s="184"/>
      <c r="C3170" s="184"/>
      <c r="D3170" s="184"/>
      <c r="E3170" s="184"/>
      <c r="F3170" s="184"/>
      <c r="I3170" s="186"/>
      <c r="J3170" s="184"/>
    </row>
    <row r="3171" spans="2:10">
      <c r="B3171" s="184"/>
      <c r="C3171" s="184"/>
      <c r="D3171" s="184"/>
      <c r="E3171" s="184"/>
      <c r="F3171" s="184"/>
      <c r="I3171" s="186"/>
      <c r="J3171" s="184"/>
    </row>
    <row r="3172" spans="2:10">
      <c r="B3172" s="184"/>
      <c r="C3172" s="184"/>
      <c r="D3172" s="184"/>
      <c r="E3172" s="184"/>
      <c r="F3172" s="184"/>
      <c r="I3172" s="186"/>
      <c r="J3172" s="184"/>
    </row>
    <row r="3173" spans="2:10">
      <c r="B3173" s="184"/>
      <c r="C3173" s="184"/>
      <c r="D3173" s="184"/>
      <c r="E3173" s="184"/>
      <c r="F3173" s="184"/>
      <c r="I3173" s="186"/>
      <c r="J3173" s="184"/>
    </row>
    <row r="3174" spans="2:10">
      <c r="B3174" s="184"/>
      <c r="C3174" s="184"/>
      <c r="D3174" s="184"/>
      <c r="E3174" s="184"/>
      <c r="F3174" s="184"/>
      <c r="I3174" s="186"/>
      <c r="J3174" s="184"/>
    </row>
    <row r="3175" spans="2:10">
      <c r="B3175" s="184"/>
      <c r="C3175" s="184"/>
      <c r="D3175" s="184"/>
      <c r="E3175" s="184"/>
      <c r="F3175" s="184"/>
      <c r="I3175" s="186"/>
      <c r="J3175" s="184"/>
    </row>
    <row r="3176" spans="2:10">
      <c r="B3176" s="184"/>
      <c r="C3176" s="184"/>
      <c r="D3176" s="184"/>
      <c r="E3176" s="184"/>
      <c r="F3176" s="184"/>
      <c r="I3176" s="186"/>
      <c r="J3176" s="184"/>
    </row>
    <row r="3177" spans="2:10">
      <c r="B3177" s="184"/>
      <c r="C3177" s="184"/>
      <c r="D3177" s="184"/>
      <c r="E3177" s="184"/>
      <c r="F3177" s="184"/>
      <c r="I3177" s="186"/>
      <c r="J3177" s="184"/>
    </row>
    <row r="3178" spans="2:10">
      <c r="B3178" s="184"/>
      <c r="C3178" s="184"/>
      <c r="D3178" s="184"/>
      <c r="E3178" s="184"/>
      <c r="F3178" s="184"/>
      <c r="I3178" s="186"/>
      <c r="J3178" s="184"/>
    </row>
    <row r="3179" spans="2:10">
      <c r="B3179" s="184"/>
      <c r="C3179" s="184"/>
      <c r="D3179" s="184"/>
      <c r="E3179" s="184"/>
      <c r="F3179" s="184"/>
      <c r="I3179" s="186"/>
      <c r="J3179" s="184"/>
    </row>
    <row r="3180" spans="2:10">
      <c r="B3180" s="184"/>
      <c r="C3180" s="184"/>
      <c r="D3180" s="184"/>
      <c r="E3180" s="184"/>
      <c r="F3180" s="184"/>
      <c r="I3180" s="186"/>
      <c r="J3180" s="184"/>
    </row>
    <row r="3181" spans="2:10">
      <c r="B3181" s="184"/>
      <c r="C3181" s="184"/>
      <c r="D3181" s="184"/>
      <c r="E3181" s="184"/>
      <c r="F3181" s="184"/>
      <c r="I3181" s="186"/>
      <c r="J3181" s="184"/>
    </row>
    <row r="3182" spans="2:10">
      <c r="B3182" s="184"/>
      <c r="C3182" s="184"/>
      <c r="D3182" s="184"/>
      <c r="E3182" s="184"/>
      <c r="F3182" s="184"/>
      <c r="I3182" s="186"/>
      <c r="J3182" s="184"/>
    </row>
    <row r="3183" spans="2:10">
      <c r="B3183" s="184"/>
      <c r="C3183" s="184"/>
      <c r="D3183" s="184"/>
      <c r="E3183" s="184"/>
      <c r="F3183" s="184"/>
      <c r="I3183" s="186"/>
      <c r="J3183" s="184"/>
    </row>
    <row r="3184" spans="2:10">
      <c r="B3184" s="184"/>
      <c r="C3184" s="184"/>
      <c r="D3184" s="184"/>
      <c r="E3184" s="184"/>
      <c r="F3184" s="184"/>
      <c r="I3184" s="186"/>
      <c r="J3184" s="184"/>
    </row>
    <row r="3185" spans="2:10">
      <c r="B3185" s="184"/>
      <c r="C3185" s="184"/>
      <c r="D3185" s="184"/>
      <c r="E3185" s="184"/>
      <c r="F3185" s="184"/>
      <c r="G3185" s="187"/>
      <c r="I3185" s="186"/>
      <c r="J3185" s="184"/>
    </row>
    <row r="3186" spans="2:10">
      <c r="B3186" s="184"/>
      <c r="C3186" s="184"/>
      <c r="D3186" s="184"/>
      <c r="E3186" s="184"/>
      <c r="F3186" s="184"/>
      <c r="I3186" s="186"/>
      <c r="J3186" s="184"/>
    </row>
    <row r="3187" spans="2:10">
      <c r="B3187" s="184"/>
      <c r="C3187" s="184"/>
      <c r="D3187" s="184"/>
      <c r="E3187" s="184"/>
      <c r="F3187" s="184"/>
      <c r="G3187" s="187"/>
      <c r="I3187" s="186"/>
      <c r="J3187" s="184"/>
    </row>
    <row r="3188" spans="2:10">
      <c r="B3188" s="184"/>
      <c r="C3188" s="184"/>
      <c r="D3188" s="184"/>
      <c r="E3188" s="184"/>
      <c r="F3188" s="184"/>
      <c r="G3188" s="187"/>
      <c r="I3188" s="186"/>
      <c r="J3188" s="184"/>
    </row>
    <row r="3189" spans="2:10">
      <c r="B3189" s="184"/>
      <c r="C3189" s="184"/>
      <c r="D3189" s="184"/>
      <c r="E3189" s="184"/>
      <c r="F3189" s="184"/>
      <c r="G3189" s="187"/>
      <c r="I3189" s="186"/>
      <c r="J3189" s="184"/>
    </row>
    <row r="3190" spans="2:10">
      <c r="B3190" s="184"/>
      <c r="C3190" s="184"/>
      <c r="D3190" s="184"/>
      <c r="E3190" s="184"/>
      <c r="F3190" s="184"/>
      <c r="G3190" s="187"/>
      <c r="I3190" s="186"/>
      <c r="J3190" s="184"/>
    </row>
    <row r="3191" spans="2:10">
      <c r="B3191" s="184"/>
      <c r="C3191" s="184"/>
      <c r="D3191" s="184"/>
      <c r="E3191" s="184"/>
      <c r="F3191" s="184"/>
      <c r="I3191" s="186"/>
      <c r="J3191" s="184"/>
    </row>
    <row r="3192" spans="2:10">
      <c r="B3192" s="184"/>
      <c r="C3192" s="184"/>
      <c r="D3192" s="184"/>
      <c r="E3192" s="184"/>
      <c r="F3192" s="184"/>
      <c r="I3192" s="186"/>
      <c r="J3192" s="184"/>
    </row>
    <row r="3193" spans="2:10">
      <c r="B3193" s="184"/>
      <c r="C3193" s="184"/>
      <c r="D3193" s="184"/>
      <c r="E3193" s="184"/>
      <c r="F3193" s="184"/>
      <c r="I3193" s="186"/>
      <c r="J3193" s="184"/>
    </row>
    <row r="3194" spans="2:10">
      <c r="B3194" s="184"/>
      <c r="C3194" s="184"/>
      <c r="D3194" s="184"/>
      <c r="E3194" s="184"/>
      <c r="F3194" s="184"/>
      <c r="G3194" s="187"/>
      <c r="I3194" s="186"/>
      <c r="J3194" s="184"/>
    </row>
    <row r="3195" spans="2:10">
      <c r="B3195" s="184"/>
      <c r="C3195" s="184"/>
      <c r="D3195" s="184"/>
      <c r="E3195" s="184"/>
      <c r="F3195" s="184"/>
      <c r="I3195" s="186"/>
      <c r="J3195" s="184"/>
    </row>
    <row r="3196" spans="2:10">
      <c r="B3196" s="184"/>
      <c r="C3196" s="184"/>
      <c r="D3196" s="184"/>
      <c r="E3196" s="184"/>
      <c r="F3196" s="184"/>
      <c r="G3196" s="187"/>
      <c r="I3196" s="186"/>
      <c r="J3196" s="184"/>
    </row>
    <row r="3197" spans="2:10">
      <c r="B3197" s="184"/>
      <c r="C3197" s="184"/>
      <c r="D3197" s="184"/>
      <c r="E3197" s="184"/>
      <c r="F3197" s="184"/>
      <c r="G3197" s="187"/>
      <c r="I3197" s="186"/>
      <c r="J3197" s="184"/>
    </row>
    <row r="3198" spans="2:10">
      <c r="B3198" s="184"/>
      <c r="C3198" s="184"/>
      <c r="D3198" s="184"/>
      <c r="E3198" s="184"/>
      <c r="F3198" s="184"/>
      <c r="I3198" s="186"/>
      <c r="J3198" s="184"/>
    </row>
    <row r="3199" spans="2:10">
      <c r="B3199" s="184"/>
      <c r="C3199" s="184"/>
      <c r="D3199" s="184"/>
      <c r="E3199" s="184"/>
      <c r="F3199" s="184"/>
      <c r="I3199" s="186"/>
      <c r="J3199" s="184"/>
    </row>
    <row r="3200" spans="2:10">
      <c r="B3200" s="184"/>
      <c r="C3200" s="184"/>
      <c r="D3200" s="184"/>
      <c r="E3200" s="184"/>
      <c r="F3200" s="184"/>
      <c r="I3200" s="186"/>
      <c r="J3200" s="184"/>
    </row>
    <row r="3201" spans="2:10">
      <c r="B3201" s="184"/>
      <c r="C3201" s="184"/>
      <c r="D3201" s="184"/>
      <c r="E3201" s="184"/>
      <c r="F3201" s="184"/>
      <c r="I3201" s="186"/>
      <c r="J3201" s="184"/>
    </row>
    <row r="3202" spans="2:10">
      <c r="B3202" s="184"/>
      <c r="C3202" s="184"/>
      <c r="D3202" s="184"/>
      <c r="E3202" s="184"/>
      <c r="F3202" s="184"/>
      <c r="I3202" s="186"/>
      <c r="J3202" s="184"/>
    </row>
    <row r="3203" spans="2:10">
      <c r="B3203" s="184"/>
      <c r="C3203" s="184"/>
      <c r="D3203" s="184"/>
      <c r="E3203" s="184"/>
      <c r="F3203" s="184"/>
      <c r="I3203" s="186"/>
      <c r="J3203" s="184"/>
    </row>
    <row r="3204" spans="2:10">
      <c r="B3204" s="184"/>
      <c r="C3204" s="184"/>
      <c r="D3204" s="184"/>
      <c r="E3204" s="184"/>
      <c r="F3204" s="184"/>
      <c r="I3204" s="186"/>
      <c r="J3204" s="184"/>
    </row>
    <row r="3205" spans="2:10">
      <c r="B3205" s="184"/>
      <c r="C3205" s="184"/>
      <c r="D3205" s="184"/>
      <c r="E3205" s="184"/>
      <c r="F3205" s="184"/>
      <c r="I3205" s="186"/>
      <c r="J3205" s="184"/>
    </row>
    <row r="3206" spans="2:10">
      <c r="B3206" s="184"/>
      <c r="C3206" s="184"/>
      <c r="D3206" s="184"/>
      <c r="E3206" s="184"/>
      <c r="F3206" s="184"/>
      <c r="I3206" s="186"/>
      <c r="J3206" s="184"/>
    </row>
    <row r="3207" spans="2:10">
      <c r="B3207" s="184"/>
      <c r="C3207" s="184"/>
      <c r="D3207" s="184"/>
      <c r="E3207" s="184"/>
      <c r="F3207" s="184"/>
      <c r="I3207" s="186"/>
      <c r="J3207" s="184"/>
    </row>
    <row r="3208" spans="2:10">
      <c r="B3208" s="184"/>
      <c r="C3208" s="184"/>
      <c r="D3208" s="184"/>
      <c r="E3208" s="184"/>
      <c r="F3208" s="184"/>
      <c r="I3208" s="186"/>
      <c r="J3208" s="184"/>
    </row>
    <row r="3209" spans="2:10">
      <c r="B3209" s="184"/>
      <c r="C3209" s="184"/>
      <c r="D3209" s="184"/>
      <c r="E3209" s="184"/>
      <c r="F3209" s="184"/>
      <c r="I3209" s="186"/>
      <c r="J3209" s="184"/>
    </row>
    <row r="3210" spans="2:10">
      <c r="B3210" s="184"/>
      <c r="C3210" s="184"/>
      <c r="D3210" s="184"/>
      <c r="E3210" s="184"/>
      <c r="F3210" s="184"/>
      <c r="I3210" s="186"/>
      <c r="J3210" s="184"/>
    </row>
    <row r="3211" spans="2:10">
      <c r="B3211" s="184"/>
      <c r="C3211" s="184"/>
      <c r="D3211" s="184"/>
      <c r="E3211" s="184"/>
      <c r="F3211" s="184"/>
      <c r="I3211" s="186"/>
      <c r="J3211" s="184"/>
    </row>
    <row r="3212" spans="2:10">
      <c r="B3212" s="184"/>
      <c r="C3212" s="184"/>
      <c r="D3212" s="184"/>
      <c r="E3212" s="184"/>
      <c r="F3212" s="184"/>
      <c r="I3212" s="186"/>
      <c r="J3212" s="184"/>
    </row>
    <row r="3213" spans="2:10">
      <c r="B3213" s="184"/>
      <c r="C3213" s="184"/>
      <c r="D3213" s="184"/>
      <c r="E3213" s="184"/>
      <c r="F3213" s="184"/>
      <c r="I3213" s="186"/>
      <c r="J3213" s="184"/>
    </row>
    <row r="3214" spans="2:10">
      <c r="B3214" s="184"/>
      <c r="C3214" s="184"/>
      <c r="D3214" s="184"/>
      <c r="E3214" s="184"/>
      <c r="F3214" s="184"/>
      <c r="I3214" s="186"/>
      <c r="J3214" s="184"/>
    </row>
    <row r="3215" spans="2:10">
      <c r="B3215" s="184"/>
      <c r="C3215" s="184"/>
      <c r="D3215" s="184"/>
      <c r="E3215" s="184"/>
      <c r="F3215" s="184"/>
      <c r="I3215" s="186"/>
      <c r="J3215" s="184"/>
    </row>
    <row r="3216" spans="2:10">
      <c r="B3216" s="184"/>
      <c r="C3216" s="184"/>
      <c r="D3216" s="184"/>
      <c r="E3216" s="184"/>
      <c r="F3216" s="184"/>
      <c r="I3216" s="186"/>
      <c r="J3216" s="184"/>
    </row>
    <row r="3217" spans="2:10">
      <c r="B3217" s="184"/>
      <c r="C3217" s="184"/>
      <c r="D3217" s="184"/>
      <c r="E3217" s="184"/>
      <c r="F3217" s="184"/>
      <c r="I3217" s="186"/>
      <c r="J3217" s="184"/>
    </row>
    <row r="3218" spans="2:10">
      <c r="B3218" s="184"/>
      <c r="C3218" s="184"/>
      <c r="D3218" s="184"/>
      <c r="E3218" s="184"/>
      <c r="F3218" s="184"/>
      <c r="I3218" s="186"/>
      <c r="J3218" s="184"/>
    </row>
    <row r="3219" spans="2:10">
      <c r="B3219" s="184"/>
      <c r="C3219" s="184"/>
      <c r="D3219" s="184"/>
      <c r="E3219" s="184"/>
      <c r="F3219" s="184"/>
      <c r="I3219" s="186"/>
      <c r="J3219" s="184"/>
    </row>
    <row r="3220" spans="2:10">
      <c r="B3220" s="184"/>
      <c r="C3220" s="184"/>
      <c r="D3220" s="184"/>
      <c r="E3220" s="184"/>
      <c r="F3220" s="184"/>
      <c r="I3220" s="186"/>
      <c r="J3220" s="184"/>
    </row>
    <row r="3221" spans="2:10">
      <c r="B3221" s="184"/>
      <c r="C3221" s="184"/>
      <c r="D3221" s="184"/>
      <c r="E3221" s="184"/>
      <c r="F3221" s="184"/>
      <c r="I3221" s="186"/>
      <c r="J3221" s="184"/>
    </row>
    <row r="3222" spans="2:10">
      <c r="B3222" s="184"/>
      <c r="C3222" s="184"/>
      <c r="D3222" s="184"/>
      <c r="E3222" s="184"/>
      <c r="F3222" s="184"/>
      <c r="I3222" s="186"/>
      <c r="J3222" s="184"/>
    </row>
    <row r="3223" spans="2:10">
      <c r="B3223" s="184"/>
      <c r="C3223" s="184"/>
      <c r="D3223" s="184"/>
      <c r="E3223" s="184"/>
      <c r="F3223" s="184"/>
      <c r="I3223" s="186"/>
      <c r="J3223" s="184"/>
    </row>
    <row r="3224" spans="2:10">
      <c r="B3224" s="184"/>
      <c r="C3224" s="184"/>
      <c r="D3224" s="184"/>
      <c r="E3224" s="184"/>
      <c r="F3224" s="184"/>
      <c r="I3224" s="186"/>
      <c r="J3224" s="184"/>
    </row>
    <row r="3225" spans="2:10">
      <c r="B3225" s="184"/>
      <c r="C3225" s="184"/>
      <c r="D3225" s="184"/>
      <c r="E3225" s="184"/>
      <c r="F3225" s="184"/>
      <c r="I3225" s="186"/>
      <c r="J3225" s="184"/>
    </row>
    <row r="3226" spans="2:10">
      <c r="B3226" s="184"/>
      <c r="C3226" s="184"/>
      <c r="D3226" s="184"/>
      <c r="E3226" s="184"/>
      <c r="F3226" s="184"/>
      <c r="I3226" s="186"/>
      <c r="J3226" s="184"/>
    </row>
    <row r="3227" spans="2:10">
      <c r="B3227" s="184"/>
      <c r="C3227" s="184"/>
      <c r="D3227" s="184"/>
      <c r="E3227" s="184"/>
      <c r="F3227" s="184"/>
      <c r="I3227" s="186"/>
      <c r="J3227" s="184"/>
    </row>
    <row r="3228" spans="2:10">
      <c r="B3228" s="184"/>
      <c r="C3228" s="184"/>
      <c r="D3228" s="184"/>
      <c r="E3228" s="184"/>
      <c r="F3228" s="184"/>
      <c r="I3228" s="186"/>
      <c r="J3228" s="184"/>
    </row>
    <row r="3229" spans="2:10">
      <c r="B3229" s="184"/>
      <c r="C3229" s="184"/>
      <c r="D3229" s="184"/>
      <c r="E3229" s="184"/>
      <c r="F3229" s="184"/>
      <c r="G3229" s="187"/>
      <c r="I3229" s="186"/>
      <c r="J3229" s="184"/>
    </row>
    <row r="3230" spans="2:10">
      <c r="B3230" s="184"/>
      <c r="C3230" s="184"/>
      <c r="D3230" s="184"/>
      <c r="E3230" s="184"/>
      <c r="F3230" s="184"/>
      <c r="I3230" s="186"/>
      <c r="J3230" s="184"/>
    </row>
    <row r="3231" spans="2:10">
      <c r="B3231" s="184"/>
      <c r="C3231" s="184"/>
      <c r="D3231" s="184"/>
      <c r="E3231" s="184"/>
      <c r="F3231" s="184"/>
      <c r="I3231" s="186"/>
      <c r="J3231" s="184"/>
    </row>
    <row r="3232" spans="2:10">
      <c r="B3232" s="184"/>
      <c r="C3232" s="184"/>
      <c r="D3232" s="184"/>
      <c r="E3232" s="184"/>
      <c r="F3232" s="184"/>
      <c r="I3232" s="186"/>
      <c r="J3232" s="184"/>
    </row>
    <row r="3233" spans="2:10">
      <c r="B3233" s="184"/>
      <c r="C3233" s="184"/>
      <c r="D3233" s="184"/>
      <c r="E3233" s="184"/>
      <c r="F3233" s="184"/>
      <c r="I3233" s="186"/>
      <c r="J3233" s="184"/>
    </row>
    <row r="3234" spans="2:10">
      <c r="B3234" s="184"/>
      <c r="C3234" s="184"/>
      <c r="D3234" s="184"/>
      <c r="E3234" s="184"/>
      <c r="F3234" s="184"/>
      <c r="I3234" s="186"/>
      <c r="J3234" s="184"/>
    </row>
    <row r="3235" spans="2:10">
      <c r="B3235" s="184"/>
      <c r="C3235" s="184"/>
      <c r="D3235" s="184"/>
      <c r="E3235" s="184"/>
      <c r="F3235" s="184"/>
      <c r="I3235" s="186"/>
      <c r="J3235" s="184"/>
    </row>
    <row r="3236" spans="2:10">
      <c r="B3236" s="184"/>
      <c r="C3236" s="184"/>
      <c r="D3236" s="184"/>
      <c r="E3236" s="184"/>
      <c r="F3236" s="184"/>
      <c r="I3236" s="186"/>
      <c r="J3236" s="184"/>
    </row>
    <row r="3237" spans="2:10">
      <c r="B3237" s="184"/>
      <c r="C3237" s="184"/>
      <c r="D3237" s="184"/>
      <c r="E3237" s="184"/>
      <c r="F3237" s="184"/>
      <c r="I3237" s="186"/>
      <c r="J3237" s="184"/>
    </row>
    <row r="3238" spans="2:10">
      <c r="B3238" s="184"/>
      <c r="C3238" s="184"/>
      <c r="D3238" s="184"/>
      <c r="E3238" s="184"/>
      <c r="F3238" s="184"/>
      <c r="I3238" s="186"/>
      <c r="J3238" s="184"/>
    </row>
    <row r="3239" spans="2:10">
      <c r="B3239" s="184"/>
      <c r="C3239" s="184"/>
      <c r="D3239" s="184"/>
      <c r="E3239" s="184"/>
      <c r="F3239" s="184"/>
      <c r="I3239" s="186"/>
      <c r="J3239" s="184"/>
    </row>
    <row r="3240" spans="2:10">
      <c r="B3240" s="184"/>
      <c r="C3240" s="184"/>
      <c r="D3240" s="184"/>
      <c r="E3240" s="184"/>
      <c r="F3240" s="184"/>
      <c r="I3240" s="186"/>
      <c r="J3240" s="184"/>
    </row>
    <row r="3241" spans="2:10">
      <c r="B3241" s="184"/>
      <c r="C3241" s="184"/>
      <c r="D3241" s="184"/>
      <c r="E3241" s="184"/>
      <c r="F3241" s="184"/>
      <c r="I3241" s="186"/>
      <c r="J3241" s="184"/>
    </row>
    <row r="3242" spans="2:10">
      <c r="B3242" s="184"/>
      <c r="C3242" s="184"/>
      <c r="D3242" s="184"/>
      <c r="E3242" s="184"/>
      <c r="F3242" s="184"/>
      <c r="G3242" s="187"/>
      <c r="I3242" s="186"/>
      <c r="J3242" s="184"/>
    </row>
    <row r="3243" spans="2:10">
      <c r="B3243" s="184"/>
      <c r="C3243" s="184"/>
      <c r="D3243" s="184"/>
      <c r="E3243" s="184"/>
      <c r="F3243" s="184"/>
      <c r="I3243" s="186"/>
      <c r="J3243" s="184"/>
    </row>
    <row r="3244" spans="2:10">
      <c r="B3244" s="184"/>
      <c r="C3244" s="184"/>
      <c r="D3244" s="184"/>
      <c r="E3244" s="184"/>
      <c r="F3244" s="184"/>
      <c r="I3244" s="186"/>
      <c r="J3244" s="184"/>
    </row>
    <row r="3245" spans="2:10">
      <c r="B3245" s="184"/>
      <c r="C3245" s="184"/>
      <c r="D3245" s="184"/>
      <c r="E3245" s="184"/>
      <c r="F3245" s="184"/>
      <c r="G3245" s="187"/>
      <c r="I3245" s="186"/>
      <c r="J3245" s="184"/>
    </row>
    <row r="3246" spans="2:10">
      <c r="B3246" s="184"/>
      <c r="C3246" s="184"/>
      <c r="D3246" s="184"/>
      <c r="E3246" s="184"/>
      <c r="F3246" s="184"/>
      <c r="I3246" s="186"/>
      <c r="J3246" s="184"/>
    </row>
    <row r="3247" spans="2:10">
      <c r="B3247" s="184"/>
      <c r="C3247" s="184"/>
      <c r="D3247" s="184"/>
      <c r="E3247" s="184"/>
      <c r="F3247" s="184"/>
      <c r="I3247" s="186"/>
      <c r="J3247" s="184"/>
    </row>
    <row r="3248" spans="2:10">
      <c r="B3248" s="184"/>
      <c r="C3248" s="184"/>
      <c r="D3248" s="184"/>
      <c r="E3248" s="184"/>
      <c r="F3248" s="184"/>
      <c r="I3248" s="186"/>
      <c r="J3248" s="184"/>
    </row>
    <row r="3249" spans="2:10">
      <c r="B3249" s="184"/>
      <c r="C3249" s="184"/>
      <c r="D3249" s="184"/>
      <c r="E3249" s="184"/>
      <c r="F3249" s="184"/>
      <c r="I3249" s="186"/>
      <c r="J3249" s="184"/>
    </row>
    <row r="3250" spans="2:10">
      <c r="B3250" s="184"/>
      <c r="C3250" s="184"/>
      <c r="D3250" s="184"/>
      <c r="E3250" s="184"/>
      <c r="F3250" s="184"/>
      <c r="I3250" s="186"/>
      <c r="J3250" s="184"/>
    </row>
    <row r="3251" spans="2:10">
      <c r="B3251" s="184"/>
      <c r="C3251" s="184"/>
      <c r="D3251" s="184"/>
      <c r="E3251" s="184"/>
      <c r="F3251" s="184"/>
      <c r="I3251" s="186"/>
      <c r="J3251" s="184"/>
    </row>
    <row r="3252" spans="2:10">
      <c r="B3252" s="184"/>
      <c r="C3252" s="184"/>
      <c r="D3252" s="184"/>
      <c r="E3252" s="184"/>
      <c r="F3252" s="184"/>
      <c r="G3252" s="187"/>
      <c r="I3252" s="186"/>
      <c r="J3252" s="184"/>
    </row>
    <row r="3253" spans="2:10">
      <c r="B3253" s="184"/>
      <c r="C3253" s="184"/>
      <c r="D3253" s="184"/>
      <c r="E3253" s="184"/>
      <c r="F3253" s="184"/>
      <c r="I3253" s="186"/>
      <c r="J3253" s="184"/>
    </row>
    <row r="3254" spans="2:10">
      <c r="B3254" s="184"/>
      <c r="C3254" s="184"/>
      <c r="D3254" s="184"/>
      <c r="E3254" s="184"/>
      <c r="F3254" s="184"/>
      <c r="I3254" s="186"/>
      <c r="J3254" s="184"/>
    </row>
    <row r="3255" spans="2:10">
      <c r="B3255" s="184"/>
      <c r="C3255" s="184"/>
      <c r="D3255" s="184"/>
      <c r="E3255" s="184"/>
      <c r="F3255" s="184"/>
      <c r="I3255" s="186"/>
      <c r="J3255" s="184"/>
    </row>
    <row r="3256" spans="2:10">
      <c r="B3256" s="184"/>
      <c r="C3256" s="184"/>
      <c r="D3256" s="184"/>
      <c r="E3256" s="184"/>
      <c r="F3256" s="184"/>
      <c r="G3256" s="187"/>
      <c r="I3256" s="186"/>
      <c r="J3256" s="184"/>
    </row>
    <row r="3257" spans="2:10">
      <c r="B3257" s="184"/>
      <c r="C3257" s="184"/>
      <c r="D3257" s="184"/>
      <c r="E3257" s="184"/>
      <c r="F3257" s="184"/>
      <c r="I3257" s="186"/>
      <c r="J3257" s="184"/>
    </row>
    <row r="3258" spans="2:10">
      <c r="B3258" s="184"/>
      <c r="C3258" s="184"/>
      <c r="D3258" s="184"/>
      <c r="E3258" s="184"/>
      <c r="F3258" s="184"/>
      <c r="I3258" s="186"/>
      <c r="J3258" s="184"/>
    </row>
    <row r="3259" spans="2:10">
      <c r="B3259" s="184"/>
      <c r="C3259" s="184"/>
      <c r="D3259" s="184"/>
      <c r="E3259" s="184"/>
      <c r="F3259" s="184"/>
      <c r="I3259" s="186"/>
      <c r="J3259" s="184"/>
    </row>
    <row r="3260" spans="2:10">
      <c r="B3260" s="184"/>
      <c r="C3260" s="184"/>
      <c r="D3260" s="184"/>
      <c r="E3260" s="184"/>
      <c r="F3260" s="184"/>
      <c r="I3260" s="186"/>
      <c r="J3260" s="184"/>
    </row>
    <row r="3261" spans="2:10">
      <c r="B3261" s="184"/>
      <c r="C3261" s="184"/>
      <c r="D3261" s="184"/>
      <c r="E3261" s="184"/>
      <c r="F3261" s="184"/>
      <c r="I3261" s="186"/>
      <c r="J3261" s="184"/>
    </row>
    <row r="3262" spans="2:10">
      <c r="B3262" s="184"/>
      <c r="C3262" s="184"/>
      <c r="D3262" s="184"/>
      <c r="E3262" s="184"/>
      <c r="F3262" s="184"/>
      <c r="I3262" s="186"/>
      <c r="J3262" s="184"/>
    </row>
    <row r="3263" spans="2:10">
      <c r="B3263" s="184"/>
      <c r="C3263" s="184"/>
      <c r="D3263" s="184"/>
      <c r="E3263" s="184"/>
      <c r="F3263" s="184"/>
      <c r="I3263" s="186"/>
      <c r="J3263" s="184"/>
    </row>
    <row r="3264" spans="2:10">
      <c r="B3264" s="184"/>
      <c r="C3264" s="184"/>
      <c r="D3264" s="184"/>
      <c r="E3264" s="184"/>
      <c r="F3264" s="184"/>
      <c r="I3264" s="186"/>
      <c r="J3264" s="184"/>
    </row>
    <row r="3265" spans="2:10">
      <c r="B3265" s="184"/>
      <c r="C3265" s="184"/>
      <c r="D3265" s="184"/>
      <c r="E3265" s="184"/>
      <c r="F3265" s="184"/>
      <c r="I3265" s="186"/>
      <c r="J3265" s="184"/>
    </row>
    <row r="3266" spans="2:10">
      <c r="B3266" s="184"/>
      <c r="C3266" s="184"/>
      <c r="D3266" s="184"/>
      <c r="E3266" s="184"/>
      <c r="F3266" s="184"/>
      <c r="I3266" s="186"/>
      <c r="J3266" s="184"/>
    </row>
    <row r="3267" spans="2:10">
      <c r="B3267" s="184"/>
      <c r="C3267" s="184"/>
      <c r="D3267" s="184"/>
      <c r="E3267" s="184"/>
      <c r="F3267" s="184"/>
      <c r="G3267" s="187"/>
      <c r="I3267" s="186"/>
      <c r="J3267" s="184"/>
    </row>
    <row r="3268" spans="2:10">
      <c r="B3268" s="184"/>
      <c r="C3268" s="184"/>
      <c r="D3268" s="184"/>
      <c r="E3268" s="184"/>
      <c r="F3268" s="184"/>
      <c r="I3268" s="186"/>
      <c r="J3268" s="184"/>
    </row>
    <row r="3269" spans="2:10">
      <c r="B3269" s="184"/>
      <c r="C3269" s="184"/>
      <c r="D3269" s="184"/>
      <c r="E3269" s="184"/>
      <c r="F3269" s="184"/>
      <c r="G3269" s="187"/>
      <c r="I3269" s="186"/>
      <c r="J3269" s="184"/>
    </row>
    <row r="3270" spans="2:10">
      <c r="B3270" s="184"/>
      <c r="C3270" s="184"/>
      <c r="D3270" s="184"/>
      <c r="E3270" s="184"/>
      <c r="F3270" s="184"/>
      <c r="G3270" s="187"/>
      <c r="I3270" s="186"/>
      <c r="J3270" s="184"/>
    </row>
    <row r="3271" spans="2:10">
      <c r="B3271" s="184"/>
      <c r="C3271" s="184"/>
      <c r="D3271" s="184"/>
      <c r="E3271" s="184"/>
      <c r="F3271" s="184"/>
      <c r="G3271" s="187"/>
      <c r="I3271" s="186"/>
      <c r="J3271" s="184"/>
    </row>
    <row r="3272" spans="2:10">
      <c r="B3272" s="184"/>
      <c r="C3272" s="184"/>
      <c r="D3272" s="184"/>
      <c r="E3272" s="184"/>
      <c r="F3272" s="184"/>
      <c r="I3272" s="186"/>
      <c r="J3272" s="184"/>
    </row>
    <row r="3273" spans="2:10">
      <c r="B3273" s="184"/>
      <c r="C3273" s="184"/>
      <c r="D3273" s="184"/>
      <c r="E3273" s="184"/>
      <c r="F3273" s="184"/>
      <c r="I3273" s="186"/>
      <c r="J3273" s="184"/>
    </row>
    <row r="3274" spans="2:10">
      <c r="B3274" s="184"/>
      <c r="C3274" s="184"/>
      <c r="D3274" s="184"/>
      <c r="E3274" s="184"/>
      <c r="F3274" s="184"/>
      <c r="I3274" s="186"/>
      <c r="J3274" s="184"/>
    </row>
    <row r="3275" spans="2:10">
      <c r="B3275" s="184"/>
      <c r="C3275" s="184"/>
      <c r="D3275" s="184"/>
      <c r="E3275" s="184"/>
      <c r="F3275" s="184"/>
      <c r="I3275" s="186"/>
      <c r="J3275" s="184"/>
    </row>
    <row r="3276" spans="2:10">
      <c r="B3276" s="184"/>
      <c r="C3276" s="184"/>
      <c r="D3276" s="184"/>
      <c r="E3276" s="184"/>
      <c r="F3276" s="184"/>
      <c r="I3276" s="186"/>
      <c r="J3276" s="184"/>
    </row>
    <row r="3277" spans="2:10">
      <c r="B3277" s="184"/>
      <c r="C3277" s="184"/>
      <c r="D3277" s="184"/>
      <c r="E3277" s="184"/>
      <c r="F3277" s="184"/>
      <c r="G3277" s="187"/>
      <c r="I3277" s="186"/>
      <c r="J3277" s="184"/>
    </row>
    <row r="3278" spans="2:10">
      <c r="B3278" s="184"/>
      <c r="C3278" s="184"/>
      <c r="D3278" s="184"/>
      <c r="E3278" s="184"/>
      <c r="F3278" s="184"/>
      <c r="I3278" s="186"/>
      <c r="J3278" s="184"/>
    </row>
    <row r="3279" spans="2:10">
      <c r="B3279" s="184"/>
      <c r="C3279" s="184"/>
      <c r="D3279" s="184"/>
      <c r="E3279" s="184"/>
      <c r="F3279" s="184"/>
      <c r="I3279" s="186"/>
      <c r="J3279" s="184"/>
    </row>
    <row r="3280" spans="2:10">
      <c r="B3280" s="184"/>
      <c r="C3280" s="184"/>
      <c r="D3280" s="184"/>
      <c r="E3280" s="184"/>
      <c r="F3280" s="184"/>
      <c r="I3280" s="186"/>
      <c r="J3280" s="184"/>
    </row>
    <row r="3281" spans="2:10">
      <c r="B3281" s="184"/>
      <c r="C3281" s="184"/>
      <c r="D3281" s="184"/>
      <c r="E3281" s="184"/>
      <c r="F3281" s="184"/>
      <c r="I3281" s="186"/>
      <c r="J3281" s="184"/>
    </row>
    <row r="3282" spans="2:10">
      <c r="B3282" s="184"/>
      <c r="C3282" s="184"/>
      <c r="D3282" s="184"/>
      <c r="E3282" s="184"/>
      <c r="F3282" s="184"/>
      <c r="I3282" s="186"/>
      <c r="J3282" s="184"/>
    </row>
    <row r="3283" spans="2:10">
      <c r="B3283" s="184"/>
      <c r="C3283" s="184"/>
      <c r="D3283" s="184"/>
      <c r="E3283" s="184"/>
      <c r="F3283" s="184"/>
      <c r="I3283" s="186"/>
      <c r="J3283" s="184"/>
    </row>
    <row r="3284" spans="2:10">
      <c r="B3284" s="184"/>
      <c r="C3284" s="184"/>
      <c r="D3284" s="184"/>
      <c r="E3284" s="184"/>
      <c r="F3284" s="184"/>
      <c r="I3284" s="186"/>
      <c r="J3284" s="184"/>
    </row>
    <row r="3285" spans="2:10">
      <c r="B3285" s="184"/>
      <c r="C3285" s="184"/>
      <c r="D3285" s="184"/>
      <c r="E3285" s="184"/>
      <c r="F3285" s="184"/>
      <c r="I3285" s="186"/>
      <c r="J3285" s="184"/>
    </row>
    <row r="3286" spans="2:10">
      <c r="B3286" s="184"/>
      <c r="C3286" s="184"/>
      <c r="D3286" s="184"/>
      <c r="E3286" s="184"/>
      <c r="F3286" s="184"/>
      <c r="I3286" s="186"/>
      <c r="J3286" s="184"/>
    </row>
    <row r="3287" spans="2:10">
      <c r="B3287" s="184"/>
      <c r="C3287" s="184"/>
      <c r="D3287" s="184"/>
      <c r="E3287" s="184"/>
      <c r="F3287" s="184"/>
      <c r="I3287" s="186"/>
      <c r="J3287" s="184"/>
    </row>
    <row r="3288" spans="2:10">
      <c r="B3288" s="184"/>
      <c r="C3288" s="184"/>
      <c r="D3288" s="184"/>
      <c r="E3288" s="184"/>
      <c r="F3288" s="184"/>
      <c r="I3288" s="186"/>
      <c r="J3288" s="184"/>
    </row>
    <row r="3289" spans="2:10">
      <c r="B3289" s="184"/>
      <c r="C3289" s="184"/>
      <c r="D3289" s="184"/>
      <c r="E3289" s="184"/>
      <c r="F3289" s="184"/>
      <c r="I3289" s="186"/>
      <c r="J3289" s="184"/>
    </row>
    <row r="3290" spans="2:10">
      <c r="B3290" s="184"/>
      <c r="C3290" s="184"/>
      <c r="D3290" s="184"/>
      <c r="E3290" s="184"/>
      <c r="F3290" s="184"/>
      <c r="I3290" s="186"/>
      <c r="J3290" s="184"/>
    </row>
    <row r="3291" spans="2:10">
      <c r="B3291" s="184"/>
      <c r="C3291" s="184"/>
      <c r="D3291" s="184"/>
      <c r="E3291" s="184"/>
      <c r="F3291" s="184"/>
      <c r="I3291" s="186"/>
      <c r="J3291" s="184"/>
    </row>
    <row r="3292" spans="2:10">
      <c r="B3292" s="184"/>
      <c r="C3292" s="184"/>
      <c r="D3292" s="184"/>
      <c r="E3292" s="184"/>
      <c r="F3292" s="184"/>
      <c r="G3292" s="187"/>
      <c r="I3292" s="186"/>
      <c r="J3292" s="184"/>
    </row>
    <row r="3293" spans="2:10">
      <c r="B3293" s="184"/>
      <c r="C3293" s="184"/>
      <c r="D3293" s="184"/>
      <c r="E3293" s="184"/>
      <c r="F3293" s="184"/>
      <c r="I3293" s="186"/>
      <c r="J3293" s="184"/>
    </row>
    <row r="3294" spans="2:10">
      <c r="B3294" s="184"/>
      <c r="C3294" s="184"/>
      <c r="D3294" s="184"/>
      <c r="E3294" s="184"/>
      <c r="F3294" s="184"/>
      <c r="I3294" s="186"/>
      <c r="J3294" s="184"/>
    </row>
    <row r="3295" spans="2:10">
      <c r="B3295" s="184"/>
      <c r="C3295" s="184"/>
      <c r="D3295" s="184"/>
      <c r="E3295" s="184"/>
      <c r="F3295" s="184"/>
      <c r="I3295" s="186"/>
      <c r="J3295" s="184"/>
    </row>
    <row r="3296" spans="2:10">
      <c r="B3296" s="184"/>
      <c r="C3296" s="184"/>
      <c r="D3296" s="184"/>
      <c r="E3296" s="184"/>
      <c r="F3296" s="184"/>
      <c r="I3296" s="186"/>
      <c r="J3296" s="184"/>
    </row>
    <row r="3297" spans="2:10">
      <c r="B3297" s="184"/>
      <c r="C3297" s="184"/>
      <c r="D3297" s="184"/>
      <c r="E3297" s="184"/>
      <c r="F3297" s="184"/>
      <c r="G3297" s="187"/>
      <c r="I3297" s="186"/>
      <c r="J3297" s="184"/>
    </row>
    <row r="3298" spans="2:10">
      <c r="B3298" s="184"/>
      <c r="C3298" s="184"/>
      <c r="D3298" s="184"/>
      <c r="E3298" s="184"/>
      <c r="F3298" s="184"/>
      <c r="G3298" s="187"/>
      <c r="I3298" s="186"/>
      <c r="J3298" s="184"/>
    </row>
    <row r="3299" spans="2:10">
      <c r="B3299" s="184"/>
      <c r="C3299" s="184"/>
      <c r="D3299" s="184"/>
      <c r="E3299" s="184"/>
      <c r="F3299" s="184"/>
      <c r="I3299" s="186"/>
      <c r="J3299" s="184"/>
    </row>
    <row r="3300" spans="2:10">
      <c r="B3300" s="184"/>
      <c r="C3300" s="184"/>
      <c r="D3300" s="184"/>
      <c r="E3300" s="184"/>
      <c r="F3300" s="184"/>
      <c r="I3300" s="186"/>
      <c r="J3300" s="184"/>
    </row>
    <row r="3301" spans="2:10">
      <c r="B3301" s="184"/>
      <c r="C3301" s="184"/>
      <c r="D3301" s="184"/>
      <c r="E3301" s="184"/>
      <c r="F3301" s="184"/>
      <c r="I3301" s="186"/>
      <c r="J3301" s="184"/>
    </row>
    <row r="3302" spans="2:10">
      <c r="B3302" s="184"/>
      <c r="C3302" s="184"/>
      <c r="D3302" s="184"/>
      <c r="E3302" s="184"/>
      <c r="F3302" s="184"/>
      <c r="G3302" s="187"/>
      <c r="I3302" s="186"/>
      <c r="J3302" s="184"/>
    </row>
    <row r="3303" spans="2:10">
      <c r="B3303" s="184"/>
      <c r="C3303" s="184"/>
      <c r="D3303" s="184"/>
      <c r="E3303" s="184"/>
      <c r="F3303" s="184"/>
      <c r="G3303" s="187"/>
      <c r="I3303" s="186"/>
      <c r="J3303" s="184"/>
    </row>
    <row r="3304" spans="2:10">
      <c r="B3304" s="184"/>
      <c r="C3304" s="184"/>
      <c r="D3304" s="184"/>
      <c r="E3304" s="184"/>
      <c r="F3304" s="184"/>
      <c r="I3304" s="186"/>
      <c r="J3304" s="184"/>
    </row>
    <row r="3305" spans="2:10">
      <c r="B3305" s="184"/>
      <c r="C3305" s="184"/>
      <c r="D3305" s="184"/>
      <c r="E3305" s="184"/>
      <c r="F3305" s="184"/>
      <c r="G3305" s="187"/>
      <c r="I3305" s="186"/>
      <c r="J3305" s="184"/>
    </row>
    <row r="3306" spans="2:10">
      <c r="B3306" s="184"/>
      <c r="C3306" s="184"/>
      <c r="D3306" s="184"/>
      <c r="E3306" s="184"/>
      <c r="F3306" s="184"/>
      <c r="I3306" s="186"/>
      <c r="J3306" s="184"/>
    </row>
    <row r="3307" spans="2:10">
      <c r="B3307" s="184"/>
      <c r="C3307" s="184"/>
      <c r="D3307" s="184"/>
      <c r="E3307" s="184"/>
      <c r="F3307" s="184"/>
      <c r="G3307" s="187"/>
      <c r="I3307" s="186"/>
      <c r="J3307" s="184"/>
    </row>
    <row r="3308" spans="2:10">
      <c r="B3308" s="184"/>
      <c r="C3308" s="184"/>
      <c r="D3308" s="184"/>
      <c r="E3308" s="184"/>
      <c r="F3308" s="184"/>
      <c r="I3308" s="186"/>
      <c r="J3308" s="184"/>
    </row>
    <row r="3309" spans="2:10">
      <c r="B3309" s="184"/>
      <c r="C3309" s="184"/>
      <c r="D3309" s="184"/>
      <c r="E3309" s="184"/>
      <c r="F3309" s="184"/>
      <c r="I3309" s="186"/>
      <c r="J3309" s="184"/>
    </row>
    <row r="3310" spans="2:10">
      <c r="B3310" s="184"/>
      <c r="C3310" s="184"/>
      <c r="D3310" s="184"/>
      <c r="E3310" s="184"/>
      <c r="F3310" s="184"/>
      <c r="I3310" s="186"/>
      <c r="J3310" s="184"/>
    </row>
    <row r="3311" spans="2:10">
      <c r="B3311" s="184"/>
      <c r="C3311" s="184"/>
      <c r="D3311" s="184"/>
      <c r="E3311" s="184"/>
      <c r="F3311" s="184"/>
      <c r="I3311" s="186"/>
      <c r="J3311" s="184"/>
    </row>
    <row r="3312" spans="2:10">
      <c r="B3312" s="184"/>
      <c r="C3312" s="184"/>
      <c r="D3312" s="184"/>
      <c r="E3312" s="184"/>
      <c r="F3312" s="184"/>
      <c r="I3312" s="186"/>
      <c r="J3312" s="184"/>
    </row>
    <row r="3313" spans="2:10">
      <c r="B3313" s="184"/>
      <c r="C3313" s="184"/>
      <c r="D3313" s="184"/>
      <c r="E3313" s="184"/>
      <c r="F3313" s="184"/>
      <c r="I3313" s="186"/>
      <c r="J3313" s="184"/>
    </row>
    <row r="3314" spans="2:10">
      <c r="B3314" s="184"/>
      <c r="C3314" s="184"/>
      <c r="D3314" s="184"/>
      <c r="E3314" s="184"/>
      <c r="F3314" s="184"/>
      <c r="I3314" s="186"/>
      <c r="J3314" s="184"/>
    </row>
    <row r="3315" spans="2:10">
      <c r="B3315" s="184"/>
      <c r="C3315" s="184"/>
      <c r="D3315" s="184"/>
      <c r="E3315" s="184"/>
      <c r="F3315" s="184"/>
      <c r="I3315" s="186"/>
      <c r="J3315" s="184"/>
    </row>
    <row r="3316" spans="2:10">
      <c r="B3316" s="184"/>
      <c r="C3316" s="184"/>
      <c r="D3316" s="184"/>
      <c r="E3316" s="184"/>
      <c r="F3316" s="184"/>
      <c r="G3316" s="187"/>
      <c r="I3316" s="186"/>
      <c r="J3316" s="184"/>
    </row>
    <row r="3317" spans="2:10">
      <c r="B3317" s="184"/>
      <c r="C3317" s="184"/>
      <c r="D3317" s="184"/>
      <c r="E3317" s="184"/>
      <c r="F3317" s="184"/>
      <c r="I3317" s="186"/>
      <c r="J3317" s="184"/>
    </row>
    <row r="3318" spans="2:10">
      <c r="B3318" s="184"/>
      <c r="C3318" s="184"/>
      <c r="D3318" s="184"/>
      <c r="E3318" s="184"/>
      <c r="F3318" s="184"/>
      <c r="I3318" s="186"/>
      <c r="J3318" s="184"/>
    </row>
    <row r="3319" spans="2:10">
      <c r="B3319" s="184"/>
      <c r="C3319" s="184"/>
      <c r="D3319" s="184"/>
      <c r="E3319" s="184"/>
      <c r="F3319" s="184"/>
      <c r="G3319" s="187"/>
      <c r="I3319" s="186"/>
      <c r="J3319" s="184"/>
    </row>
    <row r="3320" spans="2:10">
      <c r="B3320" s="184"/>
      <c r="C3320" s="184"/>
      <c r="D3320" s="184"/>
      <c r="E3320" s="184"/>
      <c r="F3320" s="184"/>
      <c r="I3320" s="186"/>
      <c r="J3320" s="184"/>
    </row>
    <row r="3321" spans="2:10">
      <c r="B3321" s="184"/>
      <c r="C3321" s="184"/>
      <c r="D3321" s="184"/>
      <c r="E3321" s="184"/>
      <c r="F3321" s="184"/>
      <c r="I3321" s="186"/>
      <c r="J3321" s="184"/>
    </row>
    <row r="3322" spans="2:10">
      <c r="B3322" s="184"/>
      <c r="C3322" s="184"/>
      <c r="D3322" s="184"/>
      <c r="E3322" s="184"/>
      <c r="F3322" s="184"/>
      <c r="I3322" s="186"/>
      <c r="J3322" s="184"/>
    </row>
    <row r="3323" spans="2:10">
      <c r="B3323" s="184"/>
      <c r="C3323" s="184"/>
      <c r="D3323" s="184"/>
      <c r="E3323" s="184"/>
      <c r="F3323" s="184"/>
      <c r="I3323" s="186"/>
      <c r="J3323" s="184"/>
    </row>
    <row r="3324" spans="2:10">
      <c r="B3324" s="184"/>
      <c r="C3324" s="184"/>
      <c r="D3324" s="184"/>
      <c r="E3324" s="184"/>
      <c r="F3324" s="184"/>
      <c r="I3324" s="186"/>
      <c r="J3324" s="184"/>
    </row>
    <row r="3325" spans="2:10">
      <c r="B3325" s="184"/>
      <c r="C3325" s="184"/>
      <c r="D3325" s="184"/>
      <c r="E3325" s="184"/>
      <c r="F3325" s="184"/>
      <c r="I3325" s="186"/>
      <c r="J3325" s="184"/>
    </row>
    <row r="3326" spans="2:10">
      <c r="B3326" s="184"/>
      <c r="C3326" s="184"/>
      <c r="D3326" s="184"/>
      <c r="E3326" s="184"/>
      <c r="F3326" s="184"/>
      <c r="I3326" s="186"/>
      <c r="J3326" s="184"/>
    </row>
    <row r="3327" spans="2:10">
      <c r="B3327" s="184"/>
      <c r="C3327" s="184"/>
      <c r="D3327" s="184"/>
      <c r="E3327" s="184"/>
      <c r="F3327" s="184"/>
      <c r="I3327" s="186"/>
      <c r="J3327" s="184"/>
    </row>
    <row r="3328" spans="2:10">
      <c r="B3328" s="184"/>
      <c r="C3328" s="184"/>
      <c r="D3328" s="184"/>
      <c r="E3328" s="184"/>
      <c r="F3328" s="184"/>
      <c r="I3328" s="186"/>
      <c r="J3328" s="184"/>
    </row>
    <row r="3329" spans="2:10">
      <c r="B3329" s="184"/>
      <c r="C3329" s="184"/>
      <c r="D3329" s="184"/>
      <c r="E3329" s="184"/>
      <c r="F3329" s="184"/>
      <c r="I3329" s="186"/>
      <c r="J3329" s="184"/>
    </row>
    <row r="3330" spans="2:10">
      <c r="B3330" s="184"/>
      <c r="C3330" s="184"/>
      <c r="D3330" s="184"/>
      <c r="E3330" s="184"/>
      <c r="F3330" s="184"/>
      <c r="I3330" s="186"/>
      <c r="J3330" s="184"/>
    </row>
    <row r="3331" spans="2:10">
      <c r="B3331" s="184"/>
      <c r="C3331" s="184"/>
      <c r="D3331" s="184"/>
      <c r="E3331" s="184"/>
      <c r="F3331" s="184"/>
      <c r="I3331" s="186"/>
      <c r="J3331" s="184"/>
    </row>
    <row r="3332" spans="2:10">
      <c r="B3332" s="184"/>
      <c r="C3332" s="184"/>
      <c r="D3332" s="184"/>
      <c r="E3332" s="184"/>
      <c r="F3332" s="184"/>
      <c r="I3332" s="186"/>
      <c r="J3332" s="184"/>
    </row>
    <row r="3333" spans="2:10">
      <c r="B3333" s="184"/>
      <c r="C3333" s="184"/>
      <c r="D3333" s="184"/>
      <c r="E3333" s="184"/>
      <c r="F3333" s="184"/>
      <c r="I3333" s="186"/>
      <c r="J3333" s="184"/>
    </row>
    <row r="3334" spans="2:10">
      <c r="B3334" s="184"/>
      <c r="C3334" s="184"/>
      <c r="D3334" s="184"/>
      <c r="E3334" s="184"/>
      <c r="F3334" s="184"/>
      <c r="I3334" s="186"/>
      <c r="J3334" s="184"/>
    </row>
    <row r="3335" spans="2:10">
      <c r="B3335" s="184"/>
      <c r="C3335" s="184"/>
      <c r="D3335" s="184"/>
      <c r="E3335" s="184"/>
      <c r="F3335" s="184"/>
      <c r="I3335" s="186"/>
      <c r="J3335" s="184"/>
    </row>
    <row r="3336" spans="2:10">
      <c r="B3336" s="184"/>
      <c r="C3336" s="184"/>
      <c r="D3336" s="184"/>
      <c r="E3336" s="184"/>
      <c r="F3336" s="184"/>
      <c r="I3336" s="186"/>
      <c r="J3336" s="184"/>
    </row>
    <row r="3337" spans="2:10">
      <c r="B3337" s="184"/>
      <c r="C3337" s="184"/>
      <c r="D3337" s="184"/>
      <c r="E3337" s="184"/>
      <c r="F3337" s="184"/>
      <c r="I3337" s="186"/>
      <c r="J3337" s="184"/>
    </row>
    <row r="3338" spans="2:10">
      <c r="B3338" s="184"/>
      <c r="C3338" s="184"/>
      <c r="D3338" s="184"/>
      <c r="E3338" s="184"/>
      <c r="F3338" s="184"/>
      <c r="I3338" s="186"/>
      <c r="J3338" s="184"/>
    </row>
    <row r="3339" spans="2:10">
      <c r="B3339" s="184"/>
      <c r="C3339" s="184"/>
      <c r="D3339" s="184"/>
      <c r="E3339" s="184"/>
      <c r="F3339" s="184"/>
      <c r="I3339" s="186"/>
      <c r="J3339" s="184"/>
    </row>
    <row r="3340" spans="2:10">
      <c r="B3340" s="184"/>
      <c r="C3340" s="184"/>
      <c r="D3340" s="184"/>
      <c r="E3340" s="184"/>
      <c r="F3340" s="184"/>
      <c r="I3340" s="186"/>
      <c r="J3340" s="184"/>
    </row>
    <row r="3341" spans="2:10">
      <c r="B3341" s="184"/>
      <c r="C3341" s="184"/>
      <c r="D3341" s="184"/>
      <c r="E3341" s="184"/>
      <c r="F3341" s="184"/>
      <c r="I3341" s="186"/>
      <c r="J3341" s="184"/>
    </row>
    <row r="3342" spans="2:10">
      <c r="B3342" s="184"/>
      <c r="C3342" s="184"/>
      <c r="D3342" s="184"/>
      <c r="E3342" s="184"/>
      <c r="F3342" s="184"/>
      <c r="I3342" s="186"/>
      <c r="J3342" s="184"/>
    </row>
    <row r="3343" spans="2:10">
      <c r="B3343" s="184"/>
      <c r="C3343" s="184"/>
      <c r="D3343" s="184"/>
      <c r="E3343" s="184"/>
      <c r="F3343" s="184"/>
      <c r="I3343" s="186"/>
      <c r="J3343" s="184"/>
    </row>
    <row r="3344" spans="2:10">
      <c r="B3344" s="184"/>
      <c r="C3344" s="184"/>
      <c r="D3344" s="184"/>
      <c r="E3344" s="184"/>
      <c r="F3344" s="184"/>
      <c r="I3344" s="186"/>
      <c r="J3344" s="184"/>
    </row>
    <row r="3345" spans="2:10">
      <c r="B3345" s="184"/>
      <c r="C3345" s="184"/>
      <c r="D3345" s="184"/>
      <c r="E3345" s="184"/>
      <c r="F3345" s="184"/>
      <c r="I3345" s="186"/>
      <c r="J3345" s="184"/>
    </row>
    <row r="3346" spans="2:10">
      <c r="B3346" s="184"/>
      <c r="C3346" s="184"/>
      <c r="D3346" s="184"/>
      <c r="E3346" s="184"/>
      <c r="F3346" s="184"/>
      <c r="G3346" s="187"/>
      <c r="I3346" s="186"/>
      <c r="J3346" s="184"/>
    </row>
    <row r="3347" spans="2:10">
      <c r="B3347" s="184"/>
      <c r="C3347" s="184"/>
      <c r="D3347" s="184"/>
      <c r="E3347" s="184"/>
      <c r="F3347" s="184"/>
      <c r="G3347" s="187"/>
      <c r="I3347" s="186"/>
      <c r="J3347" s="184"/>
    </row>
    <row r="3348" spans="2:10">
      <c r="B3348" s="184"/>
      <c r="C3348" s="184"/>
      <c r="D3348" s="184"/>
      <c r="E3348" s="184"/>
      <c r="F3348" s="184"/>
      <c r="I3348" s="186"/>
      <c r="J3348" s="184"/>
    </row>
    <row r="3349" spans="2:10">
      <c r="B3349" s="184"/>
      <c r="C3349" s="184"/>
      <c r="D3349" s="184"/>
      <c r="E3349" s="184"/>
      <c r="F3349" s="184"/>
      <c r="I3349" s="186"/>
      <c r="J3349" s="184"/>
    </row>
    <row r="3350" spans="2:10">
      <c r="B3350" s="184"/>
      <c r="C3350" s="184"/>
      <c r="D3350" s="184"/>
      <c r="E3350" s="184"/>
      <c r="F3350" s="184"/>
      <c r="I3350" s="186"/>
      <c r="J3350" s="184"/>
    </row>
    <row r="3351" spans="2:10">
      <c r="B3351" s="184"/>
      <c r="C3351" s="184"/>
      <c r="D3351" s="184"/>
      <c r="E3351" s="184"/>
      <c r="F3351" s="184"/>
      <c r="G3351" s="187"/>
      <c r="I3351" s="186"/>
      <c r="J3351" s="184"/>
    </row>
    <row r="3352" spans="2:10">
      <c r="B3352" s="184"/>
      <c r="C3352" s="184"/>
      <c r="D3352" s="184"/>
      <c r="E3352" s="184"/>
      <c r="F3352" s="184"/>
      <c r="G3352" s="187"/>
      <c r="I3352" s="186"/>
      <c r="J3352" s="184"/>
    </row>
    <row r="3353" spans="2:10">
      <c r="B3353" s="184"/>
      <c r="C3353" s="184"/>
      <c r="D3353" s="184"/>
      <c r="E3353" s="184"/>
      <c r="F3353" s="184"/>
      <c r="G3353" s="187"/>
      <c r="I3353" s="186"/>
      <c r="J3353" s="184"/>
    </row>
    <row r="3354" spans="2:10">
      <c r="B3354" s="184"/>
      <c r="C3354" s="184"/>
      <c r="D3354" s="184"/>
      <c r="E3354" s="184"/>
      <c r="F3354" s="184"/>
      <c r="G3354" s="187"/>
      <c r="I3354" s="186"/>
      <c r="J3354" s="184"/>
    </row>
    <row r="3355" spans="2:10">
      <c r="B3355" s="184"/>
      <c r="C3355" s="184"/>
      <c r="D3355" s="184"/>
      <c r="E3355" s="184"/>
      <c r="F3355" s="184"/>
      <c r="I3355" s="186"/>
      <c r="J3355" s="184"/>
    </row>
    <row r="3356" spans="2:10">
      <c r="B3356" s="184"/>
      <c r="C3356" s="184"/>
      <c r="D3356" s="184"/>
      <c r="E3356" s="184"/>
      <c r="F3356" s="184"/>
      <c r="I3356" s="186"/>
      <c r="J3356" s="184"/>
    </row>
    <row r="3357" spans="2:10">
      <c r="B3357" s="184"/>
      <c r="C3357" s="184"/>
      <c r="D3357" s="184"/>
      <c r="E3357" s="184"/>
      <c r="F3357" s="184"/>
      <c r="I3357" s="186"/>
      <c r="J3357" s="184"/>
    </row>
    <row r="3358" spans="2:10">
      <c r="B3358" s="184"/>
      <c r="C3358" s="184"/>
      <c r="D3358" s="184"/>
      <c r="E3358" s="184"/>
      <c r="F3358" s="184"/>
      <c r="I3358" s="186"/>
      <c r="J3358" s="184"/>
    </row>
    <row r="3359" spans="2:10">
      <c r="B3359" s="184"/>
      <c r="C3359" s="184"/>
      <c r="D3359" s="184"/>
      <c r="E3359" s="184"/>
      <c r="F3359" s="184"/>
      <c r="I3359" s="186"/>
      <c r="J3359" s="184"/>
    </row>
    <row r="3360" spans="2:10">
      <c r="B3360" s="184"/>
      <c r="C3360" s="184"/>
      <c r="D3360" s="184"/>
      <c r="E3360" s="184"/>
      <c r="F3360" s="184"/>
      <c r="I3360" s="186"/>
      <c r="J3360" s="184"/>
    </row>
    <row r="3361" spans="2:10">
      <c r="B3361" s="184"/>
      <c r="C3361" s="184"/>
      <c r="D3361" s="184"/>
      <c r="E3361" s="184"/>
      <c r="F3361" s="184"/>
      <c r="I3361" s="186"/>
      <c r="J3361" s="184"/>
    </row>
    <row r="3362" spans="2:10">
      <c r="B3362" s="184"/>
      <c r="C3362" s="184"/>
      <c r="D3362" s="184"/>
      <c r="E3362" s="184"/>
      <c r="F3362" s="184"/>
      <c r="I3362" s="186"/>
      <c r="J3362" s="184"/>
    </row>
    <row r="3363" spans="2:10">
      <c r="B3363" s="184"/>
      <c r="C3363" s="184"/>
      <c r="D3363" s="184"/>
      <c r="E3363" s="184"/>
      <c r="F3363" s="184"/>
      <c r="G3363" s="187"/>
      <c r="I3363" s="186"/>
      <c r="J3363" s="184"/>
    </row>
    <row r="3364" spans="2:10">
      <c r="B3364" s="184"/>
      <c r="C3364" s="184"/>
      <c r="D3364" s="184"/>
      <c r="E3364" s="184"/>
      <c r="F3364" s="184"/>
      <c r="I3364" s="186"/>
      <c r="J3364" s="184"/>
    </row>
    <row r="3365" spans="2:10">
      <c r="B3365" s="184"/>
      <c r="C3365" s="184"/>
      <c r="D3365" s="184"/>
      <c r="E3365" s="184"/>
      <c r="F3365" s="184"/>
      <c r="G3365" s="187"/>
      <c r="I3365" s="186"/>
      <c r="J3365" s="184"/>
    </row>
    <row r="3366" spans="2:10">
      <c r="B3366" s="184"/>
      <c r="C3366" s="184"/>
      <c r="D3366" s="184"/>
      <c r="E3366" s="184"/>
      <c r="F3366" s="184"/>
      <c r="I3366" s="186"/>
      <c r="J3366" s="184"/>
    </row>
    <row r="3367" spans="2:10">
      <c r="B3367" s="184"/>
      <c r="C3367" s="184"/>
      <c r="D3367" s="184"/>
      <c r="E3367" s="184"/>
      <c r="F3367" s="184"/>
      <c r="G3367" s="187"/>
      <c r="I3367" s="186"/>
      <c r="J3367" s="184"/>
    </row>
    <row r="3368" spans="2:10">
      <c r="B3368" s="184"/>
      <c r="C3368" s="184"/>
      <c r="D3368" s="184"/>
      <c r="E3368" s="184"/>
      <c r="F3368" s="184"/>
      <c r="I3368" s="186"/>
      <c r="J3368" s="184"/>
    </row>
    <row r="3369" spans="2:10">
      <c r="B3369" s="184"/>
      <c r="C3369" s="184"/>
      <c r="D3369" s="184"/>
      <c r="E3369" s="184"/>
      <c r="F3369" s="184"/>
      <c r="I3369" s="186"/>
      <c r="J3369" s="184"/>
    </row>
    <row r="3370" spans="2:10">
      <c r="B3370" s="184"/>
      <c r="C3370" s="184"/>
      <c r="D3370" s="184"/>
      <c r="E3370" s="184"/>
      <c r="F3370" s="184"/>
      <c r="I3370" s="186"/>
      <c r="J3370" s="184"/>
    </row>
    <row r="3371" spans="2:10">
      <c r="B3371" s="184"/>
      <c r="C3371" s="184"/>
      <c r="D3371" s="184"/>
      <c r="E3371" s="184"/>
      <c r="F3371" s="184"/>
      <c r="I3371" s="186"/>
      <c r="J3371" s="184"/>
    </row>
    <row r="3372" spans="2:10">
      <c r="B3372" s="184"/>
      <c r="C3372" s="184"/>
      <c r="D3372" s="184"/>
      <c r="E3372" s="184"/>
      <c r="F3372" s="184"/>
      <c r="I3372" s="186"/>
      <c r="J3372" s="184"/>
    </row>
    <row r="3373" spans="2:10">
      <c r="B3373" s="184"/>
      <c r="C3373" s="184"/>
      <c r="D3373" s="184"/>
      <c r="E3373" s="184"/>
      <c r="F3373" s="184"/>
      <c r="I3373" s="186"/>
      <c r="J3373" s="184"/>
    </row>
    <row r="3374" spans="2:10">
      <c r="B3374" s="184"/>
      <c r="C3374" s="184"/>
      <c r="D3374" s="184"/>
      <c r="E3374" s="184"/>
      <c r="F3374" s="184"/>
      <c r="I3374" s="186"/>
      <c r="J3374" s="184"/>
    </row>
    <row r="3375" spans="2:10">
      <c r="B3375" s="184"/>
      <c r="C3375" s="184"/>
      <c r="D3375" s="184"/>
      <c r="E3375" s="184"/>
      <c r="F3375" s="184"/>
      <c r="I3375" s="186"/>
      <c r="J3375" s="184"/>
    </row>
    <row r="3376" spans="2:10">
      <c r="B3376" s="184"/>
      <c r="C3376" s="184"/>
      <c r="D3376" s="184"/>
      <c r="E3376" s="184"/>
      <c r="F3376" s="184"/>
      <c r="G3376" s="187"/>
      <c r="I3376" s="186"/>
      <c r="J3376" s="184"/>
    </row>
    <row r="3377" spans="2:10">
      <c r="B3377" s="184"/>
      <c r="C3377" s="184"/>
      <c r="D3377" s="184"/>
      <c r="E3377" s="184"/>
      <c r="F3377" s="184"/>
      <c r="G3377" s="187"/>
      <c r="I3377" s="186"/>
      <c r="J3377" s="184"/>
    </row>
    <row r="3378" spans="2:10">
      <c r="B3378" s="184"/>
      <c r="C3378" s="184"/>
      <c r="D3378" s="184"/>
      <c r="E3378" s="184"/>
      <c r="F3378" s="184"/>
      <c r="I3378" s="186"/>
      <c r="J3378" s="184"/>
    </row>
    <row r="3379" spans="2:10">
      <c r="B3379" s="184"/>
      <c r="C3379" s="184"/>
      <c r="D3379" s="184"/>
      <c r="E3379" s="184"/>
      <c r="F3379" s="184"/>
      <c r="I3379" s="186"/>
      <c r="J3379" s="184"/>
    </row>
    <row r="3380" spans="2:10">
      <c r="B3380" s="184"/>
      <c r="C3380" s="184"/>
      <c r="D3380" s="184"/>
      <c r="E3380" s="184"/>
      <c r="F3380" s="184"/>
      <c r="I3380" s="186"/>
      <c r="J3380" s="184"/>
    </row>
    <row r="3381" spans="2:10">
      <c r="B3381" s="184"/>
      <c r="C3381" s="184"/>
      <c r="D3381" s="184"/>
      <c r="E3381" s="184"/>
      <c r="F3381" s="184"/>
      <c r="I3381" s="186"/>
      <c r="J3381" s="184"/>
    </row>
    <row r="3382" spans="2:10">
      <c r="B3382" s="184"/>
      <c r="C3382" s="184"/>
      <c r="D3382" s="184"/>
      <c r="E3382" s="184"/>
      <c r="F3382" s="184"/>
      <c r="I3382" s="186"/>
      <c r="J3382" s="184"/>
    </row>
    <row r="3383" spans="2:10">
      <c r="B3383" s="184"/>
      <c r="C3383" s="184"/>
      <c r="D3383" s="184"/>
      <c r="E3383" s="184"/>
      <c r="F3383" s="184"/>
      <c r="I3383" s="186"/>
      <c r="J3383" s="184"/>
    </row>
    <row r="3384" spans="2:10">
      <c r="B3384" s="184"/>
      <c r="C3384" s="184"/>
      <c r="D3384" s="184"/>
      <c r="E3384" s="184"/>
      <c r="F3384" s="184"/>
      <c r="I3384" s="186"/>
      <c r="J3384" s="184"/>
    </row>
    <row r="3385" spans="2:10">
      <c r="B3385" s="184"/>
      <c r="C3385" s="184"/>
      <c r="D3385" s="184"/>
      <c r="E3385" s="184"/>
      <c r="F3385" s="184"/>
      <c r="I3385" s="186"/>
      <c r="J3385" s="184"/>
    </row>
    <row r="3386" spans="2:10">
      <c r="B3386" s="184"/>
      <c r="C3386" s="184"/>
      <c r="D3386" s="184"/>
      <c r="E3386" s="184"/>
      <c r="F3386" s="184"/>
      <c r="G3386" s="187"/>
      <c r="I3386" s="186"/>
      <c r="J3386" s="184"/>
    </row>
    <row r="3387" spans="2:10">
      <c r="B3387" s="184"/>
      <c r="C3387" s="184"/>
      <c r="D3387" s="184"/>
      <c r="E3387" s="184"/>
      <c r="F3387" s="184"/>
      <c r="I3387" s="186"/>
      <c r="J3387" s="184"/>
    </row>
    <row r="3388" spans="2:10">
      <c r="B3388" s="184"/>
      <c r="C3388" s="184"/>
      <c r="D3388" s="184"/>
      <c r="E3388" s="184"/>
      <c r="F3388" s="184"/>
      <c r="I3388" s="186"/>
      <c r="J3388" s="184"/>
    </row>
    <row r="3389" spans="2:10">
      <c r="B3389" s="184"/>
      <c r="C3389" s="184"/>
      <c r="D3389" s="184"/>
      <c r="E3389" s="184"/>
      <c r="F3389" s="184"/>
      <c r="I3389" s="186"/>
      <c r="J3389" s="184"/>
    </row>
    <row r="3390" spans="2:10">
      <c r="B3390" s="184"/>
      <c r="C3390" s="184"/>
      <c r="D3390" s="184"/>
      <c r="E3390" s="184"/>
      <c r="F3390" s="184"/>
      <c r="I3390" s="186"/>
      <c r="J3390" s="184"/>
    </row>
    <row r="3391" spans="2:10">
      <c r="B3391" s="184"/>
      <c r="C3391" s="184"/>
      <c r="D3391" s="184"/>
      <c r="E3391" s="184"/>
      <c r="F3391" s="184"/>
      <c r="I3391" s="186"/>
      <c r="J3391" s="184"/>
    </row>
    <row r="3392" spans="2:10">
      <c r="B3392" s="184"/>
      <c r="C3392" s="184"/>
      <c r="D3392" s="184"/>
      <c r="E3392" s="184"/>
      <c r="F3392" s="184"/>
      <c r="I3392" s="186"/>
      <c r="J3392" s="184"/>
    </row>
    <row r="3393" spans="2:10">
      <c r="B3393" s="184"/>
      <c r="C3393" s="184"/>
      <c r="D3393" s="184"/>
      <c r="E3393" s="184"/>
      <c r="F3393" s="184"/>
      <c r="I3393" s="186"/>
      <c r="J3393" s="184"/>
    </row>
    <row r="3394" spans="2:10">
      <c r="B3394" s="184"/>
      <c r="C3394" s="184"/>
      <c r="D3394" s="184"/>
      <c r="E3394" s="184"/>
      <c r="F3394" s="184"/>
      <c r="I3394" s="186"/>
      <c r="J3394" s="184"/>
    </row>
    <row r="3395" spans="2:10">
      <c r="B3395" s="184"/>
      <c r="C3395" s="184"/>
      <c r="D3395" s="184"/>
      <c r="E3395" s="184"/>
      <c r="F3395" s="184"/>
      <c r="I3395" s="186"/>
      <c r="J3395" s="184"/>
    </row>
    <row r="3396" spans="2:10">
      <c r="B3396" s="184"/>
      <c r="C3396" s="184"/>
      <c r="D3396" s="184"/>
      <c r="E3396" s="184"/>
      <c r="F3396" s="184"/>
      <c r="I3396" s="186"/>
      <c r="J3396" s="184"/>
    </row>
    <row r="3397" spans="2:10">
      <c r="B3397" s="184"/>
      <c r="C3397" s="184"/>
      <c r="D3397" s="184"/>
      <c r="E3397" s="184"/>
      <c r="F3397" s="184"/>
      <c r="I3397" s="186"/>
      <c r="J3397" s="184"/>
    </row>
    <row r="3398" spans="2:10">
      <c r="B3398" s="184"/>
      <c r="C3398" s="184"/>
      <c r="D3398" s="184"/>
      <c r="E3398" s="184"/>
      <c r="F3398" s="184"/>
      <c r="I3398" s="186"/>
      <c r="J3398" s="184"/>
    </row>
    <row r="3399" spans="2:10">
      <c r="B3399" s="184"/>
      <c r="C3399" s="184"/>
      <c r="D3399" s="184"/>
      <c r="E3399" s="184"/>
      <c r="F3399" s="184"/>
      <c r="I3399" s="186"/>
      <c r="J3399" s="184"/>
    </row>
    <row r="3400" spans="2:10">
      <c r="B3400" s="184"/>
      <c r="C3400" s="184"/>
      <c r="D3400" s="184"/>
      <c r="E3400" s="184"/>
      <c r="F3400" s="184"/>
      <c r="I3400" s="186"/>
      <c r="J3400" s="184"/>
    </row>
    <row r="3401" spans="2:10">
      <c r="B3401" s="184"/>
      <c r="C3401" s="184"/>
      <c r="D3401" s="184"/>
      <c r="E3401" s="184"/>
      <c r="F3401" s="184"/>
      <c r="I3401" s="186"/>
      <c r="J3401" s="184"/>
    </row>
    <row r="3402" spans="2:10">
      <c r="B3402" s="184"/>
      <c r="C3402" s="184"/>
      <c r="D3402" s="184"/>
      <c r="E3402" s="184"/>
      <c r="F3402" s="184"/>
      <c r="I3402" s="186"/>
      <c r="J3402" s="184"/>
    </row>
    <row r="3403" spans="2:10">
      <c r="B3403" s="184"/>
      <c r="C3403" s="184"/>
      <c r="D3403" s="184"/>
      <c r="E3403" s="184"/>
      <c r="F3403" s="184"/>
      <c r="I3403" s="186"/>
      <c r="J3403" s="184"/>
    </row>
    <row r="3404" spans="2:10">
      <c r="B3404" s="184"/>
      <c r="C3404" s="184"/>
      <c r="D3404" s="184"/>
      <c r="E3404" s="184"/>
      <c r="F3404" s="184"/>
      <c r="I3404" s="186"/>
      <c r="J3404" s="184"/>
    </row>
    <row r="3405" spans="2:10">
      <c r="B3405" s="184"/>
      <c r="C3405" s="184"/>
      <c r="D3405" s="184"/>
      <c r="E3405" s="184"/>
      <c r="F3405" s="184"/>
      <c r="I3405" s="186"/>
      <c r="J3405" s="184"/>
    </row>
    <row r="3406" spans="2:10">
      <c r="B3406" s="184"/>
      <c r="C3406" s="184"/>
      <c r="D3406" s="184"/>
      <c r="E3406" s="184"/>
      <c r="F3406" s="184"/>
      <c r="I3406" s="186"/>
      <c r="J3406" s="184"/>
    </row>
    <row r="3407" spans="2:10">
      <c r="B3407" s="184"/>
      <c r="C3407" s="184"/>
      <c r="D3407" s="184"/>
      <c r="E3407" s="184"/>
      <c r="F3407" s="184"/>
      <c r="I3407" s="186"/>
      <c r="J3407" s="184"/>
    </row>
    <row r="3408" spans="2:10">
      <c r="B3408" s="184"/>
      <c r="C3408" s="184"/>
      <c r="D3408" s="184"/>
      <c r="E3408" s="184"/>
      <c r="F3408" s="184"/>
      <c r="I3408" s="186"/>
      <c r="J3408" s="184"/>
    </row>
    <row r="3409" spans="2:10">
      <c r="B3409" s="184"/>
      <c r="C3409" s="184"/>
      <c r="D3409" s="184"/>
      <c r="E3409" s="184"/>
      <c r="F3409" s="184"/>
      <c r="I3409" s="186"/>
      <c r="J3409" s="184"/>
    </row>
    <row r="3410" spans="2:10">
      <c r="B3410" s="184"/>
      <c r="C3410" s="184"/>
      <c r="D3410" s="184"/>
      <c r="E3410" s="184"/>
      <c r="F3410" s="184"/>
      <c r="I3410" s="186"/>
      <c r="J3410" s="184"/>
    </row>
    <row r="3411" spans="2:10">
      <c r="B3411" s="184"/>
      <c r="C3411" s="184"/>
      <c r="D3411" s="184"/>
      <c r="E3411" s="184"/>
      <c r="F3411" s="184"/>
      <c r="I3411" s="186"/>
      <c r="J3411" s="184"/>
    </row>
    <row r="3412" spans="2:10">
      <c r="B3412" s="184"/>
      <c r="C3412" s="184"/>
      <c r="D3412" s="184"/>
      <c r="E3412" s="184"/>
      <c r="F3412" s="184"/>
      <c r="I3412" s="186"/>
      <c r="J3412" s="184"/>
    </row>
    <row r="3413" spans="2:10">
      <c r="B3413" s="184"/>
      <c r="C3413" s="184"/>
      <c r="D3413" s="184"/>
      <c r="E3413" s="184"/>
      <c r="F3413" s="184"/>
      <c r="I3413" s="186"/>
      <c r="J3413" s="184"/>
    </row>
    <row r="3414" spans="2:10">
      <c r="B3414" s="184"/>
      <c r="C3414" s="184"/>
      <c r="D3414" s="184"/>
      <c r="E3414" s="184"/>
      <c r="F3414" s="184"/>
      <c r="I3414" s="186"/>
      <c r="J3414" s="184"/>
    </row>
    <row r="3415" spans="2:10">
      <c r="B3415" s="184"/>
      <c r="C3415" s="184"/>
      <c r="D3415" s="184"/>
      <c r="E3415" s="184"/>
      <c r="F3415" s="184"/>
      <c r="I3415" s="186"/>
      <c r="J3415" s="184"/>
    </row>
    <row r="3416" spans="2:10">
      <c r="B3416" s="184"/>
      <c r="C3416" s="184"/>
      <c r="D3416" s="184"/>
      <c r="E3416" s="184"/>
      <c r="F3416" s="184"/>
      <c r="I3416" s="186"/>
      <c r="J3416" s="184"/>
    </row>
    <row r="3417" spans="2:10">
      <c r="B3417" s="184"/>
      <c r="C3417" s="184"/>
      <c r="D3417" s="184"/>
      <c r="E3417" s="184"/>
      <c r="F3417" s="184"/>
      <c r="I3417" s="186"/>
      <c r="J3417" s="184"/>
    </row>
    <row r="3418" spans="2:10">
      <c r="B3418" s="184"/>
      <c r="C3418" s="184"/>
      <c r="D3418" s="184"/>
      <c r="E3418" s="184"/>
      <c r="F3418" s="184"/>
      <c r="I3418" s="186"/>
      <c r="J3418" s="184"/>
    </row>
    <row r="3419" spans="2:10">
      <c r="B3419" s="184"/>
      <c r="C3419" s="184"/>
      <c r="D3419" s="184"/>
      <c r="E3419" s="184"/>
      <c r="F3419" s="184"/>
      <c r="I3419" s="186"/>
      <c r="J3419" s="184"/>
    </row>
    <row r="3420" spans="2:10">
      <c r="B3420" s="184"/>
      <c r="C3420" s="184"/>
      <c r="D3420" s="184"/>
      <c r="E3420" s="184"/>
      <c r="F3420" s="184"/>
      <c r="I3420" s="186"/>
      <c r="J3420" s="184"/>
    </row>
    <row r="3421" spans="2:10">
      <c r="B3421" s="184"/>
      <c r="C3421" s="184"/>
      <c r="D3421" s="184"/>
      <c r="E3421" s="184"/>
      <c r="F3421" s="184"/>
      <c r="I3421" s="186"/>
      <c r="J3421" s="184"/>
    </row>
    <row r="3422" spans="2:10">
      <c r="B3422" s="184"/>
      <c r="C3422" s="184"/>
      <c r="D3422" s="184"/>
      <c r="E3422" s="184"/>
      <c r="F3422" s="184"/>
      <c r="I3422" s="186"/>
      <c r="J3422" s="184"/>
    </row>
    <row r="3423" spans="2:10">
      <c r="B3423" s="184"/>
      <c r="C3423" s="184"/>
      <c r="D3423" s="184"/>
      <c r="E3423" s="184"/>
      <c r="F3423" s="184"/>
      <c r="I3423" s="186"/>
      <c r="J3423" s="184"/>
    </row>
    <row r="3424" spans="2:10">
      <c r="B3424" s="184"/>
      <c r="C3424" s="184"/>
      <c r="D3424" s="184"/>
      <c r="E3424" s="184"/>
      <c r="F3424" s="184"/>
      <c r="I3424" s="186"/>
      <c r="J3424" s="184"/>
    </row>
    <row r="3425" spans="2:10">
      <c r="B3425" s="184"/>
      <c r="C3425" s="184"/>
      <c r="D3425" s="184"/>
      <c r="E3425" s="184"/>
      <c r="F3425" s="184"/>
      <c r="I3425" s="186"/>
      <c r="J3425" s="184"/>
    </row>
    <row r="3426" spans="2:10">
      <c r="B3426" s="184"/>
      <c r="C3426" s="184"/>
      <c r="D3426" s="184"/>
      <c r="E3426" s="184"/>
      <c r="F3426" s="184"/>
      <c r="I3426" s="186"/>
      <c r="J3426" s="184"/>
    </row>
    <row r="3427" spans="2:10">
      <c r="B3427" s="184"/>
      <c r="C3427" s="184"/>
      <c r="D3427" s="184"/>
      <c r="E3427" s="184"/>
      <c r="F3427" s="184"/>
      <c r="I3427" s="186"/>
      <c r="J3427" s="184"/>
    </row>
    <row r="3428" spans="2:10">
      <c r="B3428" s="184"/>
      <c r="C3428" s="184"/>
      <c r="D3428" s="184"/>
      <c r="E3428" s="184"/>
      <c r="F3428" s="184"/>
      <c r="I3428" s="186"/>
      <c r="J3428" s="184"/>
    </row>
    <row r="3429" spans="2:10">
      <c r="B3429" s="184"/>
      <c r="C3429" s="184"/>
      <c r="D3429" s="184"/>
      <c r="E3429" s="184"/>
      <c r="F3429" s="184"/>
      <c r="I3429" s="186"/>
      <c r="J3429" s="184"/>
    </row>
    <row r="3430" spans="2:10">
      <c r="B3430" s="184"/>
      <c r="C3430" s="184"/>
      <c r="D3430" s="184"/>
      <c r="E3430" s="184"/>
      <c r="F3430" s="184"/>
      <c r="I3430" s="186"/>
      <c r="J3430" s="184"/>
    </row>
    <row r="3431" spans="2:10">
      <c r="B3431" s="184"/>
      <c r="C3431" s="184"/>
      <c r="D3431" s="184"/>
      <c r="E3431" s="184"/>
      <c r="F3431" s="184"/>
      <c r="I3431" s="186"/>
      <c r="J3431" s="184"/>
    </row>
    <row r="3432" spans="2:10">
      <c r="B3432" s="184"/>
      <c r="C3432" s="184"/>
      <c r="D3432" s="184"/>
      <c r="E3432" s="184"/>
      <c r="F3432" s="184"/>
      <c r="I3432" s="186"/>
      <c r="J3432" s="184"/>
    </row>
    <row r="3433" spans="2:10">
      <c r="B3433" s="184"/>
      <c r="C3433" s="184"/>
      <c r="D3433" s="184"/>
      <c r="E3433" s="184"/>
      <c r="F3433" s="184"/>
      <c r="I3433" s="186"/>
      <c r="J3433" s="184"/>
    </row>
    <row r="3434" spans="2:10">
      <c r="B3434" s="184"/>
      <c r="C3434" s="184"/>
      <c r="D3434" s="184"/>
      <c r="E3434" s="184"/>
      <c r="F3434" s="184"/>
      <c r="I3434" s="186"/>
      <c r="J3434" s="184"/>
    </row>
    <row r="3435" spans="2:10">
      <c r="B3435" s="184"/>
      <c r="C3435" s="184"/>
      <c r="D3435" s="184"/>
      <c r="E3435" s="184"/>
      <c r="F3435" s="184"/>
      <c r="I3435" s="186"/>
      <c r="J3435" s="184"/>
    </row>
    <row r="3436" spans="2:10">
      <c r="B3436" s="184"/>
      <c r="C3436" s="184"/>
      <c r="D3436" s="184"/>
      <c r="E3436" s="184"/>
      <c r="F3436" s="184"/>
      <c r="I3436" s="186"/>
      <c r="J3436" s="184"/>
    </row>
    <row r="3437" spans="2:10">
      <c r="B3437" s="184"/>
      <c r="C3437" s="184"/>
      <c r="D3437" s="184"/>
      <c r="E3437" s="184"/>
      <c r="F3437" s="184"/>
      <c r="I3437" s="186"/>
      <c r="J3437" s="184"/>
    </row>
    <row r="3438" spans="2:10">
      <c r="B3438" s="184"/>
      <c r="C3438" s="184"/>
      <c r="D3438" s="184"/>
      <c r="E3438" s="184"/>
      <c r="F3438" s="184"/>
      <c r="I3438" s="186"/>
      <c r="J3438" s="184"/>
    </row>
    <row r="3439" spans="2:10">
      <c r="B3439" s="184"/>
      <c r="C3439" s="184"/>
      <c r="D3439" s="184"/>
      <c r="E3439" s="184"/>
      <c r="F3439" s="184"/>
      <c r="I3439" s="186"/>
      <c r="J3439" s="184"/>
    </row>
    <row r="3440" spans="2:10">
      <c r="B3440" s="184"/>
      <c r="C3440" s="184"/>
      <c r="D3440" s="184"/>
      <c r="E3440" s="184"/>
      <c r="F3440" s="184"/>
      <c r="I3440" s="186"/>
      <c r="J3440" s="184"/>
    </row>
    <row r="3441" spans="2:10">
      <c r="B3441" s="184"/>
      <c r="C3441" s="184"/>
      <c r="D3441" s="184"/>
      <c r="E3441" s="184"/>
      <c r="F3441" s="184"/>
      <c r="I3441" s="186"/>
      <c r="J3441" s="184"/>
    </row>
    <row r="3442" spans="2:10">
      <c r="B3442" s="184"/>
      <c r="C3442" s="184"/>
      <c r="D3442" s="184"/>
      <c r="E3442" s="184"/>
      <c r="F3442" s="184"/>
      <c r="I3442" s="186"/>
      <c r="J3442" s="184"/>
    </row>
    <row r="3443" spans="2:10">
      <c r="B3443" s="184"/>
      <c r="C3443" s="184"/>
      <c r="D3443" s="184"/>
      <c r="E3443" s="184"/>
      <c r="F3443" s="184"/>
      <c r="I3443" s="186"/>
      <c r="J3443" s="184"/>
    </row>
    <row r="3444" spans="2:10">
      <c r="B3444" s="184"/>
      <c r="C3444" s="184"/>
      <c r="D3444" s="184"/>
      <c r="E3444" s="184"/>
      <c r="F3444" s="184"/>
      <c r="I3444" s="186"/>
      <c r="J3444" s="184"/>
    </row>
    <row r="3445" spans="2:10">
      <c r="B3445" s="184"/>
      <c r="C3445" s="184"/>
      <c r="D3445" s="184"/>
      <c r="E3445" s="184"/>
      <c r="F3445" s="184"/>
      <c r="I3445" s="186"/>
      <c r="J3445" s="184"/>
    </row>
    <row r="3446" spans="2:10">
      <c r="B3446" s="184"/>
      <c r="C3446" s="184"/>
      <c r="D3446" s="184"/>
      <c r="E3446" s="184"/>
      <c r="F3446" s="184"/>
      <c r="I3446" s="186"/>
      <c r="J3446" s="184"/>
    </row>
    <row r="3447" spans="2:10">
      <c r="B3447" s="184"/>
      <c r="C3447" s="184"/>
      <c r="D3447" s="184"/>
      <c r="E3447" s="184"/>
      <c r="F3447" s="184"/>
      <c r="I3447" s="186"/>
      <c r="J3447" s="184"/>
    </row>
    <row r="3448" spans="2:10">
      <c r="B3448" s="184"/>
      <c r="C3448" s="184"/>
      <c r="D3448" s="184"/>
      <c r="E3448" s="184"/>
      <c r="F3448" s="184"/>
      <c r="I3448" s="186"/>
      <c r="J3448" s="184"/>
    </row>
    <row r="3449" spans="2:10">
      <c r="B3449" s="184"/>
      <c r="C3449" s="184"/>
      <c r="D3449" s="184"/>
      <c r="E3449" s="184"/>
      <c r="F3449" s="184"/>
      <c r="I3449" s="186"/>
      <c r="J3449" s="184"/>
    </row>
    <row r="3450" spans="2:10">
      <c r="B3450" s="184"/>
      <c r="C3450" s="184"/>
      <c r="D3450" s="184"/>
      <c r="E3450" s="184"/>
      <c r="F3450" s="184"/>
      <c r="I3450" s="186"/>
      <c r="J3450" s="184"/>
    </row>
    <row r="3451" spans="2:10">
      <c r="B3451" s="184"/>
      <c r="C3451" s="184"/>
      <c r="D3451" s="184"/>
      <c r="E3451" s="184"/>
      <c r="F3451" s="184"/>
      <c r="I3451" s="186"/>
      <c r="J3451" s="184"/>
    </row>
    <row r="3452" spans="2:10">
      <c r="B3452" s="184"/>
      <c r="C3452" s="184"/>
      <c r="D3452" s="184"/>
      <c r="E3452" s="184"/>
      <c r="F3452" s="184"/>
      <c r="I3452" s="186"/>
      <c r="J3452" s="184"/>
    </row>
    <row r="3453" spans="2:10">
      <c r="B3453" s="184"/>
      <c r="C3453" s="184"/>
      <c r="D3453" s="184"/>
      <c r="E3453" s="184"/>
      <c r="F3453" s="184"/>
      <c r="I3453" s="186"/>
      <c r="J3453" s="184"/>
    </row>
    <row r="3454" spans="2:10">
      <c r="B3454" s="184"/>
      <c r="C3454" s="184"/>
      <c r="D3454" s="184"/>
      <c r="E3454" s="184"/>
      <c r="F3454" s="184"/>
      <c r="I3454" s="186"/>
      <c r="J3454" s="184"/>
    </row>
    <row r="3455" spans="2:10">
      <c r="B3455" s="184"/>
      <c r="C3455" s="184"/>
      <c r="D3455" s="184"/>
      <c r="E3455" s="184"/>
      <c r="F3455" s="184"/>
      <c r="G3455" s="187"/>
      <c r="I3455" s="186"/>
      <c r="J3455" s="184"/>
    </row>
    <row r="3456" spans="2:10">
      <c r="B3456" s="184"/>
      <c r="C3456" s="184"/>
      <c r="D3456" s="184"/>
      <c r="E3456" s="184"/>
      <c r="F3456" s="184"/>
      <c r="I3456" s="186"/>
      <c r="J3456" s="184"/>
    </row>
    <row r="3457" spans="2:10">
      <c r="B3457" s="184"/>
      <c r="C3457" s="184"/>
      <c r="D3457" s="184"/>
      <c r="E3457" s="184"/>
      <c r="F3457" s="184"/>
      <c r="I3457" s="186"/>
      <c r="J3457" s="184"/>
    </row>
    <row r="3458" spans="2:10">
      <c r="B3458" s="184"/>
      <c r="C3458" s="184"/>
      <c r="D3458" s="184"/>
      <c r="E3458" s="184"/>
      <c r="F3458" s="184"/>
      <c r="I3458" s="186"/>
      <c r="J3458" s="184"/>
    </row>
    <row r="3459" spans="2:10">
      <c r="B3459" s="184"/>
      <c r="C3459" s="184"/>
      <c r="D3459" s="184"/>
      <c r="E3459" s="184"/>
      <c r="F3459" s="184"/>
      <c r="I3459" s="186"/>
      <c r="J3459" s="184"/>
    </row>
    <row r="3460" spans="2:10">
      <c r="B3460" s="184"/>
      <c r="C3460" s="184"/>
      <c r="D3460" s="184"/>
      <c r="E3460" s="184"/>
      <c r="F3460" s="184"/>
      <c r="I3460" s="186"/>
      <c r="J3460" s="184"/>
    </row>
    <row r="3461" spans="2:10">
      <c r="B3461" s="184"/>
      <c r="C3461" s="184"/>
      <c r="D3461" s="184"/>
      <c r="E3461" s="184"/>
      <c r="F3461" s="184"/>
      <c r="I3461" s="186"/>
      <c r="J3461" s="184"/>
    </row>
    <row r="3462" spans="2:10">
      <c r="B3462" s="184"/>
      <c r="C3462" s="184"/>
      <c r="D3462" s="184"/>
      <c r="E3462" s="184"/>
      <c r="F3462" s="184"/>
      <c r="I3462" s="186"/>
      <c r="J3462" s="184"/>
    </row>
    <row r="3463" spans="2:10">
      <c r="B3463" s="184"/>
      <c r="C3463" s="184"/>
      <c r="D3463" s="184"/>
      <c r="E3463" s="184"/>
      <c r="F3463" s="184"/>
      <c r="I3463" s="186"/>
      <c r="J3463" s="184"/>
    </row>
    <row r="3464" spans="2:10">
      <c r="B3464" s="184"/>
      <c r="C3464" s="184"/>
      <c r="D3464" s="184"/>
      <c r="E3464" s="184"/>
      <c r="F3464" s="184"/>
      <c r="I3464" s="186"/>
      <c r="J3464" s="184"/>
    </row>
    <row r="3465" spans="2:10">
      <c r="B3465" s="184"/>
      <c r="C3465" s="184"/>
      <c r="D3465" s="184"/>
      <c r="E3465" s="184"/>
      <c r="F3465" s="184"/>
      <c r="I3465" s="186"/>
      <c r="J3465" s="184"/>
    </row>
    <row r="3466" spans="2:10">
      <c r="B3466" s="184"/>
      <c r="C3466" s="184"/>
      <c r="D3466" s="184"/>
      <c r="E3466" s="184"/>
      <c r="F3466" s="184"/>
      <c r="I3466" s="186"/>
      <c r="J3466" s="184"/>
    </row>
    <row r="3467" spans="2:10">
      <c r="B3467" s="184"/>
      <c r="C3467" s="184"/>
      <c r="D3467" s="184"/>
      <c r="E3467" s="184"/>
      <c r="F3467" s="184"/>
      <c r="I3467" s="186"/>
      <c r="J3467" s="184"/>
    </row>
    <row r="3468" spans="2:10">
      <c r="B3468" s="184"/>
      <c r="C3468" s="184"/>
      <c r="D3468" s="184"/>
      <c r="E3468" s="184"/>
      <c r="F3468" s="184"/>
      <c r="I3468" s="186"/>
      <c r="J3468" s="184"/>
    </row>
    <row r="3469" spans="2:10">
      <c r="B3469" s="184"/>
      <c r="C3469" s="184"/>
      <c r="D3469" s="184"/>
      <c r="E3469" s="184"/>
      <c r="F3469" s="184"/>
      <c r="I3469" s="186"/>
      <c r="J3469" s="184"/>
    </row>
    <row r="3470" spans="2:10">
      <c r="B3470" s="184"/>
      <c r="C3470" s="184"/>
      <c r="D3470" s="184"/>
      <c r="E3470" s="184"/>
      <c r="F3470" s="184"/>
      <c r="I3470" s="186"/>
      <c r="J3470" s="184"/>
    </row>
    <row r="3471" spans="2:10">
      <c r="B3471" s="184"/>
      <c r="C3471" s="184"/>
      <c r="D3471" s="184"/>
      <c r="E3471" s="184"/>
      <c r="F3471" s="184"/>
      <c r="I3471" s="186"/>
      <c r="J3471" s="184"/>
    </row>
    <row r="3472" spans="2:10">
      <c r="B3472" s="184"/>
      <c r="C3472" s="184"/>
      <c r="D3472" s="184"/>
      <c r="E3472" s="184"/>
      <c r="F3472" s="184"/>
      <c r="I3472" s="186"/>
      <c r="J3472" s="184"/>
    </row>
    <row r="3473" spans="2:10">
      <c r="B3473" s="184"/>
      <c r="C3473" s="184"/>
      <c r="D3473" s="184"/>
      <c r="E3473" s="184"/>
      <c r="F3473" s="184"/>
      <c r="I3473" s="186"/>
      <c r="J3473" s="184"/>
    </row>
    <row r="3474" spans="2:10">
      <c r="B3474" s="184"/>
      <c r="C3474" s="184"/>
      <c r="D3474" s="184"/>
      <c r="E3474" s="184"/>
      <c r="F3474" s="184"/>
      <c r="G3474" s="187"/>
      <c r="I3474" s="186"/>
      <c r="J3474" s="184"/>
    </row>
    <row r="3475" spans="2:10">
      <c r="B3475" s="184"/>
      <c r="C3475" s="184"/>
      <c r="D3475" s="184"/>
      <c r="E3475" s="184"/>
      <c r="F3475" s="184"/>
      <c r="I3475" s="186"/>
      <c r="J3475" s="184"/>
    </row>
    <row r="3476" spans="2:10">
      <c r="B3476" s="184"/>
      <c r="C3476" s="184"/>
      <c r="D3476" s="184"/>
      <c r="E3476" s="184"/>
      <c r="F3476" s="184"/>
      <c r="I3476" s="186"/>
      <c r="J3476" s="184"/>
    </row>
    <row r="3477" spans="2:10">
      <c r="B3477" s="184"/>
      <c r="C3477" s="184"/>
      <c r="D3477" s="184"/>
      <c r="E3477" s="184"/>
      <c r="F3477" s="184"/>
      <c r="I3477" s="186"/>
      <c r="J3477" s="184"/>
    </row>
    <row r="3478" spans="2:10">
      <c r="B3478" s="184"/>
      <c r="C3478" s="184"/>
      <c r="D3478" s="184"/>
      <c r="E3478" s="184"/>
      <c r="F3478" s="184"/>
      <c r="I3478" s="186"/>
      <c r="J3478" s="184"/>
    </row>
    <row r="3479" spans="2:10">
      <c r="B3479" s="184"/>
      <c r="C3479" s="184"/>
      <c r="D3479" s="184"/>
      <c r="E3479" s="184"/>
      <c r="F3479" s="184"/>
      <c r="I3479" s="186"/>
      <c r="J3479" s="184"/>
    </row>
    <row r="3480" spans="2:10">
      <c r="B3480" s="184"/>
      <c r="C3480" s="184"/>
      <c r="D3480" s="184"/>
      <c r="E3480" s="184"/>
      <c r="F3480" s="184"/>
      <c r="I3480" s="186"/>
      <c r="J3480" s="184"/>
    </row>
    <row r="3481" spans="2:10">
      <c r="B3481" s="184"/>
      <c r="C3481" s="184"/>
      <c r="D3481" s="184"/>
      <c r="E3481" s="184"/>
      <c r="F3481" s="184"/>
      <c r="I3481" s="186"/>
      <c r="J3481" s="184"/>
    </row>
    <row r="3482" spans="2:10">
      <c r="B3482" s="184"/>
      <c r="C3482" s="184"/>
      <c r="D3482" s="184"/>
      <c r="E3482" s="184"/>
      <c r="F3482" s="184"/>
      <c r="I3482" s="186"/>
      <c r="J3482" s="184"/>
    </row>
    <row r="3483" spans="2:10">
      <c r="B3483" s="184"/>
      <c r="C3483" s="184"/>
      <c r="D3483" s="184"/>
      <c r="E3483" s="184"/>
      <c r="F3483" s="184"/>
      <c r="I3483" s="186"/>
      <c r="J3483" s="184"/>
    </row>
    <row r="3484" spans="2:10">
      <c r="B3484" s="184"/>
      <c r="C3484" s="184"/>
      <c r="D3484" s="184"/>
      <c r="E3484" s="184"/>
      <c r="F3484" s="184"/>
      <c r="I3484" s="186"/>
      <c r="J3484" s="184"/>
    </row>
    <row r="3485" spans="2:10">
      <c r="B3485" s="184"/>
      <c r="C3485" s="184"/>
      <c r="D3485" s="184"/>
      <c r="E3485" s="184"/>
      <c r="F3485" s="184"/>
      <c r="I3485" s="186"/>
      <c r="J3485" s="184"/>
    </row>
    <row r="3486" spans="2:10">
      <c r="B3486" s="184"/>
      <c r="C3486" s="184"/>
      <c r="D3486" s="184"/>
      <c r="E3486" s="184"/>
      <c r="F3486" s="184"/>
      <c r="I3486" s="186"/>
      <c r="J3486" s="184"/>
    </row>
    <row r="3487" spans="2:10">
      <c r="B3487" s="184"/>
      <c r="C3487" s="184"/>
      <c r="D3487" s="184"/>
      <c r="E3487" s="184"/>
      <c r="F3487" s="184"/>
      <c r="I3487" s="186"/>
      <c r="J3487" s="184"/>
    </row>
    <row r="3488" spans="2:10">
      <c r="B3488" s="184"/>
      <c r="C3488" s="184"/>
      <c r="D3488" s="184"/>
      <c r="E3488" s="184"/>
      <c r="F3488" s="184"/>
      <c r="I3488" s="186"/>
      <c r="J3488" s="184"/>
    </row>
    <row r="3489" spans="2:10">
      <c r="B3489" s="184"/>
      <c r="C3489" s="184"/>
      <c r="D3489" s="184"/>
      <c r="E3489" s="184"/>
      <c r="F3489" s="184"/>
      <c r="I3489" s="186"/>
      <c r="J3489" s="184"/>
    </row>
    <row r="3490" spans="2:10">
      <c r="B3490" s="184"/>
      <c r="C3490" s="184"/>
      <c r="D3490" s="184"/>
      <c r="E3490" s="184"/>
      <c r="F3490" s="184"/>
      <c r="I3490" s="186"/>
      <c r="J3490" s="184"/>
    </row>
    <row r="3491" spans="2:10">
      <c r="B3491" s="184"/>
      <c r="C3491" s="184"/>
      <c r="D3491" s="184"/>
      <c r="E3491" s="184"/>
      <c r="F3491" s="184"/>
      <c r="I3491" s="186"/>
      <c r="J3491" s="184"/>
    </row>
    <row r="3492" spans="2:10">
      <c r="B3492" s="184"/>
      <c r="C3492" s="184"/>
      <c r="D3492" s="184"/>
      <c r="E3492" s="184"/>
      <c r="F3492" s="184"/>
      <c r="I3492" s="186"/>
      <c r="J3492" s="184"/>
    </row>
    <row r="3493" spans="2:10">
      <c r="B3493" s="184"/>
      <c r="C3493" s="184"/>
      <c r="D3493" s="184"/>
      <c r="E3493" s="184"/>
      <c r="F3493" s="184"/>
      <c r="I3493" s="186"/>
      <c r="J3493" s="184"/>
    </row>
    <row r="3494" spans="2:10">
      <c r="B3494" s="184"/>
      <c r="C3494" s="184"/>
      <c r="D3494" s="184"/>
      <c r="E3494" s="184"/>
      <c r="F3494" s="184"/>
      <c r="I3494" s="186"/>
      <c r="J3494" s="184"/>
    </row>
    <row r="3495" spans="2:10">
      <c r="B3495" s="184"/>
      <c r="C3495" s="184"/>
      <c r="D3495" s="184"/>
      <c r="E3495" s="184"/>
      <c r="F3495" s="184"/>
      <c r="I3495" s="186"/>
      <c r="J3495" s="184"/>
    </row>
    <row r="3496" spans="2:10">
      <c r="B3496" s="184"/>
      <c r="C3496" s="184"/>
      <c r="D3496" s="184"/>
      <c r="E3496" s="184"/>
      <c r="F3496" s="184"/>
      <c r="I3496" s="186"/>
      <c r="J3496" s="184"/>
    </row>
    <row r="3497" spans="2:10">
      <c r="B3497" s="184"/>
      <c r="C3497" s="184"/>
      <c r="D3497" s="184"/>
      <c r="E3497" s="184"/>
      <c r="F3497" s="184"/>
      <c r="I3497" s="186"/>
      <c r="J3497" s="184"/>
    </row>
    <row r="3498" spans="2:10">
      <c r="B3498" s="184"/>
      <c r="C3498" s="184"/>
      <c r="D3498" s="184"/>
      <c r="E3498" s="184"/>
      <c r="F3498" s="184"/>
      <c r="I3498" s="186"/>
      <c r="J3498" s="184"/>
    </row>
    <row r="3499" spans="2:10">
      <c r="B3499" s="184"/>
      <c r="C3499" s="184"/>
      <c r="D3499" s="184"/>
      <c r="E3499" s="184"/>
      <c r="F3499" s="184"/>
      <c r="I3499" s="186"/>
      <c r="J3499" s="184"/>
    </row>
    <row r="3500" spans="2:10">
      <c r="B3500" s="184"/>
      <c r="C3500" s="184"/>
      <c r="D3500" s="184"/>
      <c r="E3500" s="184"/>
      <c r="F3500" s="184"/>
      <c r="I3500" s="186"/>
      <c r="J3500" s="184"/>
    </row>
    <row r="3501" spans="2:10">
      <c r="B3501" s="184"/>
      <c r="C3501" s="184"/>
      <c r="D3501" s="184"/>
      <c r="E3501" s="184"/>
      <c r="F3501" s="184"/>
      <c r="I3501" s="186"/>
      <c r="J3501" s="184"/>
    </row>
    <row r="3502" spans="2:10">
      <c r="B3502" s="184"/>
      <c r="C3502" s="184"/>
      <c r="D3502" s="184"/>
      <c r="E3502" s="184"/>
      <c r="F3502" s="184"/>
      <c r="I3502" s="186"/>
      <c r="J3502" s="184"/>
    </row>
    <row r="3503" spans="2:10">
      <c r="B3503" s="184"/>
      <c r="C3503" s="184"/>
      <c r="D3503" s="184"/>
      <c r="E3503" s="184"/>
      <c r="F3503" s="184"/>
      <c r="I3503" s="186"/>
      <c r="J3503" s="184"/>
    </row>
    <row r="3504" spans="2:10">
      <c r="B3504" s="184"/>
      <c r="C3504" s="184"/>
      <c r="D3504" s="184"/>
      <c r="E3504" s="184"/>
      <c r="F3504" s="184"/>
      <c r="I3504" s="186"/>
      <c r="J3504" s="184"/>
    </row>
    <row r="3505" spans="2:10">
      <c r="B3505" s="184"/>
      <c r="C3505" s="184"/>
      <c r="D3505" s="184"/>
      <c r="E3505" s="184"/>
      <c r="F3505" s="184"/>
      <c r="I3505" s="186"/>
      <c r="J3505" s="184"/>
    </row>
    <row r="3506" spans="2:10">
      <c r="B3506" s="184"/>
      <c r="C3506" s="184"/>
      <c r="D3506" s="184"/>
      <c r="E3506" s="184"/>
      <c r="F3506" s="184"/>
      <c r="I3506" s="186"/>
      <c r="J3506" s="184"/>
    </row>
    <row r="3507" spans="2:10">
      <c r="B3507" s="184"/>
      <c r="C3507" s="184"/>
      <c r="D3507" s="184"/>
      <c r="E3507" s="184"/>
      <c r="F3507" s="184"/>
      <c r="I3507" s="186"/>
      <c r="J3507" s="184"/>
    </row>
    <row r="3508" spans="2:10">
      <c r="B3508" s="184"/>
      <c r="C3508" s="184"/>
      <c r="D3508" s="184"/>
      <c r="E3508" s="184"/>
      <c r="F3508" s="184"/>
      <c r="I3508" s="186"/>
      <c r="J3508" s="184"/>
    </row>
    <row r="3509" spans="2:10">
      <c r="B3509" s="184"/>
      <c r="C3509" s="184"/>
      <c r="D3509" s="184"/>
      <c r="E3509" s="184"/>
      <c r="F3509" s="184"/>
      <c r="I3509" s="186"/>
      <c r="J3509" s="184"/>
    </row>
    <row r="3510" spans="2:10">
      <c r="B3510" s="184"/>
      <c r="C3510" s="184"/>
      <c r="D3510" s="184"/>
      <c r="E3510" s="184"/>
      <c r="F3510" s="184"/>
      <c r="I3510" s="186"/>
      <c r="J3510" s="184"/>
    </row>
    <row r="3511" spans="2:10">
      <c r="B3511" s="184"/>
      <c r="C3511" s="184"/>
      <c r="D3511" s="184"/>
      <c r="E3511" s="184"/>
      <c r="F3511" s="184"/>
      <c r="I3511" s="186"/>
      <c r="J3511" s="184"/>
    </row>
    <row r="3512" spans="2:10">
      <c r="B3512" s="184"/>
      <c r="C3512" s="184"/>
      <c r="D3512" s="184"/>
      <c r="E3512" s="184"/>
      <c r="F3512" s="184"/>
      <c r="I3512" s="186"/>
      <c r="J3512" s="184"/>
    </row>
    <row r="3513" spans="2:10">
      <c r="B3513" s="184"/>
      <c r="C3513" s="184"/>
      <c r="D3513" s="184"/>
      <c r="E3513" s="184"/>
      <c r="F3513" s="184"/>
      <c r="I3513" s="186"/>
      <c r="J3513" s="184"/>
    </row>
    <row r="3514" spans="2:10">
      <c r="B3514" s="184"/>
      <c r="C3514" s="184"/>
      <c r="D3514" s="184"/>
      <c r="E3514" s="184"/>
      <c r="F3514" s="184"/>
      <c r="I3514" s="186"/>
      <c r="J3514" s="184"/>
    </row>
    <row r="3515" spans="2:10">
      <c r="B3515" s="184"/>
      <c r="C3515" s="184"/>
      <c r="D3515" s="184"/>
      <c r="E3515" s="184"/>
      <c r="F3515" s="184"/>
      <c r="I3515" s="186"/>
      <c r="J3515" s="184"/>
    </row>
    <row r="3516" spans="2:10">
      <c r="B3516" s="184"/>
      <c r="C3516" s="184"/>
      <c r="D3516" s="184"/>
      <c r="E3516" s="184"/>
      <c r="F3516" s="184"/>
      <c r="I3516" s="186"/>
      <c r="J3516" s="184"/>
    </row>
    <row r="3517" spans="2:10">
      <c r="B3517" s="184"/>
      <c r="C3517" s="184"/>
      <c r="D3517" s="184"/>
      <c r="E3517" s="184"/>
      <c r="F3517" s="184"/>
      <c r="I3517" s="186"/>
      <c r="J3517" s="184"/>
    </row>
    <row r="3518" spans="2:10">
      <c r="B3518" s="184"/>
      <c r="C3518" s="184"/>
      <c r="D3518" s="184"/>
      <c r="E3518" s="184"/>
      <c r="F3518" s="184"/>
      <c r="I3518" s="186"/>
      <c r="J3518" s="184"/>
    </row>
    <row r="3519" spans="2:10">
      <c r="B3519" s="184"/>
      <c r="C3519" s="184"/>
      <c r="D3519" s="184"/>
      <c r="E3519" s="184"/>
      <c r="F3519" s="184"/>
      <c r="I3519" s="186"/>
      <c r="J3519" s="184"/>
    </row>
    <row r="3520" spans="2:10">
      <c r="B3520" s="184"/>
      <c r="C3520" s="184"/>
      <c r="D3520" s="184"/>
      <c r="E3520" s="184"/>
      <c r="F3520" s="184"/>
      <c r="I3520" s="186"/>
      <c r="J3520" s="184"/>
    </row>
    <row r="3521" spans="2:10">
      <c r="B3521" s="184"/>
      <c r="C3521" s="184"/>
      <c r="D3521" s="184"/>
      <c r="E3521" s="184"/>
      <c r="F3521" s="184"/>
      <c r="I3521" s="186"/>
      <c r="J3521" s="184"/>
    </row>
    <row r="3522" spans="2:10">
      <c r="B3522" s="184"/>
      <c r="C3522" s="184"/>
      <c r="D3522" s="184"/>
      <c r="E3522" s="184"/>
      <c r="F3522" s="184"/>
      <c r="G3522" s="187"/>
      <c r="I3522" s="186"/>
      <c r="J3522" s="184"/>
    </row>
    <row r="3523" spans="2:10">
      <c r="B3523" s="184"/>
      <c r="C3523" s="184"/>
      <c r="D3523" s="184"/>
      <c r="E3523" s="184"/>
      <c r="F3523" s="184"/>
      <c r="G3523" s="187"/>
      <c r="I3523" s="186"/>
      <c r="J3523" s="184"/>
    </row>
    <row r="3524" spans="2:10">
      <c r="B3524" s="184"/>
      <c r="C3524" s="184"/>
      <c r="D3524" s="184"/>
      <c r="E3524" s="184"/>
      <c r="F3524" s="184"/>
      <c r="G3524" s="187"/>
      <c r="I3524" s="186"/>
      <c r="J3524" s="184"/>
    </row>
    <row r="3525" spans="2:10">
      <c r="B3525" s="184"/>
      <c r="C3525" s="184"/>
      <c r="D3525" s="184"/>
      <c r="E3525" s="184"/>
      <c r="F3525" s="184"/>
      <c r="I3525" s="186"/>
      <c r="J3525" s="184"/>
    </row>
    <row r="3526" spans="2:10">
      <c r="B3526" s="184"/>
      <c r="C3526" s="184"/>
      <c r="D3526" s="184"/>
      <c r="E3526" s="184"/>
      <c r="F3526" s="184"/>
      <c r="I3526" s="186"/>
      <c r="J3526" s="184"/>
    </row>
    <row r="3527" spans="2:10">
      <c r="B3527" s="184"/>
      <c r="C3527" s="184"/>
      <c r="D3527" s="184"/>
      <c r="E3527" s="184"/>
      <c r="F3527" s="184"/>
      <c r="I3527" s="186"/>
      <c r="J3527" s="184"/>
    </row>
    <row r="3528" spans="2:10">
      <c r="B3528" s="184"/>
      <c r="C3528" s="184"/>
      <c r="D3528" s="184"/>
      <c r="E3528" s="184"/>
      <c r="F3528" s="184"/>
      <c r="I3528" s="186"/>
      <c r="J3528" s="184"/>
    </row>
    <row r="3529" spans="2:10">
      <c r="B3529" s="184"/>
      <c r="C3529" s="184"/>
      <c r="D3529" s="184"/>
      <c r="E3529" s="184"/>
      <c r="F3529" s="184"/>
      <c r="I3529" s="186"/>
      <c r="J3529" s="184"/>
    </row>
    <row r="3530" spans="2:10">
      <c r="B3530" s="184"/>
      <c r="C3530" s="184"/>
      <c r="D3530" s="184"/>
      <c r="E3530" s="184"/>
      <c r="F3530" s="184"/>
      <c r="I3530" s="186"/>
      <c r="J3530" s="184"/>
    </row>
    <row r="3531" spans="2:10">
      <c r="B3531" s="184"/>
      <c r="C3531" s="184"/>
      <c r="D3531" s="184"/>
      <c r="E3531" s="184"/>
      <c r="F3531" s="184"/>
      <c r="I3531" s="186"/>
      <c r="J3531" s="184"/>
    </row>
    <row r="3532" spans="2:10">
      <c r="B3532" s="184"/>
      <c r="C3532" s="184"/>
      <c r="D3532" s="184"/>
      <c r="E3532" s="184"/>
      <c r="F3532" s="184"/>
      <c r="I3532" s="186"/>
      <c r="J3532" s="184"/>
    </row>
    <row r="3533" spans="2:10">
      <c r="B3533" s="184"/>
      <c r="C3533" s="184"/>
      <c r="D3533" s="184"/>
      <c r="E3533" s="184"/>
      <c r="F3533" s="184"/>
      <c r="I3533" s="186"/>
      <c r="J3533" s="184"/>
    </row>
    <row r="3534" spans="2:10">
      <c r="B3534" s="184"/>
      <c r="C3534" s="184"/>
      <c r="D3534" s="184"/>
      <c r="E3534" s="184"/>
      <c r="F3534" s="184"/>
      <c r="I3534" s="186"/>
      <c r="J3534" s="184"/>
    </row>
    <row r="3535" spans="2:10">
      <c r="B3535" s="184"/>
      <c r="C3535" s="184"/>
      <c r="D3535" s="184"/>
      <c r="E3535" s="184"/>
      <c r="F3535" s="184"/>
      <c r="G3535" s="187"/>
      <c r="I3535" s="186"/>
      <c r="J3535" s="184"/>
    </row>
    <row r="3536" spans="2:10">
      <c r="B3536" s="184"/>
      <c r="C3536" s="184"/>
      <c r="D3536" s="184"/>
      <c r="E3536" s="184"/>
      <c r="F3536" s="184"/>
      <c r="I3536" s="186"/>
      <c r="J3536" s="184"/>
    </row>
    <row r="3537" spans="2:10">
      <c r="B3537" s="184"/>
      <c r="C3537" s="184"/>
      <c r="D3537" s="184"/>
      <c r="E3537" s="184"/>
      <c r="F3537" s="184"/>
      <c r="I3537" s="186"/>
      <c r="J3537" s="184"/>
    </row>
    <row r="3538" spans="2:10">
      <c r="B3538" s="184"/>
      <c r="C3538" s="184"/>
      <c r="D3538" s="184"/>
      <c r="E3538" s="184"/>
      <c r="F3538" s="184"/>
      <c r="I3538" s="186"/>
      <c r="J3538" s="184"/>
    </row>
    <row r="3539" spans="2:10">
      <c r="B3539" s="184"/>
      <c r="C3539" s="184"/>
      <c r="D3539" s="184"/>
      <c r="E3539" s="184"/>
      <c r="F3539" s="184"/>
      <c r="I3539" s="186"/>
      <c r="J3539" s="184"/>
    </row>
    <row r="3540" spans="2:10">
      <c r="B3540" s="184"/>
      <c r="C3540" s="184"/>
      <c r="D3540" s="184"/>
      <c r="E3540" s="184"/>
      <c r="F3540" s="184"/>
      <c r="I3540" s="186"/>
      <c r="J3540" s="184"/>
    </row>
    <row r="3541" spans="2:10">
      <c r="B3541" s="184"/>
      <c r="C3541" s="184"/>
      <c r="D3541" s="184"/>
      <c r="E3541" s="184"/>
      <c r="F3541" s="184"/>
      <c r="I3541" s="186"/>
      <c r="J3541" s="184"/>
    </row>
    <row r="3542" spans="2:10">
      <c r="B3542" s="184"/>
      <c r="C3542" s="184"/>
      <c r="D3542" s="184"/>
      <c r="E3542" s="184"/>
      <c r="F3542" s="184"/>
      <c r="I3542" s="186"/>
      <c r="J3542" s="184"/>
    </row>
    <row r="3543" spans="2:10">
      <c r="B3543" s="184"/>
      <c r="C3543" s="184"/>
      <c r="D3543" s="184"/>
      <c r="E3543" s="184"/>
      <c r="F3543" s="184"/>
      <c r="I3543" s="186"/>
      <c r="J3543" s="184"/>
    </row>
    <row r="3544" spans="2:10">
      <c r="B3544" s="184"/>
      <c r="C3544" s="184"/>
      <c r="D3544" s="184"/>
      <c r="E3544" s="184"/>
      <c r="F3544" s="184"/>
      <c r="I3544" s="186"/>
      <c r="J3544" s="184"/>
    </row>
    <row r="3545" spans="2:10">
      <c r="B3545" s="184"/>
      <c r="C3545" s="184"/>
      <c r="D3545" s="184"/>
      <c r="E3545" s="184"/>
      <c r="F3545" s="184"/>
      <c r="I3545" s="186"/>
      <c r="J3545" s="184"/>
    </row>
    <row r="3546" spans="2:10">
      <c r="B3546" s="184"/>
      <c r="C3546" s="184"/>
      <c r="D3546" s="184"/>
      <c r="E3546" s="184"/>
      <c r="F3546" s="184"/>
      <c r="I3546" s="186"/>
      <c r="J3546" s="184"/>
    </row>
    <row r="3547" spans="2:10">
      <c r="B3547" s="184"/>
      <c r="C3547" s="184"/>
      <c r="D3547" s="184"/>
      <c r="E3547" s="184"/>
      <c r="F3547" s="184"/>
      <c r="I3547" s="186"/>
      <c r="J3547" s="184"/>
    </row>
    <row r="3548" spans="2:10">
      <c r="B3548" s="184"/>
      <c r="C3548" s="184"/>
      <c r="D3548" s="184"/>
      <c r="E3548" s="184"/>
      <c r="F3548" s="184"/>
      <c r="I3548" s="186"/>
      <c r="J3548" s="184"/>
    </row>
    <row r="3549" spans="2:10">
      <c r="B3549" s="184"/>
      <c r="C3549" s="184"/>
      <c r="D3549" s="184"/>
      <c r="E3549" s="184"/>
      <c r="F3549" s="184"/>
      <c r="I3549" s="186"/>
      <c r="J3549" s="184"/>
    </row>
    <row r="3550" spans="2:10">
      <c r="B3550" s="184"/>
      <c r="C3550" s="184"/>
      <c r="D3550" s="184"/>
      <c r="E3550" s="184"/>
      <c r="F3550" s="184"/>
      <c r="I3550" s="186"/>
      <c r="J3550" s="184"/>
    </row>
    <row r="3551" spans="2:10">
      <c r="B3551" s="184"/>
      <c r="C3551" s="184"/>
      <c r="D3551" s="184"/>
      <c r="E3551" s="184"/>
      <c r="F3551" s="184"/>
      <c r="I3551" s="186"/>
      <c r="J3551" s="184"/>
    </row>
    <row r="3552" spans="2:10">
      <c r="B3552" s="184"/>
      <c r="C3552" s="184"/>
      <c r="D3552" s="184"/>
      <c r="E3552" s="184"/>
      <c r="F3552" s="184"/>
      <c r="I3552" s="186"/>
      <c r="J3552" s="184"/>
    </row>
    <row r="3553" spans="2:10">
      <c r="B3553" s="184"/>
      <c r="C3553" s="184"/>
      <c r="D3553" s="184"/>
      <c r="E3553" s="184"/>
      <c r="F3553" s="184"/>
      <c r="I3553" s="186"/>
      <c r="J3553" s="184"/>
    </row>
    <row r="3554" spans="2:10">
      <c r="B3554" s="184"/>
      <c r="C3554" s="184"/>
      <c r="D3554" s="184"/>
      <c r="E3554" s="184"/>
      <c r="F3554" s="184"/>
      <c r="I3554" s="186"/>
      <c r="J3554" s="184"/>
    </row>
    <row r="3555" spans="2:10">
      <c r="B3555" s="184"/>
      <c r="C3555" s="184"/>
      <c r="D3555" s="184"/>
      <c r="E3555" s="184"/>
      <c r="F3555" s="184"/>
      <c r="I3555" s="186"/>
      <c r="J3555" s="184"/>
    </row>
    <row r="3556" spans="2:10">
      <c r="B3556" s="184"/>
      <c r="C3556" s="184"/>
      <c r="D3556" s="184"/>
      <c r="E3556" s="184"/>
      <c r="F3556" s="184"/>
      <c r="I3556" s="186"/>
      <c r="J3556" s="184"/>
    </row>
    <row r="3557" spans="2:10">
      <c r="B3557" s="184"/>
      <c r="C3557" s="184"/>
      <c r="D3557" s="184"/>
      <c r="E3557" s="184"/>
      <c r="F3557" s="184"/>
      <c r="I3557" s="186"/>
      <c r="J3557" s="184"/>
    </row>
    <row r="3558" spans="2:10">
      <c r="B3558" s="184"/>
      <c r="C3558" s="184"/>
      <c r="D3558" s="184"/>
      <c r="E3558" s="184"/>
      <c r="F3558" s="184"/>
      <c r="I3558" s="186"/>
      <c r="J3558" s="184"/>
    </row>
    <row r="3559" spans="2:10">
      <c r="B3559" s="184"/>
      <c r="C3559" s="184"/>
      <c r="D3559" s="184"/>
      <c r="E3559" s="184"/>
      <c r="F3559" s="184"/>
      <c r="I3559" s="186"/>
      <c r="J3559" s="184"/>
    </row>
    <row r="3560" spans="2:10">
      <c r="B3560" s="184"/>
      <c r="C3560" s="184"/>
      <c r="D3560" s="184"/>
      <c r="E3560" s="184"/>
      <c r="F3560" s="184"/>
      <c r="I3560" s="186"/>
      <c r="J3560" s="184"/>
    </row>
    <row r="3561" spans="2:10">
      <c r="B3561" s="184"/>
      <c r="C3561" s="184"/>
      <c r="D3561" s="184"/>
      <c r="E3561" s="184"/>
      <c r="F3561" s="184"/>
      <c r="I3561" s="186"/>
      <c r="J3561" s="184"/>
    </row>
    <row r="3562" spans="2:10">
      <c r="B3562" s="184"/>
      <c r="C3562" s="184"/>
      <c r="D3562" s="184"/>
      <c r="E3562" s="184"/>
      <c r="F3562" s="184"/>
      <c r="I3562" s="186"/>
      <c r="J3562" s="184"/>
    </row>
    <row r="3563" spans="2:10">
      <c r="B3563" s="184"/>
      <c r="C3563" s="184"/>
      <c r="D3563" s="184"/>
      <c r="E3563" s="184"/>
      <c r="F3563" s="184"/>
      <c r="I3563" s="186"/>
      <c r="J3563" s="184"/>
    </row>
    <row r="3564" spans="2:10">
      <c r="B3564" s="184"/>
      <c r="C3564" s="184"/>
      <c r="D3564" s="184"/>
      <c r="E3564" s="184"/>
      <c r="F3564" s="184"/>
      <c r="I3564" s="186"/>
      <c r="J3564" s="184"/>
    </row>
    <row r="3565" spans="2:10">
      <c r="B3565" s="184"/>
      <c r="C3565" s="184"/>
      <c r="D3565" s="184"/>
      <c r="E3565" s="184"/>
      <c r="F3565" s="184"/>
      <c r="I3565" s="186"/>
      <c r="J3565" s="184"/>
    </row>
    <row r="3566" spans="2:10">
      <c r="B3566" s="184"/>
      <c r="C3566" s="184"/>
      <c r="D3566" s="184"/>
      <c r="E3566" s="184"/>
      <c r="F3566" s="184"/>
      <c r="I3566" s="186"/>
      <c r="J3566" s="184"/>
    </row>
    <row r="3567" spans="2:10">
      <c r="B3567" s="184"/>
      <c r="C3567" s="184"/>
      <c r="D3567" s="184"/>
      <c r="E3567" s="184"/>
      <c r="F3567" s="184"/>
      <c r="G3567" s="187"/>
      <c r="I3567" s="186"/>
      <c r="J3567" s="184"/>
    </row>
    <row r="3568" spans="2:10">
      <c r="B3568" s="184"/>
      <c r="C3568" s="184"/>
      <c r="D3568" s="184"/>
      <c r="E3568" s="184"/>
      <c r="F3568" s="184"/>
      <c r="I3568" s="186"/>
      <c r="J3568" s="184"/>
    </row>
    <row r="3569" spans="2:10">
      <c r="B3569" s="184"/>
      <c r="C3569" s="184"/>
      <c r="D3569" s="184"/>
      <c r="E3569" s="184"/>
      <c r="F3569" s="184"/>
      <c r="I3569" s="186"/>
      <c r="J3569" s="184"/>
    </row>
    <row r="3570" spans="2:10">
      <c r="B3570" s="184"/>
      <c r="C3570" s="184"/>
      <c r="D3570" s="184"/>
      <c r="E3570" s="184"/>
      <c r="F3570" s="184"/>
      <c r="I3570" s="186"/>
      <c r="J3570" s="184"/>
    </row>
    <row r="3571" spans="2:10">
      <c r="B3571" s="184"/>
      <c r="C3571" s="184"/>
      <c r="D3571" s="184"/>
      <c r="E3571" s="184"/>
      <c r="F3571" s="184"/>
      <c r="I3571" s="186"/>
      <c r="J3571" s="184"/>
    </row>
    <row r="3572" spans="2:10">
      <c r="B3572" s="184"/>
      <c r="C3572" s="184"/>
      <c r="D3572" s="184"/>
      <c r="E3572" s="184"/>
      <c r="F3572" s="184"/>
      <c r="I3572" s="186"/>
      <c r="J3572" s="184"/>
    </row>
    <row r="3573" spans="2:10">
      <c r="B3573" s="184"/>
      <c r="C3573" s="184"/>
      <c r="D3573" s="184"/>
      <c r="E3573" s="184"/>
      <c r="F3573" s="184"/>
      <c r="I3573" s="186"/>
      <c r="J3573" s="184"/>
    </row>
    <row r="3574" spans="2:10">
      <c r="B3574" s="184"/>
      <c r="C3574" s="184"/>
      <c r="D3574" s="184"/>
      <c r="E3574" s="184"/>
      <c r="F3574" s="184"/>
      <c r="I3574" s="186"/>
      <c r="J3574" s="184"/>
    </row>
    <row r="3575" spans="2:10">
      <c r="B3575" s="184"/>
      <c r="C3575" s="184"/>
      <c r="D3575" s="184"/>
      <c r="E3575" s="184"/>
      <c r="F3575" s="184"/>
      <c r="I3575" s="186"/>
      <c r="J3575" s="184"/>
    </row>
    <row r="3576" spans="2:10">
      <c r="B3576" s="184"/>
      <c r="C3576" s="184"/>
      <c r="D3576" s="184"/>
      <c r="E3576" s="184"/>
      <c r="F3576" s="184"/>
      <c r="I3576" s="186"/>
      <c r="J3576" s="184"/>
    </row>
    <row r="3577" spans="2:10">
      <c r="B3577" s="184"/>
      <c r="C3577" s="184"/>
      <c r="D3577" s="184"/>
      <c r="E3577" s="184"/>
      <c r="F3577" s="184"/>
      <c r="I3577" s="186"/>
      <c r="J3577" s="184"/>
    </row>
    <row r="3578" spans="2:10">
      <c r="B3578" s="184"/>
      <c r="C3578" s="184"/>
      <c r="D3578" s="184"/>
      <c r="E3578" s="184"/>
      <c r="F3578" s="184"/>
      <c r="I3578" s="186"/>
      <c r="J3578" s="184"/>
    </row>
    <row r="3579" spans="2:10">
      <c r="B3579" s="184"/>
      <c r="C3579" s="184"/>
      <c r="D3579" s="184"/>
      <c r="E3579" s="184"/>
      <c r="F3579" s="184"/>
      <c r="I3579" s="186"/>
      <c r="J3579" s="184"/>
    </row>
    <row r="3580" spans="2:10">
      <c r="B3580" s="184"/>
      <c r="C3580" s="184"/>
      <c r="D3580" s="184"/>
      <c r="E3580" s="184"/>
      <c r="F3580" s="184"/>
      <c r="I3580" s="186"/>
      <c r="J3580" s="184"/>
    </row>
    <row r="3581" spans="2:10">
      <c r="B3581" s="184"/>
      <c r="C3581" s="184"/>
      <c r="D3581" s="184"/>
      <c r="E3581" s="184"/>
      <c r="F3581" s="184"/>
      <c r="I3581" s="186"/>
      <c r="J3581" s="184"/>
    </row>
    <row r="3582" spans="2:10">
      <c r="B3582" s="184"/>
      <c r="C3582" s="184"/>
      <c r="D3582" s="184"/>
      <c r="E3582" s="184"/>
      <c r="F3582" s="184"/>
      <c r="I3582" s="186"/>
      <c r="J3582" s="184"/>
    </row>
    <row r="3583" spans="2:10">
      <c r="B3583" s="184"/>
      <c r="C3583" s="184"/>
      <c r="D3583" s="184"/>
      <c r="E3583" s="184"/>
      <c r="F3583" s="184"/>
      <c r="I3583" s="186"/>
      <c r="J3583" s="184"/>
    </row>
    <row r="3584" spans="2:10">
      <c r="B3584" s="184"/>
      <c r="C3584" s="184"/>
      <c r="D3584" s="184"/>
      <c r="E3584" s="184"/>
      <c r="F3584" s="184"/>
      <c r="I3584" s="186"/>
      <c r="J3584" s="184"/>
    </row>
    <row r="3585" spans="2:10">
      <c r="B3585" s="184"/>
      <c r="C3585" s="184"/>
      <c r="D3585" s="184"/>
      <c r="E3585" s="184"/>
      <c r="F3585" s="184"/>
      <c r="I3585" s="186"/>
      <c r="J3585" s="184"/>
    </row>
    <row r="3586" spans="2:10">
      <c r="B3586" s="184"/>
      <c r="C3586" s="184"/>
      <c r="D3586" s="184"/>
      <c r="E3586" s="184"/>
      <c r="F3586" s="184"/>
      <c r="I3586" s="186"/>
      <c r="J3586" s="184"/>
    </row>
    <row r="3587" spans="2:10">
      <c r="B3587" s="184"/>
      <c r="C3587" s="184"/>
      <c r="D3587" s="184"/>
      <c r="E3587" s="184"/>
      <c r="F3587" s="184"/>
      <c r="I3587" s="186"/>
      <c r="J3587" s="184"/>
    </row>
    <row r="3588" spans="2:10">
      <c r="B3588" s="184"/>
      <c r="C3588" s="184"/>
      <c r="D3588" s="184"/>
      <c r="E3588" s="184"/>
      <c r="F3588" s="184"/>
      <c r="I3588" s="186"/>
      <c r="J3588" s="184"/>
    </row>
    <row r="3589" spans="2:10">
      <c r="B3589" s="184"/>
      <c r="C3589" s="184"/>
      <c r="D3589" s="184"/>
      <c r="E3589" s="184"/>
      <c r="F3589" s="184"/>
      <c r="I3589" s="186"/>
      <c r="J3589" s="184"/>
    </row>
    <row r="3590" spans="2:10">
      <c r="B3590" s="184"/>
      <c r="C3590" s="184"/>
      <c r="D3590" s="184"/>
      <c r="E3590" s="184"/>
      <c r="F3590" s="184"/>
      <c r="I3590" s="186"/>
      <c r="J3590" s="184"/>
    </row>
    <row r="3591" spans="2:10">
      <c r="B3591" s="184"/>
      <c r="C3591" s="184"/>
      <c r="D3591" s="184"/>
      <c r="E3591" s="184"/>
      <c r="F3591" s="184"/>
      <c r="I3591" s="186"/>
      <c r="J3591" s="184"/>
    </row>
    <row r="3592" spans="2:10">
      <c r="B3592" s="184"/>
      <c r="C3592" s="184"/>
      <c r="D3592" s="184"/>
      <c r="E3592" s="184"/>
      <c r="F3592" s="184"/>
      <c r="I3592" s="186"/>
      <c r="J3592" s="184"/>
    </row>
    <row r="3593" spans="2:10">
      <c r="B3593" s="184"/>
      <c r="C3593" s="184"/>
      <c r="D3593" s="184"/>
      <c r="E3593" s="184"/>
      <c r="F3593" s="184"/>
      <c r="I3593" s="186"/>
      <c r="J3593" s="184"/>
    </row>
    <row r="3594" spans="2:10">
      <c r="B3594" s="184"/>
      <c r="C3594" s="184"/>
      <c r="D3594" s="184"/>
      <c r="E3594" s="184"/>
      <c r="F3594" s="184"/>
      <c r="I3594" s="186"/>
      <c r="J3594" s="184"/>
    </row>
    <row r="3595" spans="2:10">
      <c r="B3595" s="184"/>
      <c r="C3595" s="184"/>
      <c r="D3595" s="184"/>
      <c r="E3595" s="184"/>
      <c r="F3595" s="184"/>
      <c r="I3595" s="186"/>
      <c r="J3595" s="184"/>
    </row>
    <row r="3596" spans="2:10">
      <c r="B3596" s="184"/>
      <c r="C3596" s="184"/>
      <c r="D3596" s="184"/>
      <c r="E3596" s="184"/>
      <c r="F3596" s="184"/>
      <c r="I3596" s="186"/>
      <c r="J3596" s="184"/>
    </row>
    <row r="3597" spans="2:10">
      <c r="B3597" s="184"/>
      <c r="C3597" s="184"/>
      <c r="D3597" s="184"/>
      <c r="E3597" s="184"/>
      <c r="F3597" s="184"/>
      <c r="I3597" s="186"/>
      <c r="J3597" s="184"/>
    </row>
    <row r="3598" spans="2:10">
      <c r="B3598" s="184"/>
      <c r="C3598" s="184"/>
      <c r="D3598" s="184"/>
      <c r="E3598" s="184"/>
      <c r="F3598" s="184"/>
      <c r="I3598" s="186"/>
      <c r="J3598" s="184"/>
    </row>
    <row r="3599" spans="2:10">
      <c r="B3599" s="184"/>
      <c r="C3599" s="184"/>
      <c r="D3599" s="184"/>
      <c r="E3599" s="184"/>
      <c r="F3599" s="184"/>
      <c r="I3599" s="186"/>
      <c r="J3599" s="184"/>
    </row>
    <row r="3600" spans="2:10">
      <c r="B3600" s="184"/>
      <c r="C3600" s="184"/>
      <c r="D3600" s="184"/>
      <c r="E3600" s="184"/>
      <c r="F3600" s="184"/>
      <c r="I3600" s="186"/>
      <c r="J3600" s="184"/>
    </row>
    <row r="3601" spans="2:10">
      <c r="B3601" s="184"/>
      <c r="C3601" s="184"/>
      <c r="D3601" s="184"/>
      <c r="E3601" s="184"/>
      <c r="F3601" s="184"/>
      <c r="I3601" s="186"/>
      <c r="J3601" s="184"/>
    </row>
    <row r="3602" spans="2:10">
      <c r="B3602" s="184"/>
      <c r="C3602" s="184"/>
      <c r="D3602" s="184"/>
      <c r="E3602" s="184"/>
      <c r="F3602" s="184"/>
      <c r="I3602" s="186"/>
      <c r="J3602" s="184"/>
    </row>
    <row r="3603" spans="2:10">
      <c r="B3603" s="184"/>
      <c r="C3603" s="184"/>
      <c r="D3603" s="184"/>
      <c r="E3603" s="184"/>
      <c r="F3603" s="184"/>
      <c r="I3603" s="186"/>
      <c r="J3603" s="184"/>
    </row>
    <row r="3604" spans="2:10">
      <c r="B3604" s="184"/>
      <c r="C3604" s="184"/>
      <c r="D3604" s="184"/>
      <c r="E3604" s="184"/>
      <c r="F3604" s="184"/>
      <c r="I3604" s="186"/>
      <c r="J3604" s="184"/>
    </row>
    <row r="3605" spans="2:10">
      <c r="B3605" s="184"/>
      <c r="C3605" s="184"/>
      <c r="D3605" s="184"/>
      <c r="E3605" s="184"/>
      <c r="F3605" s="184"/>
      <c r="I3605" s="186"/>
      <c r="J3605" s="184"/>
    </row>
    <row r="3606" spans="2:10">
      <c r="B3606" s="184"/>
      <c r="C3606" s="184"/>
      <c r="D3606" s="184"/>
      <c r="E3606" s="184"/>
      <c r="F3606" s="184"/>
      <c r="I3606" s="186"/>
      <c r="J3606" s="184"/>
    </row>
    <row r="3607" spans="2:10">
      <c r="B3607" s="184"/>
      <c r="C3607" s="184"/>
      <c r="D3607" s="184"/>
      <c r="E3607" s="184"/>
      <c r="F3607" s="184"/>
      <c r="I3607" s="186"/>
      <c r="J3607" s="184"/>
    </row>
    <row r="3608" spans="2:10">
      <c r="B3608" s="184"/>
      <c r="C3608" s="184"/>
      <c r="D3608" s="184"/>
      <c r="E3608" s="184"/>
      <c r="F3608" s="184"/>
      <c r="I3608" s="186"/>
      <c r="J3608" s="184"/>
    </row>
    <row r="3609" spans="2:10">
      <c r="B3609" s="184"/>
      <c r="C3609" s="184"/>
      <c r="D3609" s="184"/>
      <c r="E3609" s="184"/>
      <c r="F3609" s="184"/>
      <c r="I3609" s="186"/>
      <c r="J3609" s="184"/>
    </row>
    <row r="3610" spans="2:10">
      <c r="B3610" s="184"/>
      <c r="C3610" s="184"/>
      <c r="D3610" s="184"/>
      <c r="E3610" s="184"/>
      <c r="F3610" s="184"/>
      <c r="I3610" s="186"/>
      <c r="J3610" s="184"/>
    </row>
    <row r="3611" spans="2:10">
      <c r="B3611" s="184"/>
      <c r="C3611" s="184"/>
      <c r="D3611" s="184"/>
      <c r="E3611" s="184"/>
      <c r="F3611" s="184"/>
      <c r="I3611" s="186"/>
      <c r="J3611" s="184"/>
    </row>
    <row r="3612" spans="2:10">
      <c r="B3612" s="184"/>
      <c r="C3612" s="184"/>
      <c r="D3612" s="184"/>
      <c r="E3612" s="184"/>
      <c r="F3612" s="184"/>
      <c r="I3612" s="186"/>
      <c r="J3612" s="184"/>
    </row>
    <row r="3613" spans="2:10">
      <c r="B3613" s="184"/>
      <c r="C3613" s="184"/>
      <c r="D3613" s="184"/>
      <c r="E3613" s="184"/>
      <c r="F3613" s="184"/>
      <c r="I3613" s="186"/>
      <c r="J3613" s="184"/>
    </row>
    <row r="3614" spans="2:10">
      <c r="B3614" s="184"/>
      <c r="C3614" s="184"/>
      <c r="D3614" s="184"/>
      <c r="E3614" s="184"/>
      <c r="F3614" s="184"/>
      <c r="I3614" s="186"/>
      <c r="J3614" s="184"/>
    </row>
    <row r="3615" spans="2:10">
      <c r="B3615" s="184"/>
      <c r="C3615" s="184"/>
      <c r="D3615" s="184"/>
      <c r="E3615" s="184"/>
      <c r="F3615" s="184"/>
      <c r="I3615" s="186"/>
      <c r="J3615" s="184"/>
    </row>
    <row r="3616" spans="2:10">
      <c r="B3616" s="184"/>
      <c r="C3616" s="184"/>
      <c r="D3616" s="184"/>
      <c r="E3616" s="184"/>
      <c r="F3616" s="184"/>
      <c r="I3616" s="186"/>
      <c r="J3616" s="184"/>
    </row>
    <row r="3617" spans="2:10">
      <c r="B3617" s="184"/>
      <c r="C3617" s="184"/>
      <c r="D3617" s="184"/>
      <c r="E3617" s="184"/>
      <c r="F3617" s="184"/>
      <c r="I3617" s="186"/>
      <c r="J3617" s="184"/>
    </row>
    <row r="3618" spans="2:10">
      <c r="B3618" s="184"/>
      <c r="C3618" s="184"/>
      <c r="D3618" s="184"/>
      <c r="E3618" s="184"/>
      <c r="F3618" s="184"/>
      <c r="I3618" s="186"/>
      <c r="J3618" s="184"/>
    </row>
    <row r="3619" spans="2:10">
      <c r="B3619" s="184"/>
      <c r="C3619" s="184"/>
      <c r="D3619" s="184"/>
      <c r="E3619" s="184"/>
      <c r="F3619" s="184"/>
      <c r="I3619" s="186"/>
      <c r="J3619" s="184"/>
    </row>
    <row r="3620" spans="2:10">
      <c r="B3620" s="184"/>
      <c r="C3620" s="184"/>
      <c r="D3620" s="184"/>
      <c r="E3620" s="184"/>
      <c r="F3620" s="184"/>
      <c r="I3620" s="186"/>
      <c r="J3620" s="184"/>
    </row>
    <row r="3621" spans="2:10">
      <c r="B3621" s="184"/>
      <c r="C3621" s="184"/>
      <c r="D3621" s="184"/>
      <c r="E3621" s="184"/>
      <c r="F3621" s="184"/>
      <c r="I3621" s="186"/>
      <c r="J3621" s="184"/>
    </row>
    <row r="3622" spans="2:10">
      <c r="B3622" s="184"/>
      <c r="C3622" s="184"/>
      <c r="D3622" s="184"/>
      <c r="E3622" s="184"/>
      <c r="F3622" s="184"/>
      <c r="I3622" s="186"/>
      <c r="J3622" s="184"/>
    </row>
    <row r="3623" spans="2:10">
      <c r="B3623" s="184"/>
      <c r="C3623" s="184"/>
      <c r="D3623" s="184"/>
      <c r="E3623" s="184"/>
      <c r="F3623" s="184"/>
      <c r="I3623" s="186"/>
      <c r="J3623" s="184"/>
    </row>
    <row r="3624" spans="2:10">
      <c r="B3624" s="184"/>
      <c r="C3624" s="184"/>
      <c r="D3624" s="184"/>
      <c r="E3624" s="184"/>
      <c r="F3624" s="184"/>
      <c r="I3624" s="186"/>
      <c r="J3624" s="184"/>
    </row>
    <row r="3625" spans="2:10">
      <c r="B3625" s="184"/>
      <c r="C3625" s="184"/>
      <c r="D3625" s="184"/>
      <c r="E3625" s="184"/>
      <c r="F3625" s="184"/>
      <c r="I3625" s="186"/>
      <c r="J3625" s="184"/>
    </row>
    <row r="3626" spans="2:10">
      <c r="B3626" s="184"/>
      <c r="C3626" s="184"/>
      <c r="D3626" s="184"/>
      <c r="E3626" s="184"/>
      <c r="F3626" s="184"/>
      <c r="I3626" s="186"/>
      <c r="J3626" s="184"/>
    </row>
    <row r="3627" spans="2:10">
      <c r="B3627" s="184"/>
      <c r="C3627" s="184"/>
      <c r="D3627" s="184"/>
      <c r="E3627" s="184"/>
      <c r="F3627" s="184"/>
      <c r="I3627" s="186"/>
      <c r="J3627" s="184"/>
    </row>
    <row r="3628" spans="2:10">
      <c r="B3628" s="184"/>
      <c r="C3628" s="184"/>
      <c r="D3628" s="184"/>
      <c r="E3628" s="184"/>
      <c r="F3628" s="184"/>
      <c r="I3628" s="186"/>
      <c r="J3628" s="184"/>
    </row>
    <row r="3629" spans="2:10">
      <c r="B3629" s="184"/>
      <c r="C3629" s="184"/>
      <c r="D3629" s="184"/>
      <c r="E3629" s="184"/>
      <c r="F3629" s="184"/>
      <c r="I3629" s="186"/>
      <c r="J3629" s="184"/>
    </row>
    <row r="3630" spans="2:10">
      <c r="B3630" s="184"/>
      <c r="C3630" s="184"/>
      <c r="D3630" s="184"/>
      <c r="E3630" s="184"/>
      <c r="F3630" s="184"/>
      <c r="I3630" s="186"/>
      <c r="J3630" s="184"/>
    </row>
    <row r="3631" spans="2:10">
      <c r="B3631" s="184"/>
      <c r="C3631" s="184"/>
      <c r="D3631" s="184"/>
      <c r="E3631" s="184"/>
      <c r="F3631" s="184"/>
      <c r="I3631" s="186"/>
      <c r="J3631" s="184"/>
    </row>
    <row r="3632" spans="2:10">
      <c r="B3632" s="184"/>
      <c r="C3632" s="184"/>
      <c r="D3632" s="184"/>
      <c r="E3632" s="184"/>
      <c r="F3632" s="184"/>
      <c r="I3632" s="186"/>
      <c r="J3632" s="184"/>
    </row>
    <row r="3633" spans="2:10">
      <c r="B3633" s="184"/>
      <c r="C3633" s="184"/>
      <c r="D3633" s="184"/>
      <c r="E3633" s="184"/>
      <c r="F3633" s="184"/>
      <c r="I3633" s="186"/>
      <c r="J3633" s="184"/>
    </row>
    <row r="3634" spans="2:10">
      <c r="B3634" s="184"/>
      <c r="C3634" s="184"/>
      <c r="D3634" s="184"/>
      <c r="E3634" s="184"/>
      <c r="F3634" s="184"/>
      <c r="I3634" s="186"/>
      <c r="J3634" s="184"/>
    </row>
    <row r="3635" spans="2:10">
      <c r="B3635" s="184"/>
      <c r="C3635" s="184"/>
      <c r="D3635" s="184"/>
      <c r="E3635" s="184"/>
      <c r="F3635" s="184"/>
      <c r="I3635" s="186"/>
      <c r="J3635" s="184"/>
    </row>
    <row r="3636" spans="2:10">
      <c r="B3636" s="184"/>
      <c r="C3636" s="184"/>
      <c r="D3636" s="184"/>
      <c r="E3636" s="184"/>
      <c r="F3636" s="184"/>
      <c r="I3636" s="186"/>
      <c r="J3636" s="184"/>
    </row>
    <row r="3637" spans="2:10">
      <c r="B3637" s="184"/>
      <c r="C3637" s="184"/>
      <c r="D3637" s="184"/>
      <c r="E3637" s="184"/>
      <c r="F3637" s="184"/>
      <c r="I3637" s="186"/>
      <c r="J3637" s="184"/>
    </row>
    <row r="3638" spans="2:10">
      <c r="B3638" s="184"/>
      <c r="C3638" s="184"/>
      <c r="D3638" s="184"/>
      <c r="E3638" s="184"/>
      <c r="F3638" s="184"/>
      <c r="I3638" s="186"/>
      <c r="J3638" s="184"/>
    </row>
    <row r="3639" spans="2:10">
      <c r="B3639" s="184"/>
      <c r="C3639" s="184"/>
      <c r="D3639" s="184"/>
      <c r="E3639" s="184"/>
      <c r="F3639" s="184"/>
      <c r="I3639" s="186"/>
      <c r="J3639" s="184"/>
    </row>
    <row r="3640" spans="2:10">
      <c r="B3640" s="184"/>
      <c r="C3640" s="184"/>
      <c r="D3640" s="184"/>
      <c r="E3640" s="184"/>
      <c r="F3640" s="184"/>
      <c r="I3640" s="186"/>
      <c r="J3640" s="184"/>
    </row>
    <row r="3641" spans="2:10">
      <c r="B3641" s="184"/>
      <c r="C3641" s="184"/>
      <c r="D3641" s="184"/>
      <c r="E3641" s="184"/>
      <c r="F3641" s="184"/>
      <c r="I3641" s="186"/>
      <c r="J3641" s="184"/>
    </row>
    <row r="3642" spans="2:10">
      <c r="B3642" s="184"/>
      <c r="C3642" s="184"/>
      <c r="D3642" s="184"/>
      <c r="E3642" s="184"/>
      <c r="F3642" s="184"/>
      <c r="I3642" s="186"/>
      <c r="J3642" s="184"/>
    </row>
    <row r="3643" spans="2:10">
      <c r="B3643" s="184"/>
      <c r="C3643" s="184"/>
      <c r="D3643" s="184"/>
      <c r="E3643" s="184"/>
      <c r="F3643" s="184"/>
      <c r="I3643" s="186"/>
      <c r="J3643" s="184"/>
    </row>
    <row r="3644" spans="2:10">
      <c r="B3644" s="184"/>
      <c r="C3644" s="184"/>
      <c r="D3644" s="184"/>
      <c r="E3644" s="184"/>
      <c r="F3644" s="184"/>
      <c r="I3644" s="186"/>
      <c r="J3644" s="184"/>
    </row>
    <row r="3645" spans="2:10">
      <c r="B3645" s="184"/>
      <c r="C3645" s="184"/>
      <c r="D3645" s="184"/>
      <c r="E3645" s="184"/>
      <c r="F3645" s="184"/>
      <c r="I3645" s="186"/>
      <c r="J3645" s="184"/>
    </row>
    <row r="3646" spans="2:10">
      <c r="B3646" s="184"/>
      <c r="C3646" s="184"/>
      <c r="D3646" s="184"/>
      <c r="E3646" s="184"/>
      <c r="F3646" s="184"/>
      <c r="I3646" s="186"/>
      <c r="J3646" s="184"/>
    </row>
    <row r="3647" spans="2:10">
      <c r="B3647" s="184"/>
      <c r="C3647" s="184"/>
      <c r="D3647" s="184"/>
      <c r="E3647" s="184"/>
      <c r="F3647" s="184"/>
      <c r="I3647" s="186"/>
      <c r="J3647" s="184"/>
    </row>
    <row r="3648" spans="2:10">
      <c r="B3648" s="184"/>
      <c r="C3648" s="184"/>
      <c r="D3648" s="184"/>
      <c r="E3648" s="184"/>
      <c r="F3648" s="184"/>
      <c r="I3648" s="186"/>
      <c r="J3648" s="184"/>
    </row>
    <row r="3649" spans="2:10">
      <c r="B3649" s="184"/>
      <c r="C3649" s="184"/>
      <c r="D3649" s="184"/>
      <c r="E3649" s="184"/>
      <c r="F3649" s="184"/>
      <c r="I3649" s="186"/>
      <c r="J3649" s="184"/>
    </row>
    <row r="3650" spans="2:10">
      <c r="B3650" s="184"/>
      <c r="C3650" s="184"/>
      <c r="D3650" s="184"/>
      <c r="E3650" s="184"/>
      <c r="F3650" s="184"/>
      <c r="I3650" s="186"/>
      <c r="J3650" s="184"/>
    </row>
    <row r="3651" spans="2:10">
      <c r="B3651" s="184"/>
      <c r="C3651" s="184"/>
      <c r="D3651" s="184"/>
      <c r="E3651" s="184"/>
      <c r="F3651" s="184"/>
      <c r="I3651" s="186"/>
      <c r="J3651" s="184"/>
    </row>
    <row r="3652" spans="2:10">
      <c r="B3652" s="184"/>
      <c r="C3652" s="184"/>
      <c r="D3652" s="184"/>
      <c r="E3652" s="184"/>
      <c r="F3652" s="184"/>
      <c r="I3652" s="186"/>
      <c r="J3652" s="184"/>
    </row>
    <row r="3653" spans="2:10">
      <c r="B3653" s="184"/>
      <c r="C3653" s="184"/>
      <c r="D3653" s="184"/>
      <c r="E3653" s="184"/>
      <c r="F3653" s="184"/>
      <c r="I3653" s="186"/>
      <c r="J3653" s="184"/>
    </row>
    <row r="3654" spans="2:10">
      <c r="B3654" s="184"/>
      <c r="C3654" s="184"/>
      <c r="D3654" s="184"/>
      <c r="E3654" s="184"/>
      <c r="F3654" s="184"/>
      <c r="I3654" s="186"/>
      <c r="J3654" s="184"/>
    </row>
    <row r="3655" spans="2:10">
      <c r="B3655" s="184"/>
      <c r="C3655" s="184"/>
      <c r="D3655" s="184"/>
      <c r="E3655" s="184"/>
      <c r="F3655" s="184"/>
      <c r="I3655" s="186"/>
      <c r="J3655" s="184"/>
    </row>
    <row r="3656" spans="2:10">
      <c r="B3656" s="184"/>
      <c r="C3656" s="184"/>
      <c r="D3656" s="184"/>
      <c r="E3656" s="184"/>
      <c r="F3656" s="184"/>
      <c r="I3656" s="186"/>
      <c r="J3656" s="184"/>
    </row>
    <row r="3657" spans="2:10">
      <c r="B3657" s="184"/>
      <c r="C3657" s="184"/>
      <c r="D3657" s="184"/>
      <c r="E3657" s="184"/>
      <c r="F3657" s="184"/>
      <c r="I3657" s="186"/>
      <c r="J3657" s="184"/>
    </row>
    <row r="3658" spans="2:10">
      <c r="B3658" s="184"/>
      <c r="C3658" s="184"/>
      <c r="D3658" s="184"/>
      <c r="E3658" s="184"/>
      <c r="F3658" s="184"/>
      <c r="I3658" s="186"/>
      <c r="J3658" s="184"/>
    </row>
    <row r="3659" spans="2:10">
      <c r="B3659" s="184"/>
      <c r="C3659" s="184"/>
      <c r="D3659" s="184"/>
      <c r="E3659" s="184"/>
      <c r="F3659" s="184"/>
      <c r="I3659" s="186"/>
      <c r="J3659" s="184"/>
    </row>
    <row r="3660" spans="2:10">
      <c r="B3660" s="184"/>
      <c r="C3660" s="184"/>
      <c r="D3660" s="184"/>
      <c r="E3660" s="184"/>
      <c r="F3660" s="184"/>
      <c r="I3660" s="186"/>
      <c r="J3660" s="184"/>
    </row>
    <row r="3661" spans="2:10">
      <c r="B3661" s="184"/>
      <c r="C3661" s="184"/>
      <c r="D3661" s="184"/>
      <c r="E3661" s="184"/>
      <c r="F3661" s="184"/>
      <c r="I3661" s="186"/>
      <c r="J3661" s="184"/>
    </row>
    <row r="3662" spans="2:10">
      <c r="B3662" s="184"/>
      <c r="C3662" s="184"/>
      <c r="D3662" s="184"/>
      <c r="E3662" s="184"/>
      <c r="F3662" s="184"/>
      <c r="I3662" s="186"/>
      <c r="J3662" s="184"/>
    </row>
    <row r="3663" spans="2:10">
      <c r="B3663" s="184"/>
      <c r="C3663" s="184"/>
      <c r="D3663" s="184"/>
      <c r="E3663" s="184"/>
      <c r="F3663" s="184"/>
      <c r="I3663" s="186"/>
      <c r="J3663" s="184"/>
    </row>
    <row r="3664" spans="2:10">
      <c r="B3664" s="184"/>
      <c r="C3664" s="184"/>
      <c r="D3664" s="184"/>
      <c r="E3664" s="184"/>
      <c r="F3664" s="184"/>
      <c r="I3664" s="186"/>
      <c r="J3664" s="184"/>
    </row>
    <row r="3665" spans="2:10">
      <c r="B3665" s="184"/>
      <c r="C3665" s="184"/>
      <c r="D3665" s="184"/>
      <c r="E3665" s="184"/>
      <c r="F3665" s="184"/>
      <c r="I3665" s="186"/>
      <c r="J3665" s="184"/>
    </row>
    <row r="3666" spans="2:10">
      <c r="B3666" s="184"/>
      <c r="C3666" s="184"/>
      <c r="D3666" s="184"/>
      <c r="E3666" s="184"/>
      <c r="F3666" s="184"/>
      <c r="I3666" s="186"/>
      <c r="J3666" s="184"/>
    </row>
    <row r="3667" spans="2:10">
      <c r="B3667" s="184"/>
      <c r="C3667" s="184"/>
      <c r="D3667" s="184"/>
      <c r="E3667" s="184"/>
      <c r="F3667" s="184"/>
      <c r="I3667" s="186"/>
      <c r="J3667" s="184"/>
    </row>
    <row r="3668" spans="2:10">
      <c r="B3668" s="184"/>
      <c r="C3668" s="184"/>
      <c r="D3668" s="184"/>
      <c r="E3668" s="184"/>
      <c r="F3668" s="184"/>
      <c r="I3668" s="186"/>
      <c r="J3668" s="184"/>
    </row>
    <row r="3669" spans="2:10">
      <c r="B3669" s="184"/>
      <c r="C3669" s="184"/>
      <c r="D3669" s="184"/>
      <c r="E3669" s="184"/>
      <c r="F3669" s="184"/>
      <c r="I3669" s="186"/>
      <c r="J3669" s="184"/>
    </row>
    <row r="3670" spans="2:10">
      <c r="B3670" s="184"/>
      <c r="C3670" s="184"/>
      <c r="D3670" s="184"/>
      <c r="E3670" s="184"/>
      <c r="F3670" s="184"/>
      <c r="I3670" s="186"/>
      <c r="J3670" s="184"/>
    </row>
    <row r="3671" spans="2:10">
      <c r="B3671" s="184"/>
      <c r="C3671" s="184"/>
      <c r="D3671" s="184"/>
      <c r="E3671" s="184"/>
      <c r="F3671" s="184"/>
      <c r="I3671" s="186"/>
      <c r="J3671" s="184"/>
    </row>
    <row r="3672" spans="2:10">
      <c r="B3672" s="184"/>
      <c r="C3672" s="184"/>
      <c r="D3672" s="184"/>
      <c r="E3672" s="184"/>
      <c r="F3672" s="184"/>
      <c r="I3672" s="186"/>
      <c r="J3672" s="184"/>
    </row>
    <row r="3673" spans="2:10">
      <c r="B3673" s="184"/>
      <c r="C3673" s="184"/>
      <c r="D3673" s="184"/>
      <c r="E3673" s="184"/>
      <c r="F3673" s="184"/>
      <c r="I3673" s="186"/>
      <c r="J3673" s="184"/>
    </row>
    <row r="3674" spans="2:10">
      <c r="B3674" s="184"/>
      <c r="C3674" s="184"/>
      <c r="D3674" s="184"/>
      <c r="E3674" s="184"/>
      <c r="F3674" s="184"/>
      <c r="I3674" s="186"/>
      <c r="J3674" s="184"/>
    </row>
    <row r="3675" spans="2:10">
      <c r="B3675" s="184"/>
      <c r="C3675" s="184"/>
      <c r="D3675" s="184"/>
      <c r="E3675" s="184"/>
      <c r="F3675" s="184"/>
      <c r="I3675" s="186"/>
      <c r="J3675" s="184"/>
    </row>
    <row r="3676" spans="2:10">
      <c r="B3676" s="184"/>
      <c r="C3676" s="184"/>
      <c r="D3676" s="184"/>
      <c r="E3676" s="184"/>
      <c r="F3676" s="184"/>
      <c r="I3676" s="186"/>
      <c r="J3676" s="184"/>
    </row>
    <row r="3677" spans="2:10">
      <c r="B3677" s="184"/>
      <c r="C3677" s="184"/>
      <c r="D3677" s="184"/>
      <c r="E3677" s="184"/>
      <c r="F3677" s="184"/>
      <c r="I3677" s="186"/>
      <c r="J3677" s="184"/>
    </row>
    <row r="3678" spans="2:10">
      <c r="B3678" s="184"/>
      <c r="C3678" s="184"/>
      <c r="D3678" s="184"/>
      <c r="E3678" s="184"/>
      <c r="F3678" s="184"/>
      <c r="I3678" s="186"/>
      <c r="J3678" s="184"/>
    </row>
    <row r="3679" spans="2:10">
      <c r="B3679" s="184"/>
      <c r="C3679" s="184"/>
      <c r="D3679" s="184"/>
      <c r="E3679" s="184"/>
      <c r="F3679" s="184"/>
      <c r="I3679" s="186"/>
      <c r="J3679" s="184"/>
    </row>
    <row r="3680" spans="2:10">
      <c r="B3680" s="184"/>
      <c r="C3680" s="184"/>
      <c r="D3680" s="184"/>
      <c r="E3680" s="184"/>
      <c r="F3680" s="184"/>
      <c r="I3680" s="186"/>
      <c r="J3680" s="184"/>
    </row>
    <row r="3681" spans="2:10">
      <c r="B3681" s="184"/>
      <c r="C3681" s="184"/>
      <c r="D3681" s="184"/>
      <c r="E3681" s="184"/>
      <c r="F3681" s="184"/>
      <c r="I3681" s="186"/>
      <c r="J3681" s="184"/>
    </row>
    <row r="3682" spans="2:10">
      <c r="B3682" s="184"/>
      <c r="C3682" s="184"/>
      <c r="D3682" s="184"/>
      <c r="E3682" s="184"/>
      <c r="F3682" s="184"/>
      <c r="I3682" s="186"/>
      <c r="J3682" s="184"/>
    </row>
    <row r="3683" spans="2:10">
      <c r="B3683" s="184"/>
      <c r="C3683" s="184"/>
      <c r="D3683" s="184"/>
      <c r="E3683" s="184"/>
      <c r="F3683" s="184"/>
      <c r="I3683" s="186"/>
      <c r="J3683" s="184"/>
    </row>
    <row r="3684" spans="2:10">
      <c r="B3684" s="184"/>
      <c r="C3684" s="184"/>
      <c r="D3684" s="184"/>
      <c r="E3684" s="184"/>
      <c r="F3684" s="184"/>
      <c r="I3684" s="186"/>
      <c r="J3684" s="184"/>
    </row>
    <row r="3685" spans="2:10">
      <c r="B3685" s="184"/>
      <c r="C3685" s="184"/>
      <c r="D3685" s="184"/>
      <c r="E3685" s="184"/>
      <c r="F3685" s="184"/>
      <c r="I3685" s="186"/>
      <c r="J3685" s="184"/>
    </row>
    <row r="3686" spans="2:10">
      <c r="B3686" s="184"/>
      <c r="C3686" s="184"/>
      <c r="D3686" s="184"/>
      <c r="E3686" s="184"/>
      <c r="F3686" s="184"/>
      <c r="I3686" s="186"/>
      <c r="J3686" s="184"/>
    </row>
    <row r="3687" spans="2:10">
      <c r="B3687" s="184"/>
      <c r="C3687" s="184"/>
      <c r="D3687" s="184"/>
      <c r="E3687" s="184"/>
      <c r="F3687" s="184"/>
      <c r="I3687" s="186"/>
      <c r="J3687" s="184"/>
    </row>
    <row r="3688" spans="2:10">
      <c r="B3688" s="184"/>
      <c r="C3688" s="184"/>
      <c r="D3688" s="184"/>
      <c r="E3688" s="184"/>
      <c r="F3688" s="184"/>
      <c r="I3688" s="186"/>
      <c r="J3688" s="184"/>
    </row>
    <row r="3689" spans="2:10">
      <c r="B3689" s="184"/>
      <c r="C3689" s="184"/>
      <c r="D3689" s="184"/>
      <c r="E3689" s="184"/>
      <c r="F3689" s="184"/>
      <c r="I3689" s="186"/>
      <c r="J3689" s="184"/>
    </row>
    <row r="3690" spans="2:10">
      <c r="B3690" s="184"/>
      <c r="C3690" s="184"/>
      <c r="D3690" s="184"/>
      <c r="E3690" s="184"/>
      <c r="F3690" s="184"/>
      <c r="I3690" s="186"/>
      <c r="J3690" s="184"/>
    </row>
    <row r="3691" spans="2:10">
      <c r="B3691" s="184"/>
      <c r="C3691" s="184"/>
      <c r="D3691" s="184"/>
      <c r="E3691" s="184"/>
      <c r="F3691" s="184"/>
      <c r="I3691" s="186"/>
      <c r="J3691" s="184"/>
    </row>
    <row r="3692" spans="2:10">
      <c r="B3692" s="184"/>
      <c r="C3692" s="184"/>
      <c r="D3692" s="184"/>
      <c r="E3692" s="184"/>
      <c r="F3692" s="184"/>
      <c r="I3692" s="186"/>
      <c r="J3692" s="184"/>
    </row>
    <row r="3693" spans="2:10">
      <c r="B3693" s="184"/>
      <c r="C3693" s="184"/>
      <c r="D3693" s="184"/>
      <c r="E3693" s="184"/>
      <c r="F3693" s="184"/>
      <c r="I3693" s="186"/>
      <c r="J3693" s="184"/>
    </row>
    <row r="3694" spans="2:10">
      <c r="B3694" s="184"/>
      <c r="C3694" s="184"/>
      <c r="D3694" s="184"/>
      <c r="E3694" s="184"/>
      <c r="F3694" s="184"/>
      <c r="I3694" s="186"/>
      <c r="J3694" s="184"/>
    </row>
    <row r="3695" spans="2:10">
      <c r="B3695" s="184"/>
      <c r="C3695" s="184"/>
      <c r="D3695" s="184"/>
      <c r="E3695" s="184"/>
      <c r="F3695" s="184"/>
      <c r="I3695" s="186"/>
      <c r="J3695" s="184"/>
    </row>
    <row r="3696" spans="2:10">
      <c r="B3696" s="184"/>
      <c r="C3696" s="184"/>
      <c r="D3696" s="184"/>
      <c r="E3696" s="184"/>
      <c r="F3696" s="184"/>
      <c r="I3696" s="186"/>
      <c r="J3696" s="184"/>
    </row>
    <row r="3697" spans="2:10">
      <c r="B3697" s="184"/>
      <c r="C3697" s="184"/>
      <c r="D3697" s="184"/>
      <c r="E3697" s="184"/>
      <c r="F3697" s="184"/>
      <c r="I3697" s="186"/>
      <c r="J3697" s="184"/>
    </row>
    <row r="3698" spans="2:10">
      <c r="B3698" s="184"/>
      <c r="C3698" s="184"/>
      <c r="D3698" s="184"/>
      <c r="E3698" s="184"/>
      <c r="F3698" s="184"/>
      <c r="I3698" s="186"/>
      <c r="J3698" s="184"/>
    </row>
    <row r="3699" spans="2:10">
      <c r="B3699" s="184"/>
      <c r="C3699" s="184"/>
      <c r="D3699" s="184"/>
      <c r="E3699" s="184"/>
      <c r="F3699" s="184"/>
      <c r="I3699" s="186"/>
      <c r="J3699" s="184"/>
    </row>
    <row r="3700" spans="2:10">
      <c r="B3700" s="184"/>
      <c r="C3700" s="184"/>
      <c r="D3700" s="184"/>
      <c r="E3700" s="184"/>
      <c r="F3700" s="184"/>
      <c r="I3700" s="186"/>
      <c r="J3700" s="184"/>
    </row>
    <row r="3701" spans="2:10">
      <c r="B3701" s="184"/>
      <c r="C3701" s="184"/>
      <c r="D3701" s="184"/>
      <c r="E3701" s="184"/>
      <c r="F3701" s="184"/>
      <c r="I3701" s="186"/>
      <c r="J3701" s="184"/>
    </row>
    <row r="3702" spans="2:10">
      <c r="B3702" s="184"/>
      <c r="C3702" s="184"/>
      <c r="D3702" s="184"/>
      <c r="E3702" s="184"/>
      <c r="F3702" s="184"/>
      <c r="I3702" s="186"/>
      <c r="J3702" s="184"/>
    </row>
    <row r="3703" spans="2:10">
      <c r="B3703" s="184"/>
      <c r="C3703" s="184"/>
      <c r="D3703" s="184"/>
      <c r="E3703" s="184"/>
      <c r="F3703" s="184"/>
      <c r="I3703" s="186"/>
      <c r="J3703" s="184"/>
    </row>
    <row r="3704" spans="2:10">
      <c r="B3704" s="184"/>
      <c r="C3704" s="184"/>
      <c r="D3704" s="184"/>
      <c r="E3704" s="184"/>
      <c r="F3704" s="184"/>
      <c r="I3704" s="186"/>
      <c r="J3704" s="184"/>
    </row>
    <row r="3705" spans="2:10">
      <c r="B3705" s="184"/>
      <c r="C3705" s="184"/>
      <c r="D3705" s="184"/>
      <c r="E3705" s="184"/>
      <c r="F3705" s="184"/>
      <c r="I3705" s="186"/>
      <c r="J3705" s="184"/>
    </row>
    <row r="3706" spans="2:10">
      <c r="B3706" s="184"/>
      <c r="C3706" s="184"/>
      <c r="D3706" s="184"/>
      <c r="E3706" s="184"/>
      <c r="F3706" s="184"/>
      <c r="I3706" s="186"/>
      <c r="J3706" s="184"/>
    </row>
    <row r="3707" spans="2:10">
      <c r="B3707" s="184"/>
      <c r="C3707" s="184"/>
      <c r="D3707" s="184"/>
      <c r="E3707" s="184"/>
      <c r="F3707" s="184"/>
      <c r="I3707" s="186"/>
      <c r="J3707" s="184"/>
    </row>
    <row r="3708" spans="2:10">
      <c r="B3708" s="184"/>
      <c r="C3708" s="184"/>
      <c r="D3708" s="184"/>
      <c r="E3708" s="184"/>
      <c r="F3708" s="184"/>
      <c r="I3708" s="186"/>
      <c r="J3708" s="184"/>
    </row>
    <row r="3709" spans="2:10">
      <c r="B3709" s="184"/>
      <c r="C3709" s="184"/>
      <c r="D3709" s="184"/>
      <c r="E3709" s="184"/>
      <c r="F3709" s="184"/>
      <c r="I3709" s="186"/>
      <c r="J3709" s="184"/>
    </row>
    <row r="3710" spans="2:10">
      <c r="B3710" s="184"/>
      <c r="C3710" s="184"/>
      <c r="D3710" s="184"/>
      <c r="E3710" s="184"/>
      <c r="F3710" s="184"/>
      <c r="I3710" s="186"/>
      <c r="J3710" s="184"/>
    </row>
    <row r="3711" spans="2:10">
      <c r="B3711" s="184"/>
      <c r="C3711" s="184"/>
      <c r="D3711" s="184"/>
      <c r="E3711" s="184"/>
      <c r="F3711" s="184"/>
      <c r="I3711" s="186"/>
      <c r="J3711" s="184"/>
    </row>
    <row r="3712" spans="2:10">
      <c r="B3712" s="184"/>
      <c r="C3712" s="184"/>
      <c r="D3712" s="184"/>
      <c r="E3712" s="184"/>
      <c r="F3712" s="184"/>
      <c r="G3712" s="187"/>
      <c r="I3712" s="186"/>
      <c r="J3712" s="184"/>
    </row>
    <row r="3713" spans="2:10">
      <c r="B3713" s="184"/>
      <c r="C3713" s="184"/>
      <c r="D3713" s="184"/>
      <c r="E3713" s="184"/>
      <c r="F3713" s="184"/>
      <c r="I3713" s="186"/>
      <c r="J3713" s="184"/>
    </row>
    <row r="3714" spans="2:10">
      <c r="B3714" s="184"/>
      <c r="C3714" s="184"/>
      <c r="D3714" s="184"/>
      <c r="E3714" s="184"/>
      <c r="F3714" s="184"/>
      <c r="I3714" s="186"/>
      <c r="J3714" s="184"/>
    </row>
    <row r="3715" spans="2:10">
      <c r="B3715" s="184"/>
      <c r="C3715" s="184"/>
      <c r="D3715" s="184"/>
      <c r="E3715" s="184"/>
      <c r="F3715" s="184"/>
      <c r="I3715" s="186"/>
      <c r="J3715" s="184"/>
    </row>
    <row r="3716" spans="2:10">
      <c r="B3716" s="184"/>
      <c r="C3716" s="184"/>
      <c r="D3716" s="184"/>
      <c r="E3716" s="184"/>
      <c r="F3716" s="184"/>
      <c r="I3716" s="186"/>
      <c r="J3716" s="184"/>
    </row>
    <row r="3717" spans="2:10">
      <c r="B3717" s="184"/>
      <c r="C3717" s="184"/>
      <c r="D3717" s="184"/>
      <c r="E3717" s="184"/>
      <c r="F3717" s="184"/>
      <c r="I3717" s="186"/>
      <c r="J3717" s="184"/>
    </row>
    <row r="3718" spans="2:10">
      <c r="B3718" s="184"/>
      <c r="C3718" s="184"/>
      <c r="D3718" s="184"/>
      <c r="E3718" s="184"/>
      <c r="F3718" s="184"/>
      <c r="I3718" s="186"/>
      <c r="J3718" s="184"/>
    </row>
    <row r="3719" spans="2:10">
      <c r="B3719" s="184"/>
      <c r="C3719" s="184"/>
      <c r="D3719" s="184"/>
      <c r="E3719" s="184"/>
      <c r="F3719" s="184"/>
      <c r="I3719" s="186"/>
      <c r="J3719" s="184"/>
    </row>
    <row r="3720" spans="2:10">
      <c r="B3720" s="184"/>
      <c r="C3720" s="184"/>
      <c r="D3720" s="184"/>
      <c r="E3720" s="184"/>
      <c r="F3720" s="184"/>
      <c r="I3720" s="186"/>
      <c r="J3720" s="184"/>
    </row>
    <row r="3721" spans="2:10">
      <c r="B3721" s="184"/>
      <c r="C3721" s="184"/>
      <c r="D3721" s="184"/>
      <c r="E3721" s="184"/>
      <c r="F3721" s="184"/>
      <c r="I3721" s="186"/>
      <c r="J3721" s="184"/>
    </row>
    <row r="3722" spans="2:10">
      <c r="B3722" s="184"/>
      <c r="C3722" s="184"/>
      <c r="D3722" s="184"/>
      <c r="E3722" s="184"/>
      <c r="F3722" s="184"/>
      <c r="I3722" s="186"/>
      <c r="J3722" s="184"/>
    </row>
    <row r="3723" spans="2:10">
      <c r="B3723" s="184"/>
      <c r="C3723" s="184"/>
      <c r="D3723" s="184"/>
      <c r="E3723" s="184"/>
      <c r="F3723" s="184"/>
      <c r="I3723" s="186"/>
      <c r="J3723" s="184"/>
    </row>
    <row r="3724" spans="2:10">
      <c r="B3724" s="184"/>
      <c r="C3724" s="184"/>
      <c r="D3724" s="184"/>
      <c r="E3724" s="184"/>
      <c r="F3724" s="184"/>
      <c r="I3724" s="186"/>
      <c r="J3724" s="184"/>
    </row>
    <row r="3725" spans="2:10">
      <c r="B3725" s="184"/>
      <c r="C3725" s="184"/>
      <c r="D3725" s="184"/>
      <c r="E3725" s="184"/>
      <c r="F3725" s="184"/>
      <c r="I3725" s="186"/>
      <c r="J3725" s="184"/>
    </row>
    <row r="3726" spans="2:10">
      <c r="B3726" s="184"/>
      <c r="C3726" s="184"/>
      <c r="D3726" s="184"/>
      <c r="E3726" s="184"/>
      <c r="F3726" s="184"/>
      <c r="I3726" s="186"/>
      <c r="J3726" s="184"/>
    </row>
    <row r="3727" spans="2:10">
      <c r="B3727" s="184"/>
      <c r="C3727" s="184"/>
      <c r="D3727" s="184"/>
      <c r="E3727" s="184"/>
      <c r="F3727" s="184"/>
      <c r="I3727" s="186"/>
      <c r="J3727" s="184"/>
    </row>
    <row r="3728" spans="2:10">
      <c r="B3728" s="184"/>
      <c r="C3728" s="184"/>
      <c r="D3728" s="184"/>
      <c r="E3728" s="184"/>
      <c r="F3728" s="184"/>
      <c r="I3728" s="186"/>
      <c r="J3728" s="184"/>
    </row>
    <row r="3729" spans="2:10">
      <c r="B3729" s="184"/>
      <c r="C3729" s="184"/>
      <c r="D3729" s="184"/>
      <c r="E3729" s="184"/>
      <c r="F3729" s="184"/>
      <c r="I3729" s="186"/>
      <c r="J3729" s="184"/>
    </row>
    <row r="3730" spans="2:10">
      <c r="B3730" s="184"/>
      <c r="C3730" s="184"/>
      <c r="D3730" s="184"/>
      <c r="E3730" s="184"/>
      <c r="F3730" s="184"/>
      <c r="I3730" s="186"/>
      <c r="J3730" s="184"/>
    </row>
    <row r="3731" spans="2:10">
      <c r="B3731" s="184"/>
      <c r="C3731" s="184"/>
      <c r="D3731" s="184"/>
      <c r="E3731" s="184"/>
      <c r="F3731" s="184"/>
      <c r="I3731" s="186"/>
      <c r="J3731" s="184"/>
    </row>
    <row r="3732" spans="2:10">
      <c r="B3732" s="184"/>
      <c r="C3732" s="184"/>
      <c r="D3732" s="184"/>
      <c r="E3732" s="184"/>
      <c r="F3732" s="184"/>
      <c r="I3732" s="186"/>
      <c r="J3732" s="184"/>
    </row>
    <row r="3733" spans="2:10">
      <c r="B3733" s="184"/>
      <c r="C3733" s="184"/>
      <c r="D3733" s="184"/>
      <c r="E3733" s="184"/>
      <c r="F3733" s="184"/>
      <c r="I3733" s="186"/>
      <c r="J3733" s="184"/>
    </row>
    <row r="3734" spans="2:10">
      <c r="B3734" s="184"/>
      <c r="C3734" s="184"/>
      <c r="D3734" s="184"/>
      <c r="E3734" s="184"/>
      <c r="F3734" s="184"/>
      <c r="I3734" s="186"/>
      <c r="J3734" s="184"/>
    </row>
    <row r="3735" spans="2:10">
      <c r="B3735" s="184"/>
      <c r="C3735" s="184"/>
      <c r="D3735" s="184"/>
      <c r="E3735" s="184"/>
      <c r="F3735" s="184"/>
      <c r="I3735" s="186"/>
      <c r="J3735" s="184"/>
    </row>
    <row r="3736" spans="2:10">
      <c r="B3736" s="184"/>
      <c r="C3736" s="184"/>
      <c r="D3736" s="184"/>
      <c r="E3736" s="184"/>
      <c r="F3736" s="184"/>
      <c r="I3736" s="186"/>
      <c r="J3736" s="184"/>
    </row>
    <row r="3737" spans="2:10">
      <c r="B3737" s="184"/>
      <c r="C3737" s="184"/>
      <c r="D3737" s="184"/>
      <c r="E3737" s="184"/>
      <c r="F3737" s="184"/>
      <c r="I3737" s="186"/>
      <c r="J3737" s="184"/>
    </row>
    <row r="3738" spans="2:10">
      <c r="B3738" s="184"/>
      <c r="C3738" s="184"/>
      <c r="D3738" s="184"/>
      <c r="E3738" s="184"/>
      <c r="F3738" s="184"/>
      <c r="I3738" s="186"/>
      <c r="J3738" s="184"/>
    </row>
    <row r="3739" spans="2:10">
      <c r="B3739" s="184"/>
      <c r="C3739" s="184"/>
      <c r="D3739" s="184"/>
      <c r="E3739" s="184"/>
      <c r="F3739" s="184"/>
      <c r="I3739" s="186"/>
      <c r="J3739" s="184"/>
    </row>
    <row r="3740" spans="2:10">
      <c r="B3740" s="184"/>
      <c r="C3740" s="184"/>
      <c r="D3740" s="184"/>
      <c r="E3740" s="184"/>
      <c r="F3740" s="184"/>
      <c r="I3740" s="186"/>
      <c r="J3740" s="184"/>
    </row>
    <row r="3741" spans="2:10">
      <c r="B3741" s="184"/>
      <c r="C3741" s="184"/>
      <c r="D3741" s="184"/>
      <c r="E3741" s="184"/>
      <c r="F3741" s="184"/>
      <c r="I3741" s="186"/>
      <c r="J3741" s="184"/>
    </row>
    <row r="3742" spans="2:10">
      <c r="B3742" s="184"/>
      <c r="C3742" s="184"/>
      <c r="D3742" s="184"/>
      <c r="E3742" s="184"/>
      <c r="F3742" s="184"/>
      <c r="I3742" s="186"/>
      <c r="J3742" s="184"/>
    </row>
    <row r="3743" spans="2:10">
      <c r="B3743" s="184"/>
      <c r="C3743" s="184"/>
      <c r="D3743" s="184"/>
      <c r="E3743" s="184"/>
      <c r="F3743" s="184"/>
      <c r="I3743" s="186"/>
      <c r="J3743" s="184"/>
    </row>
    <row r="3744" spans="2:10">
      <c r="B3744" s="184"/>
      <c r="C3744" s="184"/>
      <c r="D3744" s="184"/>
      <c r="E3744" s="184"/>
      <c r="F3744" s="184"/>
      <c r="I3744" s="186"/>
      <c r="J3744" s="184"/>
    </row>
    <row r="3745" spans="2:10">
      <c r="B3745" s="184"/>
      <c r="C3745" s="184"/>
      <c r="D3745" s="184"/>
      <c r="E3745" s="184"/>
      <c r="F3745" s="184"/>
      <c r="I3745" s="186"/>
      <c r="J3745" s="184"/>
    </row>
    <row r="3746" spans="2:10">
      <c r="B3746" s="184"/>
      <c r="C3746" s="184"/>
      <c r="D3746" s="184"/>
      <c r="E3746" s="184"/>
      <c r="F3746" s="184"/>
      <c r="I3746" s="186"/>
      <c r="J3746" s="184"/>
    </row>
    <row r="3747" spans="2:10">
      <c r="B3747" s="184"/>
      <c r="C3747" s="184"/>
      <c r="D3747" s="184"/>
      <c r="E3747" s="184"/>
      <c r="F3747" s="184"/>
      <c r="I3747" s="186"/>
      <c r="J3747" s="184"/>
    </row>
    <row r="3748" spans="2:10">
      <c r="B3748" s="184"/>
      <c r="C3748" s="184"/>
      <c r="D3748" s="184"/>
      <c r="E3748" s="184"/>
      <c r="F3748" s="184"/>
      <c r="I3748" s="186"/>
      <c r="J3748" s="184"/>
    </row>
    <row r="3749" spans="2:10">
      <c r="B3749" s="184"/>
      <c r="C3749" s="184"/>
      <c r="D3749" s="184"/>
      <c r="E3749" s="184"/>
      <c r="F3749" s="184"/>
      <c r="I3749" s="186"/>
      <c r="J3749" s="184"/>
    </row>
    <row r="3750" spans="2:10">
      <c r="B3750" s="184"/>
      <c r="C3750" s="184"/>
      <c r="D3750" s="184"/>
      <c r="E3750" s="184"/>
      <c r="F3750" s="184"/>
      <c r="I3750" s="186"/>
      <c r="J3750" s="184"/>
    </row>
    <row r="3751" spans="2:10">
      <c r="B3751" s="184"/>
      <c r="C3751" s="184"/>
      <c r="D3751" s="184"/>
      <c r="E3751" s="184"/>
      <c r="F3751" s="184"/>
      <c r="I3751" s="186"/>
      <c r="J3751" s="184"/>
    </row>
    <row r="3752" spans="2:10">
      <c r="B3752" s="184"/>
      <c r="C3752" s="184"/>
      <c r="D3752" s="184"/>
      <c r="E3752" s="184"/>
      <c r="F3752" s="184"/>
      <c r="I3752" s="186"/>
      <c r="J3752" s="184"/>
    </row>
    <row r="3753" spans="2:10">
      <c r="B3753" s="184"/>
      <c r="C3753" s="184"/>
      <c r="D3753" s="184"/>
      <c r="E3753" s="184"/>
      <c r="F3753" s="184"/>
      <c r="I3753" s="186"/>
      <c r="J3753" s="184"/>
    </row>
    <row r="3754" spans="2:10">
      <c r="B3754" s="184"/>
      <c r="C3754" s="184"/>
      <c r="D3754" s="184"/>
      <c r="E3754" s="184"/>
      <c r="F3754" s="184"/>
      <c r="I3754" s="186"/>
      <c r="J3754" s="184"/>
    </row>
    <row r="3755" spans="2:10">
      <c r="B3755" s="184"/>
      <c r="C3755" s="184"/>
      <c r="D3755" s="184"/>
      <c r="E3755" s="184"/>
      <c r="F3755" s="184"/>
      <c r="I3755" s="186"/>
      <c r="J3755" s="184"/>
    </row>
    <row r="3756" spans="2:10">
      <c r="B3756" s="184"/>
      <c r="C3756" s="184"/>
      <c r="D3756" s="184"/>
      <c r="E3756" s="184"/>
      <c r="F3756" s="184"/>
      <c r="I3756" s="186"/>
      <c r="J3756" s="184"/>
    </row>
    <row r="3757" spans="2:10">
      <c r="B3757" s="184"/>
      <c r="C3757" s="184"/>
      <c r="D3757" s="184"/>
      <c r="E3757" s="184"/>
      <c r="F3757" s="184"/>
      <c r="I3757" s="186"/>
      <c r="J3757" s="184"/>
    </row>
    <row r="3758" spans="2:10">
      <c r="B3758" s="184"/>
      <c r="C3758" s="184"/>
      <c r="D3758" s="184"/>
      <c r="E3758" s="184"/>
      <c r="F3758" s="184"/>
      <c r="I3758" s="186"/>
      <c r="J3758" s="184"/>
    </row>
    <row r="3759" spans="2:10">
      <c r="B3759" s="184"/>
      <c r="C3759" s="184"/>
      <c r="D3759" s="184"/>
      <c r="E3759" s="184"/>
      <c r="F3759" s="184"/>
      <c r="I3759" s="186"/>
      <c r="J3759" s="184"/>
    </row>
    <row r="3760" spans="2:10">
      <c r="B3760" s="184"/>
      <c r="C3760" s="184"/>
      <c r="D3760" s="184"/>
      <c r="E3760" s="184"/>
      <c r="F3760" s="184"/>
      <c r="I3760" s="186"/>
      <c r="J3760" s="184"/>
    </row>
    <row r="3761" spans="2:10">
      <c r="B3761" s="184"/>
      <c r="C3761" s="184"/>
      <c r="D3761" s="184"/>
      <c r="E3761" s="184"/>
      <c r="F3761" s="184"/>
      <c r="G3761" s="187"/>
      <c r="I3761" s="186"/>
      <c r="J3761" s="184"/>
    </row>
    <row r="3762" spans="2:10">
      <c r="B3762" s="184"/>
      <c r="C3762" s="184"/>
      <c r="D3762" s="184"/>
      <c r="E3762" s="184"/>
      <c r="F3762" s="184"/>
      <c r="G3762" s="187"/>
      <c r="I3762" s="186"/>
      <c r="J3762" s="184"/>
    </row>
    <row r="3763" spans="2:10">
      <c r="B3763" s="184"/>
      <c r="C3763" s="184"/>
      <c r="D3763" s="184"/>
      <c r="E3763" s="184"/>
      <c r="F3763" s="184"/>
      <c r="G3763" s="187"/>
      <c r="I3763" s="186"/>
      <c r="J3763" s="184"/>
    </row>
    <row r="3764" spans="2:10">
      <c r="B3764" s="184"/>
      <c r="C3764" s="184"/>
      <c r="D3764" s="184"/>
      <c r="E3764" s="184"/>
      <c r="F3764" s="184"/>
      <c r="I3764" s="186"/>
      <c r="J3764" s="184"/>
    </row>
    <row r="3765" spans="2:10">
      <c r="B3765" s="184"/>
      <c r="C3765" s="184"/>
      <c r="D3765" s="184"/>
      <c r="E3765" s="184"/>
      <c r="F3765" s="184"/>
      <c r="I3765" s="186"/>
      <c r="J3765" s="184"/>
    </row>
    <row r="3766" spans="2:10">
      <c r="B3766" s="184"/>
      <c r="C3766" s="184"/>
      <c r="D3766" s="184"/>
      <c r="E3766" s="184"/>
      <c r="F3766" s="184"/>
      <c r="I3766" s="186"/>
      <c r="J3766" s="184"/>
    </row>
    <row r="3767" spans="2:10">
      <c r="B3767" s="184"/>
      <c r="C3767" s="184"/>
      <c r="D3767" s="184"/>
      <c r="E3767" s="184"/>
      <c r="F3767" s="184"/>
      <c r="I3767" s="186"/>
      <c r="J3767" s="184"/>
    </row>
    <row r="3768" spans="2:10">
      <c r="B3768" s="184"/>
      <c r="C3768" s="184"/>
      <c r="D3768" s="184"/>
      <c r="E3768" s="184"/>
      <c r="F3768" s="184"/>
      <c r="I3768" s="186"/>
      <c r="J3768" s="184"/>
    </row>
    <row r="3769" spans="2:10">
      <c r="B3769" s="184"/>
      <c r="C3769" s="184"/>
      <c r="D3769" s="184"/>
      <c r="E3769" s="184"/>
      <c r="F3769" s="184"/>
      <c r="I3769" s="186"/>
      <c r="J3769" s="184"/>
    </row>
    <row r="3770" spans="2:10">
      <c r="B3770" s="184"/>
      <c r="C3770" s="184"/>
      <c r="D3770" s="184"/>
      <c r="E3770" s="184"/>
      <c r="F3770" s="184"/>
      <c r="I3770" s="186"/>
      <c r="J3770" s="184"/>
    </row>
    <row r="3771" spans="2:10">
      <c r="B3771" s="184"/>
      <c r="C3771" s="184"/>
      <c r="D3771" s="184"/>
      <c r="E3771" s="184"/>
      <c r="F3771" s="184"/>
      <c r="I3771" s="186"/>
      <c r="J3771" s="184"/>
    </row>
    <row r="3772" spans="2:10">
      <c r="B3772" s="184"/>
      <c r="C3772" s="184"/>
      <c r="D3772" s="184"/>
      <c r="E3772" s="184"/>
      <c r="F3772" s="184"/>
      <c r="I3772" s="186"/>
      <c r="J3772" s="184"/>
    </row>
    <row r="3773" spans="2:10">
      <c r="B3773" s="184"/>
      <c r="C3773" s="184"/>
      <c r="D3773" s="184"/>
      <c r="E3773" s="184"/>
      <c r="F3773" s="184"/>
      <c r="I3773" s="186"/>
      <c r="J3773" s="184"/>
    </row>
    <row r="3774" spans="2:10">
      <c r="B3774" s="184"/>
      <c r="C3774" s="184"/>
      <c r="D3774" s="184"/>
      <c r="E3774" s="184"/>
      <c r="F3774" s="184"/>
      <c r="G3774" s="187"/>
      <c r="I3774" s="186"/>
      <c r="J3774" s="184"/>
    </row>
    <row r="3775" spans="2:10">
      <c r="B3775" s="184"/>
      <c r="C3775" s="184"/>
      <c r="D3775" s="184"/>
      <c r="E3775" s="184"/>
      <c r="F3775" s="184"/>
      <c r="I3775" s="186"/>
      <c r="J3775" s="184"/>
    </row>
    <row r="3776" spans="2:10">
      <c r="B3776" s="184"/>
      <c r="C3776" s="184"/>
      <c r="D3776" s="184"/>
      <c r="E3776" s="184"/>
      <c r="F3776" s="184"/>
      <c r="I3776" s="186"/>
      <c r="J3776" s="184"/>
    </row>
    <row r="3777" spans="2:10">
      <c r="B3777" s="184"/>
      <c r="C3777" s="184"/>
      <c r="D3777" s="184"/>
      <c r="E3777" s="184"/>
      <c r="F3777" s="184"/>
      <c r="I3777" s="186"/>
      <c r="J3777" s="184"/>
    </row>
    <row r="3778" spans="2:10">
      <c r="B3778" s="184"/>
      <c r="C3778" s="184"/>
      <c r="D3778" s="184"/>
      <c r="E3778" s="184"/>
      <c r="F3778" s="184"/>
      <c r="I3778" s="186"/>
      <c r="J3778" s="184"/>
    </row>
    <row r="3779" spans="2:10">
      <c r="B3779" s="184"/>
      <c r="C3779" s="184"/>
      <c r="D3779" s="184"/>
      <c r="E3779" s="184"/>
      <c r="F3779" s="184"/>
      <c r="I3779" s="186"/>
      <c r="J3779" s="184"/>
    </row>
    <row r="3780" spans="2:10">
      <c r="B3780" s="184"/>
      <c r="C3780" s="184"/>
      <c r="D3780" s="184"/>
      <c r="E3780" s="184"/>
      <c r="F3780" s="184"/>
      <c r="I3780" s="186"/>
      <c r="J3780" s="184"/>
    </row>
    <row r="3781" spans="2:10">
      <c r="B3781" s="184"/>
      <c r="C3781" s="184"/>
      <c r="D3781" s="184"/>
      <c r="E3781" s="184"/>
      <c r="F3781" s="184"/>
      <c r="I3781" s="186"/>
      <c r="J3781" s="184"/>
    </row>
    <row r="3782" spans="2:10">
      <c r="B3782" s="184"/>
      <c r="C3782" s="184"/>
      <c r="D3782" s="184"/>
      <c r="E3782" s="184"/>
      <c r="F3782" s="184"/>
      <c r="I3782" s="186"/>
      <c r="J3782" s="184"/>
    </row>
    <row r="3783" spans="2:10">
      <c r="B3783" s="184"/>
      <c r="C3783" s="184"/>
      <c r="D3783" s="184"/>
      <c r="E3783" s="184"/>
      <c r="F3783" s="184"/>
      <c r="I3783" s="186"/>
      <c r="J3783" s="184"/>
    </row>
    <row r="3784" spans="2:10">
      <c r="B3784" s="184"/>
      <c r="C3784" s="184"/>
      <c r="D3784" s="184"/>
      <c r="E3784" s="184"/>
      <c r="F3784" s="184"/>
      <c r="I3784" s="186"/>
      <c r="J3784" s="184"/>
    </row>
    <row r="3785" spans="2:10">
      <c r="B3785" s="184"/>
      <c r="C3785" s="184"/>
      <c r="D3785" s="184"/>
      <c r="E3785" s="184"/>
      <c r="F3785" s="184"/>
      <c r="I3785" s="186"/>
      <c r="J3785" s="184"/>
    </row>
    <row r="3786" spans="2:10">
      <c r="B3786" s="184"/>
      <c r="C3786" s="184"/>
      <c r="D3786" s="184"/>
      <c r="E3786" s="184"/>
      <c r="F3786" s="184"/>
      <c r="I3786" s="186"/>
      <c r="J3786" s="184"/>
    </row>
    <row r="3787" spans="2:10">
      <c r="B3787" s="184"/>
      <c r="C3787" s="184"/>
      <c r="D3787" s="184"/>
      <c r="E3787" s="184"/>
      <c r="F3787" s="184"/>
      <c r="I3787" s="186"/>
      <c r="J3787" s="184"/>
    </row>
    <row r="3788" spans="2:10">
      <c r="B3788" s="184"/>
      <c r="C3788" s="184"/>
      <c r="D3788" s="184"/>
      <c r="E3788" s="184"/>
      <c r="F3788" s="184"/>
      <c r="I3788" s="186"/>
      <c r="J3788" s="184"/>
    </row>
    <row r="3789" spans="2:10">
      <c r="B3789" s="184"/>
      <c r="C3789" s="184"/>
      <c r="D3789" s="184"/>
      <c r="E3789" s="184"/>
      <c r="F3789" s="184"/>
      <c r="I3789" s="186"/>
      <c r="J3789" s="184"/>
    </row>
    <row r="3790" spans="2:10">
      <c r="B3790" s="184"/>
      <c r="C3790" s="184"/>
      <c r="D3790" s="184"/>
      <c r="E3790" s="184"/>
      <c r="F3790" s="184"/>
      <c r="I3790" s="186"/>
      <c r="J3790" s="184"/>
    </row>
    <row r="3791" spans="2:10">
      <c r="B3791" s="184"/>
      <c r="C3791" s="184"/>
      <c r="D3791" s="184"/>
      <c r="E3791" s="184"/>
      <c r="F3791" s="184"/>
      <c r="I3791" s="186"/>
      <c r="J3791" s="184"/>
    </row>
    <row r="3792" spans="2:10">
      <c r="B3792" s="184"/>
      <c r="C3792" s="184"/>
      <c r="D3792" s="184"/>
      <c r="E3792" s="184"/>
      <c r="F3792" s="184"/>
      <c r="I3792" s="186"/>
      <c r="J3792" s="184"/>
    </row>
    <row r="3793" spans="2:10">
      <c r="B3793" s="184"/>
      <c r="C3793" s="184"/>
      <c r="D3793" s="184"/>
      <c r="E3793" s="184"/>
      <c r="F3793" s="184"/>
      <c r="I3793" s="186"/>
      <c r="J3793" s="184"/>
    </row>
    <row r="3794" spans="2:10">
      <c r="B3794" s="184"/>
      <c r="C3794" s="184"/>
      <c r="D3794" s="184"/>
      <c r="E3794" s="184"/>
      <c r="F3794" s="184"/>
      <c r="I3794" s="186"/>
      <c r="J3794" s="184"/>
    </row>
    <row r="3795" spans="2:10">
      <c r="B3795" s="184"/>
      <c r="C3795" s="184"/>
      <c r="D3795" s="184"/>
      <c r="E3795" s="184"/>
      <c r="F3795" s="184"/>
      <c r="I3795" s="186"/>
      <c r="J3795" s="184"/>
    </row>
    <row r="3796" spans="2:10">
      <c r="B3796" s="184"/>
      <c r="C3796" s="184"/>
      <c r="D3796" s="184"/>
      <c r="E3796" s="184"/>
      <c r="F3796" s="184"/>
      <c r="I3796" s="186"/>
      <c r="J3796" s="184"/>
    </row>
    <row r="3797" spans="2:10">
      <c r="B3797" s="184"/>
      <c r="C3797" s="184"/>
      <c r="D3797" s="184"/>
      <c r="E3797" s="184"/>
      <c r="F3797" s="184"/>
      <c r="I3797" s="186"/>
      <c r="J3797" s="184"/>
    </row>
    <row r="3798" spans="2:10">
      <c r="B3798" s="184"/>
      <c r="C3798" s="184"/>
      <c r="D3798" s="184"/>
      <c r="E3798" s="184"/>
      <c r="F3798" s="184"/>
      <c r="I3798" s="186"/>
      <c r="J3798" s="184"/>
    </row>
    <row r="3799" spans="2:10">
      <c r="B3799" s="184"/>
      <c r="C3799" s="184"/>
      <c r="D3799" s="184"/>
      <c r="E3799" s="184"/>
      <c r="F3799" s="184"/>
      <c r="I3799" s="186"/>
      <c r="J3799" s="184"/>
    </row>
    <row r="3800" spans="2:10">
      <c r="B3800" s="184"/>
      <c r="C3800" s="184"/>
      <c r="D3800" s="184"/>
      <c r="E3800" s="184"/>
      <c r="F3800" s="184"/>
      <c r="I3800" s="186"/>
      <c r="J3800" s="184"/>
    </row>
    <row r="3801" spans="2:10">
      <c r="B3801" s="184"/>
      <c r="C3801" s="184"/>
      <c r="D3801" s="184"/>
      <c r="E3801" s="184"/>
      <c r="F3801" s="184"/>
      <c r="I3801" s="186"/>
      <c r="J3801" s="184"/>
    </row>
    <row r="3802" spans="2:10">
      <c r="B3802" s="184"/>
      <c r="C3802" s="184"/>
      <c r="D3802" s="184"/>
      <c r="E3802" s="184"/>
      <c r="F3802" s="184"/>
      <c r="I3802" s="186"/>
      <c r="J3802" s="184"/>
    </row>
    <row r="3803" spans="2:10">
      <c r="B3803" s="184"/>
      <c r="C3803" s="184"/>
      <c r="D3803" s="184"/>
      <c r="E3803" s="184"/>
      <c r="F3803" s="184"/>
      <c r="I3803" s="186"/>
      <c r="J3803" s="184"/>
    </row>
    <row r="3804" spans="2:10">
      <c r="B3804" s="184"/>
      <c r="C3804" s="184"/>
      <c r="D3804" s="184"/>
      <c r="E3804" s="184"/>
      <c r="F3804" s="184"/>
      <c r="I3804" s="186"/>
      <c r="J3804" s="184"/>
    </row>
    <row r="3805" spans="2:10">
      <c r="B3805" s="184"/>
      <c r="C3805" s="184"/>
      <c r="D3805" s="184"/>
      <c r="E3805" s="184"/>
      <c r="F3805" s="184"/>
      <c r="I3805" s="186"/>
      <c r="J3805" s="184"/>
    </row>
    <row r="3806" spans="2:10">
      <c r="B3806" s="184"/>
      <c r="C3806" s="184"/>
      <c r="D3806" s="184"/>
      <c r="E3806" s="184"/>
      <c r="F3806" s="184"/>
      <c r="I3806" s="186"/>
      <c r="J3806" s="184"/>
    </row>
    <row r="3807" spans="2:10">
      <c r="B3807" s="184"/>
      <c r="C3807" s="184"/>
      <c r="D3807" s="184"/>
      <c r="E3807" s="184"/>
      <c r="F3807" s="184"/>
      <c r="I3807" s="186"/>
      <c r="J3807" s="184"/>
    </row>
    <row r="3808" spans="2:10">
      <c r="B3808" s="184"/>
      <c r="C3808" s="184"/>
      <c r="D3808" s="184"/>
      <c r="E3808" s="184"/>
      <c r="F3808" s="184"/>
      <c r="I3808" s="186"/>
      <c r="J3808" s="184"/>
    </row>
    <row r="3809" spans="2:10">
      <c r="B3809" s="184"/>
      <c r="C3809" s="184"/>
      <c r="D3809" s="184"/>
      <c r="E3809" s="184"/>
      <c r="F3809" s="184"/>
      <c r="I3809" s="186"/>
      <c r="J3809" s="184"/>
    </row>
    <row r="3810" spans="2:10">
      <c r="B3810" s="184"/>
      <c r="C3810" s="184"/>
      <c r="D3810" s="184"/>
      <c r="E3810" s="184"/>
      <c r="F3810" s="184"/>
      <c r="I3810" s="186"/>
      <c r="J3810" s="184"/>
    </row>
    <row r="3811" spans="2:10">
      <c r="B3811" s="184"/>
      <c r="C3811" s="184"/>
      <c r="D3811" s="184"/>
      <c r="E3811" s="184"/>
      <c r="F3811" s="184"/>
      <c r="I3811" s="186"/>
      <c r="J3811" s="184"/>
    </row>
    <row r="3812" spans="2:10">
      <c r="B3812" s="184"/>
      <c r="C3812" s="184"/>
      <c r="D3812" s="184"/>
      <c r="E3812" s="184"/>
      <c r="F3812" s="184"/>
      <c r="I3812" s="186"/>
      <c r="J3812" s="184"/>
    </row>
    <row r="3813" spans="2:10">
      <c r="B3813" s="184"/>
      <c r="C3813" s="184"/>
      <c r="D3813" s="184"/>
      <c r="E3813" s="184"/>
      <c r="F3813" s="184"/>
      <c r="I3813" s="186"/>
      <c r="J3813" s="184"/>
    </row>
    <row r="3814" spans="2:10">
      <c r="B3814" s="184"/>
      <c r="C3814" s="184"/>
      <c r="D3814" s="184"/>
      <c r="E3814" s="184"/>
      <c r="F3814" s="184"/>
      <c r="I3814" s="186"/>
      <c r="J3814" s="184"/>
    </row>
    <row r="3815" spans="2:10">
      <c r="B3815" s="184"/>
      <c r="C3815" s="184"/>
      <c r="D3815" s="184"/>
      <c r="E3815" s="184"/>
      <c r="F3815" s="184"/>
      <c r="I3815" s="186"/>
      <c r="J3815" s="184"/>
    </row>
    <row r="3816" spans="2:10">
      <c r="B3816" s="184"/>
      <c r="C3816" s="184"/>
      <c r="D3816" s="184"/>
      <c r="E3816" s="184"/>
      <c r="F3816" s="184"/>
      <c r="I3816" s="186"/>
      <c r="J3816" s="184"/>
    </row>
    <row r="3817" spans="2:10">
      <c r="B3817" s="184"/>
      <c r="C3817" s="184"/>
      <c r="D3817" s="184"/>
      <c r="E3817" s="184"/>
      <c r="F3817" s="184"/>
      <c r="I3817" s="186"/>
      <c r="J3817" s="184"/>
    </row>
    <row r="3818" spans="2:10">
      <c r="B3818" s="184"/>
      <c r="C3818" s="184"/>
      <c r="D3818" s="184"/>
      <c r="E3818" s="184"/>
      <c r="F3818" s="184"/>
      <c r="I3818" s="186"/>
      <c r="J3818" s="184"/>
    </row>
    <row r="3819" spans="2:10">
      <c r="B3819" s="184"/>
      <c r="C3819" s="184"/>
      <c r="D3819" s="184"/>
      <c r="E3819" s="184"/>
      <c r="F3819" s="184"/>
      <c r="I3819" s="186"/>
      <c r="J3819" s="184"/>
    </row>
    <row r="3820" spans="2:10">
      <c r="B3820" s="184"/>
      <c r="C3820" s="184"/>
      <c r="D3820" s="184"/>
      <c r="E3820" s="184"/>
      <c r="F3820" s="184"/>
      <c r="I3820" s="186"/>
      <c r="J3820" s="184"/>
    </row>
    <row r="3821" spans="2:10">
      <c r="B3821" s="184"/>
      <c r="C3821" s="184"/>
      <c r="D3821" s="184"/>
      <c r="E3821" s="184"/>
      <c r="F3821" s="184"/>
      <c r="I3821" s="186"/>
      <c r="J3821" s="184"/>
    </row>
    <row r="3822" spans="2:10">
      <c r="B3822" s="184"/>
      <c r="C3822" s="184"/>
      <c r="D3822" s="184"/>
      <c r="E3822" s="184"/>
      <c r="F3822" s="184"/>
      <c r="I3822" s="186"/>
      <c r="J3822" s="184"/>
    </row>
    <row r="3823" spans="2:10">
      <c r="B3823" s="184"/>
      <c r="C3823" s="184"/>
      <c r="D3823" s="184"/>
      <c r="E3823" s="184"/>
      <c r="F3823" s="184"/>
      <c r="I3823" s="186"/>
      <c r="J3823" s="184"/>
    </row>
    <row r="3824" spans="2:10">
      <c r="B3824" s="184"/>
      <c r="C3824" s="184"/>
      <c r="D3824" s="184"/>
      <c r="E3824" s="184"/>
      <c r="F3824" s="184"/>
      <c r="I3824" s="186"/>
      <c r="J3824" s="184"/>
    </row>
    <row r="3825" spans="2:10">
      <c r="B3825" s="184"/>
      <c r="C3825" s="184"/>
      <c r="D3825" s="184"/>
      <c r="E3825" s="184"/>
      <c r="F3825" s="184"/>
      <c r="I3825" s="186"/>
      <c r="J3825" s="184"/>
    </row>
    <row r="3826" spans="2:10">
      <c r="B3826" s="184"/>
      <c r="C3826" s="184"/>
      <c r="D3826" s="184"/>
      <c r="E3826" s="184"/>
      <c r="F3826" s="184"/>
      <c r="I3826" s="186"/>
      <c r="J3826" s="184"/>
    </row>
    <row r="3827" spans="2:10">
      <c r="B3827" s="184"/>
      <c r="C3827" s="184"/>
      <c r="D3827" s="184"/>
      <c r="E3827" s="184"/>
      <c r="F3827" s="184"/>
      <c r="I3827" s="186"/>
      <c r="J3827" s="184"/>
    </row>
    <row r="3828" spans="2:10">
      <c r="B3828" s="184"/>
      <c r="C3828" s="184"/>
      <c r="D3828" s="184"/>
      <c r="E3828" s="184"/>
      <c r="F3828" s="184"/>
      <c r="I3828" s="186"/>
      <c r="J3828" s="184"/>
    </row>
    <row r="3829" spans="2:10">
      <c r="B3829" s="184"/>
      <c r="C3829" s="184"/>
      <c r="D3829" s="184"/>
      <c r="E3829" s="184"/>
      <c r="F3829" s="184"/>
      <c r="I3829" s="186"/>
      <c r="J3829" s="184"/>
    </row>
    <row r="3830" spans="2:10">
      <c r="B3830" s="184"/>
      <c r="C3830" s="184"/>
      <c r="D3830" s="184"/>
      <c r="E3830" s="184"/>
      <c r="F3830" s="184"/>
      <c r="I3830" s="186"/>
      <c r="J3830" s="184"/>
    </row>
    <row r="3831" spans="2:10">
      <c r="B3831" s="184"/>
      <c r="C3831" s="184"/>
      <c r="D3831" s="184"/>
      <c r="E3831" s="184"/>
      <c r="F3831" s="184"/>
      <c r="I3831" s="186"/>
      <c r="J3831" s="184"/>
    </row>
    <row r="3832" spans="2:10">
      <c r="B3832" s="184"/>
      <c r="C3832" s="184"/>
      <c r="D3832" s="184"/>
      <c r="E3832" s="184"/>
      <c r="F3832" s="184"/>
      <c r="I3832" s="186"/>
      <c r="J3832" s="184"/>
    </row>
    <row r="3833" spans="2:10">
      <c r="B3833" s="184"/>
      <c r="C3833" s="184"/>
      <c r="D3833" s="184"/>
      <c r="E3833" s="184"/>
      <c r="F3833" s="184"/>
      <c r="G3833" s="187"/>
      <c r="I3833" s="186"/>
      <c r="J3833" s="184"/>
    </row>
    <row r="3834" spans="2:10">
      <c r="B3834" s="184"/>
      <c r="C3834" s="184"/>
      <c r="D3834" s="184"/>
      <c r="E3834" s="184"/>
      <c r="F3834" s="184"/>
      <c r="I3834" s="186"/>
      <c r="J3834" s="184"/>
    </row>
    <row r="3835" spans="2:10">
      <c r="B3835" s="184"/>
      <c r="C3835" s="184"/>
      <c r="D3835" s="184"/>
      <c r="E3835" s="184"/>
      <c r="F3835" s="184"/>
      <c r="I3835" s="186"/>
      <c r="J3835" s="184"/>
    </row>
    <row r="3836" spans="2:10">
      <c r="B3836" s="184"/>
      <c r="C3836" s="184"/>
      <c r="D3836" s="184"/>
      <c r="E3836" s="184"/>
      <c r="F3836" s="184"/>
      <c r="I3836" s="186"/>
      <c r="J3836" s="184"/>
    </row>
    <row r="3837" spans="2:10">
      <c r="B3837" s="184"/>
      <c r="C3837" s="184"/>
      <c r="D3837" s="184"/>
      <c r="E3837" s="184"/>
      <c r="F3837" s="184"/>
      <c r="I3837" s="186"/>
      <c r="J3837" s="184"/>
    </row>
    <row r="3838" spans="2:10">
      <c r="B3838" s="184"/>
      <c r="C3838" s="184"/>
      <c r="D3838" s="184"/>
      <c r="E3838" s="184"/>
      <c r="F3838" s="184"/>
      <c r="I3838" s="186"/>
      <c r="J3838" s="184"/>
    </row>
    <row r="3839" spans="2:10">
      <c r="B3839" s="184"/>
      <c r="C3839" s="184"/>
      <c r="D3839" s="184"/>
      <c r="E3839" s="184"/>
      <c r="F3839" s="184"/>
      <c r="I3839" s="186"/>
      <c r="J3839" s="184"/>
    </row>
    <row r="3840" spans="2:10">
      <c r="B3840" s="184"/>
      <c r="C3840" s="184"/>
      <c r="D3840" s="184"/>
      <c r="E3840" s="184"/>
      <c r="F3840" s="184"/>
      <c r="I3840" s="186"/>
      <c r="J3840" s="184"/>
    </row>
    <row r="3841" spans="2:10">
      <c r="B3841" s="184"/>
      <c r="C3841" s="184"/>
      <c r="D3841" s="184"/>
      <c r="E3841" s="184"/>
      <c r="F3841" s="184"/>
      <c r="I3841" s="186"/>
      <c r="J3841" s="184"/>
    </row>
    <row r="3842" spans="2:10">
      <c r="B3842" s="184"/>
      <c r="C3842" s="184"/>
      <c r="D3842" s="184"/>
      <c r="E3842" s="184"/>
      <c r="F3842" s="184"/>
      <c r="I3842" s="186"/>
      <c r="J3842" s="184"/>
    </row>
    <row r="3843" spans="2:10">
      <c r="B3843" s="184"/>
      <c r="C3843" s="184"/>
      <c r="D3843" s="184"/>
      <c r="E3843" s="184"/>
      <c r="F3843" s="184"/>
      <c r="I3843" s="186"/>
      <c r="J3843" s="184"/>
    </row>
    <row r="3844" spans="2:10">
      <c r="B3844" s="184"/>
      <c r="C3844" s="184"/>
      <c r="D3844" s="184"/>
      <c r="E3844" s="184"/>
      <c r="F3844" s="184"/>
      <c r="G3844" s="187"/>
      <c r="I3844" s="186"/>
      <c r="J3844" s="184"/>
    </row>
    <row r="3845" spans="2:10">
      <c r="B3845" s="184"/>
      <c r="C3845" s="184"/>
      <c r="D3845" s="184"/>
      <c r="E3845" s="184"/>
      <c r="F3845" s="184"/>
      <c r="I3845" s="186"/>
      <c r="J3845" s="184"/>
    </row>
    <row r="3846" spans="2:10">
      <c r="B3846" s="184"/>
      <c r="C3846" s="184"/>
      <c r="D3846" s="184"/>
      <c r="E3846" s="184"/>
      <c r="F3846" s="184"/>
      <c r="I3846" s="186"/>
      <c r="J3846" s="184"/>
    </row>
    <row r="3847" spans="2:10">
      <c r="B3847" s="184"/>
      <c r="C3847" s="184"/>
      <c r="D3847" s="184"/>
      <c r="E3847" s="184"/>
      <c r="F3847" s="184"/>
      <c r="I3847" s="186"/>
      <c r="J3847" s="184"/>
    </row>
    <row r="3848" spans="2:10">
      <c r="B3848" s="184"/>
      <c r="C3848" s="184"/>
      <c r="D3848" s="184"/>
      <c r="E3848" s="184"/>
      <c r="F3848" s="184"/>
      <c r="I3848" s="186"/>
      <c r="J3848" s="184"/>
    </row>
    <row r="3849" spans="2:10">
      <c r="B3849" s="184"/>
      <c r="C3849" s="184"/>
      <c r="D3849" s="184"/>
      <c r="E3849" s="184"/>
      <c r="F3849" s="184"/>
      <c r="I3849" s="186"/>
      <c r="J3849" s="184"/>
    </row>
    <row r="3850" spans="2:10">
      <c r="B3850" s="184"/>
      <c r="C3850" s="184"/>
      <c r="D3850" s="184"/>
      <c r="E3850" s="184"/>
      <c r="F3850" s="184"/>
      <c r="I3850" s="186"/>
      <c r="J3850" s="184"/>
    </row>
    <row r="3851" spans="2:10">
      <c r="B3851" s="184"/>
      <c r="C3851" s="184"/>
      <c r="D3851" s="184"/>
      <c r="E3851" s="184"/>
      <c r="F3851" s="184"/>
      <c r="I3851" s="186"/>
      <c r="J3851" s="184"/>
    </row>
    <row r="3852" spans="2:10">
      <c r="B3852" s="184"/>
      <c r="C3852" s="184"/>
      <c r="D3852" s="184"/>
      <c r="E3852" s="184"/>
      <c r="F3852" s="184"/>
      <c r="I3852" s="186"/>
      <c r="J3852" s="184"/>
    </row>
    <row r="3853" spans="2:10">
      <c r="B3853" s="184"/>
      <c r="C3853" s="184"/>
      <c r="D3853" s="184"/>
      <c r="E3853" s="184"/>
      <c r="F3853" s="184"/>
      <c r="I3853" s="186"/>
      <c r="J3853" s="184"/>
    </row>
    <row r="3854" spans="2:10">
      <c r="B3854" s="184"/>
      <c r="C3854" s="184"/>
      <c r="D3854" s="184"/>
      <c r="E3854" s="184"/>
      <c r="F3854" s="184"/>
      <c r="I3854" s="186"/>
      <c r="J3854" s="184"/>
    </row>
    <row r="3855" spans="2:10">
      <c r="B3855" s="184"/>
      <c r="C3855" s="184"/>
      <c r="D3855" s="184"/>
      <c r="E3855" s="184"/>
      <c r="F3855" s="184"/>
      <c r="I3855" s="186"/>
      <c r="J3855" s="184"/>
    </row>
    <row r="3856" spans="2:10">
      <c r="B3856" s="184"/>
      <c r="C3856" s="184"/>
      <c r="D3856" s="184"/>
      <c r="E3856" s="184"/>
      <c r="F3856" s="184"/>
      <c r="I3856" s="186"/>
      <c r="J3856" s="184"/>
    </row>
    <row r="3857" spans="2:10">
      <c r="B3857" s="184"/>
      <c r="C3857" s="184"/>
      <c r="D3857" s="184"/>
      <c r="E3857" s="184"/>
      <c r="F3857" s="184"/>
      <c r="I3857" s="186"/>
      <c r="J3857" s="184"/>
    </row>
    <row r="3858" spans="2:10">
      <c r="B3858" s="184"/>
      <c r="C3858" s="184"/>
      <c r="D3858" s="184"/>
      <c r="E3858" s="184"/>
      <c r="F3858" s="184"/>
      <c r="I3858" s="186"/>
      <c r="J3858" s="184"/>
    </row>
    <row r="3859" spans="2:10">
      <c r="B3859" s="184"/>
      <c r="C3859" s="184"/>
      <c r="D3859" s="184"/>
      <c r="E3859" s="184"/>
      <c r="F3859" s="184"/>
      <c r="I3859" s="186"/>
      <c r="J3859" s="184"/>
    </row>
    <row r="3860" spans="2:10">
      <c r="B3860" s="184"/>
      <c r="C3860" s="184"/>
      <c r="D3860" s="184"/>
      <c r="E3860" s="184"/>
      <c r="F3860" s="184"/>
      <c r="I3860" s="186"/>
      <c r="J3860" s="184"/>
    </row>
    <row r="3861" spans="2:10">
      <c r="B3861" s="184"/>
      <c r="C3861" s="184"/>
      <c r="D3861" s="184"/>
      <c r="E3861" s="184"/>
      <c r="F3861" s="184"/>
      <c r="I3861" s="186"/>
      <c r="J3861" s="184"/>
    </row>
    <row r="3862" spans="2:10">
      <c r="B3862" s="184"/>
      <c r="C3862" s="184"/>
      <c r="D3862" s="184"/>
      <c r="E3862" s="184"/>
      <c r="F3862" s="184"/>
      <c r="I3862" s="186"/>
      <c r="J3862" s="184"/>
    </row>
    <row r="3863" spans="2:10">
      <c r="B3863" s="184"/>
      <c r="C3863" s="184"/>
      <c r="D3863" s="184"/>
      <c r="E3863" s="184"/>
      <c r="F3863" s="184"/>
      <c r="I3863" s="186"/>
      <c r="J3863" s="184"/>
    </row>
    <row r="3864" spans="2:10">
      <c r="B3864" s="184"/>
      <c r="C3864" s="184"/>
      <c r="D3864" s="184"/>
      <c r="E3864" s="184"/>
      <c r="F3864" s="184"/>
      <c r="I3864" s="186"/>
      <c r="J3864" s="184"/>
    </row>
    <row r="3865" spans="2:10">
      <c r="B3865" s="184"/>
      <c r="C3865" s="184"/>
      <c r="D3865" s="184"/>
      <c r="E3865" s="184"/>
      <c r="F3865" s="184"/>
      <c r="I3865" s="186"/>
      <c r="J3865" s="184"/>
    </row>
    <row r="3866" spans="2:10">
      <c r="B3866" s="184"/>
      <c r="C3866" s="184"/>
      <c r="D3866" s="184"/>
      <c r="E3866" s="184"/>
      <c r="F3866" s="184"/>
      <c r="I3866" s="186"/>
      <c r="J3866" s="184"/>
    </row>
    <row r="3867" spans="2:10">
      <c r="B3867" s="184"/>
      <c r="C3867" s="184"/>
      <c r="D3867" s="184"/>
      <c r="E3867" s="184"/>
      <c r="F3867" s="184"/>
      <c r="I3867" s="186"/>
      <c r="J3867" s="184"/>
    </row>
    <row r="3868" spans="2:10">
      <c r="B3868" s="184"/>
      <c r="C3868" s="184"/>
      <c r="D3868" s="184"/>
      <c r="E3868" s="184"/>
      <c r="F3868" s="184"/>
      <c r="I3868" s="186"/>
      <c r="J3868" s="184"/>
    </row>
    <row r="3869" spans="2:10">
      <c r="B3869" s="184"/>
      <c r="C3869" s="184"/>
      <c r="D3869" s="184"/>
      <c r="E3869" s="184"/>
      <c r="F3869" s="184"/>
      <c r="I3869" s="186"/>
      <c r="J3869" s="184"/>
    </row>
    <row r="3870" spans="2:10">
      <c r="B3870" s="184"/>
      <c r="C3870" s="184"/>
      <c r="D3870" s="184"/>
      <c r="E3870" s="184"/>
      <c r="F3870" s="184"/>
      <c r="I3870" s="186"/>
      <c r="J3870" s="184"/>
    </row>
    <row r="3871" spans="2:10">
      <c r="B3871" s="184"/>
      <c r="C3871" s="184"/>
      <c r="D3871" s="184"/>
      <c r="E3871" s="184"/>
      <c r="F3871" s="184"/>
      <c r="I3871" s="186"/>
      <c r="J3871" s="184"/>
    </row>
    <row r="3872" spans="2:10">
      <c r="B3872" s="184"/>
      <c r="C3872" s="184"/>
      <c r="D3872" s="184"/>
      <c r="E3872" s="184"/>
      <c r="F3872" s="184"/>
      <c r="I3872" s="186"/>
      <c r="J3872" s="184"/>
    </row>
    <row r="3873" spans="2:10">
      <c r="B3873" s="184"/>
      <c r="C3873" s="184"/>
      <c r="D3873" s="184"/>
      <c r="E3873" s="184"/>
      <c r="F3873" s="184"/>
      <c r="I3873" s="186"/>
      <c r="J3873" s="184"/>
    </row>
    <row r="3874" spans="2:10">
      <c r="B3874" s="184"/>
      <c r="C3874" s="184"/>
      <c r="D3874" s="184"/>
      <c r="E3874" s="184"/>
      <c r="F3874" s="184"/>
      <c r="I3874" s="186"/>
      <c r="J3874" s="184"/>
    </row>
    <row r="3875" spans="2:10">
      <c r="B3875" s="184"/>
      <c r="C3875" s="184"/>
      <c r="D3875" s="184"/>
      <c r="E3875" s="184"/>
      <c r="F3875" s="184"/>
      <c r="I3875" s="186"/>
      <c r="J3875" s="184"/>
    </row>
    <row r="3876" spans="2:10">
      <c r="B3876" s="184"/>
      <c r="C3876" s="184"/>
      <c r="D3876" s="184"/>
      <c r="E3876" s="184"/>
      <c r="F3876" s="184"/>
      <c r="I3876" s="186"/>
      <c r="J3876" s="184"/>
    </row>
    <row r="3877" spans="2:10">
      <c r="B3877" s="184"/>
      <c r="C3877" s="184"/>
      <c r="D3877" s="184"/>
      <c r="E3877" s="184"/>
      <c r="F3877" s="184"/>
      <c r="I3877" s="186"/>
      <c r="J3877" s="184"/>
    </row>
    <row r="3878" spans="2:10">
      <c r="B3878" s="184"/>
      <c r="C3878" s="184"/>
      <c r="D3878" s="184"/>
      <c r="E3878" s="184"/>
      <c r="F3878" s="184"/>
      <c r="I3878" s="186"/>
      <c r="J3878" s="184"/>
    </row>
    <row r="3879" spans="2:10">
      <c r="B3879" s="184"/>
      <c r="C3879" s="184"/>
      <c r="D3879" s="184"/>
      <c r="E3879" s="184"/>
      <c r="F3879" s="184"/>
      <c r="G3879" s="187"/>
      <c r="I3879" s="186"/>
      <c r="J3879" s="184"/>
    </row>
    <row r="3880" spans="2:10">
      <c r="B3880" s="184"/>
      <c r="C3880" s="184"/>
      <c r="D3880" s="184"/>
      <c r="E3880" s="184"/>
      <c r="F3880" s="184"/>
      <c r="I3880" s="186"/>
      <c r="J3880" s="184"/>
    </row>
    <row r="3881" spans="2:10">
      <c r="B3881" s="184"/>
      <c r="C3881" s="184"/>
      <c r="D3881" s="184"/>
      <c r="E3881" s="184"/>
      <c r="F3881" s="184"/>
      <c r="G3881" s="187"/>
      <c r="I3881" s="186"/>
      <c r="J3881" s="184"/>
    </row>
    <row r="3882" spans="2:10">
      <c r="B3882" s="184"/>
      <c r="C3882" s="184"/>
      <c r="D3882" s="184"/>
      <c r="E3882" s="184"/>
      <c r="F3882" s="184"/>
      <c r="I3882" s="186"/>
      <c r="J3882" s="184"/>
    </row>
    <row r="3883" spans="2:10">
      <c r="B3883" s="184"/>
      <c r="C3883" s="184"/>
      <c r="D3883" s="184"/>
      <c r="E3883" s="184"/>
      <c r="F3883" s="184"/>
      <c r="I3883" s="186"/>
      <c r="J3883" s="184"/>
    </row>
    <row r="3884" spans="2:10">
      <c r="B3884" s="184"/>
      <c r="C3884" s="184"/>
      <c r="D3884" s="184"/>
      <c r="E3884" s="184"/>
      <c r="F3884" s="184"/>
      <c r="I3884" s="186"/>
      <c r="J3884" s="184"/>
    </row>
    <row r="3885" spans="2:10">
      <c r="B3885" s="184"/>
      <c r="C3885" s="184"/>
      <c r="D3885" s="184"/>
      <c r="E3885" s="184"/>
      <c r="F3885" s="184"/>
      <c r="I3885" s="186"/>
      <c r="J3885" s="184"/>
    </row>
    <row r="3886" spans="2:10">
      <c r="B3886" s="184"/>
      <c r="C3886" s="184"/>
      <c r="D3886" s="184"/>
      <c r="E3886" s="184"/>
      <c r="F3886" s="184"/>
      <c r="I3886" s="186"/>
      <c r="J3886" s="184"/>
    </row>
    <row r="3887" spans="2:10">
      <c r="B3887" s="184"/>
      <c r="C3887" s="184"/>
      <c r="D3887" s="184"/>
      <c r="E3887" s="184"/>
      <c r="F3887" s="184"/>
      <c r="I3887" s="186"/>
      <c r="J3887" s="184"/>
    </row>
    <row r="3888" spans="2:10">
      <c r="B3888" s="184"/>
      <c r="C3888" s="184"/>
      <c r="D3888" s="184"/>
      <c r="E3888" s="184"/>
      <c r="F3888" s="184"/>
      <c r="I3888" s="186"/>
      <c r="J3888" s="184"/>
    </row>
    <row r="3889" spans="2:10">
      <c r="B3889" s="184"/>
      <c r="C3889" s="184"/>
      <c r="D3889" s="184"/>
      <c r="E3889" s="184"/>
      <c r="F3889" s="184"/>
      <c r="I3889" s="186"/>
      <c r="J3889" s="184"/>
    </row>
    <row r="3890" spans="2:10">
      <c r="B3890" s="184"/>
      <c r="C3890" s="184"/>
      <c r="D3890" s="184"/>
      <c r="E3890" s="184"/>
      <c r="F3890" s="184"/>
      <c r="I3890" s="186"/>
      <c r="J3890" s="184"/>
    </row>
    <row r="3891" spans="2:10">
      <c r="B3891" s="184"/>
      <c r="C3891" s="184"/>
      <c r="D3891" s="184"/>
      <c r="E3891" s="184"/>
      <c r="F3891" s="184"/>
      <c r="I3891" s="186"/>
      <c r="J3891" s="184"/>
    </row>
    <row r="3892" spans="2:10">
      <c r="B3892" s="184"/>
      <c r="C3892" s="184"/>
      <c r="D3892" s="184"/>
      <c r="E3892" s="184"/>
      <c r="F3892" s="184"/>
      <c r="I3892" s="186"/>
      <c r="J3892" s="184"/>
    </row>
    <row r="3893" spans="2:10">
      <c r="B3893" s="184"/>
      <c r="C3893" s="184"/>
      <c r="D3893" s="184"/>
      <c r="E3893" s="184"/>
      <c r="F3893" s="184"/>
      <c r="I3893" s="186"/>
      <c r="J3893" s="184"/>
    </row>
    <row r="3894" spans="2:10">
      <c r="B3894" s="184"/>
      <c r="C3894" s="184"/>
      <c r="D3894" s="184"/>
      <c r="E3894" s="184"/>
      <c r="F3894" s="184"/>
      <c r="I3894" s="186"/>
      <c r="J3894" s="184"/>
    </row>
    <row r="3895" spans="2:10">
      <c r="B3895" s="184"/>
      <c r="C3895" s="184"/>
      <c r="D3895" s="184"/>
      <c r="E3895" s="184"/>
      <c r="F3895" s="184"/>
      <c r="I3895" s="186"/>
      <c r="J3895" s="184"/>
    </row>
    <row r="3896" spans="2:10">
      <c r="B3896" s="184"/>
      <c r="C3896" s="184"/>
      <c r="D3896" s="184"/>
      <c r="E3896" s="184"/>
      <c r="F3896" s="184"/>
      <c r="I3896" s="186"/>
      <c r="J3896" s="184"/>
    </row>
    <row r="3897" spans="2:10">
      <c r="B3897" s="184"/>
      <c r="C3897" s="184"/>
      <c r="D3897" s="184"/>
      <c r="E3897" s="184"/>
      <c r="F3897" s="184"/>
      <c r="I3897" s="186"/>
      <c r="J3897" s="184"/>
    </row>
    <row r="3898" spans="2:10">
      <c r="B3898" s="184"/>
      <c r="C3898" s="184"/>
      <c r="D3898" s="184"/>
      <c r="E3898" s="184"/>
      <c r="F3898" s="184"/>
      <c r="I3898" s="186"/>
      <c r="J3898" s="184"/>
    </row>
    <row r="3899" spans="2:10">
      <c r="B3899" s="184"/>
      <c r="C3899" s="184"/>
      <c r="D3899" s="184"/>
      <c r="E3899" s="184"/>
      <c r="F3899" s="184"/>
      <c r="I3899" s="186"/>
      <c r="J3899" s="184"/>
    </row>
    <row r="3900" spans="2:10">
      <c r="B3900" s="184"/>
      <c r="C3900" s="184"/>
      <c r="D3900" s="184"/>
      <c r="E3900" s="184"/>
      <c r="F3900" s="184"/>
      <c r="I3900" s="186"/>
      <c r="J3900" s="184"/>
    </row>
    <row r="3901" spans="2:10">
      <c r="B3901" s="184"/>
      <c r="C3901" s="184"/>
      <c r="D3901" s="184"/>
      <c r="E3901" s="184"/>
      <c r="F3901" s="184"/>
      <c r="I3901" s="186"/>
      <c r="J3901" s="184"/>
    </row>
    <row r="3902" spans="2:10">
      <c r="B3902" s="184"/>
      <c r="C3902" s="184"/>
      <c r="D3902" s="184"/>
      <c r="E3902" s="184"/>
      <c r="F3902" s="184"/>
      <c r="I3902" s="186"/>
      <c r="J3902" s="184"/>
    </row>
    <row r="3903" spans="2:10">
      <c r="B3903" s="184"/>
      <c r="C3903" s="184"/>
      <c r="D3903" s="184"/>
      <c r="E3903" s="184"/>
      <c r="F3903" s="184"/>
      <c r="I3903" s="186"/>
      <c r="J3903" s="184"/>
    </row>
    <row r="3904" spans="2:10">
      <c r="B3904" s="184"/>
      <c r="C3904" s="184"/>
      <c r="D3904" s="184"/>
      <c r="E3904" s="184"/>
      <c r="F3904" s="184"/>
      <c r="I3904" s="186"/>
      <c r="J3904" s="184"/>
    </row>
    <row r="3905" spans="2:10">
      <c r="B3905" s="184"/>
      <c r="C3905" s="184"/>
      <c r="D3905" s="184"/>
      <c r="E3905" s="184"/>
      <c r="F3905" s="184"/>
      <c r="I3905" s="186"/>
      <c r="J3905" s="184"/>
    </row>
    <row r="3906" spans="2:10">
      <c r="B3906" s="184"/>
      <c r="C3906" s="184"/>
      <c r="D3906" s="184"/>
      <c r="E3906" s="184"/>
      <c r="F3906" s="184"/>
      <c r="I3906" s="186"/>
      <c r="J3906" s="184"/>
    </row>
    <row r="3907" spans="2:10">
      <c r="B3907" s="184"/>
      <c r="C3907" s="184"/>
      <c r="D3907" s="184"/>
      <c r="E3907" s="184"/>
      <c r="F3907" s="184"/>
      <c r="I3907" s="186"/>
      <c r="J3907" s="184"/>
    </row>
    <row r="3908" spans="2:10">
      <c r="B3908" s="184"/>
      <c r="C3908" s="184"/>
      <c r="D3908" s="184"/>
      <c r="E3908" s="184"/>
      <c r="F3908" s="184"/>
      <c r="I3908" s="186"/>
      <c r="J3908" s="184"/>
    </row>
    <row r="3909" spans="2:10">
      <c r="B3909" s="184"/>
      <c r="C3909" s="184"/>
      <c r="D3909" s="184"/>
      <c r="E3909" s="184"/>
      <c r="F3909" s="184"/>
      <c r="I3909" s="186"/>
      <c r="J3909" s="184"/>
    </row>
    <row r="3910" spans="2:10">
      <c r="B3910" s="184"/>
      <c r="C3910" s="184"/>
      <c r="D3910" s="184"/>
      <c r="E3910" s="184"/>
      <c r="F3910" s="184"/>
      <c r="G3910" s="187"/>
      <c r="I3910" s="186"/>
      <c r="J3910" s="184"/>
    </row>
    <row r="3911" spans="2:10">
      <c r="B3911" s="184"/>
      <c r="C3911" s="184"/>
      <c r="D3911" s="184"/>
      <c r="E3911" s="184"/>
      <c r="F3911" s="184"/>
      <c r="I3911" s="186"/>
      <c r="J3911" s="184"/>
    </row>
    <row r="3912" spans="2:10">
      <c r="B3912" s="184"/>
      <c r="C3912" s="184"/>
      <c r="D3912" s="184"/>
      <c r="E3912" s="184"/>
      <c r="F3912" s="184"/>
      <c r="I3912" s="186"/>
      <c r="J3912" s="184"/>
    </row>
    <row r="3913" spans="2:10">
      <c r="B3913" s="184"/>
      <c r="C3913" s="184"/>
      <c r="D3913" s="184"/>
      <c r="E3913" s="184"/>
      <c r="F3913" s="184"/>
      <c r="I3913" s="186"/>
      <c r="J3913" s="184"/>
    </row>
    <row r="3914" spans="2:10">
      <c r="B3914" s="184"/>
      <c r="C3914" s="184"/>
      <c r="D3914" s="184"/>
      <c r="E3914" s="184"/>
      <c r="F3914" s="184"/>
      <c r="I3914" s="186"/>
      <c r="J3914" s="184"/>
    </row>
    <row r="3915" spans="2:10">
      <c r="B3915" s="184"/>
      <c r="C3915" s="184"/>
      <c r="D3915" s="184"/>
      <c r="E3915" s="184"/>
      <c r="F3915" s="184"/>
      <c r="I3915" s="186"/>
      <c r="J3915" s="184"/>
    </row>
    <row r="3916" spans="2:10">
      <c r="B3916" s="184"/>
      <c r="C3916" s="184"/>
      <c r="D3916" s="184"/>
      <c r="E3916" s="184"/>
      <c r="F3916" s="184"/>
      <c r="I3916" s="186"/>
      <c r="J3916" s="184"/>
    </row>
    <row r="3917" spans="2:10">
      <c r="B3917" s="184"/>
      <c r="C3917" s="184"/>
      <c r="D3917" s="184"/>
      <c r="E3917" s="184"/>
      <c r="F3917" s="184"/>
      <c r="G3917" s="187"/>
      <c r="I3917" s="186"/>
      <c r="J3917" s="184"/>
    </row>
    <row r="3918" spans="2:10">
      <c r="B3918" s="184"/>
      <c r="C3918" s="184"/>
      <c r="D3918" s="184"/>
      <c r="E3918" s="184"/>
      <c r="F3918" s="184"/>
      <c r="I3918" s="186"/>
      <c r="J3918" s="184"/>
    </row>
    <row r="3919" spans="2:10">
      <c r="B3919" s="184"/>
      <c r="C3919" s="184"/>
      <c r="D3919" s="184"/>
      <c r="E3919" s="184"/>
      <c r="F3919" s="184"/>
      <c r="I3919" s="186"/>
      <c r="J3919" s="184"/>
    </row>
    <row r="3920" spans="2:10">
      <c r="B3920" s="184"/>
      <c r="C3920" s="184"/>
      <c r="D3920" s="184"/>
      <c r="E3920" s="184"/>
      <c r="F3920" s="184"/>
      <c r="I3920" s="186"/>
      <c r="J3920" s="184"/>
    </row>
    <row r="3921" spans="2:10">
      <c r="B3921" s="184"/>
      <c r="C3921" s="184"/>
      <c r="D3921" s="184"/>
      <c r="E3921" s="184"/>
      <c r="F3921" s="184"/>
      <c r="I3921" s="186"/>
      <c r="J3921" s="184"/>
    </row>
    <row r="3922" spans="2:10">
      <c r="B3922" s="184"/>
      <c r="C3922" s="184"/>
      <c r="D3922" s="184"/>
      <c r="E3922" s="184"/>
      <c r="F3922" s="184"/>
      <c r="I3922" s="186"/>
      <c r="J3922" s="184"/>
    </row>
    <row r="3923" spans="2:10">
      <c r="B3923" s="184"/>
      <c r="C3923" s="184"/>
      <c r="D3923" s="184"/>
      <c r="E3923" s="184"/>
      <c r="F3923" s="184"/>
      <c r="I3923" s="186"/>
      <c r="J3923" s="184"/>
    </row>
    <row r="3924" spans="2:10">
      <c r="B3924" s="184"/>
      <c r="C3924" s="184"/>
      <c r="D3924" s="184"/>
      <c r="E3924" s="184"/>
      <c r="F3924" s="184"/>
      <c r="I3924" s="186"/>
      <c r="J3924" s="184"/>
    </row>
    <row r="3925" spans="2:10">
      <c r="B3925" s="184"/>
      <c r="C3925" s="184"/>
      <c r="D3925" s="184"/>
      <c r="E3925" s="184"/>
      <c r="F3925" s="184"/>
      <c r="I3925" s="186"/>
      <c r="J3925" s="184"/>
    </row>
    <row r="3926" spans="2:10">
      <c r="B3926" s="184"/>
      <c r="C3926" s="184"/>
      <c r="D3926" s="184"/>
      <c r="E3926" s="184"/>
      <c r="F3926" s="184"/>
      <c r="I3926" s="186"/>
      <c r="J3926" s="184"/>
    </row>
    <row r="3927" spans="2:10">
      <c r="B3927" s="184"/>
      <c r="C3927" s="184"/>
      <c r="D3927" s="184"/>
      <c r="E3927" s="184"/>
      <c r="F3927" s="184"/>
      <c r="I3927" s="186"/>
      <c r="J3927" s="184"/>
    </row>
    <row r="3928" spans="2:10">
      <c r="B3928" s="184"/>
      <c r="C3928" s="184"/>
      <c r="D3928" s="184"/>
      <c r="E3928" s="184"/>
      <c r="F3928" s="184"/>
      <c r="I3928" s="186"/>
      <c r="J3928" s="184"/>
    </row>
    <row r="3929" spans="2:10">
      <c r="B3929" s="184"/>
      <c r="C3929" s="184"/>
      <c r="D3929" s="184"/>
      <c r="E3929" s="184"/>
      <c r="F3929" s="184"/>
      <c r="I3929" s="186"/>
      <c r="J3929" s="184"/>
    </row>
    <row r="3930" spans="2:10">
      <c r="B3930" s="184"/>
      <c r="C3930" s="184"/>
      <c r="D3930" s="184"/>
      <c r="E3930" s="184"/>
      <c r="F3930" s="184"/>
      <c r="I3930" s="186"/>
      <c r="J3930" s="184"/>
    </row>
    <row r="3931" spans="2:10">
      <c r="B3931" s="184"/>
      <c r="C3931" s="184"/>
      <c r="D3931" s="184"/>
      <c r="E3931" s="184"/>
      <c r="F3931" s="184"/>
      <c r="I3931" s="186"/>
      <c r="J3931" s="184"/>
    </row>
    <row r="3932" spans="2:10">
      <c r="B3932" s="184"/>
      <c r="C3932" s="184"/>
      <c r="D3932" s="184"/>
      <c r="E3932" s="184"/>
      <c r="F3932" s="184"/>
      <c r="I3932" s="186"/>
      <c r="J3932" s="184"/>
    </row>
    <row r="3933" spans="2:10">
      <c r="B3933" s="184"/>
      <c r="C3933" s="184"/>
      <c r="D3933" s="184"/>
      <c r="E3933" s="184"/>
      <c r="F3933" s="184"/>
      <c r="I3933" s="186"/>
      <c r="J3933" s="184"/>
    </row>
    <row r="3934" spans="2:10">
      <c r="B3934" s="184"/>
      <c r="C3934" s="184"/>
      <c r="D3934" s="184"/>
      <c r="E3934" s="184"/>
      <c r="F3934" s="184"/>
      <c r="I3934" s="186"/>
      <c r="J3934" s="184"/>
    </row>
    <row r="3935" spans="2:10">
      <c r="B3935" s="184"/>
      <c r="C3935" s="184"/>
      <c r="D3935" s="184"/>
      <c r="E3935" s="184"/>
      <c r="F3935" s="184"/>
      <c r="I3935" s="186"/>
      <c r="J3935" s="184"/>
    </row>
    <row r="3936" spans="2:10">
      <c r="B3936" s="184"/>
      <c r="C3936" s="184"/>
      <c r="D3936" s="184"/>
      <c r="E3936" s="184"/>
      <c r="F3936" s="184"/>
      <c r="I3936" s="186"/>
      <c r="J3936" s="184"/>
    </row>
    <row r="3937" spans="2:10">
      <c r="B3937" s="184"/>
      <c r="C3937" s="184"/>
      <c r="D3937" s="184"/>
      <c r="E3937" s="184"/>
      <c r="F3937" s="184"/>
      <c r="I3937" s="186"/>
      <c r="J3937" s="184"/>
    </row>
    <row r="3938" spans="2:10">
      <c r="B3938" s="184"/>
      <c r="C3938" s="184"/>
      <c r="D3938" s="184"/>
      <c r="E3938" s="184"/>
      <c r="F3938" s="184"/>
      <c r="I3938" s="186"/>
      <c r="J3938" s="184"/>
    </row>
    <row r="3939" spans="2:10">
      <c r="B3939" s="184"/>
      <c r="C3939" s="184"/>
      <c r="D3939" s="184"/>
      <c r="E3939" s="184"/>
      <c r="F3939" s="184"/>
      <c r="I3939" s="186"/>
      <c r="J3939" s="184"/>
    </row>
    <row r="3940" spans="2:10">
      <c r="B3940" s="184"/>
      <c r="C3940" s="184"/>
      <c r="D3940" s="184"/>
      <c r="E3940" s="184"/>
      <c r="F3940" s="184"/>
      <c r="I3940" s="186"/>
      <c r="J3940" s="184"/>
    </row>
    <row r="3941" spans="2:10">
      <c r="B3941" s="184"/>
      <c r="C3941" s="184"/>
      <c r="D3941" s="184"/>
      <c r="E3941" s="184"/>
      <c r="F3941" s="184"/>
      <c r="I3941" s="186"/>
      <c r="J3941" s="184"/>
    </row>
    <row r="3942" spans="2:10">
      <c r="B3942" s="184"/>
      <c r="C3942" s="184"/>
      <c r="D3942" s="184"/>
      <c r="E3942" s="184"/>
      <c r="F3942" s="184"/>
      <c r="I3942" s="186"/>
      <c r="J3942" s="184"/>
    </row>
    <row r="3943" spans="2:10">
      <c r="B3943" s="184"/>
      <c r="C3943" s="184"/>
      <c r="D3943" s="184"/>
      <c r="E3943" s="184"/>
      <c r="F3943" s="184"/>
      <c r="I3943" s="186"/>
      <c r="J3943" s="184"/>
    </row>
    <row r="3944" spans="2:10">
      <c r="B3944" s="184"/>
      <c r="C3944" s="184"/>
      <c r="D3944" s="184"/>
      <c r="E3944" s="184"/>
      <c r="F3944" s="184"/>
      <c r="I3944" s="186"/>
      <c r="J3944" s="184"/>
    </row>
    <row r="3945" spans="2:10">
      <c r="B3945" s="184"/>
      <c r="C3945" s="184"/>
      <c r="D3945" s="184"/>
      <c r="E3945" s="184"/>
      <c r="F3945" s="184"/>
      <c r="I3945" s="186"/>
      <c r="J3945" s="184"/>
    </row>
    <row r="3946" spans="2:10">
      <c r="B3946" s="184"/>
      <c r="C3946" s="184"/>
      <c r="D3946" s="184"/>
      <c r="E3946" s="184"/>
      <c r="F3946" s="184"/>
      <c r="I3946" s="186"/>
      <c r="J3946" s="184"/>
    </row>
    <row r="3947" spans="2:10">
      <c r="B3947" s="184"/>
      <c r="C3947" s="184"/>
      <c r="D3947" s="184"/>
      <c r="E3947" s="184"/>
      <c r="F3947" s="184"/>
      <c r="I3947" s="186"/>
      <c r="J3947" s="184"/>
    </row>
    <row r="3948" spans="2:10">
      <c r="B3948" s="184"/>
      <c r="C3948" s="184"/>
      <c r="D3948" s="184"/>
      <c r="E3948" s="184"/>
      <c r="F3948" s="184"/>
      <c r="I3948" s="186"/>
      <c r="J3948" s="184"/>
    </row>
    <row r="3949" spans="2:10">
      <c r="B3949" s="184"/>
      <c r="C3949" s="184"/>
      <c r="D3949" s="184"/>
      <c r="E3949" s="184"/>
      <c r="F3949" s="184"/>
      <c r="I3949" s="186"/>
      <c r="J3949" s="184"/>
    </row>
    <row r="3950" spans="2:10">
      <c r="B3950" s="184"/>
      <c r="C3950" s="184"/>
      <c r="D3950" s="184"/>
      <c r="E3950" s="184"/>
      <c r="F3950" s="184"/>
      <c r="I3950" s="186"/>
      <c r="J3950" s="184"/>
    </row>
    <row r="3951" spans="2:10">
      <c r="B3951" s="184"/>
      <c r="C3951" s="184"/>
      <c r="D3951" s="184"/>
      <c r="E3951" s="184"/>
      <c r="F3951" s="184"/>
      <c r="I3951" s="186"/>
      <c r="J3951" s="184"/>
    </row>
    <row r="3952" spans="2:10">
      <c r="B3952" s="184"/>
      <c r="C3952" s="184"/>
      <c r="D3952" s="184"/>
      <c r="E3952" s="184"/>
      <c r="F3952" s="184"/>
      <c r="I3952" s="186"/>
      <c r="J3952" s="184"/>
    </row>
    <row r="3953" spans="2:10">
      <c r="B3953" s="184"/>
      <c r="C3953" s="184"/>
      <c r="D3953" s="184"/>
      <c r="E3953" s="184"/>
      <c r="F3953" s="184"/>
      <c r="I3953" s="186"/>
      <c r="J3953" s="184"/>
    </row>
    <row r="3954" spans="2:10">
      <c r="B3954" s="184"/>
      <c r="C3954" s="184"/>
      <c r="D3954" s="184"/>
      <c r="E3954" s="184"/>
      <c r="F3954" s="184"/>
      <c r="I3954" s="186"/>
      <c r="J3954" s="184"/>
    </row>
    <row r="3955" spans="2:10">
      <c r="B3955" s="184"/>
      <c r="C3955" s="184"/>
      <c r="D3955" s="184"/>
      <c r="E3955" s="184"/>
      <c r="F3955" s="184"/>
      <c r="I3955" s="186"/>
      <c r="J3955" s="184"/>
    </row>
    <row r="3956" spans="2:10">
      <c r="B3956" s="184"/>
      <c r="C3956" s="184"/>
      <c r="D3956" s="184"/>
      <c r="E3956" s="184"/>
      <c r="F3956" s="184"/>
      <c r="I3956" s="186"/>
      <c r="J3956" s="184"/>
    </row>
    <row r="3957" spans="2:10">
      <c r="B3957" s="184"/>
      <c r="C3957" s="184"/>
      <c r="D3957" s="184"/>
      <c r="E3957" s="184"/>
      <c r="F3957" s="184"/>
      <c r="I3957" s="186"/>
      <c r="J3957" s="184"/>
    </row>
    <row r="3958" spans="2:10">
      <c r="B3958" s="184"/>
      <c r="C3958" s="184"/>
      <c r="D3958" s="184"/>
      <c r="E3958" s="184"/>
      <c r="F3958" s="184"/>
      <c r="I3958" s="186"/>
      <c r="J3958" s="184"/>
    </row>
    <row r="3959" spans="2:10">
      <c r="B3959" s="184"/>
      <c r="C3959" s="184"/>
      <c r="D3959" s="184"/>
      <c r="E3959" s="184"/>
      <c r="F3959" s="184"/>
      <c r="I3959" s="186"/>
      <c r="J3959" s="184"/>
    </row>
    <row r="3960" spans="2:10">
      <c r="B3960" s="184"/>
      <c r="C3960" s="184"/>
      <c r="D3960" s="184"/>
      <c r="E3960" s="184"/>
      <c r="F3960" s="184"/>
      <c r="I3960" s="186"/>
      <c r="J3960" s="184"/>
    </row>
    <row r="3961" spans="2:10">
      <c r="B3961" s="184"/>
      <c r="C3961" s="184"/>
      <c r="D3961" s="184"/>
      <c r="E3961" s="184"/>
      <c r="F3961" s="184"/>
      <c r="I3961" s="186"/>
      <c r="J3961" s="184"/>
    </row>
    <row r="3962" spans="2:10">
      <c r="B3962" s="184"/>
      <c r="C3962" s="184"/>
      <c r="D3962" s="184"/>
      <c r="E3962" s="184"/>
      <c r="F3962" s="184"/>
      <c r="I3962" s="186"/>
      <c r="J3962" s="184"/>
    </row>
    <row r="3963" spans="2:10">
      <c r="B3963" s="184"/>
      <c r="C3963" s="184"/>
      <c r="D3963" s="184"/>
      <c r="E3963" s="184"/>
      <c r="F3963" s="184"/>
      <c r="I3963" s="186"/>
      <c r="J3963" s="184"/>
    </row>
    <row r="3964" spans="2:10">
      <c r="B3964" s="184"/>
      <c r="C3964" s="184"/>
      <c r="D3964" s="184"/>
      <c r="E3964" s="184"/>
      <c r="F3964" s="184"/>
      <c r="I3964" s="186"/>
      <c r="J3964" s="184"/>
    </row>
    <row r="3965" spans="2:10">
      <c r="B3965" s="184"/>
      <c r="C3965" s="184"/>
      <c r="D3965" s="184"/>
      <c r="E3965" s="184"/>
      <c r="F3965" s="184"/>
      <c r="I3965" s="186"/>
      <c r="J3965" s="184"/>
    </row>
    <row r="3966" spans="2:10">
      <c r="B3966" s="184"/>
      <c r="C3966" s="184"/>
      <c r="D3966" s="184"/>
      <c r="E3966" s="184"/>
      <c r="F3966" s="184"/>
      <c r="I3966" s="186"/>
      <c r="J3966" s="184"/>
    </row>
    <row r="3967" spans="2:10">
      <c r="B3967" s="184"/>
      <c r="C3967" s="184"/>
      <c r="D3967" s="184"/>
      <c r="E3967" s="184"/>
      <c r="F3967" s="184"/>
      <c r="I3967" s="186"/>
      <c r="J3967" s="184"/>
    </row>
    <row r="3968" spans="2:10">
      <c r="B3968" s="184"/>
      <c r="C3968" s="184"/>
      <c r="D3968" s="184"/>
      <c r="E3968" s="184"/>
      <c r="F3968" s="184"/>
      <c r="I3968" s="186"/>
      <c r="J3968" s="184"/>
    </row>
    <row r="3969" spans="2:10">
      <c r="B3969" s="184"/>
      <c r="C3969" s="184"/>
      <c r="D3969" s="184"/>
      <c r="E3969" s="184"/>
      <c r="F3969" s="184"/>
      <c r="I3969" s="186"/>
      <c r="J3969" s="184"/>
    </row>
    <row r="3970" spans="2:10">
      <c r="B3970" s="184"/>
      <c r="C3970" s="184"/>
      <c r="D3970" s="184"/>
      <c r="E3970" s="184"/>
      <c r="F3970" s="184"/>
      <c r="I3970" s="186"/>
      <c r="J3970" s="184"/>
    </row>
    <row r="3971" spans="2:10">
      <c r="B3971" s="184"/>
      <c r="C3971" s="184"/>
      <c r="D3971" s="184"/>
      <c r="E3971" s="184"/>
      <c r="F3971" s="184"/>
      <c r="I3971" s="186"/>
      <c r="J3971" s="184"/>
    </row>
    <row r="3972" spans="2:10">
      <c r="B3972" s="184"/>
      <c r="C3972" s="184"/>
      <c r="D3972" s="184"/>
      <c r="E3972" s="184"/>
      <c r="F3972" s="184"/>
      <c r="I3972" s="186"/>
      <c r="J3972" s="184"/>
    </row>
    <row r="3973" spans="2:10">
      <c r="B3973" s="184"/>
      <c r="C3973" s="184"/>
      <c r="D3973" s="184"/>
      <c r="E3973" s="184"/>
      <c r="F3973" s="184"/>
      <c r="I3973" s="186"/>
      <c r="J3973" s="184"/>
    </row>
    <row r="3974" spans="2:10">
      <c r="B3974" s="184"/>
      <c r="C3974" s="184"/>
      <c r="D3974" s="184"/>
      <c r="E3974" s="184"/>
      <c r="F3974" s="184"/>
      <c r="I3974" s="186"/>
      <c r="J3974" s="184"/>
    </row>
    <row r="3975" spans="2:10">
      <c r="B3975" s="184"/>
      <c r="C3975" s="184"/>
      <c r="D3975" s="184"/>
      <c r="E3975" s="184"/>
      <c r="F3975" s="184"/>
      <c r="I3975" s="186"/>
      <c r="J3975" s="184"/>
    </row>
    <row r="3976" spans="2:10">
      <c r="B3976" s="184"/>
      <c r="C3976" s="184"/>
      <c r="D3976" s="184"/>
      <c r="E3976" s="184"/>
      <c r="F3976" s="184"/>
      <c r="I3976" s="186"/>
      <c r="J3976" s="184"/>
    </row>
    <row r="3977" spans="2:10">
      <c r="B3977" s="184"/>
      <c r="C3977" s="184"/>
      <c r="D3977" s="184"/>
      <c r="E3977" s="184"/>
      <c r="F3977" s="184"/>
      <c r="I3977" s="186"/>
      <c r="J3977" s="184"/>
    </row>
    <row r="3978" spans="2:10">
      <c r="B3978" s="184"/>
      <c r="C3978" s="184"/>
      <c r="D3978" s="184"/>
      <c r="E3978" s="184"/>
      <c r="F3978" s="184"/>
      <c r="I3978" s="186"/>
      <c r="J3978" s="184"/>
    </row>
    <row r="3979" spans="2:10">
      <c r="B3979" s="184"/>
      <c r="C3979" s="184"/>
      <c r="D3979" s="184"/>
      <c r="E3979" s="184"/>
      <c r="F3979" s="184"/>
      <c r="I3979" s="186"/>
      <c r="J3979" s="184"/>
    </row>
    <row r="3980" spans="2:10">
      <c r="B3980" s="184"/>
      <c r="C3980" s="184"/>
      <c r="D3980" s="184"/>
      <c r="E3980" s="184"/>
      <c r="F3980" s="184"/>
      <c r="I3980" s="186"/>
      <c r="J3980" s="184"/>
    </row>
    <row r="3981" spans="2:10">
      <c r="B3981" s="184"/>
      <c r="C3981" s="184"/>
      <c r="D3981" s="184"/>
      <c r="E3981" s="184"/>
      <c r="F3981" s="184"/>
      <c r="I3981" s="186"/>
      <c r="J3981" s="184"/>
    </row>
    <row r="3982" spans="2:10">
      <c r="B3982" s="184"/>
      <c r="C3982" s="184"/>
      <c r="D3982" s="184"/>
      <c r="E3982" s="184"/>
      <c r="F3982" s="184"/>
      <c r="I3982" s="186"/>
      <c r="J3982" s="184"/>
    </row>
    <row r="3983" spans="2:10">
      <c r="B3983" s="184"/>
      <c r="C3983" s="184"/>
      <c r="D3983" s="184"/>
      <c r="E3983" s="184"/>
      <c r="F3983" s="184"/>
      <c r="I3983" s="186"/>
      <c r="J3983" s="184"/>
    </row>
    <row r="3984" spans="2:10">
      <c r="B3984" s="184"/>
      <c r="C3984" s="184"/>
      <c r="D3984" s="184"/>
      <c r="E3984" s="184"/>
      <c r="F3984" s="184"/>
      <c r="I3984" s="186"/>
      <c r="J3984" s="184"/>
    </row>
    <row r="3985" spans="2:10">
      <c r="B3985" s="184"/>
      <c r="C3985" s="184"/>
      <c r="D3985" s="184"/>
      <c r="E3985" s="184"/>
      <c r="F3985" s="184"/>
      <c r="I3985" s="186"/>
      <c r="J3985" s="184"/>
    </row>
    <row r="3986" spans="2:10">
      <c r="B3986" s="184"/>
      <c r="C3986" s="184"/>
      <c r="D3986" s="184"/>
      <c r="E3986" s="184"/>
      <c r="F3986" s="184"/>
      <c r="I3986" s="186"/>
      <c r="J3986" s="184"/>
    </row>
    <row r="3987" spans="2:10">
      <c r="B3987" s="184"/>
      <c r="C3987" s="184"/>
      <c r="D3987" s="184"/>
      <c r="E3987" s="184"/>
      <c r="F3987" s="184"/>
      <c r="I3987" s="186"/>
      <c r="J3987" s="184"/>
    </row>
    <row r="3988" spans="2:10">
      <c r="B3988" s="184"/>
      <c r="C3988" s="184"/>
      <c r="D3988" s="184"/>
      <c r="E3988" s="184"/>
      <c r="F3988" s="184"/>
      <c r="I3988" s="186"/>
      <c r="J3988" s="184"/>
    </row>
    <row r="3989" spans="2:10">
      <c r="B3989" s="184"/>
      <c r="C3989" s="184"/>
      <c r="D3989" s="184"/>
      <c r="E3989" s="184"/>
      <c r="F3989" s="184"/>
      <c r="I3989" s="186"/>
      <c r="J3989" s="184"/>
    </row>
    <row r="3990" spans="2:10">
      <c r="B3990" s="184"/>
      <c r="C3990" s="184"/>
      <c r="D3990" s="184"/>
      <c r="E3990" s="184"/>
      <c r="F3990" s="184"/>
      <c r="I3990" s="186"/>
      <c r="J3990" s="184"/>
    </row>
    <row r="3991" spans="2:10">
      <c r="B3991" s="184"/>
      <c r="C3991" s="184"/>
      <c r="D3991" s="184"/>
      <c r="E3991" s="184"/>
      <c r="F3991" s="184"/>
      <c r="I3991" s="186"/>
      <c r="J3991" s="184"/>
    </row>
    <row r="3992" spans="2:10">
      <c r="B3992" s="184"/>
      <c r="C3992" s="184"/>
      <c r="D3992" s="184"/>
      <c r="E3992" s="184"/>
      <c r="F3992" s="184"/>
      <c r="I3992" s="186"/>
      <c r="J3992" s="184"/>
    </row>
    <row r="3993" spans="2:10">
      <c r="B3993" s="184"/>
      <c r="C3993" s="184"/>
      <c r="D3993" s="184"/>
      <c r="E3993" s="184"/>
      <c r="F3993" s="184"/>
      <c r="I3993" s="186"/>
      <c r="J3993" s="184"/>
    </row>
    <row r="3994" spans="2:10">
      <c r="B3994" s="184"/>
      <c r="C3994" s="184"/>
      <c r="D3994" s="184"/>
      <c r="E3994" s="184"/>
      <c r="F3994" s="184"/>
      <c r="I3994" s="186"/>
      <c r="J3994" s="184"/>
    </row>
    <row r="3995" spans="2:10">
      <c r="B3995" s="184"/>
      <c r="C3995" s="184"/>
      <c r="D3995" s="184"/>
      <c r="E3995" s="184"/>
      <c r="F3995" s="184"/>
      <c r="I3995" s="186"/>
      <c r="J3995" s="184"/>
    </row>
    <row r="3996" spans="2:10">
      <c r="B3996" s="184"/>
      <c r="C3996" s="184"/>
      <c r="D3996" s="184"/>
      <c r="E3996" s="184"/>
      <c r="F3996" s="184"/>
      <c r="I3996" s="186"/>
      <c r="J3996" s="184"/>
    </row>
    <row r="3997" spans="2:10">
      <c r="B3997" s="184"/>
      <c r="C3997" s="184"/>
      <c r="D3997" s="184"/>
      <c r="E3997" s="184"/>
      <c r="F3997" s="184"/>
      <c r="I3997" s="186"/>
      <c r="J3997" s="184"/>
    </row>
    <row r="3998" spans="2:10">
      <c r="B3998" s="184"/>
      <c r="C3998" s="184"/>
      <c r="D3998" s="184"/>
      <c r="E3998" s="184"/>
      <c r="F3998" s="184"/>
      <c r="I3998" s="186"/>
      <c r="J3998" s="184"/>
    </row>
    <row r="3999" spans="2:10">
      <c r="B3999" s="184"/>
      <c r="C3999" s="184"/>
      <c r="D3999" s="184"/>
      <c r="E3999" s="184"/>
      <c r="F3999" s="184"/>
      <c r="I3999" s="186"/>
      <c r="J3999" s="184"/>
    </row>
    <row r="4000" spans="2:10">
      <c r="B4000" s="184"/>
      <c r="C4000" s="184"/>
      <c r="D4000" s="184"/>
      <c r="E4000" s="184"/>
      <c r="F4000" s="184"/>
      <c r="I4000" s="186"/>
      <c r="J4000" s="184"/>
    </row>
    <row r="4001" spans="2:10">
      <c r="B4001" s="184"/>
      <c r="C4001" s="184"/>
      <c r="D4001" s="184"/>
      <c r="E4001" s="184"/>
      <c r="F4001" s="184"/>
      <c r="I4001" s="186"/>
      <c r="J4001" s="184"/>
    </row>
    <row r="4002" spans="2:10">
      <c r="B4002" s="184"/>
      <c r="C4002" s="184"/>
      <c r="D4002" s="184"/>
      <c r="E4002" s="184"/>
      <c r="F4002" s="184"/>
      <c r="I4002" s="186"/>
      <c r="J4002" s="184"/>
    </row>
    <row r="4003" spans="2:10">
      <c r="B4003" s="184"/>
      <c r="C4003" s="184"/>
      <c r="D4003" s="184"/>
      <c r="E4003" s="184"/>
      <c r="F4003" s="184"/>
      <c r="I4003" s="186"/>
      <c r="J4003" s="184"/>
    </row>
    <row r="4004" spans="2:10">
      <c r="B4004" s="184"/>
      <c r="C4004" s="184"/>
      <c r="D4004" s="184"/>
      <c r="E4004" s="184"/>
      <c r="F4004" s="184"/>
      <c r="I4004" s="186"/>
      <c r="J4004" s="184"/>
    </row>
    <row r="4005" spans="2:10">
      <c r="B4005" s="184"/>
      <c r="C4005" s="184"/>
      <c r="D4005" s="184"/>
      <c r="E4005" s="184"/>
      <c r="F4005" s="184"/>
      <c r="I4005" s="186"/>
      <c r="J4005" s="184"/>
    </row>
    <row r="4006" spans="2:10">
      <c r="B4006" s="184"/>
      <c r="C4006" s="184"/>
      <c r="D4006" s="184"/>
      <c r="E4006" s="184"/>
      <c r="F4006" s="184"/>
      <c r="I4006" s="186"/>
      <c r="J4006" s="184"/>
    </row>
    <row r="4007" spans="2:10">
      <c r="B4007" s="184"/>
      <c r="C4007" s="184"/>
      <c r="D4007" s="184"/>
      <c r="E4007" s="184"/>
      <c r="F4007" s="184"/>
      <c r="I4007" s="186"/>
      <c r="J4007" s="184"/>
    </row>
    <row r="4008" spans="2:10">
      <c r="B4008" s="184"/>
      <c r="C4008" s="184"/>
      <c r="D4008" s="184"/>
      <c r="E4008" s="184"/>
      <c r="F4008" s="184"/>
      <c r="G4008" s="187"/>
      <c r="I4008" s="186"/>
      <c r="J4008" s="184"/>
    </row>
    <row r="4009" spans="2:10">
      <c r="B4009" s="184"/>
      <c r="C4009" s="184"/>
      <c r="D4009" s="184"/>
      <c r="E4009" s="184"/>
      <c r="F4009" s="184"/>
      <c r="I4009" s="186"/>
      <c r="J4009" s="184"/>
    </row>
    <row r="4010" spans="2:10">
      <c r="B4010" s="184"/>
      <c r="C4010" s="184"/>
      <c r="D4010" s="184"/>
      <c r="E4010" s="184"/>
      <c r="F4010" s="184"/>
      <c r="I4010" s="186"/>
      <c r="J4010" s="184"/>
    </row>
    <row r="4011" spans="2:10">
      <c r="B4011" s="184"/>
      <c r="C4011" s="184"/>
      <c r="D4011" s="184"/>
      <c r="E4011" s="184"/>
      <c r="F4011" s="184"/>
      <c r="I4011" s="186"/>
      <c r="J4011" s="184"/>
    </row>
    <row r="4012" spans="2:10">
      <c r="B4012" s="184"/>
      <c r="C4012" s="184"/>
      <c r="D4012" s="184"/>
      <c r="E4012" s="184"/>
      <c r="F4012" s="184"/>
      <c r="I4012" s="186"/>
      <c r="J4012" s="184"/>
    </row>
    <row r="4013" spans="2:10">
      <c r="B4013" s="184"/>
      <c r="C4013" s="184"/>
      <c r="D4013" s="184"/>
      <c r="E4013" s="184"/>
      <c r="F4013" s="184"/>
      <c r="I4013" s="186"/>
      <c r="J4013" s="184"/>
    </row>
    <row r="4014" spans="2:10">
      <c r="B4014" s="184"/>
      <c r="C4014" s="184"/>
      <c r="D4014" s="184"/>
      <c r="E4014" s="184"/>
      <c r="F4014" s="184"/>
      <c r="I4014" s="186"/>
      <c r="J4014" s="184"/>
    </row>
    <row r="4015" spans="2:10">
      <c r="B4015" s="184"/>
      <c r="C4015" s="184"/>
      <c r="D4015" s="184"/>
      <c r="E4015" s="184"/>
      <c r="F4015" s="184"/>
      <c r="I4015" s="186"/>
      <c r="J4015" s="184"/>
    </row>
    <row r="4016" spans="2:10">
      <c r="B4016" s="184"/>
      <c r="C4016" s="184"/>
      <c r="D4016" s="184"/>
      <c r="E4016" s="184"/>
      <c r="F4016" s="184"/>
      <c r="I4016" s="186"/>
      <c r="J4016" s="184"/>
    </row>
    <row r="4017" spans="2:10">
      <c r="B4017" s="184"/>
      <c r="C4017" s="184"/>
      <c r="D4017" s="184"/>
      <c r="E4017" s="184"/>
      <c r="F4017" s="184"/>
      <c r="I4017" s="186"/>
      <c r="J4017" s="184"/>
    </row>
    <row r="4018" spans="2:10">
      <c r="B4018" s="184"/>
      <c r="C4018" s="184"/>
      <c r="D4018" s="184"/>
      <c r="E4018" s="184"/>
      <c r="F4018" s="184"/>
      <c r="I4018" s="186"/>
      <c r="J4018" s="184"/>
    </row>
    <row r="4019" spans="2:10">
      <c r="B4019" s="184"/>
      <c r="C4019" s="184"/>
      <c r="D4019" s="184"/>
      <c r="E4019" s="184"/>
      <c r="F4019" s="184"/>
      <c r="I4019" s="186"/>
      <c r="J4019" s="184"/>
    </row>
    <row r="4020" spans="2:10">
      <c r="B4020" s="184"/>
      <c r="C4020" s="184"/>
      <c r="D4020" s="184"/>
      <c r="E4020" s="184"/>
      <c r="F4020" s="184"/>
      <c r="I4020" s="186"/>
      <c r="J4020" s="184"/>
    </row>
    <row r="4021" spans="2:10">
      <c r="B4021" s="184"/>
      <c r="C4021" s="184"/>
      <c r="D4021" s="184"/>
      <c r="E4021" s="184"/>
      <c r="F4021" s="184"/>
      <c r="I4021" s="186"/>
      <c r="J4021" s="184"/>
    </row>
    <row r="4022" spans="2:10">
      <c r="B4022" s="184"/>
      <c r="C4022" s="184"/>
      <c r="D4022" s="184"/>
      <c r="E4022" s="184"/>
      <c r="F4022" s="184"/>
      <c r="I4022" s="186"/>
      <c r="J4022" s="184"/>
    </row>
    <row r="4023" spans="2:10">
      <c r="B4023" s="184"/>
      <c r="C4023" s="184"/>
      <c r="D4023" s="184"/>
      <c r="E4023" s="184"/>
      <c r="F4023" s="184"/>
      <c r="I4023" s="186"/>
      <c r="J4023" s="184"/>
    </row>
    <row r="4024" spans="2:10">
      <c r="B4024" s="184"/>
      <c r="C4024" s="184"/>
      <c r="D4024" s="184"/>
      <c r="E4024" s="184"/>
      <c r="F4024" s="184"/>
      <c r="G4024" s="187"/>
      <c r="I4024" s="186"/>
      <c r="J4024" s="184"/>
    </row>
    <row r="4025" spans="2:10">
      <c r="B4025" s="184"/>
      <c r="C4025" s="184"/>
      <c r="D4025" s="184"/>
      <c r="E4025" s="184"/>
      <c r="F4025" s="184"/>
      <c r="G4025" s="187"/>
      <c r="I4025" s="186"/>
      <c r="J4025" s="184"/>
    </row>
    <row r="4026" spans="2:10">
      <c r="B4026" s="184"/>
      <c r="C4026" s="184"/>
      <c r="D4026" s="184"/>
      <c r="E4026" s="184"/>
      <c r="F4026" s="184"/>
      <c r="G4026" s="187"/>
      <c r="I4026" s="186"/>
      <c r="J4026" s="184"/>
    </row>
    <row r="4027" spans="2:10">
      <c r="B4027" s="184"/>
      <c r="C4027" s="184"/>
      <c r="D4027" s="184"/>
      <c r="E4027" s="184"/>
      <c r="F4027" s="184"/>
      <c r="G4027" s="187"/>
      <c r="I4027" s="186"/>
      <c r="J4027" s="184"/>
    </row>
    <row r="4028" spans="2:10">
      <c r="B4028" s="184"/>
      <c r="C4028" s="184"/>
      <c r="D4028" s="184"/>
      <c r="E4028" s="184"/>
      <c r="F4028" s="184"/>
      <c r="G4028" s="187"/>
      <c r="I4028" s="186"/>
      <c r="J4028" s="184"/>
    </row>
    <row r="4029" spans="2:10">
      <c r="B4029" s="184"/>
      <c r="C4029" s="184"/>
      <c r="D4029" s="184"/>
      <c r="E4029" s="184"/>
      <c r="F4029" s="184"/>
      <c r="G4029" s="187"/>
      <c r="I4029" s="186"/>
      <c r="J4029" s="184"/>
    </row>
    <row r="4030" spans="2:10">
      <c r="B4030" s="184"/>
      <c r="C4030" s="184"/>
      <c r="D4030" s="184"/>
      <c r="E4030" s="184"/>
      <c r="F4030" s="184"/>
      <c r="G4030" s="187"/>
      <c r="I4030" s="186"/>
      <c r="J4030" s="184"/>
    </row>
    <row r="4031" spans="2:10">
      <c r="B4031" s="184"/>
      <c r="C4031" s="184"/>
      <c r="D4031" s="184"/>
      <c r="E4031" s="184"/>
      <c r="F4031" s="184"/>
      <c r="G4031" s="187"/>
      <c r="I4031" s="186"/>
      <c r="J4031" s="184"/>
    </row>
    <row r="4032" spans="2:10">
      <c r="B4032" s="184"/>
      <c r="C4032" s="184"/>
      <c r="D4032" s="184"/>
      <c r="E4032" s="184"/>
      <c r="F4032" s="184"/>
      <c r="G4032" s="187"/>
      <c r="I4032" s="186"/>
      <c r="J4032" s="184"/>
    </row>
    <row r="4033" spans="2:10">
      <c r="B4033" s="184"/>
      <c r="C4033" s="184"/>
      <c r="D4033" s="184"/>
      <c r="E4033" s="184"/>
      <c r="F4033" s="184"/>
      <c r="G4033" s="187"/>
      <c r="I4033" s="186"/>
      <c r="J4033" s="184"/>
    </row>
    <row r="4034" spans="2:10">
      <c r="B4034" s="184"/>
      <c r="C4034" s="184"/>
      <c r="D4034" s="184"/>
      <c r="E4034" s="184"/>
      <c r="F4034" s="184"/>
      <c r="I4034" s="186"/>
      <c r="J4034" s="184"/>
    </row>
    <row r="4035" spans="2:10">
      <c r="B4035" s="184"/>
      <c r="C4035" s="184"/>
      <c r="D4035" s="184"/>
      <c r="E4035" s="184"/>
      <c r="F4035" s="184"/>
      <c r="I4035" s="186"/>
      <c r="J4035" s="184"/>
    </row>
    <row r="4036" spans="2:10">
      <c r="B4036" s="184"/>
      <c r="C4036" s="184"/>
      <c r="D4036" s="184"/>
      <c r="E4036" s="184"/>
      <c r="F4036" s="184"/>
      <c r="G4036" s="187"/>
      <c r="I4036" s="186"/>
      <c r="J4036" s="184"/>
    </row>
    <row r="4037" spans="2:10">
      <c r="B4037" s="184"/>
      <c r="C4037" s="184"/>
      <c r="D4037" s="184"/>
      <c r="E4037" s="184"/>
      <c r="F4037" s="184"/>
      <c r="G4037" s="187"/>
      <c r="I4037" s="186"/>
      <c r="J4037" s="184"/>
    </row>
    <row r="4038" spans="2:10">
      <c r="B4038" s="184"/>
      <c r="C4038" s="184"/>
      <c r="D4038" s="184"/>
      <c r="E4038" s="184"/>
      <c r="F4038" s="184"/>
      <c r="G4038" s="187"/>
      <c r="I4038" s="186"/>
      <c r="J4038" s="184"/>
    </row>
    <row r="4039" spans="2:10">
      <c r="B4039" s="184"/>
      <c r="C4039" s="184"/>
      <c r="D4039" s="184"/>
      <c r="E4039" s="184"/>
      <c r="F4039" s="184"/>
      <c r="G4039" s="187"/>
      <c r="I4039" s="186"/>
      <c r="J4039" s="184"/>
    </row>
    <row r="4040" spans="2:10">
      <c r="B4040" s="184"/>
      <c r="C4040" s="184"/>
      <c r="D4040" s="184"/>
      <c r="E4040" s="184"/>
      <c r="F4040" s="184"/>
      <c r="G4040" s="187"/>
      <c r="I4040" s="186"/>
      <c r="J4040" s="184"/>
    </row>
    <row r="4041" spans="2:10">
      <c r="B4041" s="184"/>
      <c r="C4041" s="184"/>
      <c r="D4041" s="184"/>
      <c r="E4041" s="184"/>
      <c r="F4041" s="184"/>
      <c r="G4041" s="187"/>
      <c r="I4041" s="186"/>
      <c r="J4041" s="184"/>
    </row>
    <row r="4042" spans="2:10">
      <c r="B4042" s="184"/>
      <c r="C4042" s="184"/>
      <c r="D4042" s="184"/>
      <c r="E4042" s="184"/>
      <c r="F4042" s="184"/>
      <c r="I4042" s="186"/>
      <c r="J4042" s="184"/>
    </row>
    <row r="4043" spans="2:10">
      <c r="B4043" s="184"/>
      <c r="C4043" s="184"/>
      <c r="D4043" s="184"/>
      <c r="E4043" s="184"/>
      <c r="F4043" s="184"/>
      <c r="I4043" s="186"/>
      <c r="J4043" s="184"/>
    </row>
    <row r="4044" spans="2:10">
      <c r="B4044" s="184"/>
      <c r="C4044" s="184"/>
      <c r="D4044" s="184"/>
      <c r="E4044" s="184"/>
      <c r="F4044" s="184"/>
      <c r="I4044" s="186"/>
      <c r="J4044" s="184"/>
    </row>
    <row r="4045" spans="2:10">
      <c r="B4045" s="184"/>
      <c r="C4045" s="184"/>
      <c r="D4045" s="184"/>
      <c r="E4045" s="184"/>
      <c r="F4045" s="184"/>
      <c r="I4045" s="186"/>
      <c r="J4045" s="184"/>
    </row>
    <row r="4046" spans="2:10">
      <c r="B4046" s="184"/>
      <c r="C4046" s="184"/>
      <c r="D4046" s="184"/>
      <c r="E4046" s="184"/>
      <c r="F4046" s="184"/>
      <c r="I4046" s="186"/>
      <c r="J4046" s="184"/>
    </row>
    <row r="4047" spans="2:10">
      <c r="B4047" s="184"/>
      <c r="C4047" s="184"/>
      <c r="D4047" s="184"/>
      <c r="E4047" s="184"/>
      <c r="F4047" s="184"/>
      <c r="I4047" s="186"/>
      <c r="J4047" s="184"/>
    </row>
    <row r="4048" spans="2:10">
      <c r="B4048" s="184"/>
      <c r="C4048" s="184"/>
      <c r="D4048" s="184"/>
      <c r="E4048" s="184"/>
      <c r="F4048" s="184"/>
      <c r="G4048" s="187"/>
      <c r="I4048" s="186"/>
      <c r="J4048" s="184"/>
    </row>
    <row r="4049" spans="2:10">
      <c r="B4049" s="184"/>
      <c r="C4049" s="184"/>
      <c r="D4049" s="184"/>
      <c r="E4049" s="184"/>
      <c r="F4049" s="184"/>
      <c r="G4049" s="187"/>
      <c r="I4049" s="186"/>
      <c r="J4049" s="184"/>
    </row>
    <row r="4050" spans="2:10">
      <c r="B4050" s="184"/>
      <c r="C4050" s="184"/>
      <c r="D4050" s="184"/>
      <c r="E4050" s="184"/>
      <c r="F4050" s="184"/>
      <c r="G4050" s="187"/>
      <c r="I4050" s="186"/>
      <c r="J4050" s="184"/>
    </row>
    <row r="4051" spans="2:10">
      <c r="B4051" s="184"/>
      <c r="C4051" s="184"/>
      <c r="D4051" s="184"/>
      <c r="E4051" s="184"/>
      <c r="F4051" s="184"/>
      <c r="G4051" s="187"/>
      <c r="I4051" s="186"/>
      <c r="J4051" s="184"/>
    </row>
    <row r="4052" spans="2:10">
      <c r="B4052" s="184"/>
      <c r="C4052" s="184"/>
      <c r="D4052" s="184"/>
      <c r="E4052" s="184"/>
      <c r="F4052" s="184"/>
      <c r="G4052" s="187"/>
      <c r="I4052" s="186"/>
      <c r="J4052" s="184"/>
    </row>
    <row r="4053" spans="2:10">
      <c r="B4053" s="184"/>
      <c r="C4053" s="184"/>
      <c r="D4053" s="184"/>
      <c r="E4053" s="184"/>
      <c r="F4053" s="184"/>
      <c r="I4053" s="186"/>
      <c r="J4053" s="184"/>
    </row>
    <row r="4054" spans="2:10">
      <c r="B4054" s="184"/>
      <c r="C4054" s="184"/>
      <c r="D4054" s="184"/>
      <c r="E4054" s="184"/>
      <c r="F4054" s="184"/>
      <c r="I4054" s="186"/>
      <c r="J4054" s="184"/>
    </row>
    <row r="4055" spans="2:10">
      <c r="B4055" s="184"/>
      <c r="C4055" s="184"/>
      <c r="D4055" s="184"/>
      <c r="E4055" s="184"/>
      <c r="F4055" s="184"/>
      <c r="G4055" s="187"/>
      <c r="I4055" s="186"/>
      <c r="J4055" s="184"/>
    </row>
    <row r="4056" spans="2:10">
      <c r="B4056" s="184"/>
      <c r="C4056" s="184"/>
      <c r="D4056" s="184"/>
      <c r="E4056" s="184"/>
      <c r="F4056" s="184"/>
      <c r="I4056" s="186"/>
      <c r="J4056" s="184"/>
    </row>
    <row r="4057" spans="2:10">
      <c r="B4057" s="184"/>
      <c r="C4057" s="184"/>
      <c r="D4057" s="184"/>
      <c r="E4057" s="184"/>
      <c r="F4057" s="184"/>
      <c r="I4057" s="186"/>
      <c r="J4057" s="184"/>
    </row>
    <row r="4058" spans="2:10">
      <c r="B4058" s="184"/>
      <c r="C4058" s="184"/>
      <c r="D4058" s="184"/>
      <c r="E4058" s="184"/>
      <c r="F4058" s="184"/>
      <c r="G4058" s="187"/>
      <c r="I4058" s="186"/>
      <c r="J4058" s="184"/>
    </row>
    <row r="4059" spans="2:10">
      <c r="B4059" s="184"/>
      <c r="C4059" s="184"/>
      <c r="D4059" s="184"/>
      <c r="E4059" s="184"/>
      <c r="F4059" s="184"/>
      <c r="G4059" s="187"/>
      <c r="I4059" s="186"/>
      <c r="J4059" s="184"/>
    </row>
    <row r="4060" spans="2:10">
      <c r="B4060" s="184"/>
      <c r="C4060" s="184"/>
      <c r="D4060" s="184"/>
      <c r="E4060" s="184"/>
      <c r="F4060" s="184"/>
      <c r="I4060" s="186"/>
      <c r="J4060" s="184"/>
    </row>
    <row r="4061" spans="2:10">
      <c r="B4061" s="184"/>
      <c r="C4061" s="184"/>
      <c r="D4061" s="184"/>
      <c r="E4061" s="184"/>
      <c r="F4061" s="184"/>
      <c r="G4061" s="187"/>
      <c r="I4061" s="186"/>
      <c r="J4061" s="184"/>
    </row>
    <row r="4062" spans="2:10">
      <c r="B4062" s="184"/>
      <c r="C4062" s="184"/>
      <c r="D4062" s="184"/>
      <c r="E4062" s="184"/>
      <c r="F4062" s="184"/>
      <c r="G4062" s="187"/>
      <c r="I4062" s="186"/>
      <c r="J4062" s="184"/>
    </row>
    <row r="4063" spans="2:10">
      <c r="B4063" s="184"/>
      <c r="C4063" s="184"/>
      <c r="D4063" s="184"/>
      <c r="E4063" s="184"/>
      <c r="F4063" s="184"/>
      <c r="G4063" s="187"/>
      <c r="I4063" s="186"/>
      <c r="J4063" s="184"/>
    </row>
    <row r="4064" spans="2:10">
      <c r="B4064" s="184"/>
      <c r="C4064" s="184"/>
      <c r="D4064" s="184"/>
      <c r="E4064" s="184"/>
      <c r="F4064" s="184"/>
      <c r="G4064" s="187"/>
      <c r="I4064" s="186"/>
      <c r="J4064" s="184"/>
    </row>
    <row r="4065" spans="2:10">
      <c r="B4065" s="184"/>
      <c r="C4065" s="184"/>
      <c r="D4065" s="184"/>
      <c r="E4065" s="184"/>
      <c r="F4065" s="184"/>
      <c r="G4065" s="187"/>
      <c r="I4065" s="186"/>
      <c r="J4065" s="184"/>
    </row>
    <row r="4066" spans="2:10">
      <c r="B4066" s="184"/>
      <c r="C4066" s="184"/>
      <c r="D4066" s="184"/>
      <c r="E4066" s="184"/>
      <c r="F4066" s="184"/>
      <c r="G4066" s="187"/>
      <c r="I4066" s="186"/>
      <c r="J4066" s="184"/>
    </row>
    <row r="4067" spans="2:10">
      <c r="B4067" s="184"/>
      <c r="C4067" s="184"/>
      <c r="D4067" s="184"/>
      <c r="E4067" s="184"/>
      <c r="F4067" s="184"/>
      <c r="G4067" s="187"/>
      <c r="I4067" s="186"/>
      <c r="J4067" s="184"/>
    </row>
    <row r="4068" spans="2:10">
      <c r="B4068" s="184"/>
      <c r="C4068" s="184"/>
      <c r="D4068" s="184"/>
      <c r="E4068" s="184"/>
      <c r="F4068" s="184"/>
      <c r="G4068" s="187"/>
      <c r="I4068" s="186"/>
      <c r="J4068" s="184"/>
    </row>
    <row r="4069" spans="2:10">
      <c r="B4069" s="184"/>
      <c r="C4069" s="184"/>
      <c r="D4069" s="184"/>
      <c r="E4069" s="184"/>
      <c r="F4069" s="184"/>
      <c r="G4069" s="187"/>
      <c r="I4069" s="186"/>
      <c r="J4069" s="184"/>
    </row>
    <row r="4070" spans="2:10">
      <c r="B4070" s="184"/>
      <c r="C4070" s="184"/>
      <c r="D4070" s="184"/>
      <c r="E4070" s="184"/>
      <c r="F4070" s="184"/>
      <c r="G4070" s="187"/>
      <c r="I4070" s="186"/>
      <c r="J4070" s="184"/>
    </row>
    <row r="4071" spans="2:10">
      <c r="B4071" s="184"/>
      <c r="C4071" s="184"/>
      <c r="D4071" s="184"/>
      <c r="E4071" s="184"/>
      <c r="F4071" s="184"/>
      <c r="I4071" s="186"/>
      <c r="J4071" s="184"/>
    </row>
    <row r="4072" spans="2:10">
      <c r="B4072" s="184"/>
      <c r="C4072" s="184"/>
      <c r="D4072" s="184"/>
      <c r="E4072" s="184"/>
      <c r="F4072" s="184"/>
      <c r="I4072" s="186"/>
      <c r="J4072" s="184"/>
    </row>
    <row r="4073" spans="2:10">
      <c r="B4073" s="184"/>
      <c r="C4073" s="184"/>
      <c r="D4073" s="184"/>
      <c r="E4073" s="184"/>
      <c r="F4073" s="184"/>
      <c r="I4073" s="186"/>
      <c r="J4073" s="184"/>
    </row>
    <row r="4074" spans="2:10">
      <c r="B4074" s="184"/>
      <c r="C4074" s="184"/>
      <c r="D4074" s="184"/>
      <c r="E4074" s="184"/>
      <c r="F4074" s="184"/>
      <c r="I4074" s="186"/>
      <c r="J4074" s="184"/>
    </row>
    <row r="4075" spans="2:10">
      <c r="B4075" s="184"/>
      <c r="C4075" s="184"/>
      <c r="D4075" s="184"/>
      <c r="E4075" s="184"/>
      <c r="F4075" s="184"/>
      <c r="I4075" s="186"/>
      <c r="J4075" s="184"/>
    </row>
    <row r="4076" spans="2:10">
      <c r="B4076" s="184"/>
      <c r="C4076" s="184"/>
      <c r="D4076" s="184"/>
      <c r="E4076" s="184"/>
      <c r="F4076" s="184"/>
      <c r="I4076" s="186"/>
      <c r="J4076" s="184"/>
    </row>
    <row r="4077" spans="2:10">
      <c r="B4077" s="184"/>
      <c r="C4077" s="184"/>
      <c r="D4077" s="184"/>
      <c r="E4077" s="184"/>
      <c r="F4077" s="184"/>
      <c r="I4077" s="186"/>
      <c r="J4077" s="184"/>
    </row>
    <row r="4078" spans="2:10">
      <c r="B4078" s="184"/>
      <c r="C4078" s="184"/>
      <c r="D4078" s="184"/>
      <c r="E4078" s="184"/>
      <c r="F4078" s="184"/>
      <c r="I4078" s="186"/>
      <c r="J4078" s="184"/>
    </row>
    <row r="4079" spans="2:10">
      <c r="B4079" s="184"/>
      <c r="C4079" s="184"/>
      <c r="D4079" s="184"/>
      <c r="E4079" s="184"/>
      <c r="F4079" s="184"/>
      <c r="I4079" s="186"/>
      <c r="J4079" s="184"/>
    </row>
    <row r="4080" spans="2:10">
      <c r="B4080" s="184"/>
      <c r="C4080" s="184"/>
      <c r="D4080" s="184"/>
      <c r="E4080" s="184"/>
      <c r="F4080" s="184"/>
      <c r="I4080" s="186"/>
      <c r="J4080" s="184"/>
    </row>
    <row r="4081" spans="2:10">
      <c r="B4081" s="184"/>
      <c r="C4081" s="184"/>
      <c r="D4081" s="184"/>
      <c r="E4081" s="184"/>
      <c r="F4081" s="184"/>
      <c r="G4081" s="187"/>
      <c r="I4081" s="186"/>
      <c r="J4081" s="184"/>
    </row>
    <row r="4082" spans="2:10">
      <c r="B4082" s="184"/>
      <c r="C4082" s="184"/>
      <c r="D4082" s="184"/>
      <c r="E4082" s="184"/>
      <c r="F4082" s="184"/>
      <c r="I4082" s="186"/>
      <c r="J4082" s="184"/>
    </row>
    <row r="4083" spans="2:10">
      <c r="B4083" s="184"/>
      <c r="C4083" s="184"/>
      <c r="D4083" s="184"/>
      <c r="E4083" s="184"/>
      <c r="F4083" s="184"/>
      <c r="I4083" s="186"/>
      <c r="J4083" s="184"/>
    </row>
    <row r="4084" spans="2:10">
      <c r="B4084" s="184"/>
      <c r="C4084" s="184"/>
      <c r="D4084" s="184"/>
      <c r="E4084" s="184"/>
      <c r="F4084" s="184"/>
      <c r="I4084" s="186"/>
      <c r="J4084" s="184"/>
    </row>
    <row r="4085" spans="2:10">
      <c r="B4085" s="184"/>
      <c r="C4085" s="184"/>
      <c r="D4085" s="184"/>
      <c r="E4085" s="184"/>
      <c r="F4085" s="184"/>
      <c r="I4085" s="186"/>
      <c r="J4085" s="184"/>
    </row>
    <row r="4086" spans="2:10">
      <c r="B4086" s="184"/>
      <c r="C4086" s="184"/>
      <c r="D4086" s="184"/>
      <c r="E4086" s="184"/>
      <c r="F4086" s="184"/>
      <c r="I4086" s="186"/>
      <c r="J4086" s="184"/>
    </row>
    <row r="4087" spans="2:10">
      <c r="B4087" s="184"/>
      <c r="C4087" s="184"/>
      <c r="D4087" s="184"/>
      <c r="E4087" s="184"/>
      <c r="F4087" s="184"/>
      <c r="I4087" s="186"/>
      <c r="J4087" s="184"/>
    </row>
    <row r="4088" spans="2:10">
      <c r="B4088" s="184"/>
      <c r="C4088" s="184"/>
      <c r="D4088" s="184"/>
      <c r="E4088" s="184"/>
      <c r="F4088" s="184"/>
      <c r="I4088" s="186"/>
      <c r="J4088" s="184"/>
    </row>
    <row r="4089" spans="2:10">
      <c r="B4089" s="184"/>
      <c r="C4089" s="184"/>
      <c r="D4089" s="184"/>
      <c r="E4089" s="184"/>
      <c r="F4089" s="184"/>
      <c r="I4089" s="186"/>
      <c r="J4089" s="184"/>
    </row>
    <row r="4090" spans="2:10">
      <c r="B4090" s="184"/>
      <c r="C4090" s="184"/>
      <c r="D4090" s="184"/>
      <c r="E4090" s="184"/>
      <c r="F4090" s="184"/>
      <c r="I4090" s="186"/>
      <c r="J4090" s="184"/>
    </row>
    <row r="4091" spans="2:10">
      <c r="B4091" s="184"/>
      <c r="C4091" s="184"/>
      <c r="D4091" s="184"/>
      <c r="E4091" s="184"/>
      <c r="F4091" s="184"/>
      <c r="I4091" s="186"/>
      <c r="J4091" s="184"/>
    </row>
    <row r="4092" spans="2:10">
      <c r="B4092" s="184"/>
      <c r="C4092" s="184"/>
      <c r="D4092" s="184"/>
      <c r="E4092" s="184"/>
      <c r="F4092" s="184"/>
      <c r="I4092" s="186"/>
      <c r="J4092" s="184"/>
    </row>
    <row r="4093" spans="2:10">
      <c r="B4093" s="184"/>
      <c r="C4093" s="184"/>
      <c r="D4093" s="184"/>
      <c r="E4093" s="184"/>
      <c r="F4093" s="184"/>
      <c r="I4093" s="186"/>
      <c r="J4093" s="184"/>
    </row>
    <row r="4094" spans="2:10">
      <c r="B4094" s="184"/>
      <c r="C4094" s="184"/>
      <c r="D4094" s="184"/>
      <c r="E4094" s="184"/>
      <c r="F4094" s="184"/>
      <c r="I4094" s="186"/>
      <c r="J4094" s="184"/>
    </row>
    <row r="4095" spans="2:10">
      <c r="B4095" s="184"/>
      <c r="C4095" s="184"/>
      <c r="D4095" s="184"/>
      <c r="E4095" s="184"/>
      <c r="F4095" s="184"/>
      <c r="I4095" s="186"/>
      <c r="J4095" s="184"/>
    </row>
    <row r="4096" spans="2:10">
      <c r="B4096" s="184"/>
      <c r="C4096" s="184"/>
      <c r="D4096" s="184"/>
      <c r="E4096" s="184"/>
      <c r="F4096" s="184"/>
      <c r="I4096" s="186"/>
      <c r="J4096" s="184"/>
    </row>
    <row r="4097" spans="2:10">
      <c r="B4097" s="184"/>
      <c r="C4097" s="184"/>
      <c r="D4097" s="184"/>
      <c r="E4097" s="184"/>
      <c r="F4097" s="184"/>
      <c r="I4097" s="186"/>
      <c r="J4097" s="184"/>
    </row>
    <row r="4098" spans="2:10">
      <c r="B4098" s="184"/>
      <c r="C4098" s="184"/>
      <c r="D4098" s="184"/>
      <c r="E4098" s="184"/>
      <c r="F4098" s="184"/>
      <c r="I4098" s="186"/>
      <c r="J4098" s="184"/>
    </row>
    <row r="4099" spans="2:10">
      <c r="B4099" s="184"/>
      <c r="C4099" s="184"/>
      <c r="D4099" s="184"/>
      <c r="E4099" s="184"/>
      <c r="F4099" s="184"/>
      <c r="I4099" s="186"/>
      <c r="J4099" s="184"/>
    </row>
    <row r="4100" spans="2:10">
      <c r="B4100" s="184"/>
      <c r="C4100" s="184"/>
      <c r="D4100" s="184"/>
      <c r="E4100" s="184"/>
      <c r="F4100" s="184"/>
      <c r="I4100" s="186"/>
      <c r="J4100" s="184"/>
    </row>
    <row r="4101" spans="2:10">
      <c r="B4101" s="184"/>
      <c r="C4101" s="184"/>
      <c r="D4101" s="184"/>
      <c r="E4101" s="184"/>
      <c r="F4101" s="184"/>
      <c r="G4101" s="187"/>
      <c r="I4101" s="186"/>
      <c r="J4101" s="184"/>
    </row>
    <row r="4102" spans="2:10">
      <c r="B4102" s="184"/>
      <c r="C4102" s="184"/>
      <c r="D4102" s="184"/>
      <c r="E4102" s="184"/>
      <c r="F4102" s="184"/>
      <c r="G4102" s="187"/>
      <c r="I4102" s="186"/>
      <c r="J4102" s="184"/>
    </row>
    <row r="4103" spans="2:10">
      <c r="B4103" s="184"/>
      <c r="C4103" s="184"/>
      <c r="D4103" s="184"/>
      <c r="E4103" s="184"/>
      <c r="F4103" s="184"/>
      <c r="I4103" s="186"/>
      <c r="J4103" s="184"/>
    </row>
    <row r="4104" spans="2:10">
      <c r="B4104" s="184"/>
      <c r="C4104" s="184"/>
      <c r="D4104" s="184"/>
      <c r="E4104" s="184"/>
      <c r="F4104" s="184"/>
      <c r="I4104" s="186"/>
      <c r="J4104" s="184"/>
    </row>
    <row r="4105" spans="2:10">
      <c r="B4105" s="184"/>
      <c r="C4105" s="184"/>
      <c r="D4105" s="184"/>
      <c r="E4105" s="184"/>
      <c r="F4105" s="184"/>
      <c r="G4105" s="187"/>
      <c r="I4105" s="186"/>
      <c r="J4105" s="184"/>
    </row>
    <row r="4106" spans="2:10">
      <c r="B4106" s="184"/>
      <c r="C4106" s="184"/>
      <c r="D4106" s="184"/>
      <c r="E4106" s="184"/>
      <c r="F4106" s="184"/>
      <c r="I4106" s="186"/>
      <c r="J4106" s="184"/>
    </row>
    <row r="4107" spans="2:10">
      <c r="B4107" s="184"/>
      <c r="C4107" s="184"/>
      <c r="D4107" s="184"/>
      <c r="E4107" s="184"/>
      <c r="F4107" s="184"/>
      <c r="G4107" s="187"/>
      <c r="I4107" s="186"/>
      <c r="J4107" s="184"/>
    </row>
    <row r="4108" spans="2:10">
      <c r="B4108" s="184"/>
      <c r="C4108" s="184"/>
      <c r="D4108" s="184"/>
      <c r="E4108" s="184"/>
      <c r="F4108" s="184"/>
      <c r="I4108" s="186"/>
      <c r="J4108" s="184"/>
    </row>
    <row r="4109" spans="2:10">
      <c r="B4109" s="184"/>
      <c r="C4109" s="184"/>
      <c r="D4109" s="184"/>
      <c r="E4109" s="184"/>
      <c r="F4109" s="184"/>
      <c r="G4109" s="187"/>
      <c r="I4109" s="186"/>
      <c r="J4109" s="184"/>
    </row>
    <row r="4110" spans="2:10">
      <c r="B4110" s="184"/>
      <c r="C4110" s="184"/>
      <c r="D4110" s="184"/>
      <c r="E4110" s="184"/>
      <c r="F4110" s="184"/>
      <c r="G4110" s="187"/>
      <c r="I4110" s="186"/>
      <c r="J4110" s="184"/>
    </row>
    <row r="4111" spans="2:10">
      <c r="B4111" s="184"/>
      <c r="C4111" s="184"/>
      <c r="D4111" s="184"/>
      <c r="E4111" s="184"/>
      <c r="F4111" s="184"/>
      <c r="I4111" s="186"/>
      <c r="J4111" s="184"/>
    </row>
    <row r="4112" spans="2:10">
      <c r="B4112" s="184"/>
      <c r="C4112" s="184"/>
      <c r="D4112" s="184"/>
      <c r="E4112" s="184"/>
      <c r="F4112" s="184"/>
      <c r="G4112" s="187"/>
      <c r="I4112" s="186"/>
      <c r="J4112" s="184"/>
    </row>
    <row r="4113" spans="2:10">
      <c r="B4113" s="184"/>
      <c r="C4113" s="184"/>
      <c r="D4113" s="184"/>
      <c r="E4113" s="184"/>
      <c r="F4113" s="184"/>
      <c r="G4113" s="187"/>
      <c r="I4113" s="186"/>
      <c r="J4113" s="184"/>
    </row>
    <row r="4114" spans="2:10">
      <c r="B4114" s="184"/>
      <c r="C4114" s="184"/>
      <c r="D4114" s="184"/>
      <c r="E4114" s="184"/>
      <c r="F4114" s="184"/>
      <c r="I4114" s="186"/>
      <c r="J4114" s="184"/>
    </row>
    <row r="4115" spans="2:10">
      <c r="B4115" s="184"/>
      <c r="C4115" s="184"/>
      <c r="D4115" s="184"/>
      <c r="E4115" s="184"/>
      <c r="F4115" s="184"/>
      <c r="I4115" s="186"/>
      <c r="J4115" s="184"/>
    </row>
    <row r="4116" spans="2:10">
      <c r="B4116" s="184"/>
      <c r="C4116" s="184"/>
      <c r="D4116" s="184"/>
      <c r="E4116" s="184"/>
      <c r="F4116" s="184"/>
      <c r="G4116" s="187"/>
      <c r="I4116" s="186"/>
      <c r="J4116" s="184"/>
    </row>
    <row r="4117" spans="2:10">
      <c r="B4117" s="184"/>
      <c r="C4117" s="184"/>
      <c r="D4117" s="184"/>
      <c r="E4117" s="184"/>
      <c r="F4117" s="184"/>
      <c r="I4117" s="186"/>
      <c r="J4117" s="184"/>
    </row>
    <row r="4118" spans="2:10">
      <c r="B4118" s="184"/>
      <c r="C4118" s="184"/>
      <c r="D4118" s="184"/>
      <c r="E4118" s="184"/>
      <c r="F4118" s="184"/>
      <c r="I4118" s="186"/>
      <c r="J4118" s="184"/>
    </row>
    <row r="4119" spans="2:10">
      <c r="B4119" s="184"/>
      <c r="C4119" s="184"/>
      <c r="D4119" s="184"/>
      <c r="E4119" s="184"/>
      <c r="F4119" s="184"/>
      <c r="G4119" s="187"/>
      <c r="I4119" s="186"/>
      <c r="J4119" s="184"/>
    </row>
    <row r="4120" spans="2:10">
      <c r="B4120" s="184"/>
      <c r="C4120" s="184"/>
      <c r="D4120" s="184"/>
      <c r="E4120" s="184"/>
      <c r="F4120" s="184"/>
      <c r="I4120" s="186"/>
      <c r="J4120" s="184"/>
    </row>
    <row r="4121" spans="2:10">
      <c r="B4121" s="184"/>
      <c r="C4121" s="184"/>
      <c r="D4121" s="184"/>
      <c r="E4121" s="184"/>
      <c r="F4121" s="184"/>
      <c r="I4121" s="186"/>
      <c r="J4121" s="184"/>
    </row>
    <row r="4122" spans="2:10">
      <c r="B4122" s="184"/>
      <c r="C4122" s="184"/>
      <c r="D4122" s="184"/>
      <c r="E4122" s="184"/>
      <c r="F4122" s="184"/>
      <c r="I4122" s="186"/>
      <c r="J4122" s="184"/>
    </row>
    <row r="4123" spans="2:10">
      <c r="B4123" s="184"/>
      <c r="C4123" s="184"/>
      <c r="D4123" s="184"/>
      <c r="E4123" s="184"/>
      <c r="F4123" s="184"/>
      <c r="I4123" s="186"/>
      <c r="J4123" s="184"/>
    </row>
    <row r="4124" spans="2:10">
      <c r="B4124" s="184"/>
      <c r="C4124" s="184"/>
      <c r="D4124" s="184"/>
      <c r="E4124" s="184"/>
      <c r="F4124" s="184"/>
      <c r="G4124" s="187"/>
      <c r="I4124" s="186"/>
      <c r="J4124" s="184"/>
    </row>
    <row r="4125" spans="2:10">
      <c r="B4125" s="184"/>
      <c r="C4125" s="184"/>
      <c r="D4125" s="184"/>
      <c r="E4125" s="184"/>
      <c r="F4125" s="184"/>
      <c r="G4125" s="187"/>
      <c r="I4125" s="186"/>
      <c r="J4125" s="184"/>
    </row>
    <row r="4126" spans="2:10">
      <c r="B4126" s="184"/>
      <c r="C4126" s="184"/>
      <c r="D4126" s="184"/>
      <c r="E4126" s="184"/>
      <c r="F4126" s="184"/>
      <c r="I4126" s="186"/>
      <c r="J4126" s="184"/>
    </row>
    <row r="4127" spans="2:10">
      <c r="B4127" s="184"/>
      <c r="C4127" s="184"/>
      <c r="D4127" s="184"/>
      <c r="E4127" s="184"/>
      <c r="F4127" s="184"/>
      <c r="I4127" s="186"/>
      <c r="J4127" s="184"/>
    </row>
    <row r="4128" spans="2:10">
      <c r="B4128" s="184"/>
      <c r="C4128" s="184"/>
      <c r="D4128" s="184"/>
      <c r="E4128" s="184"/>
      <c r="F4128" s="184"/>
      <c r="I4128" s="186"/>
      <c r="J4128" s="184"/>
    </row>
    <row r="4129" spans="2:10">
      <c r="B4129" s="184"/>
      <c r="C4129" s="184"/>
      <c r="D4129" s="184"/>
      <c r="E4129" s="184"/>
      <c r="F4129" s="184"/>
      <c r="I4129" s="186"/>
      <c r="J4129" s="184"/>
    </row>
    <row r="4130" spans="2:10">
      <c r="B4130" s="184"/>
      <c r="C4130" s="184"/>
      <c r="D4130" s="184"/>
      <c r="E4130" s="184"/>
      <c r="F4130" s="184"/>
      <c r="I4130" s="186"/>
      <c r="J4130" s="184"/>
    </row>
    <row r="4131" spans="2:10">
      <c r="B4131" s="184"/>
      <c r="C4131" s="184"/>
      <c r="D4131" s="184"/>
      <c r="E4131" s="184"/>
      <c r="F4131" s="184"/>
      <c r="I4131" s="186"/>
      <c r="J4131" s="184"/>
    </row>
    <row r="4132" spans="2:10">
      <c r="B4132" s="184"/>
      <c r="C4132" s="184"/>
      <c r="D4132" s="184"/>
      <c r="E4132" s="184"/>
      <c r="F4132" s="184"/>
      <c r="I4132" s="186"/>
      <c r="J4132" s="184"/>
    </row>
    <row r="4133" spans="2:10">
      <c r="B4133" s="184"/>
      <c r="C4133" s="184"/>
      <c r="D4133" s="184"/>
      <c r="E4133" s="184"/>
      <c r="F4133" s="184"/>
      <c r="G4133" s="187"/>
      <c r="I4133" s="186"/>
      <c r="J4133" s="184"/>
    </row>
    <row r="4134" spans="2:10">
      <c r="B4134" s="184"/>
      <c r="C4134" s="184"/>
      <c r="D4134" s="184"/>
      <c r="E4134" s="184"/>
      <c r="F4134" s="184"/>
      <c r="I4134" s="186"/>
      <c r="J4134" s="184"/>
    </row>
    <row r="4135" spans="2:10">
      <c r="B4135" s="184"/>
      <c r="C4135" s="184"/>
      <c r="D4135" s="184"/>
      <c r="E4135" s="184"/>
      <c r="F4135" s="184"/>
      <c r="I4135" s="186"/>
      <c r="J4135" s="184"/>
    </row>
    <row r="4136" spans="2:10">
      <c r="B4136" s="184"/>
      <c r="C4136" s="184"/>
      <c r="D4136" s="184"/>
      <c r="E4136" s="184"/>
      <c r="F4136" s="184"/>
      <c r="I4136" s="186"/>
      <c r="J4136" s="184"/>
    </row>
    <row r="4137" spans="2:10">
      <c r="B4137" s="184"/>
      <c r="C4137" s="184"/>
      <c r="D4137" s="184"/>
      <c r="E4137" s="184"/>
      <c r="F4137" s="184"/>
      <c r="I4137" s="186"/>
      <c r="J4137" s="184"/>
    </row>
    <row r="4138" spans="2:10">
      <c r="B4138" s="184"/>
      <c r="C4138" s="184"/>
      <c r="D4138" s="184"/>
      <c r="E4138" s="184"/>
      <c r="F4138" s="184"/>
      <c r="I4138" s="186"/>
      <c r="J4138" s="184"/>
    </row>
    <row r="4139" spans="2:10">
      <c r="B4139" s="184"/>
      <c r="C4139" s="184"/>
      <c r="D4139" s="184"/>
      <c r="E4139" s="184"/>
      <c r="F4139" s="184"/>
      <c r="I4139" s="186"/>
      <c r="J4139" s="184"/>
    </row>
    <row r="4140" spans="2:10">
      <c r="B4140" s="184"/>
      <c r="C4140" s="184"/>
      <c r="D4140" s="184"/>
      <c r="E4140" s="184"/>
      <c r="F4140" s="184"/>
      <c r="I4140" s="186"/>
      <c r="J4140" s="184"/>
    </row>
    <row r="4141" spans="2:10">
      <c r="B4141" s="184"/>
      <c r="C4141" s="184"/>
      <c r="D4141" s="184"/>
      <c r="E4141" s="184"/>
      <c r="F4141" s="184"/>
      <c r="I4141" s="186"/>
      <c r="J4141" s="184"/>
    </row>
    <row r="4142" spans="2:10">
      <c r="B4142" s="184"/>
      <c r="C4142" s="184"/>
      <c r="D4142" s="184"/>
      <c r="E4142" s="184"/>
      <c r="F4142" s="184"/>
      <c r="I4142" s="186"/>
      <c r="J4142" s="184"/>
    </row>
    <row r="4143" spans="2:10">
      <c r="B4143" s="184"/>
      <c r="C4143" s="184"/>
      <c r="D4143" s="184"/>
      <c r="E4143" s="184"/>
      <c r="F4143" s="184"/>
      <c r="I4143" s="186"/>
      <c r="J4143" s="184"/>
    </row>
    <row r="4144" spans="2:10">
      <c r="B4144" s="184"/>
      <c r="C4144" s="184"/>
      <c r="D4144" s="184"/>
      <c r="E4144" s="184"/>
      <c r="F4144" s="184"/>
      <c r="I4144" s="186"/>
      <c r="J4144" s="184"/>
    </row>
    <row r="4145" spans="2:10">
      <c r="B4145" s="184"/>
      <c r="C4145" s="184"/>
      <c r="D4145" s="184"/>
      <c r="E4145" s="184"/>
      <c r="F4145" s="184"/>
      <c r="I4145" s="186"/>
      <c r="J4145" s="184"/>
    </row>
    <row r="4146" spans="2:10">
      <c r="B4146" s="184"/>
      <c r="C4146" s="184"/>
      <c r="D4146" s="184"/>
      <c r="E4146" s="184"/>
      <c r="F4146" s="184"/>
      <c r="I4146" s="186"/>
      <c r="J4146" s="184"/>
    </row>
    <row r="4147" spans="2:10">
      <c r="B4147" s="184"/>
      <c r="C4147" s="184"/>
      <c r="D4147" s="184"/>
      <c r="E4147" s="184"/>
      <c r="F4147" s="184"/>
      <c r="I4147" s="186"/>
      <c r="J4147" s="184"/>
    </row>
    <row r="4148" spans="2:10">
      <c r="B4148" s="184"/>
      <c r="C4148" s="184"/>
      <c r="D4148" s="184"/>
      <c r="E4148" s="184"/>
      <c r="F4148" s="184"/>
      <c r="I4148" s="186"/>
      <c r="J4148" s="184"/>
    </row>
    <row r="4149" spans="2:10">
      <c r="B4149" s="184"/>
      <c r="C4149" s="184"/>
      <c r="D4149" s="184"/>
      <c r="E4149" s="184"/>
      <c r="F4149" s="184"/>
      <c r="I4149" s="186"/>
      <c r="J4149" s="184"/>
    </row>
    <row r="4150" spans="2:10">
      <c r="B4150" s="184"/>
      <c r="C4150" s="184"/>
      <c r="D4150" s="184"/>
      <c r="E4150" s="184"/>
      <c r="F4150" s="184"/>
      <c r="G4150" s="187"/>
      <c r="I4150" s="186"/>
      <c r="J4150" s="184"/>
    </row>
    <row r="4151" spans="2:10">
      <c r="B4151" s="184"/>
      <c r="C4151" s="184"/>
      <c r="D4151" s="184"/>
      <c r="E4151" s="184"/>
      <c r="F4151" s="184"/>
      <c r="G4151" s="187"/>
      <c r="I4151" s="186"/>
      <c r="J4151" s="184"/>
    </row>
    <row r="4152" spans="2:10">
      <c r="B4152" s="184"/>
      <c r="C4152" s="184"/>
      <c r="D4152" s="184"/>
      <c r="E4152" s="184"/>
      <c r="F4152" s="184"/>
      <c r="G4152" s="187"/>
      <c r="I4152" s="186"/>
      <c r="J4152" s="184"/>
    </row>
    <row r="4153" spans="2:10">
      <c r="B4153" s="184"/>
      <c r="C4153" s="184"/>
      <c r="D4153" s="184"/>
      <c r="E4153" s="184"/>
      <c r="F4153" s="184"/>
      <c r="I4153" s="186"/>
      <c r="J4153" s="184"/>
    </row>
    <row r="4154" spans="2:10">
      <c r="B4154" s="184"/>
      <c r="C4154" s="184"/>
      <c r="D4154" s="184"/>
      <c r="E4154" s="184"/>
      <c r="F4154" s="184"/>
      <c r="G4154" s="187"/>
      <c r="I4154" s="186"/>
      <c r="J4154" s="184"/>
    </row>
    <row r="4155" spans="2:10">
      <c r="B4155" s="184"/>
      <c r="C4155" s="184"/>
      <c r="D4155" s="184"/>
      <c r="E4155" s="184"/>
      <c r="F4155" s="184"/>
      <c r="G4155" s="187"/>
      <c r="I4155" s="186"/>
      <c r="J4155" s="184"/>
    </row>
    <row r="4156" spans="2:10">
      <c r="B4156" s="184"/>
      <c r="C4156" s="184"/>
      <c r="D4156" s="184"/>
      <c r="E4156" s="184"/>
      <c r="F4156" s="184"/>
      <c r="G4156" s="187"/>
      <c r="I4156" s="186"/>
      <c r="J4156" s="184"/>
    </row>
    <row r="4157" spans="2:10">
      <c r="B4157" s="184"/>
      <c r="C4157" s="184"/>
      <c r="D4157" s="184"/>
      <c r="E4157" s="184"/>
      <c r="F4157" s="184"/>
      <c r="I4157" s="186"/>
      <c r="J4157" s="184"/>
    </row>
    <row r="4158" spans="2:10">
      <c r="B4158" s="184"/>
      <c r="C4158" s="184"/>
      <c r="D4158" s="184"/>
      <c r="E4158" s="184"/>
      <c r="F4158" s="184"/>
      <c r="I4158" s="186"/>
      <c r="J4158" s="184"/>
    </row>
    <row r="4159" spans="2:10">
      <c r="B4159" s="184"/>
      <c r="C4159" s="184"/>
      <c r="D4159" s="184"/>
      <c r="E4159" s="184"/>
      <c r="F4159" s="184"/>
      <c r="I4159" s="186"/>
      <c r="J4159" s="184"/>
    </row>
    <row r="4160" spans="2:10">
      <c r="B4160" s="184"/>
      <c r="C4160" s="184"/>
      <c r="D4160" s="184"/>
      <c r="E4160" s="184"/>
      <c r="F4160" s="184"/>
      <c r="I4160" s="186"/>
      <c r="J4160" s="184"/>
    </row>
    <row r="4161" spans="2:10">
      <c r="B4161" s="184"/>
      <c r="C4161" s="184"/>
      <c r="D4161" s="184"/>
      <c r="E4161" s="184"/>
      <c r="F4161" s="184"/>
      <c r="I4161" s="186"/>
      <c r="J4161" s="184"/>
    </row>
    <row r="4162" spans="2:10">
      <c r="B4162" s="184"/>
      <c r="C4162" s="184"/>
      <c r="D4162" s="184"/>
      <c r="E4162" s="184"/>
      <c r="F4162" s="184"/>
      <c r="I4162" s="186"/>
      <c r="J4162" s="184"/>
    </row>
    <row r="4163" spans="2:10">
      <c r="B4163" s="184"/>
      <c r="C4163" s="184"/>
      <c r="D4163" s="184"/>
      <c r="E4163" s="184"/>
      <c r="F4163" s="184"/>
      <c r="G4163" s="187"/>
      <c r="I4163" s="186"/>
      <c r="J4163" s="184"/>
    </row>
    <row r="4164" spans="2:10">
      <c r="B4164" s="184"/>
      <c r="C4164" s="184"/>
      <c r="D4164" s="184"/>
      <c r="E4164" s="184"/>
      <c r="F4164" s="184"/>
      <c r="G4164" s="187"/>
      <c r="I4164" s="186"/>
      <c r="J4164" s="184"/>
    </row>
    <row r="4165" spans="2:10">
      <c r="B4165" s="184"/>
      <c r="C4165" s="184"/>
      <c r="D4165" s="184"/>
      <c r="E4165" s="184"/>
      <c r="F4165" s="184"/>
      <c r="I4165" s="186"/>
      <c r="J4165" s="184"/>
    </row>
    <row r="4166" spans="2:10">
      <c r="B4166" s="184"/>
      <c r="C4166" s="184"/>
      <c r="D4166" s="184"/>
      <c r="E4166" s="184"/>
      <c r="F4166" s="184"/>
      <c r="G4166" s="187"/>
      <c r="I4166" s="186"/>
      <c r="J4166" s="184"/>
    </row>
    <row r="4167" spans="2:10">
      <c r="B4167" s="184"/>
      <c r="C4167" s="184"/>
      <c r="D4167" s="184"/>
      <c r="E4167" s="184"/>
      <c r="F4167" s="184"/>
      <c r="G4167" s="187"/>
      <c r="I4167" s="186"/>
      <c r="J4167" s="184"/>
    </row>
    <row r="4168" spans="2:10">
      <c r="B4168" s="184"/>
      <c r="C4168" s="184"/>
      <c r="D4168" s="184"/>
      <c r="E4168" s="184"/>
      <c r="F4168" s="184"/>
      <c r="I4168" s="186"/>
      <c r="J4168" s="184"/>
    </row>
    <row r="4169" spans="2:10">
      <c r="B4169" s="184"/>
      <c r="C4169" s="184"/>
      <c r="D4169" s="184"/>
      <c r="E4169" s="184"/>
      <c r="F4169" s="184"/>
      <c r="G4169" s="187"/>
      <c r="I4169" s="186"/>
      <c r="J4169" s="184"/>
    </row>
    <row r="4170" spans="2:10">
      <c r="B4170" s="184"/>
      <c r="C4170" s="184"/>
      <c r="D4170" s="184"/>
      <c r="E4170" s="184"/>
      <c r="F4170" s="184"/>
      <c r="I4170" s="186"/>
      <c r="J4170" s="184"/>
    </row>
    <row r="4171" spans="2:10">
      <c r="B4171" s="184"/>
      <c r="C4171" s="184"/>
      <c r="D4171" s="184"/>
      <c r="E4171" s="184"/>
      <c r="F4171" s="184"/>
      <c r="G4171" s="187"/>
      <c r="I4171" s="186"/>
      <c r="J4171" s="184"/>
    </row>
    <row r="4172" spans="2:10">
      <c r="B4172" s="184"/>
      <c r="C4172" s="184"/>
      <c r="D4172" s="184"/>
      <c r="E4172" s="184"/>
      <c r="F4172" s="184"/>
      <c r="I4172" s="186"/>
      <c r="J4172" s="184"/>
    </row>
    <row r="4173" spans="2:10">
      <c r="B4173" s="184"/>
      <c r="C4173" s="184"/>
      <c r="D4173" s="184"/>
      <c r="E4173" s="184"/>
      <c r="F4173" s="184"/>
      <c r="I4173" s="186"/>
      <c r="J4173" s="184"/>
    </row>
    <row r="4174" spans="2:10">
      <c r="B4174" s="184"/>
      <c r="C4174" s="184"/>
      <c r="D4174" s="184"/>
      <c r="E4174" s="184"/>
      <c r="F4174" s="184"/>
      <c r="I4174" s="186"/>
      <c r="J4174" s="184"/>
    </row>
    <row r="4175" spans="2:10">
      <c r="B4175" s="184"/>
      <c r="C4175" s="184"/>
      <c r="D4175" s="184"/>
      <c r="E4175" s="184"/>
      <c r="F4175" s="184"/>
      <c r="I4175" s="186"/>
      <c r="J4175" s="184"/>
    </row>
    <row r="4176" spans="2:10">
      <c r="B4176" s="184"/>
      <c r="C4176" s="184"/>
      <c r="D4176" s="184"/>
      <c r="E4176" s="184"/>
      <c r="F4176" s="184"/>
      <c r="I4176" s="186"/>
      <c r="J4176" s="184"/>
    </row>
    <row r="4177" spans="2:10">
      <c r="B4177" s="184"/>
      <c r="C4177" s="184"/>
      <c r="D4177" s="184"/>
      <c r="E4177" s="184"/>
      <c r="F4177" s="184"/>
      <c r="G4177" s="187"/>
      <c r="I4177" s="186"/>
      <c r="J4177" s="184"/>
    </row>
    <row r="4178" spans="2:10">
      <c r="B4178" s="184"/>
      <c r="C4178" s="184"/>
      <c r="D4178" s="184"/>
      <c r="E4178" s="184"/>
      <c r="F4178" s="184"/>
      <c r="I4178" s="186"/>
      <c r="J4178" s="184"/>
    </row>
    <row r="4179" spans="2:10">
      <c r="B4179" s="184"/>
      <c r="C4179" s="184"/>
      <c r="D4179" s="184"/>
      <c r="E4179" s="184"/>
      <c r="F4179" s="184"/>
      <c r="I4179" s="186"/>
      <c r="J4179" s="184"/>
    </row>
    <row r="4180" spans="2:10">
      <c r="B4180" s="184"/>
      <c r="C4180" s="184"/>
      <c r="D4180" s="184"/>
      <c r="E4180" s="184"/>
      <c r="F4180" s="184"/>
      <c r="I4180" s="186"/>
      <c r="J4180" s="184"/>
    </row>
    <row r="4181" spans="2:10">
      <c r="B4181" s="184"/>
      <c r="C4181" s="184"/>
      <c r="D4181" s="184"/>
      <c r="E4181" s="184"/>
      <c r="F4181" s="184"/>
      <c r="I4181" s="186"/>
      <c r="J4181" s="184"/>
    </row>
    <row r="4182" spans="2:10">
      <c r="B4182" s="184"/>
      <c r="C4182" s="184"/>
      <c r="D4182" s="184"/>
      <c r="E4182" s="184"/>
      <c r="F4182" s="184"/>
      <c r="G4182" s="187"/>
      <c r="I4182" s="186"/>
      <c r="J4182" s="184"/>
    </row>
    <row r="4183" spans="2:10">
      <c r="B4183" s="184"/>
      <c r="C4183" s="184"/>
      <c r="D4183" s="184"/>
      <c r="E4183" s="184"/>
      <c r="F4183" s="184"/>
      <c r="G4183" s="187"/>
      <c r="I4183" s="186"/>
      <c r="J4183" s="184"/>
    </row>
    <row r="4184" spans="2:10">
      <c r="B4184" s="184"/>
      <c r="C4184" s="184"/>
      <c r="D4184" s="184"/>
      <c r="E4184" s="184"/>
      <c r="F4184" s="184"/>
      <c r="I4184" s="186"/>
      <c r="J4184" s="184"/>
    </row>
    <row r="4185" spans="2:10">
      <c r="B4185" s="184"/>
      <c r="C4185" s="184"/>
      <c r="D4185" s="184"/>
      <c r="E4185" s="184"/>
      <c r="F4185" s="184"/>
      <c r="I4185" s="186"/>
      <c r="J4185" s="184"/>
    </row>
    <row r="4186" spans="2:10">
      <c r="B4186" s="184"/>
      <c r="C4186" s="184"/>
      <c r="D4186" s="184"/>
      <c r="E4186" s="184"/>
      <c r="F4186" s="184"/>
      <c r="I4186" s="186"/>
      <c r="J4186" s="184"/>
    </row>
    <row r="4187" spans="2:10">
      <c r="B4187" s="184"/>
      <c r="C4187" s="184"/>
      <c r="D4187" s="184"/>
      <c r="E4187" s="184"/>
      <c r="F4187" s="184"/>
      <c r="I4187" s="186"/>
      <c r="J4187" s="184"/>
    </row>
    <row r="4188" spans="2:10">
      <c r="B4188" s="184"/>
      <c r="C4188" s="184"/>
      <c r="D4188" s="184"/>
      <c r="E4188" s="184"/>
      <c r="F4188" s="184"/>
      <c r="I4188" s="186"/>
      <c r="J4188" s="184"/>
    </row>
    <row r="4189" spans="2:10">
      <c r="B4189" s="184"/>
      <c r="C4189" s="184"/>
      <c r="D4189" s="184"/>
      <c r="E4189" s="184"/>
      <c r="F4189" s="184"/>
      <c r="I4189" s="186"/>
      <c r="J4189" s="184"/>
    </row>
    <row r="4190" spans="2:10">
      <c r="B4190" s="184"/>
      <c r="C4190" s="184"/>
      <c r="D4190" s="184"/>
      <c r="E4190" s="184"/>
      <c r="F4190" s="184"/>
      <c r="G4190" s="187"/>
      <c r="I4190" s="186"/>
      <c r="J4190" s="184"/>
    </row>
    <row r="4191" spans="2:10">
      <c r="B4191" s="184"/>
      <c r="C4191" s="184"/>
      <c r="D4191" s="184"/>
      <c r="E4191" s="184"/>
      <c r="F4191" s="184"/>
      <c r="I4191" s="186"/>
      <c r="J4191" s="184"/>
    </row>
    <row r="4192" spans="2:10">
      <c r="B4192" s="184"/>
      <c r="C4192" s="184"/>
      <c r="D4192" s="184"/>
      <c r="E4192" s="184"/>
      <c r="F4192" s="184"/>
      <c r="I4192" s="186"/>
      <c r="J4192" s="184"/>
    </row>
    <row r="4193" spans="2:10">
      <c r="B4193" s="184"/>
      <c r="C4193" s="184"/>
      <c r="D4193" s="184"/>
      <c r="E4193" s="184"/>
      <c r="F4193" s="184"/>
      <c r="I4193" s="186"/>
      <c r="J4193" s="184"/>
    </row>
    <row r="4194" spans="2:10">
      <c r="B4194" s="184"/>
      <c r="C4194" s="184"/>
      <c r="D4194" s="184"/>
      <c r="E4194" s="184"/>
      <c r="F4194" s="184"/>
      <c r="I4194" s="186"/>
      <c r="J4194" s="184"/>
    </row>
    <row r="4195" spans="2:10">
      <c r="B4195" s="184"/>
      <c r="C4195" s="184"/>
      <c r="D4195" s="184"/>
      <c r="E4195" s="184"/>
      <c r="F4195" s="184"/>
      <c r="I4195" s="186"/>
      <c r="J4195" s="184"/>
    </row>
    <row r="4196" spans="2:10">
      <c r="B4196" s="184"/>
      <c r="C4196" s="184"/>
      <c r="D4196" s="184"/>
      <c r="E4196" s="184"/>
      <c r="F4196" s="184"/>
      <c r="I4196" s="186"/>
      <c r="J4196" s="184"/>
    </row>
    <row r="4197" spans="2:10">
      <c r="B4197" s="184"/>
      <c r="C4197" s="184"/>
      <c r="D4197" s="184"/>
      <c r="E4197" s="184"/>
      <c r="F4197" s="184"/>
      <c r="I4197" s="186"/>
      <c r="J4197" s="184"/>
    </row>
    <row r="4198" spans="2:10">
      <c r="B4198" s="184"/>
      <c r="C4198" s="184"/>
      <c r="D4198" s="184"/>
      <c r="E4198" s="184"/>
      <c r="F4198" s="184"/>
      <c r="I4198" s="186"/>
      <c r="J4198" s="184"/>
    </row>
    <row r="4199" spans="2:10">
      <c r="B4199" s="184"/>
      <c r="C4199" s="184"/>
      <c r="D4199" s="184"/>
      <c r="E4199" s="184"/>
      <c r="F4199" s="184"/>
      <c r="I4199" s="186"/>
      <c r="J4199" s="184"/>
    </row>
    <row r="4200" spans="2:10">
      <c r="B4200" s="184"/>
      <c r="C4200" s="184"/>
      <c r="D4200" s="184"/>
      <c r="E4200" s="184"/>
      <c r="F4200" s="184"/>
      <c r="I4200" s="186"/>
      <c r="J4200" s="184"/>
    </row>
    <row r="4201" spans="2:10">
      <c r="B4201" s="184"/>
      <c r="C4201" s="184"/>
      <c r="D4201" s="184"/>
      <c r="E4201" s="184"/>
      <c r="F4201" s="184"/>
      <c r="I4201" s="186"/>
      <c r="J4201" s="184"/>
    </row>
    <row r="4202" spans="2:10">
      <c r="B4202" s="184"/>
      <c r="C4202" s="184"/>
      <c r="D4202" s="184"/>
      <c r="E4202" s="184"/>
      <c r="F4202" s="184"/>
      <c r="I4202" s="186"/>
      <c r="J4202" s="184"/>
    </row>
    <row r="4203" spans="2:10">
      <c r="B4203" s="184"/>
      <c r="C4203" s="184"/>
      <c r="D4203" s="184"/>
      <c r="E4203" s="184"/>
      <c r="F4203" s="184"/>
      <c r="I4203" s="186"/>
      <c r="J4203" s="184"/>
    </row>
    <row r="4204" spans="2:10">
      <c r="B4204" s="184"/>
      <c r="C4204" s="184"/>
      <c r="D4204" s="184"/>
      <c r="E4204" s="184"/>
      <c r="F4204" s="184"/>
      <c r="I4204" s="186"/>
      <c r="J4204" s="184"/>
    </row>
    <row r="4205" spans="2:10">
      <c r="B4205" s="184"/>
      <c r="C4205" s="184"/>
      <c r="D4205" s="184"/>
      <c r="E4205" s="184"/>
      <c r="F4205" s="184"/>
      <c r="I4205" s="186"/>
      <c r="J4205" s="184"/>
    </row>
    <row r="4206" spans="2:10">
      <c r="B4206" s="184"/>
      <c r="C4206" s="184"/>
      <c r="D4206" s="184"/>
      <c r="E4206" s="184"/>
      <c r="F4206" s="184"/>
      <c r="I4206" s="186"/>
      <c r="J4206" s="184"/>
    </row>
    <row r="4207" spans="2:10">
      <c r="B4207" s="184"/>
      <c r="C4207" s="184"/>
      <c r="D4207" s="184"/>
      <c r="E4207" s="184"/>
      <c r="F4207" s="184"/>
      <c r="I4207" s="186"/>
      <c r="J4207" s="184"/>
    </row>
    <row r="4208" spans="2:10">
      <c r="B4208" s="184"/>
      <c r="C4208" s="184"/>
      <c r="D4208" s="184"/>
      <c r="E4208" s="184"/>
      <c r="F4208" s="184"/>
      <c r="I4208" s="186"/>
      <c r="J4208" s="184"/>
    </row>
    <row r="4209" spans="2:10">
      <c r="B4209" s="184"/>
      <c r="C4209" s="184"/>
      <c r="D4209" s="184"/>
      <c r="E4209" s="184"/>
      <c r="F4209" s="184"/>
      <c r="I4209" s="186"/>
      <c r="J4209" s="184"/>
    </row>
    <row r="4210" spans="2:10">
      <c r="B4210" s="184"/>
      <c r="C4210" s="184"/>
      <c r="D4210" s="184"/>
      <c r="E4210" s="184"/>
      <c r="F4210" s="184"/>
      <c r="I4210" s="186"/>
      <c r="J4210" s="184"/>
    </row>
    <row r="4211" spans="2:10">
      <c r="B4211" s="184"/>
      <c r="C4211" s="184"/>
      <c r="D4211" s="184"/>
      <c r="E4211" s="184"/>
      <c r="F4211" s="184"/>
      <c r="I4211" s="186"/>
      <c r="J4211" s="184"/>
    </row>
    <row r="4212" spans="2:10">
      <c r="B4212" s="184"/>
      <c r="C4212" s="184"/>
      <c r="D4212" s="184"/>
      <c r="E4212" s="184"/>
      <c r="F4212" s="184"/>
      <c r="I4212" s="186"/>
      <c r="J4212" s="184"/>
    </row>
    <row r="4213" spans="2:10">
      <c r="B4213" s="184"/>
      <c r="C4213" s="184"/>
      <c r="D4213" s="184"/>
      <c r="E4213" s="184"/>
      <c r="F4213" s="184"/>
      <c r="I4213" s="186"/>
      <c r="J4213" s="184"/>
    </row>
    <row r="4214" spans="2:10">
      <c r="B4214" s="184"/>
      <c r="C4214" s="184"/>
      <c r="D4214" s="184"/>
      <c r="E4214" s="184"/>
      <c r="F4214" s="184"/>
      <c r="I4214" s="186"/>
      <c r="J4214" s="184"/>
    </row>
    <row r="4215" spans="2:10">
      <c r="B4215" s="184"/>
      <c r="C4215" s="184"/>
      <c r="D4215" s="184"/>
      <c r="E4215" s="184"/>
      <c r="F4215" s="184"/>
      <c r="I4215" s="186"/>
      <c r="J4215" s="184"/>
    </row>
    <row r="4216" spans="2:10">
      <c r="B4216" s="184"/>
      <c r="C4216" s="184"/>
      <c r="D4216" s="184"/>
      <c r="E4216" s="184"/>
      <c r="F4216" s="184"/>
      <c r="I4216" s="186"/>
      <c r="J4216" s="184"/>
    </row>
    <row r="4217" spans="2:10">
      <c r="B4217" s="184"/>
      <c r="C4217" s="184"/>
      <c r="D4217" s="184"/>
      <c r="E4217" s="184"/>
      <c r="F4217" s="184"/>
      <c r="I4217" s="186"/>
      <c r="J4217" s="184"/>
    </row>
    <row r="4218" spans="2:10">
      <c r="B4218" s="184"/>
      <c r="C4218" s="184"/>
      <c r="D4218" s="184"/>
      <c r="E4218" s="184"/>
      <c r="F4218" s="184"/>
      <c r="I4218" s="186"/>
      <c r="J4218" s="184"/>
    </row>
    <row r="4219" spans="2:10">
      <c r="B4219" s="184"/>
      <c r="C4219" s="184"/>
      <c r="D4219" s="184"/>
      <c r="E4219" s="184"/>
      <c r="F4219" s="184"/>
      <c r="I4219" s="186"/>
      <c r="J4219" s="184"/>
    </row>
    <row r="4220" spans="2:10">
      <c r="B4220" s="184"/>
      <c r="C4220" s="184"/>
      <c r="D4220" s="184"/>
      <c r="E4220" s="184"/>
      <c r="F4220" s="184"/>
      <c r="I4220" s="186"/>
      <c r="J4220" s="184"/>
    </row>
    <row r="4221" spans="2:10">
      <c r="B4221" s="184"/>
      <c r="C4221" s="184"/>
      <c r="D4221" s="184"/>
      <c r="E4221" s="184"/>
      <c r="F4221" s="184"/>
      <c r="I4221" s="186"/>
      <c r="J4221" s="184"/>
    </row>
    <row r="4222" spans="2:10">
      <c r="B4222" s="184"/>
      <c r="C4222" s="184"/>
      <c r="D4222" s="184"/>
      <c r="E4222" s="184"/>
      <c r="F4222" s="184"/>
      <c r="I4222" s="186"/>
      <c r="J4222" s="184"/>
    </row>
    <row r="4223" spans="2:10">
      <c r="B4223" s="184"/>
      <c r="C4223" s="184"/>
      <c r="D4223" s="184"/>
      <c r="E4223" s="184"/>
      <c r="F4223" s="184"/>
      <c r="I4223" s="186"/>
      <c r="J4223" s="184"/>
    </row>
    <row r="4224" spans="2:10">
      <c r="B4224" s="184"/>
      <c r="C4224" s="184"/>
      <c r="D4224" s="184"/>
      <c r="E4224" s="184"/>
      <c r="F4224" s="184"/>
      <c r="I4224" s="186"/>
      <c r="J4224" s="184"/>
    </row>
    <row r="4225" spans="2:10">
      <c r="B4225" s="184"/>
      <c r="C4225" s="184"/>
      <c r="D4225" s="184"/>
      <c r="E4225" s="184"/>
      <c r="F4225" s="184"/>
      <c r="I4225" s="186"/>
      <c r="J4225" s="184"/>
    </row>
    <row r="4226" spans="2:10">
      <c r="B4226" s="184"/>
      <c r="C4226" s="184"/>
      <c r="D4226" s="184"/>
      <c r="E4226" s="184"/>
      <c r="F4226" s="184"/>
      <c r="I4226" s="186"/>
      <c r="J4226" s="184"/>
    </row>
    <row r="4227" spans="2:10">
      <c r="B4227" s="184"/>
      <c r="C4227" s="184"/>
      <c r="D4227" s="184"/>
      <c r="E4227" s="184"/>
      <c r="F4227" s="184"/>
      <c r="I4227" s="186"/>
      <c r="J4227" s="184"/>
    </row>
    <row r="4228" spans="2:10">
      <c r="B4228" s="184"/>
      <c r="C4228" s="184"/>
      <c r="D4228" s="184"/>
      <c r="E4228" s="184"/>
      <c r="F4228" s="184"/>
      <c r="I4228" s="186"/>
      <c r="J4228" s="184"/>
    </row>
    <row r="4229" spans="2:10">
      <c r="B4229" s="184"/>
      <c r="C4229" s="184"/>
      <c r="D4229" s="184"/>
      <c r="E4229" s="184"/>
      <c r="F4229" s="184"/>
      <c r="I4229" s="186"/>
      <c r="J4229" s="184"/>
    </row>
    <row r="4230" spans="2:10">
      <c r="B4230" s="184"/>
      <c r="C4230" s="184"/>
      <c r="D4230" s="184"/>
      <c r="E4230" s="184"/>
      <c r="F4230" s="184"/>
      <c r="I4230" s="186"/>
      <c r="J4230" s="184"/>
    </row>
    <row r="4231" spans="2:10">
      <c r="B4231" s="184"/>
      <c r="C4231" s="184"/>
      <c r="D4231" s="184"/>
      <c r="E4231" s="184"/>
      <c r="F4231" s="184"/>
      <c r="I4231" s="186"/>
      <c r="J4231" s="184"/>
    </row>
    <row r="4232" spans="2:10">
      <c r="B4232" s="184"/>
      <c r="C4232" s="184"/>
      <c r="D4232" s="184"/>
      <c r="E4232" s="184"/>
      <c r="F4232" s="184"/>
      <c r="I4232" s="186"/>
      <c r="J4232" s="184"/>
    </row>
    <row r="4233" spans="2:10">
      <c r="B4233" s="184"/>
      <c r="C4233" s="184"/>
      <c r="D4233" s="184"/>
      <c r="E4233" s="184"/>
      <c r="F4233" s="184"/>
      <c r="I4233" s="186"/>
      <c r="J4233" s="184"/>
    </row>
    <row r="4234" spans="2:10">
      <c r="B4234" s="184"/>
      <c r="C4234" s="184"/>
      <c r="D4234" s="184"/>
      <c r="E4234" s="184"/>
      <c r="F4234" s="184"/>
      <c r="I4234" s="186"/>
      <c r="J4234" s="184"/>
    </row>
    <row r="4235" spans="2:10">
      <c r="B4235" s="184"/>
      <c r="C4235" s="184"/>
      <c r="D4235" s="184"/>
      <c r="E4235" s="184"/>
      <c r="F4235" s="184"/>
      <c r="I4235" s="186"/>
      <c r="J4235" s="184"/>
    </row>
    <row r="4236" spans="2:10">
      <c r="B4236" s="184"/>
      <c r="C4236" s="184"/>
      <c r="D4236" s="184"/>
      <c r="E4236" s="184"/>
      <c r="F4236" s="184"/>
      <c r="I4236" s="186"/>
      <c r="J4236" s="184"/>
    </row>
    <row r="4237" spans="2:10">
      <c r="B4237" s="184"/>
      <c r="C4237" s="184"/>
      <c r="D4237" s="184"/>
      <c r="E4237" s="184"/>
      <c r="F4237" s="184"/>
      <c r="I4237" s="186"/>
      <c r="J4237" s="184"/>
    </row>
    <row r="4238" spans="2:10">
      <c r="B4238" s="184"/>
      <c r="C4238" s="184"/>
      <c r="D4238" s="184"/>
      <c r="E4238" s="184"/>
      <c r="F4238" s="184"/>
      <c r="I4238" s="186"/>
      <c r="J4238" s="184"/>
    </row>
    <row r="4239" spans="2:10">
      <c r="B4239" s="184"/>
      <c r="C4239" s="184"/>
      <c r="D4239" s="184"/>
      <c r="E4239" s="184"/>
      <c r="F4239" s="184"/>
      <c r="I4239" s="186"/>
      <c r="J4239" s="184"/>
    </row>
    <row r="4240" spans="2:10">
      <c r="B4240" s="184"/>
      <c r="C4240" s="184"/>
      <c r="D4240" s="184"/>
      <c r="E4240" s="184"/>
      <c r="F4240" s="184"/>
      <c r="I4240" s="186"/>
      <c r="J4240" s="184"/>
    </row>
    <row r="4241" spans="2:10">
      <c r="B4241" s="184"/>
      <c r="C4241" s="184"/>
      <c r="D4241" s="184"/>
      <c r="E4241" s="184"/>
      <c r="F4241" s="184"/>
      <c r="I4241" s="186"/>
      <c r="J4241" s="184"/>
    </row>
    <row r="4242" spans="2:10">
      <c r="B4242" s="184"/>
      <c r="C4242" s="184"/>
      <c r="D4242" s="184"/>
      <c r="E4242" s="184"/>
      <c r="F4242" s="184"/>
      <c r="I4242" s="186"/>
      <c r="J4242" s="184"/>
    </row>
    <row r="4243" spans="2:10">
      <c r="B4243" s="184"/>
      <c r="C4243" s="184"/>
      <c r="D4243" s="184"/>
      <c r="E4243" s="184"/>
      <c r="F4243" s="184"/>
      <c r="I4243" s="186"/>
      <c r="J4243" s="184"/>
    </row>
    <row r="4244" spans="2:10">
      <c r="B4244" s="184"/>
      <c r="C4244" s="184"/>
      <c r="D4244" s="184"/>
      <c r="E4244" s="184"/>
      <c r="F4244" s="184"/>
      <c r="I4244" s="186"/>
      <c r="J4244" s="184"/>
    </row>
    <row r="4245" spans="2:10">
      <c r="B4245" s="184"/>
      <c r="C4245" s="184"/>
      <c r="D4245" s="184"/>
      <c r="E4245" s="184"/>
      <c r="F4245" s="184"/>
      <c r="I4245" s="186"/>
      <c r="J4245" s="184"/>
    </row>
    <row r="4246" spans="2:10">
      <c r="B4246" s="184"/>
      <c r="C4246" s="184"/>
      <c r="D4246" s="184"/>
      <c r="E4246" s="184"/>
      <c r="F4246" s="184"/>
      <c r="I4246" s="186"/>
      <c r="J4246" s="184"/>
    </row>
    <row r="4247" spans="2:10">
      <c r="B4247" s="184"/>
      <c r="C4247" s="184"/>
      <c r="D4247" s="184"/>
      <c r="E4247" s="184"/>
      <c r="F4247" s="184"/>
      <c r="I4247" s="186"/>
      <c r="J4247" s="184"/>
    </row>
    <row r="4248" spans="2:10">
      <c r="B4248" s="184"/>
      <c r="C4248" s="184"/>
      <c r="D4248" s="184"/>
      <c r="E4248" s="184"/>
      <c r="F4248" s="184"/>
      <c r="I4248" s="186"/>
      <c r="J4248" s="184"/>
    </row>
    <row r="4249" spans="2:10">
      <c r="B4249" s="184"/>
      <c r="C4249" s="184"/>
      <c r="D4249" s="184"/>
      <c r="E4249" s="184"/>
      <c r="F4249" s="184"/>
      <c r="I4249" s="186"/>
      <c r="J4249" s="184"/>
    </row>
    <row r="4250" spans="2:10">
      <c r="B4250" s="184"/>
      <c r="C4250" s="184"/>
      <c r="D4250" s="184"/>
      <c r="E4250" s="184"/>
      <c r="F4250" s="184"/>
      <c r="I4250" s="186"/>
      <c r="J4250" s="184"/>
    </row>
    <row r="4251" spans="2:10">
      <c r="B4251" s="184"/>
      <c r="C4251" s="184"/>
      <c r="D4251" s="184"/>
      <c r="E4251" s="184"/>
      <c r="F4251" s="184"/>
      <c r="I4251" s="186"/>
      <c r="J4251" s="184"/>
    </row>
    <row r="4252" spans="2:10">
      <c r="B4252" s="184"/>
      <c r="C4252" s="184"/>
      <c r="D4252" s="184"/>
      <c r="E4252" s="184"/>
      <c r="F4252" s="184"/>
      <c r="I4252" s="186"/>
      <c r="J4252" s="184"/>
    </row>
    <row r="4253" spans="2:10">
      <c r="B4253" s="184"/>
      <c r="C4253" s="184"/>
      <c r="D4253" s="184"/>
      <c r="E4253" s="184"/>
      <c r="F4253" s="184"/>
      <c r="I4253" s="186"/>
      <c r="J4253" s="184"/>
    </row>
    <row r="4254" spans="2:10">
      <c r="B4254" s="184"/>
      <c r="C4254" s="184"/>
      <c r="D4254" s="184"/>
      <c r="E4254" s="184"/>
      <c r="F4254" s="184"/>
      <c r="I4254" s="186"/>
      <c r="J4254" s="184"/>
    </row>
    <row r="4255" spans="2:10">
      <c r="B4255" s="184"/>
      <c r="C4255" s="184"/>
      <c r="D4255" s="184"/>
      <c r="E4255" s="184"/>
      <c r="F4255" s="184"/>
      <c r="I4255" s="186"/>
      <c r="J4255" s="184"/>
    </row>
    <row r="4256" spans="2:10">
      <c r="B4256" s="184"/>
      <c r="C4256" s="184"/>
      <c r="D4256" s="184"/>
      <c r="E4256" s="184"/>
      <c r="F4256" s="184"/>
      <c r="I4256" s="186"/>
      <c r="J4256" s="184"/>
    </row>
    <row r="4257" spans="2:10">
      <c r="B4257" s="184"/>
      <c r="C4257" s="184"/>
      <c r="D4257" s="184"/>
      <c r="E4257" s="184"/>
      <c r="F4257" s="184"/>
      <c r="I4257" s="186"/>
      <c r="J4257" s="184"/>
    </row>
    <row r="4258" spans="2:10">
      <c r="B4258" s="184"/>
      <c r="C4258" s="184"/>
      <c r="D4258" s="184"/>
      <c r="E4258" s="184"/>
      <c r="F4258" s="184"/>
      <c r="I4258" s="186"/>
      <c r="J4258" s="184"/>
    </row>
    <row r="4259" spans="2:10">
      <c r="B4259" s="184"/>
      <c r="C4259" s="184"/>
      <c r="D4259" s="184"/>
      <c r="E4259" s="184"/>
      <c r="F4259" s="184"/>
      <c r="I4259" s="186"/>
      <c r="J4259" s="184"/>
    </row>
    <row r="4260" spans="2:10">
      <c r="B4260" s="184"/>
      <c r="C4260" s="184"/>
      <c r="D4260" s="184"/>
      <c r="E4260" s="184"/>
      <c r="F4260" s="184"/>
      <c r="I4260" s="186"/>
      <c r="J4260" s="184"/>
    </row>
    <row r="4261" spans="2:10">
      <c r="B4261" s="184"/>
      <c r="C4261" s="184"/>
      <c r="D4261" s="184"/>
      <c r="E4261" s="184"/>
      <c r="F4261" s="184"/>
      <c r="I4261" s="186"/>
      <c r="J4261" s="184"/>
    </row>
    <row r="4262" spans="2:10">
      <c r="B4262" s="184"/>
      <c r="C4262" s="184"/>
      <c r="D4262" s="184"/>
      <c r="E4262" s="184"/>
      <c r="F4262" s="184"/>
      <c r="I4262" s="186"/>
      <c r="J4262" s="184"/>
    </row>
    <row r="4263" spans="2:10">
      <c r="B4263" s="184"/>
      <c r="C4263" s="184"/>
      <c r="D4263" s="184"/>
      <c r="E4263" s="184"/>
      <c r="F4263" s="184"/>
      <c r="I4263" s="186"/>
      <c r="J4263" s="184"/>
    </row>
    <row r="4264" spans="2:10">
      <c r="B4264" s="184"/>
      <c r="C4264" s="184"/>
      <c r="D4264" s="184"/>
      <c r="E4264" s="184"/>
      <c r="F4264" s="184"/>
      <c r="I4264" s="186"/>
      <c r="J4264" s="184"/>
    </row>
    <row r="4265" spans="2:10">
      <c r="B4265" s="184"/>
      <c r="C4265" s="184"/>
      <c r="D4265" s="184"/>
      <c r="E4265" s="184"/>
      <c r="F4265" s="184"/>
      <c r="I4265" s="186"/>
      <c r="J4265" s="184"/>
    </row>
    <row r="4266" spans="2:10">
      <c r="B4266" s="184"/>
      <c r="C4266" s="184"/>
      <c r="D4266" s="184"/>
      <c r="E4266" s="184"/>
      <c r="F4266" s="184"/>
      <c r="G4266" s="187"/>
      <c r="I4266" s="186"/>
      <c r="J4266" s="184"/>
    </row>
    <row r="4267" spans="2:10">
      <c r="B4267" s="184"/>
      <c r="C4267" s="184"/>
      <c r="D4267" s="184"/>
      <c r="E4267" s="184"/>
      <c r="F4267" s="184"/>
      <c r="G4267" s="187"/>
      <c r="I4267" s="186"/>
      <c r="J4267" s="184"/>
    </row>
    <row r="4268" spans="2:10">
      <c r="B4268" s="184"/>
      <c r="C4268" s="184"/>
      <c r="D4268" s="184"/>
      <c r="E4268" s="184"/>
      <c r="F4268" s="184"/>
      <c r="G4268" s="187"/>
      <c r="I4268" s="186"/>
      <c r="J4268" s="184"/>
    </row>
    <row r="4269" spans="2:10">
      <c r="B4269" s="184"/>
      <c r="C4269" s="184"/>
      <c r="D4269" s="184"/>
      <c r="E4269" s="184"/>
      <c r="F4269" s="184"/>
      <c r="G4269" s="187"/>
      <c r="I4269" s="186"/>
      <c r="J4269" s="184"/>
    </row>
    <row r="4270" spans="2:10">
      <c r="B4270" s="184"/>
      <c r="C4270" s="184"/>
      <c r="D4270" s="184"/>
      <c r="E4270" s="184"/>
      <c r="F4270" s="184"/>
      <c r="G4270" s="187"/>
      <c r="I4270" s="186"/>
      <c r="J4270" s="184"/>
    </row>
    <row r="4271" spans="2:10">
      <c r="B4271" s="184"/>
      <c r="C4271" s="184"/>
      <c r="D4271" s="184"/>
      <c r="E4271" s="184"/>
      <c r="F4271" s="184"/>
      <c r="G4271" s="187"/>
      <c r="I4271" s="186"/>
      <c r="J4271" s="184"/>
    </row>
    <row r="4272" spans="2:10">
      <c r="B4272" s="184"/>
      <c r="C4272" s="184"/>
      <c r="D4272" s="184"/>
      <c r="E4272" s="184"/>
      <c r="F4272" s="184"/>
      <c r="G4272" s="187"/>
      <c r="I4272" s="186"/>
      <c r="J4272" s="184"/>
    </row>
    <row r="4273" spans="2:10">
      <c r="B4273" s="184"/>
      <c r="C4273" s="184"/>
      <c r="D4273" s="184"/>
      <c r="E4273" s="184"/>
      <c r="F4273" s="184"/>
      <c r="G4273" s="187"/>
      <c r="I4273" s="186"/>
      <c r="J4273" s="184"/>
    </row>
    <row r="4274" spans="2:10">
      <c r="B4274" s="184"/>
      <c r="C4274" s="184"/>
      <c r="D4274" s="184"/>
      <c r="E4274" s="184"/>
      <c r="F4274" s="184"/>
      <c r="G4274" s="187"/>
      <c r="I4274" s="186"/>
      <c r="J4274" s="184"/>
    </row>
    <row r="4275" spans="2:10">
      <c r="B4275" s="184"/>
      <c r="C4275" s="184"/>
      <c r="D4275" s="184"/>
      <c r="E4275" s="184"/>
      <c r="F4275" s="184"/>
      <c r="G4275" s="187"/>
      <c r="I4275" s="186"/>
      <c r="J4275" s="184"/>
    </row>
    <row r="4276" spans="2:10">
      <c r="B4276" s="184"/>
      <c r="C4276" s="184"/>
      <c r="D4276" s="184"/>
      <c r="E4276" s="184"/>
      <c r="F4276" s="184"/>
      <c r="G4276" s="187"/>
      <c r="I4276" s="186"/>
      <c r="J4276" s="184"/>
    </row>
    <row r="4277" spans="2:10">
      <c r="B4277" s="184"/>
      <c r="C4277" s="184"/>
      <c r="D4277" s="184"/>
      <c r="E4277" s="184"/>
      <c r="F4277" s="184"/>
      <c r="G4277" s="187"/>
      <c r="I4277" s="186"/>
      <c r="J4277" s="184"/>
    </row>
    <row r="4278" spans="2:10">
      <c r="B4278" s="184"/>
      <c r="C4278" s="184"/>
      <c r="D4278" s="184"/>
      <c r="E4278" s="184"/>
      <c r="F4278" s="184"/>
      <c r="G4278" s="187"/>
      <c r="I4278" s="186"/>
      <c r="J4278" s="184"/>
    </row>
    <row r="4279" spans="2:10">
      <c r="B4279" s="184"/>
      <c r="C4279" s="184"/>
      <c r="D4279" s="184"/>
      <c r="E4279" s="184"/>
      <c r="F4279" s="184"/>
      <c r="G4279" s="187"/>
      <c r="I4279" s="186"/>
      <c r="J4279" s="184"/>
    </row>
    <row r="4280" spans="2:10">
      <c r="B4280" s="184"/>
      <c r="C4280" s="184"/>
      <c r="D4280" s="184"/>
      <c r="E4280" s="184"/>
      <c r="F4280" s="184"/>
      <c r="G4280" s="187"/>
      <c r="I4280" s="186"/>
      <c r="J4280" s="184"/>
    </row>
    <row r="4281" spans="2:10">
      <c r="B4281" s="184"/>
      <c r="C4281" s="184"/>
      <c r="D4281" s="184"/>
      <c r="E4281" s="184"/>
      <c r="F4281" s="184"/>
      <c r="G4281" s="187"/>
      <c r="I4281" s="186"/>
      <c r="J4281" s="184"/>
    </row>
    <row r="4282" spans="2:10">
      <c r="B4282" s="184"/>
      <c r="C4282" s="184"/>
      <c r="D4282" s="184"/>
      <c r="E4282" s="184"/>
      <c r="F4282" s="184"/>
      <c r="G4282" s="187"/>
      <c r="I4282" s="186"/>
      <c r="J4282" s="184"/>
    </row>
    <row r="4283" spans="2:10">
      <c r="B4283" s="184"/>
      <c r="C4283" s="184"/>
      <c r="D4283" s="184"/>
      <c r="E4283" s="184"/>
      <c r="F4283" s="184"/>
      <c r="G4283" s="187"/>
      <c r="I4283" s="186"/>
      <c r="J4283" s="184"/>
    </row>
    <row r="4284" spans="2:10">
      <c r="B4284" s="184"/>
      <c r="C4284" s="184"/>
      <c r="D4284" s="184"/>
      <c r="E4284" s="184"/>
      <c r="F4284" s="184"/>
      <c r="G4284" s="187"/>
      <c r="I4284" s="186"/>
      <c r="J4284" s="184"/>
    </row>
    <row r="4285" spans="2:10">
      <c r="B4285" s="184"/>
      <c r="C4285" s="184"/>
      <c r="D4285" s="184"/>
      <c r="E4285" s="184"/>
      <c r="F4285" s="184"/>
      <c r="G4285" s="187"/>
      <c r="I4285" s="186"/>
      <c r="J4285" s="184"/>
    </row>
    <row r="4286" spans="2:10">
      <c r="B4286" s="184"/>
      <c r="C4286" s="184"/>
      <c r="D4286" s="184"/>
      <c r="E4286" s="184"/>
      <c r="F4286" s="184"/>
      <c r="G4286" s="187"/>
      <c r="I4286" s="186"/>
      <c r="J4286" s="184"/>
    </row>
    <row r="4287" spans="2:10">
      <c r="B4287" s="184"/>
      <c r="C4287" s="184"/>
      <c r="D4287" s="184"/>
      <c r="E4287" s="184"/>
      <c r="F4287" s="184"/>
      <c r="G4287" s="187"/>
      <c r="I4287" s="186"/>
      <c r="J4287" s="184"/>
    </row>
    <row r="4288" spans="2:10">
      <c r="B4288" s="184"/>
      <c r="C4288" s="184"/>
      <c r="D4288" s="184"/>
      <c r="E4288" s="184"/>
      <c r="F4288" s="184"/>
      <c r="G4288" s="187"/>
      <c r="I4288" s="186"/>
      <c r="J4288" s="184"/>
    </row>
    <row r="4289" spans="2:10">
      <c r="B4289" s="184"/>
      <c r="C4289" s="184"/>
      <c r="D4289" s="184"/>
      <c r="E4289" s="184"/>
      <c r="F4289" s="184"/>
      <c r="G4289" s="187"/>
      <c r="I4289" s="186"/>
      <c r="J4289" s="184"/>
    </row>
    <row r="4290" spans="2:10">
      <c r="B4290" s="184"/>
      <c r="C4290" s="184"/>
      <c r="D4290" s="184"/>
      <c r="E4290" s="184"/>
      <c r="F4290" s="184"/>
      <c r="I4290" s="186"/>
      <c r="J4290" s="184"/>
    </row>
    <row r="4291" spans="2:10">
      <c r="B4291" s="184"/>
      <c r="C4291" s="184"/>
      <c r="D4291" s="184"/>
      <c r="E4291" s="184"/>
      <c r="F4291" s="184"/>
      <c r="G4291" s="187"/>
      <c r="I4291" s="186"/>
      <c r="J4291" s="184"/>
    </row>
    <row r="4292" spans="2:10">
      <c r="B4292" s="184"/>
      <c r="C4292" s="184"/>
      <c r="D4292" s="184"/>
      <c r="E4292" s="184"/>
      <c r="F4292" s="184"/>
      <c r="I4292" s="186"/>
      <c r="J4292" s="184"/>
    </row>
    <row r="4293" spans="2:10">
      <c r="B4293" s="184"/>
      <c r="C4293" s="184"/>
      <c r="D4293" s="184"/>
      <c r="E4293" s="184"/>
      <c r="F4293" s="184"/>
      <c r="I4293" s="186"/>
      <c r="J4293" s="184"/>
    </row>
    <row r="4294" spans="2:10">
      <c r="B4294" s="184"/>
      <c r="C4294" s="184"/>
      <c r="D4294" s="184"/>
      <c r="E4294" s="184"/>
      <c r="F4294" s="184"/>
      <c r="I4294" s="186"/>
      <c r="J4294" s="184"/>
    </row>
    <row r="4295" spans="2:10">
      <c r="B4295" s="184"/>
      <c r="C4295" s="184"/>
      <c r="D4295" s="184"/>
      <c r="E4295" s="184"/>
      <c r="F4295" s="184"/>
      <c r="I4295" s="186"/>
      <c r="J4295" s="184"/>
    </row>
    <row r="4296" spans="2:10">
      <c r="B4296" s="184"/>
      <c r="C4296" s="184"/>
      <c r="D4296" s="184"/>
      <c r="E4296" s="184"/>
      <c r="F4296" s="184"/>
      <c r="I4296" s="186"/>
      <c r="J4296" s="184"/>
    </row>
    <row r="4297" spans="2:10">
      <c r="B4297" s="184"/>
      <c r="C4297" s="184"/>
      <c r="D4297" s="184"/>
      <c r="E4297" s="184"/>
      <c r="F4297" s="184"/>
      <c r="I4297" s="186"/>
      <c r="J4297" s="184"/>
    </row>
    <row r="4298" spans="2:10">
      <c r="B4298" s="184"/>
      <c r="C4298" s="184"/>
      <c r="D4298" s="184"/>
      <c r="E4298" s="184"/>
      <c r="F4298" s="184"/>
      <c r="I4298" s="186"/>
      <c r="J4298" s="184"/>
    </row>
    <row r="4299" spans="2:10">
      <c r="B4299" s="184"/>
      <c r="C4299" s="184"/>
      <c r="D4299" s="184"/>
      <c r="E4299" s="184"/>
      <c r="F4299" s="184"/>
      <c r="I4299" s="186"/>
      <c r="J4299" s="184"/>
    </row>
    <row r="4300" spans="2:10">
      <c r="B4300" s="184"/>
      <c r="C4300" s="184"/>
      <c r="D4300" s="184"/>
      <c r="E4300" s="184"/>
      <c r="F4300" s="184"/>
      <c r="I4300" s="186"/>
      <c r="J4300" s="184"/>
    </row>
    <row r="4301" spans="2:10">
      <c r="B4301" s="184"/>
      <c r="C4301" s="184"/>
      <c r="D4301" s="184"/>
      <c r="E4301" s="184"/>
      <c r="F4301" s="184"/>
      <c r="I4301" s="186"/>
      <c r="J4301" s="184"/>
    </row>
    <row r="4302" spans="2:10">
      <c r="B4302" s="184"/>
      <c r="C4302" s="184"/>
      <c r="D4302" s="184"/>
      <c r="E4302" s="184"/>
      <c r="F4302" s="184"/>
      <c r="I4302" s="186"/>
      <c r="J4302" s="184"/>
    </row>
    <row r="4303" spans="2:10">
      <c r="B4303" s="184"/>
      <c r="C4303" s="184"/>
      <c r="D4303" s="184"/>
      <c r="E4303" s="184"/>
      <c r="F4303" s="184"/>
      <c r="I4303" s="186"/>
      <c r="J4303" s="184"/>
    </row>
    <row r="4304" spans="2:10">
      <c r="B4304" s="184"/>
      <c r="C4304" s="184"/>
      <c r="D4304" s="184"/>
      <c r="E4304" s="184"/>
      <c r="F4304" s="184"/>
      <c r="I4304" s="186"/>
      <c r="J4304" s="184"/>
    </row>
    <row r="4305" spans="2:10">
      <c r="B4305" s="184"/>
      <c r="C4305" s="184"/>
      <c r="D4305" s="184"/>
      <c r="E4305" s="184"/>
      <c r="F4305" s="184"/>
      <c r="I4305" s="186"/>
      <c r="J4305" s="184"/>
    </row>
    <row r="4306" spans="2:10">
      <c r="B4306" s="184"/>
      <c r="C4306" s="184"/>
      <c r="D4306" s="184"/>
      <c r="E4306" s="184"/>
      <c r="F4306" s="184"/>
      <c r="I4306" s="186"/>
      <c r="J4306" s="184"/>
    </row>
    <row r="4307" spans="2:10">
      <c r="B4307" s="184"/>
      <c r="C4307" s="184"/>
      <c r="D4307" s="184"/>
      <c r="E4307" s="184"/>
      <c r="F4307" s="184"/>
      <c r="I4307" s="186"/>
      <c r="J4307" s="184"/>
    </row>
    <row r="4308" spans="2:10">
      <c r="B4308" s="184"/>
      <c r="C4308" s="184"/>
      <c r="D4308" s="184"/>
      <c r="E4308" s="184"/>
      <c r="F4308" s="184"/>
      <c r="I4308" s="186"/>
      <c r="J4308" s="184"/>
    </row>
    <row r="4309" spans="2:10">
      <c r="B4309" s="184"/>
      <c r="C4309" s="184"/>
      <c r="D4309" s="184"/>
      <c r="E4309" s="184"/>
      <c r="F4309" s="184"/>
      <c r="I4309" s="186"/>
      <c r="J4309" s="184"/>
    </row>
    <row r="4310" spans="2:10">
      <c r="B4310" s="184"/>
      <c r="C4310" s="184"/>
      <c r="D4310" s="184"/>
      <c r="E4310" s="184"/>
      <c r="F4310" s="184"/>
      <c r="I4310" s="186"/>
      <c r="J4310" s="184"/>
    </row>
    <row r="4311" spans="2:10">
      <c r="B4311" s="184"/>
      <c r="C4311" s="184"/>
      <c r="D4311" s="184"/>
      <c r="E4311" s="184"/>
      <c r="F4311" s="184"/>
      <c r="I4311" s="186"/>
      <c r="J4311" s="184"/>
    </row>
    <row r="4312" spans="2:10">
      <c r="B4312" s="184"/>
      <c r="C4312" s="184"/>
      <c r="D4312" s="184"/>
      <c r="E4312" s="184"/>
      <c r="F4312" s="184"/>
      <c r="I4312" s="186"/>
      <c r="J4312" s="184"/>
    </row>
    <row r="4313" spans="2:10">
      <c r="B4313" s="184"/>
      <c r="C4313" s="184"/>
      <c r="D4313" s="184"/>
      <c r="E4313" s="184"/>
      <c r="F4313" s="184"/>
      <c r="I4313" s="186"/>
      <c r="J4313" s="184"/>
    </row>
    <row r="4314" spans="2:10">
      <c r="B4314" s="184"/>
      <c r="C4314" s="184"/>
      <c r="D4314" s="184"/>
      <c r="E4314" s="184"/>
      <c r="F4314" s="184"/>
      <c r="G4314" s="187"/>
      <c r="I4314" s="186"/>
      <c r="J4314" s="184"/>
    </row>
    <row r="4315" spans="2:10">
      <c r="B4315" s="184"/>
      <c r="C4315" s="184"/>
      <c r="D4315" s="184"/>
      <c r="E4315" s="184"/>
      <c r="F4315" s="184"/>
      <c r="G4315" s="187"/>
      <c r="I4315" s="186"/>
      <c r="J4315" s="184"/>
    </row>
    <row r="4316" spans="2:10">
      <c r="B4316" s="184"/>
      <c r="C4316" s="184"/>
      <c r="D4316" s="184"/>
      <c r="E4316" s="184"/>
      <c r="F4316" s="184"/>
      <c r="G4316" s="187"/>
      <c r="I4316" s="186"/>
      <c r="J4316" s="184"/>
    </row>
    <row r="4317" spans="2:10">
      <c r="B4317" s="184"/>
      <c r="C4317" s="184"/>
      <c r="D4317" s="184"/>
      <c r="E4317" s="184"/>
      <c r="F4317" s="184"/>
      <c r="G4317" s="187"/>
      <c r="I4317" s="186"/>
      <c r="J4317" s="184"/>
    </row>
    <row r="4318" spans="2:10">
      <c r="B4318" s="184"/>
      <c r="C4318" s="184"/>
      <c r="D4318" s="184"/>
      <c r="E4318" s="184"/>
      <c r="F4318" s="184"/>
      <c r="G4318" s="187"/>
      <c r="I4318" s="186"/>
      <c r="J4318" s="184"/>
    </row>
    <row r="4319" spans="2:10">
      <c r="B4319" s="184"/>
      <c r="C4319" s="184"/>
      <c r="D4319" s="184"/>
      <c r="E4319" s="184"/>
      <c r="F4319" s="184"/>
      <c r="G4319" s="187"/>
      <c r="I4319" s="186"/>
      <c r="J4319" s="184"/>
    </row>
    <row r="4320" spans="2:10">
      <c r="B4320" s="184"/>
      <c r="C4320" s="184"/>
      <c r="D4320" s="184"/>
      <c r="E4320" s="184"/>
      <c r="F4320" s="184"/>
      <c r="G4320" s="187"/>
      <c r="I4320" s="186"/>
      <c r="J4320" s="184"/>
    </row>
    <row r="4321" spans="2:10">
      <c r="B4321" s="184"/>
      <c r="C4321" s="184"/>
      <c r="D4321" s="184"/>
      <c r="E4321" s="184"/>
      <c r="F4321" s="184"/>
      <c r="G4321" s="187"/>
      <c r="I4321" s="186"/>
      <c r="J4321" s="184"/>
    </row>
    <row r="4322" spans="2:10">
      <c r="B4322" s="184"/>
      <c r="C4322" s="184"/>
      <c r="D4322" s="184"/>
      <c r="E4322" s="184"/>
      <c r="F4322" s="184"/>
      <c r="G4322" s="187"/>
      <c r="I4322" s="186"/>
      <c r="J4322" s="184"/>
    </row>
    <row r="4323" spans="2:10">
      <c r="B4323" s="184"/>
      <c r="C4323" s="184"/>
      <c r="D4323" s="184"/>
      <c r="E4323" s="184"/>
      <c r="F4323" s="184"/>
      <c r="G4323" s="187"/>
      <c r="I4323" s="186"/>
      <c r="J4323" s="184"/>
    </row>
    <row r="4324" spans="2:10">
      <c r="B4324" s="184"/>
      <c r="C4324" s="184"/>
      <c r="D4324" s="184"/>
      <c r="E4324" s="184"/>
      <c r="F4324" s="184"/>
      <c r="G4324" s="187"/>
      <c r="I4324" s="186"/>
      <c r="J4324" s="184"/>
    </row>
    <row r="4325" spans="2:10">
      <c r="B4325" s="184"/>
      <c r="C4325" s="184"/>
      <c r="D4325" s="184"/>
      <c r="E4325" s="184"/>
      <c r="F4325" s="184"/>
      <c r="G4325" s="187"/>
      <c r="I4325" s="186"/>
      <c r="J4325" s="184"/>
    </row>
    <row r="4326" spans="2:10">
      <c r="B4326" s="184"/>
      <c r="C4326" s="184"/>
      <c r="D4326" s="184"/>
      <c r="E4326" s="184"/>
      <c r="F4326" s="184"/>
      <c r="G4326" s="187"/>
      <c r="I4326" s="186"/>
      <c r="J4326" s="184"/>
    </row>
    <row r="4327" spans="2:10">
      <c r="B4327" s="184"/>
      <c r="C4327" s="184"/>
      <c r="D4327" s="184"/>
      <c r="E4327" s="184"/>
      <c r="F4327" s="184"/>
      <c r="G4327" s="187"/>
      <c r="I4327" s="186"/>
      <c r="J4327" s="184"/>
    </row>
    <row r="4328" spans="2:10">
      <c r="B4328" s="184"/>
      <c r="C4328" s="184"/>
      <c r="D4328" s="184"/>
      <c r="E4328" s="184"/>
      <c r="F4328" s="184"/>
      <c r="G4328" s="187"/>
      <c r="I4328" s="186"/>
      <c r="J4328" s="184"/>
    </row>
    <row r="4329" spans="2:10">
      <c r="B4329" s="184"/>
      <c r="C4329" s="184"/>
      <c r="D4329" s="184"/>
      <c r="E4329" s="184"/>
      <c r="F4329" s="184"/>
      <c r="G4329" s="187"/>
      <c r="I4329" s="186"/>
      <c r="J4329" s="184"/>
    </row>
    <row r="4330" spans="2:10">
      <c r="B4330" s="184"/>
      <c r="C4330" s="184"/>
      <c r="D4330" s="184"/>
      <c r="E4330" s="184"/>
      <c r="F4330" s="184"/>
      <c r="G4330" s="187"/>
      <c r="I4330" s="186"/>
      <c r="J4330" s="184"/>
    </row>
    <row r="4331" spans="2:10">
      <c r="B4331" s="184"/>
      <c r="C4331" s="184"/>
      <c r="D4331" s="184"/>
      <c r="E4331" s="184"/>
      <c r="F4331" s="184"/>
      <c r="G4331" s="187"/>
      <c r="I4331" s="186"/>
      <c r="J4331" s="184"/>
    </row>
    <row r="4332" spans="2:10">
      <c r="B4332" s="184"/>
      <c r="C4332" s="184"/>
      <c r="D4332" s="184"/>
      <c r="E4332" s="184"/>
      <c r="F4332" s="184"/>
      <c r="G4332" s="187"/>
      <c r="I4332" s="186"/>
      <c r="J4332" s="184"/>
    </row>
    <row r="4333" spans="2:10">
      <c r="B4333" s="184"/>
      <c r="C4333" s="184"/>
      <c r="D4333" s="184"/>
      <c r="E4333" s="184"/>
      <c r="F4333" s="184"/>
      <c r="G4333" s="187"/>
      <c r="I4333" s="186"/>
      <c r="J4333" s="184"/>
    </row>
    <row r="4334" spans="2:10">
      <c r="B4334" s="184"/>
      <c r="C4334" s="184"/>
      <c r="D4334" s="184"/>
      <c r="E4334" s="184"/>
      <c r="F4334" s="184"/>
      <c r="G4334" s="187"/>
      <c r="I4334" s="186"/>
      <c r="J4334" s="184"/>
    </row>
    <row r="4335" spans="2:10">
      <c r="B4335" s="184"/>
      <c r="C4335" s="184"/>
      <c r="D4335" s="184"/>
      <c r="E4335" s="184"/>
      <c r="F4335" s="184"/>
      <c r="G4335" s="187"/>
      <c r="I4335" s="186"/>
      <c r="J4335" s="184"/>
    </row>
    <row r="4336" spans="2:10">
      <c r="B4336" s="184"/>
      <c r="C4336" s="184"/>
      <c r="D4336" s="184"/>
      <c r="E4336" s="184"/>
      <c r="F4336" s="184"/>
      <c r="G4336" s="187"/>
      <c r="I4336" s="186"/>
      <c r="J4336" s="184"/>
    </row>
    <row r="4337" spans="2:10">
      <c r="B4337" s="184"/>
      <c r="C4337" s="184"/>
      <c r="D4337" s="184"/>
      <c r="E4337" s="184"/>
      <c r="F4337" s="184"/>
      <c r="G4337" s="187"/>
      <c r="I4337" s="186"/>
      <c r="J4337" s="184"/>
    </row>
    <row r="4338" spans="2:10">
      <c r="B4338" s="184"/>
      <c r="C4338" s="184"/>
      <c r="D4338" s="184"/>
      <c r="E4338" s="184"/>
      <c r="F4338" s="184"/>
      <c r="I4338" s="186"/>
      <c r="J4338" s="184"/>
    </row>
    <row r="4339" spans="2:10">
      <c r="B4339" s="184"/>
      <c r="C4339" s="184"/>
      <c r="D4339" s="184"/>
      <c r="E4339" s="184"/>
      <c r="F4339" s="184"/>
      <c r="I4339" s="186"/>
      <c r="J4339" s="184"/>
    </row>
    <row r="4340" spans="2:10">
      <c r="B4340" s="184"/>
      <c r="C4340" s="184"/>
      <c r="D4340" s="184"/>
      <c r="E4340" s="184"/>
      <c r="F4340" s="184"/>
      <c r="I4340" s="186"/>
      <c r="J4340" s="184"/>
    </row>
    <row r="4341" spans="2:10">
      <c r="B4341" s="184"/>
      <c r="C4341" s="184"/>
      <c r="D4341" s="184"/>
      <c r="E4341" s="184"/>
      <c r="F4341" s="184"/>
      <c r="I4341" s="186"/>
      <c r="J4341" s="184"/>
    </row>
    <row r="4342" spans="2:10">
      <c r="B4342" s="184"/>
      <c r="C4342" s="184"/>
      <c r="D4342" s="184"/>
      <c r="E4342" s="184"/>
      <c r="F4342" s="184"/>
      <c r="I4342" s="186"/>
      <c r="J4342" s="184"/>
    </row>
    <row r="4343" spans="2:10">
      <c r="B4343" s="184"/>
      <c r="C4343" s="184"/>
      <c r="D4343" s="184"/>
      <c r="E4343" s="184"/>
      <c r="F4343" s="184"/>
      <c r="I4343" s="186"/>
      <c r="J4343" s="184"/>
    </row>
    <row r="4344" spans="2:10">
      <c r="B4344" s="184"/>
      <c r="C4344" s="184"/>
      <c r="D4344" s="184"/>
      <c r="E4344" s="184"/>
      <c r="F4344" s="184"/>
      <c r="I4344" s="186"/>
      <c r="J4344" s="184"/>
    </row>
    <row r="4345" spans="2:10">
      <c r="B4345" s="184"/>
      <c r="C4345" s="184"/>
      <c r="D4345" s="184"/>
      <c r="E4345" s="184"/>
      <c r="F4345" s="184"/>
      <c r="I4345" s="186"/>
      <c r="J4345" s="184"/>
    </row>
    <row r="4346" spans="2:10">
      <c r="B4346" s="184"/>
      <c r="C4346" s="184"/>
      <c r="D4346" s="184"/>
      <c r="E4346" s="184"/>
      <c r="F4346" s="184"/>
      <c r="I4346" s="186"/>
      <c r="J4346" s="184"/>
    </row>
    <row r="4347" spans="2:10">
      <c r="B4347" s="184"/>
      <c r="C4347" s="184"/>
      <c r="D4347" s="184"/>
      <c r="E4347" s="184"/>
      <c r="F4347" s="184"/>
      <c r="I4347" s="186"/>
      <c r="J4347" s="184"/>
    </row>
    <row r="4348" spans="2:10">
      <c r="B4348" s="184"/>
      <c r="C4348" s="184"/>
      <c r="D4348" s="184"/>
      <c r="E4348" s="184"/>
      <c r="F4348" s="184"/>
      <c r="I4348" s="186"/>
      <c r="J4348" s="184"/>
    </row>
    <row r="4349" spans="2:10">
      <c r="B4349" s="184"/>
      <c r="C4349" s="184"/>
      <c r="D4349" s="184"/>
      <c r="E4349" s="184"/>
      <c r="F4349" s="184"/>
      <c r="I4349" s="186"/>
      <c r="J4349" s="184"/>
    </row>
    <row r="4350" spans="2:10">
      <c r="B4350" s="184"/>
      <c r="C4350" s="184"/>
      <c r="D4350" s="184"/>
      <c r="E4350" s="184"/>
      <c r="F4350" s="184"/>
      <c r="I4350" s="186"/>
      <c r="J4350" s="184"/>
    </row>
    <row r="4351" spans="2:10">
      <c r="B4351" s="184"/>
      <c r="C4351" s="184"/>
      <c r="D4351" s="184"/>
      <c r="E4351" s="184"/>
      <c r="F4351" s="184"/>
      <c r="I4351" s="186"/>
      <c r="J4351" s="184"/>
    </row>
    <row r="4352" spans="2:10">
      <c r="B4352" s="184"/>
      <c r="C4352" s="184"/>
      <c r="D4352" s="184"/>
      <c r="E4352" s="184"/>
      <c r="F4352" s="184"/>
      <c r="I4352" s="186"/>
      <c r="J4352" s="184"/>
    </row>
    <row r="4353" spans="2:10">
      <c r="B4353" s="184"/>
      <c r="C4353" s="184"/>
      <c r="D4353" s="184"/>
      <c r="E4353" s="184"/>
      <c r="F4353" s="184"/>
      <c r="I4353" s="186"/>
      <c r="J4353" s="184"/>
    </row>
    <row r="4354" spans="2:10">
      <c r="B4354" s="184"/>
      <c r="C4354" s="184"/>
      <c r="D4354" s="184"/>
      <c r="E4354" s="184"/>
      <c r="F4354" s="184"/>
      <c r="I4354" s="186"/>
      <c r="J4354" s="184"/>
    </row>
    <row r="4355" spans="2:10">
      <c r="B4355" s="184"/>
      <c r="C4355" s="184"/>
      <c r="D4355" s="184"/>
      <c r="E4355" s="184"/>
      <c r="F4355" s="184"/>
      <c r="I4355" s="186"/>
      <c r="J4355" s="184"/>
    </row>
    <row r="4356" spans="2:10">
      <c r="B4356" s="184"/>
      <c r="C4356" s="184"/>
      <c r="D4356" s="184"/>
      <c r="E4356" s="184"/>
      <c r="F4356" s="184"/>
      <c r="I4356" s="186"/>
      <c r="J4356" s="184"/>
    </row>
    <row r="4357" spans="2:10">
      <c r="B4357" s="184"/>
      <c r="C4357" s="184"/>
      <c r="D4357" s="184"/>
      <c r="E4357" s="184"/>
      <c r="F4357" s="184"/>
      <c r="I4357" s="186"/>
      <c r="J4357" s="184"/>
    </row>
    <row r="4358" spans="2:10">
      <c r="B4358" s="184"/>
      <c r="C4358" s="184"/>
      <c r="D4358" s="184"/>
      <c r="E4358" s="184"/>
      <c r="F4358" s="184"/>
      <c r="I4358" s="186"/>
      <c r="J4358" s="184"/>
    </row>
    <row r="4359" spans="2:10">
      <c r="B4359" s="184"/>
      <c r="C4359" s="184"/>
      <c r="D4359" s="184"/>
      <c r="E4359" s="184"/>
      <c r="F4359" s="184"/>
      <c r="I4359" s="186"/>
      <c r="J4359" s="184"/>
    </row>
    <row r="4360" spans="2:10">
      <c r="B4360" s="184"/>
      <c r="C4360" s="184"/>
      <c r="D4360" s="184"/>
      <c r="E4360" s="184"/>
      <c r="F4360" s="184"/>
      <c r="I4360" s="186"/>
      <c r="J4360" s="184"/>
    </row>
    <row r="4361" spans="2:10">
      <c r="B4361" s="184"/>
      <c r="C4361" s="184"/>
      <c r="D4361" s="184"/>
      <c r="E4361" s="184"/>
      <c r="F4361" s="184"/>
      <c r="I4361" s="186"/>
      <c r="J4361" s="184"/>
    </row>
    <row r="4362" spans="2:10">
      <c r="B4362" s="184"/>
      <c r="C4362" s="184"/>
      <c r="D4362" s="184"/>
      <c r="E4362" s="184"/>
      <c r="F4362" s="184"/>
      <c r="I4362" s="186"/>
      <c r="J4362" s="184"/>
    </row>
    <row r="4363" spans="2:10">
      <c r="B4363" s="184"/>
      <c r="C4363" s="184"/>
      <c r="D4363" s="184"/>
      <c r="E4363" s="184"/>
      <c r="F4363" s="184"/>
      <c r="I4363" s="186"/>
      <c r="J4363" s="184"/>
    </row>
    <row r="4364" spans="2:10">
      <c r="B4364" s="184"/>
      <c r="C4364" s="184"/>
      <c r="D4364" s="184"/>
      <c r="E4364" s="184"/>
      <c r="F4364" s="184"/>
      <c r="I4364" s="186"/>
      <c r="J4364" s="184"/>
    </row>
    <row r="4365" spans="2:10">
      <c r="B4365" s="184"/>
      <c r="C4365" s="184"/>
      <c r="D4365" s="184"/>
      <c r="E4365" s="184"/>
      <c r="F4365" s="184"/>
      <c r="I4365" s="186"/>
      <c r="J4365" s="184"/>
    </row>
    <row r="4366" spans="2:10">
      <c r="B4366" s="184"/>
      <c r="C4366" s="184"/>
      <c r="D4366" s="184"/>
      <c r="E4366" s="184"/>
      <c r="F4366" s="184"/>
      <c r="I4366" s="186"/>
      <c r="J4366" s="184"/>
    </row>
    <row r="4367" spans="2:10">
      <c r="B4367" s="184"/>
      <c r="C4367" s="184"/>
      <c r="D4367" s="184"/>
      <c r="E4367" s="184"/>
      <c r="F4367" s="184"/>
      <c r="I4367" s="186"/>
      <c r="J4367" s="184"/>
    </row>
    <row r="4368" spans="2:10">
      <c r="B4368" s="184"/>
      <c r="C4368" s="184"/>
      <c r="D4368" s="184"/>
      <c r="E4368" s="184"/>
      <c r="F4368" s="184"/>
      <c r="I4368" s="186"/>
      <c r="J4368" s="184"/>
    </row>
    <row r="4369" spans="2:10">
      <c r="B4369" s="184"/>
      <c r="C4369" s="184"/>
      <c r="D4369" s="184"/>
      <c r="E4369" s="184"/>
      <c r="F4369" s="184"/>
      <c r="I4369" s="186"/>
      <c r="J4369" s="184"/>
    </row>
    <row r="4370" spans="2:10">
      <c r="B4370" s="184"/>
      <c r="C4370" s="184"/>
      <c r="D4370" s="184"/>
      <c r="E4370" s="184"/>
      <c r="F4370" s="184"/>
      <c r="I4370" s="186"/>
      <c r="J4370" s="184"/>
    </row>
    <row r="4371" spans="2:10">
      <c r="B4371" s="184"/>
      <c r="C4371" s="184"/>
      <c r="D4371" s="184"/>
      <c r="E4371" s="184"/>
      <c r="F4371" s="184"/>
      <c r="I4371" s="186"/>
      <c r="J4371" s="184"/>
    </row>
    <row r="4372" spans="2:10">
      <c r="B4372" s="184"/>
      <c r="C4372" s="184"/>
      <c r="D4372" s="184"/>
      <c r="E4372" s="184"/>
      <c r="F4372" s="184"/>
      <c r="I4372" s="186"/>
      <c r="J4372" s="184"/>
    </row>
    <row r="4373" spans="2:10">
      <c r="B4373" s="184"/>
      <c r="C4373" s="184"/>
      <c r="D4373" s="184"/>
      <c r="E4373" s="184"/>
      <c r="F4373" s="184"/>
      <c r="I4373" s="186"/>
      <c r="J4373" s="184"/>
    </row>
    <row r="4374" spans="2:10">
      <c r="B4374" s="184"/>
      <c r="C4374" s="184"/>
      <c r="D4374" s="184"/>
      <c r="E4374" s="184"/>
      <c r="F4374" s="184"/>
      <c r="I4374" s="186"/>
      <c r="J4374" s="184"/>
    </row>
    <row r="4375" spans="2:10">
      <c r="B4375" s="184"/>
      <c r="C4375" s="184"/>
      <c r="D4375" s="184"/>
      <c r="E4375" s="184"/>
      <c r="F4375" s="184"/>
      <c r="I4375" s="186"/>
      <c r="J4375" s="184"/>
    </row>
    <row r="4376" spans="2:10">
      <c r="B4376" s="184"/>
      <c r="C4376" s="184"/>
      <c r="D4376" s="184"/>
      <c r="E4376" s="184"/>
      <c r="F4376" s="184"/>
      <c r="I4376" s="186"/>
      <c r="J4376" s="184"/>
    </row>
    <row r="4377" spans="2:10">
      <c r="B4377" s="184"/>
      <c r="C4377" s="184"/>
      <c r="D4377" s="184"/>
      <c r="E4377" s="184"/>
      <c r="F4377" s="184"/>
      <c r="I4377" s="186"/>
      <c r="J4377" s="184"/>
    </row>
    <row r="4378" spans="2:10">
      <c r="B4378" s="184"/>
      <c r="C4378" s="184"/>
      <c r="D4378" s="184"/>
      <c r="E4378" s="184"/>
      <c r="F4378" s="184"/>
      <c r="I4378" s="186"/>
      <c r="J4378" s="184"/>
    </row>
    <row r="4379" spans="2:10">
      <c r="B4379" s="184"/>
      <c r="C4379" s="184"/>
      <c r="D4379" s="184"/>
      <c r="E4379" s="184"/>
      <c r="F4379" s="184"/>
      <c r="I4379" s="186"/>
      <c r="J4379" s="184"/>
    </row>
    <row r="4380" spans="2:10">
      <c r="B4380" s="184"/>
      <c r="C4380" s="184"/>
      <c r="D4380" s="184"/>
      <c r="E4380" s="184"/>
      <c r="F4380" s="184"/>
      <c r="I4380" s="186"/>
      <c r="J4380" s="184"/>
    </row>
    <row r="4381" spans="2:10">
      <c r="B4381" s="184"/>
      <c r="C4381" s="184"/>
      <c r="D4381" s="184"/>
      <c r="E4381" s="184"/>
      <c r="F4381" s="184"/>
      <c r="I4381" s="186"/>
      <c r="J4381" s="184"/>
    </row>
    <row r="4382" spans="2:10">
      <c r="B4382" s="184"/>
      <c r="C4382" s="184"/>
      <c r="D4382" s="184"/>
      <c r="E4382" s="184"/>
      <c r="F4382" s="184"/>
      <c r="I4382" s="186"/>
      <c r="J4382" s="184"/>
    </row>
    <row r="4383" spans="2:10">
      <c r="B4383" s="184"/>
      <c r="C4383" s="184"/>
      <c r="D4383" s="184"/>
      <c r="E4383" s="184"/>
      <c r="F4383" s="184"/>
      <c r="I4383" s="186"/>
      <c r="J4383" s="184"/>
    </row>
    <row r="4384" spans="2:10">
      <c r="B4384" s="184"/>
      <c r="C4384" s="184"/>
      <c r="D4384" s="184"/>
      <c r="E4384" s="184"/>
      <c r="F4384" s="184"/>
      <c r="I4384" s="186"/>
      <c r="J4384" s="184"/>
    </row>
    <row r="4385" spans="2:10">
      <c r="B4385" s="184"/>
      <c r="C4385" s="184"/>
      <c r="D4385" s="184"/>
      <c r="E4385" s="184"/>
      <c r="F4385" s="184"/>
      <c r="I4385" s="186"/>
      <c r="J4385" s="184"/>
    </row>
    <row r="4386" spans="2:10">
      <c r="B4386" s="184"/>
      <c r="C4386" s="184"/>
      <c r="D4386" s="184"/>
      <c r="E4386" s="184"/>
      <c r="F4386" s="184"/>
      <c r="I4386" s="186"/>
      <c r="J4386" s="184"/>
    </row>
    <row r="4387" spans="2:10">
      <c r="B4387" s="184"/>
      <c r="C4387" s="184"/>
      <c r="D4387" s="184"/>
      <c r="E4387" s="184"/>
      <c r="F4387" s="184"/>
      <c r="I4387" s="186"/>
      <c r="J4387" s="184"/>
    </row>
    <row r="4388" spans="2:10">
      <c r="B4388" s="184"/>
      <c r="C4388" s="184"/>
      <c r="D4388" s="184"/>
      <c r="E4388" s="184"/>
      <c r="F4388" s="184"/>
      <c r="I4388" s="186"/>
      <c r="J4388" s="184"/>
    </row>
    <row r="4389" spans="2:10">
      <c r="B4389" s="184"/>
      <c r="C4389" s="184"/>
      <c r="D4389" s="184"/>
      <c r="E4389" s="184"/>
      <c r="F4389" s="184"/>
      <c r="I4389" s="186"/>
      <c r="J4389" s="184"/>
    </row>
    <row r="4390" spans="2:10">
      <c r="B4390" s="184"/>
      <c r="C4390" s="184"/>
      <c r="D4390" s="184"/>
      <c r="E4390" s="184"/>
      <c r="F4390" s="184"/>
      <c r="G4390" s="187"/>
      <c r="I4390" s="186"/>
      <c r="J4390" s="184"/>
    </row>
    <row r="4391" spans="2:10">
      <c r="B4391" s="184"/>
      <c r="C4391" s="184"/>
      <c r="D4391" s="184"/>
      <c r="E4391" s="184"/>
      <c r="F4391" s="184"/>
      <c r="G4391" s="187"/>
      <c r="I4391" s="186"/>
      <c r="J4391" s="184"/>
    </row>
    <row r="4392" spans="2:10">
      <c r="B4392" s="184"/>
      <c r="C4392" s="184"/>
      <c r="D4392" s="184"/>
      <c r="E4392" s="184"/>
      <c r="F4392" s="184"/>
      <c r="I4392" s="186"/>
      <c r="J4392" s="184"/>
    </row>
    <row r="4393" spans="2:10">
      <c r="B4393" s="184"/>
      <c r="C4393" s="184"/>
      <c r="D4393" s="184"/>
      <c r="E4393" s="184"/>
      <c r="F4393" s="184"/>
      <c r="I4393" s="186"/>
      <c r="J4393" s="184"/>
    </row>
    <row r="4394" spans="2:10">
      <c r="B4394" s="184"/>
      <c r="C4394" s="184"/>
      <c r="D4394" s="184"/>
      <c r="E4394" s="184"/>
      <c r="F4394" s="184"/>
      <c r="I4394" s="186"/>
      <c r="J4394" s="184"/>
    </row>
    <row r="4395" spans="2:10">
      <c r="B4395" s="184"/>
      <c r="C4395" s="184"/>
      <c r="D4395" s="184"/>
      <c r="E4395" s="184"/>
      <c r="F4395" s="184"/>
      <c r="I4395" s="186"/>
      <c r="J4395" s="184"/>
    </row>
    <row r="4396" spans="2:10">
      <c r="B4396" s="184"/>
      <c r="C4396" s="184"/>
      <c r="D4396" s="184"/>
      <c r="E4396" s="184"/>
      <c r="F4396" s="184"/>
      <c r="I4396" s="186"/>
      <c r="J4396" s="184"/>
    </row>
    <row r="4397" spans="2:10">
      <c r="B4397" s="184"/>
      <c r="C4397" s="184"/>
      <c r="D4397" s="184"/>
      <c r="E4397" s="184"/>
      <c r="F4397" s="184"/>
      <c r="I4397" s="186"/>
      <c r="J4397" s="184"/>
    </row>
    <row r="4398" spans="2:10">
      <c r="B4398" s="184"/>
      <c r="C4398" s="184"/>
      <c r="D4398" s="184"/>
      <c r="E4398" s="184"/>
      <c r="F4398" s="184"/>
      <c r="I4398" s="186"/>
      <c r="J4398" s="184"/>
    </row>
    <row r="4399" spans="2:10">
      <c r="B4399" s="184"/>
      <c r="C4399" s="184"/>
      <c r="D4399" s="184"/>
      <c r="E4399" s="184"/>
      <c r="F4399" s="184"/>
      <c r="I4399" s="186"/>
      <c r="J4399" s="184"/>
    </row>
    <row r="4400" spans="2:10">
      <c r="B4400" s="184"/>
      <c r="C4400" s="184"/>
      <c r="D4400" s="184"/>
      <c r="E4400" s="184"/>
      <c r="F4400" s="184"/>
      <c r="I4400" s="186"/>
      <c r="J4400" s="184"/>
    </row>
    <row r="4401" spans="2:10">
      <c r="B4401" s="184"/>
      <c r="C4401" s="184"/>
      <c r="D4401" s="184"/>
      <c r="E4401" s="184"/>
      <c r="F4401" s="184"/>
      <c r="I4401" s="186"/>
      <c r="J4401" s="184"/>
    </row>
    <row r="4402" spans="2:10">
      <c r="B4402" s="184"/>
      <c r="C4402" s="184"/>
      <c r="D4402" s="184"/>
      <c r="E4402" s="184"/>
      <c r="F4402" s="184"/>
      <c r="I4402" s="186"/>
      <c r="J4402" s="184"/>
    </row>
    <row r="4403" spans="2:10">
      <c r="B4403" s="184"/>
      <c r="C4403" s="184"/>
      <c r="D4403" s="184"/>
      <c r="E4403" s="184"/>
      <c r="F4403" s="184"/>
      <c r="I4403" s="186"/>
      <c r="J4403" s="184"/>
    </row>
    <row r="4404" spans="2:10">
      <c r="B4404" s="184"/>
      <c r="C4404" s="184"/>
      <c r="D4404" s="184"/>
      <c r="E4404" s="184"/>
      <c r="F4404" s="184"/>
      <c r="I4404" s="186"/>
      <c r="J4404" s="184"/>
    </row>
    <row r="4405" spans="2:10">
      <c r="B4405" s="184"/>
      <c r="C4405" s="184"/>
      <c r="D4405" s="184"/>
      <c r="E4405" s="184"/>
      <c r="F4405" s="184"/>
      <c r="G4405" s="187"/>
      <c r="I4405" s="186"/>
      <c r="J4405" s="184"/>
    </row>
    <row r="4406" spans="2:10">
      <c r="B4406" s="184"/>
      <c r="C4406" s="184"/>
      <c r="D4406" s="184"/>
      <c r="E4406" s="184"/>
      <c r="F4406" s="184"/>
      <c r="G4406" s="187"/>
      <c r="I4406" s="186"/>
      <c r="J4406" s="184"/>
    </row>
    <row r="4407" spans="2:10">
      <c r="B4407" s="184"/>
      <c r="C4407" s="184"/>
      <c r="D4407" s="184"/>
      <c r="E4407" s="184"/>
      <c r="F4407" s="184"/>
      <c r="G4407" s="187"/>
      <c r="I4407" s="186"/>
      <c r="J4407" s="184"/>
    </row>
    <row r="4408" spans="2:10">
      <c r="B4408" s="184"/>
      <c r="C4408" s="184"/>
      <c r="D4408" s="184"/>
      <c r="E4408" s="184"/>
      <c r="F4408" s="184"/>
      <c r="G4408" s="187"/>
      <c r="I4408" s="186"/>
      <c r="J4408" s="184"/>
    </row>
    <row r="4409" spans="2:10">
      <c r="B4409" s="184"/>
      <c r="C4409" s="184"/>
      <c r="D4409" s="184"/>
      <c r="E4409" s="184"/>
      <c r="F4409" s="184"/>
      <c r="G4409" s="187"/>
      <c r="I4409" s="186"/>
      <c r="J4409" s="184"/>
    </row>
    <row r="4410" spans="2:10">
      <c r="B4410" s="184"/>
      <c r="C4410" s="184"/>
      <c r="D4410" s="184"/>
      <c r="E4410" s="184"/>
      <c r="F4410" s="184"/>
      <c r="G4410" s="187"/>
      <c r="I4410" s="186"/>
      <c r="J4410" s="184"/>
    </row>
    <row r="4411" spans="2:10">
      <c r="B4411" s="184"/>
      <c r="C4411" s="184"/>
      <c r="D4411" s="184"/>
      <c r="E4411" s="184"/>
      <c r="F4411" s="184"/>
      <c r="G4411" s="187"/>
      <c r="I4411" s="186"/>
      <c r="J4411" s="184"/>
    </row>
    <row r="4412" spans="2:10">
      <c r="B4412" s="184"/>
      <c r="C4412" s="184"/>
      <c r="D4412" s="184"/>
      <c r="E4412" s="184"/>
      <c r="F4412" s="184"/>
      <c r="G4412" s="187"/>
      <c r="I4412" s="186"/>
      <c r="J4412" s="184"/>
    </row>
    <row r="4413" spans="2:10">
      <c r="B4413" s="184"/>
      <c r="C4413" s="184"/>
      <c r="D4413" s="184"/>
      <c r="E4413" s="184"/>
      <c r="F4413" s="184"/>
      <c r="G4413" s="187"/>
      <c r="I4413" s="186"/>
      <c r="J4413" s="184"/>
    </row>
    <row r="4414" spans="2:10">
      <c r="B4414" s="184"/>
      <c r="C4414" s="184"/>
      <c r="D4414" s="184"/>
      <c r="E4414" s="184"/>
      <c r="F4414" s="184"/>
      <c r="G4414" s="187"/>
      <c r="I4414" s="186"/>
      <c r="J4414" s="184"/>
    </row>
    <row r="4415" spans="2:10">
      <c r="B4415" s="184"/>
      <c r="C4415" s="184"/>
      <c r="D4415" s="184"/>
      <c r="E4415" s="184"/>
      <c r="F4415" s="184"/>
      <c r="G4415" s="187"/>
      <c r="I4415" s="186"/>
      <c r="J4415" s="184"/>
    </row>
    <row r="4416" spans="2:10">
      <c r="B4416" s="184"/>
      <c r="C4416" s="184"/>
      <c r="D4416" s="184"/>
      <c r="E4416" s="184"/>
      <c r="F4416" s="184"/>
      <c r="G4416" s="187"/>
      <c r="I4416" s="186"/>
      <c r="J4416" s="184"/>
    </row>
    <row r="4417" spans="2:10">
      <c r="B4417" s="184"/>
      <c r="C4417" s="184"/>
      <c r="D4417" s="184"/>
      <c r="E4417" s="184"/>
      <c r="F4417" s="184"/>
      <c r="I4417" s="186"/>
      <c r="J4417" s="184"/>
    </row>
    <row r="4418" spans="2:10">
      <c r="B4418" s="184"/>
      <c r="C4418" s="184"/>
      <c r="D4418" s="184"/>
      <c r="E4418" s="184"/>
      <c r="F4418" s="184"/>
      <c r="I4418" s="186"/>
      <c r="J4418" s="184"/>
    </row>
    <row r="4419" spans="2:10">
      <c r="B4419" s="184"/>
      <c r="C4419" s="184"/>
      <c r="D4419" s="184"/>
      <c r="E4419" s="184"/>
      <c r="F4419" s="184"/>
      <c r="I4419" s="186"/>
      <c r="J4419" s="184"/>
    </row>
    <row r="4420" spans="2:10">
      <c r="B4420" s="184"/>
      <c r="C4420" s="184"/>
      <c r="D4420" s="184"/>
      <c r="E4420" s="184"/>
      <c r="F4420" s="184"/>
      <c r="I4420" s="186"/>
      <c r="J4420" s="184"/>
    </row>
    <row r="4421" spans="2:10">
      <c r="B4421" s="184"/>
      <c r="C4421" s="184"/>
      <c r="D4421" s="184"/>
      <c r="E4421" s="184"/>
      <c r="F4421" s="184"/>
      <c r="I4421" s="186"/>
      <c r="J4421" s="184"/>
    </row>
    <row r="4422" spans="2:10">
      <c r="B4422" s="184"/>
      <c r="C4422" s="184"/>
      <c r="D4422" s="184"/>
      <c r="E4422" s="184"/>
      <c r="F4422" s="184"/>
      <c r="I4422" s="186"/>
      <c r="J4422" s="184"/>
    </row>
    <row r="4423" spans="2:10">
      <c r="B4423" s="184"/>
      <c r="C4423" s="184"/>
      <c r="D4423" s="184"/>
      <c r="E4423" s="184"/>
      <c r="F4423" s="184"/>
      <c r="I4423" s="186"/>
      <c r="J4423" s="184"/>
    </row>
    <row r="4424" spans="2:10">
      <c r="B4424" s="184"/>
      <c r="C4424" s="184"/>
      <c r="D4424" s="184"/>
      <c r="E4424" s="184"/>
      <c r="F4424" s="184"/>
      <c r="I4424" s="186"/>
      <c r="J4424" s="184"/>
    </row>
    <row r="4425" spans="2:10">
      <c r="B4425" s="184"/>
      <c r="C4425" s="184"/>
      <c r="D4425" s="184"/>
      <c r="E4425" s="184"/>
      <c r="F4425" s="184"/>
      <c r="I4425" s="186"/>
      <c r="J4425" s="184"/>
    </row>
    <row r="4426" spans="2:10">
      <c r="B4426" s="184"/>
      <c r="C4426" s="184"/>
      <c r="D4426" s="184"/>
      <c r="E4426" s="184"/>
      <c r="F4426" s="184"/>
      <c r="I4426" s="186"/>
      <c r="J4426" s="184"/>
    </row>
    <row r="4427" spans="2:10">
      <c r="B4427" s="184"/>
      <c r="C4427" s="184"/>
      <c r="D4427" s="184"/>
      <c r="E4427" s="184"/>
      <c r="F4427" s="184"/>
      <c r="I4427" s="186"/>
      <c r="J4427" s="184"/>
    </row>
    <row r="4428" spans="2:10">
      <c r="B4428" s="184"/>
      <c r="C4428" s="184"/>
      <c r="D4428" s="184"/>
      <c r="E4428" s="184"/>
      <c r="F4428" s="184"/>
      <c r="I4428" s="186"/>
      <c r="J4428" s="184"/>
    </row>
    <row r="4429" spans="2:10">
      <c r="B4429" s="184"/>
      <c r="C4429" s="184"/>
      <c r="D4429" s="184"/>
      <c r="E4429" s="184"/>
      <c r="F4429" s="184"/>
      <c r="G4429" s="187"/>
      <c r="I4429" s="186"/>
      <c r="J4429" s="184"/>
    </row>
    <row r="4430" spans="2:10">
      <c r="B4430" s="184"/>
      <c r="C4430" s="184"/>
      <c r="D4430" s="184"/>
      <c r="E4430" s="184"/>
      <c r="F4430" s="184"/>
      <c r="G4430" s="187"/>
      <c r="I4430" s="186"/>
      <c r="J4430" s="184"/>
    </row>
    <row r="4431" spans="2:10">
      <c r="B4431" s="184"/>
      <c r="C4431" s="184"/>
      <c r="D4431" s="184"/>
      <c r="E4431" s="184"/>
      <c r="F4431" s="184"/>
      <c r="G4431" s="187"/>
      <c r="I4431" s="186"/>
      <c r="J4431" s="184"/>
    </row>
    <row r="4432" spans="2:10">
      <c r="B4432" s="184"/>
      <c r="C4432" s="184"/>
      <c r="D4432" s="184"/>
      <c r="E4432" s="184"/>
      <c r="F4432" s="184"/>
      <c r="G4432" s="187"/>
      <c r="I4432" s="186"/>
      <c r="J4432" s="184"/>
    </row>
    <row r="4433" spans="2:10">
      <c r="B4433" s="184"/>
      <c r="C4433" s="184"/>
      <c r="D4433" s="184"/>
      <c r="E4433" s="184"/>
      <c r="F4433" s="184"/>
      <c r="G4433" s="187"/>
      <c r="I4433" s="186"/>
      <c r="J4433" s="184"/>
    </row>
    <row r="4434" spans="2:10">
      <c r="B4434" s="184"/>
      <c r="C4434" s="184"/>
      <c r="D4434" s="184"/>
      <c r="E4434" s="184"/>
      <c r="F4434" s="184"/>
      <c r="G4434" s="187"/>
      <c r="I4434" s="186"/>
      <c r="J4434" s="184"/>
    </row>
    <row r="4435" spans="2:10">
      <c r="B4435" s="184"/>
      <c r="C4435" s="184"/>
      <c r="D4435" s="184"/>
      <c r="E4435" s="184"/>
      <c r="F4435" s="184"/>
      <c r="G4435" s="187"/>
      <c r="I4435" s="186"/>
      <c r="J4435" s="184"/>
    </row>
    <row r="4436" spans="2:10">
      <c r="B4436" s="184"/>
      <c r="C4436" s="184"/>
      <c r="D4436" s="184"/>
      <c r="E4436" s="184"/>
      <c r="F4436" s="184"/>
      <c r="G4436" s="187"/>
      <c r="I4436" s="186"/>
      <c r="J4436" s="184"/>
    </row>
    <row r="4437" spans="2:10">
      <c r="B4437" s="184"/>
      <c r="C4437" s="184"/>
      <c r="D4437" s="184"/>
      <c r="E4437" s="184"/>
      <c r="F4437" s="184"/>
      <c r="G4437" s="187"/>
      <c r="I4437" s="186"/>
      <c r="J4437" s="184"/>
    </row>
    <row r="4438" spans="2:10">
      <c r="B4438" s="184"/>
      <c r="C4438" s="184"/>
      <c r="D4438" s="184"/>
      <c r="E4438" s="184"/>
      <c r="F4438" s="184"/>
      <c r="G4438" s="187"/>
      <c r="I4438" s="186"/>
      <c r="J4438" s="184"/>
    </row>
    <row r="4439" spans="2:10">
      <c r="B4439" s="184"/>
      <c r="C4439" s="184"/>
      <c r="D4439" s="184"/>
      <c r="E4439" s="184"/>
      <c r="F4439" s="184"/>
      <c r="G4439" s="187"/>
      <c r="I4439" s="186"/>
      <c r="J4439" s="184"/>
    </row>
    <row r="4440" spans="2:10">
      <c r="B4440" s="184"/>
      <c r="C4440" s="184"/>
      <c r="D4440" s="184"/>
      <c r="E4440" s="184"/>
      <c r="F4440" s="184"/>
      <c r="I4440" s="186"/>
      <c r="J4440" s="184"/>
    </row>
    <row r="4441" spans="2:10">
      <c r="B4441" s="184"/>
      <c r="C4441" s="184"/>
      <c r="D4441" s="184"/>
      <c r="E4441" s="184"/>
      <c r="F4441" s="184"/>
      <c r="I4441" s="186"/>
      <c r="J4441" s="184"/>
    </row>
    <row r="4442" spans="2:10">
      <c r="B4442" s="184"/>
      <c r="C4442" s="184"/>
      <c r="D4442" s="184"/>
      <c r="E4442" s="184"/>
      <c r="F4442" s="184"/>
      <c r="G4442" s="187"/>
      <c r="I4442" s="186"/>
      <c r="J4442" s="184"/>
    </row>
    <row r="4443" spans="2:10">
      <c r="B4443" s="184"/>
      <c r="C4443" s="184"/>
      <c r="D4443" s="184"/>
      <c r="E4443" s="184"/>
      <c r="F4443" s="184"/>
      <c r="I4443" s="186"/>
      <c r="J4443" s="184"/>
    </row>
    <row r="4444" spans="2:10">
      <c r="B4444" s="184"/>
      <c r="C4444" s="184"/>
      <c r="D4444" s="184"/>
      <c r="E4444" s="184"/>
      <c r="F4444" s="184"/>
      <c r="I4444" s="186"/>
      <c r="J4444" s="184"/>
    </row>
    <row r="4445" spans="2:10">
      <c r="B4445" s="184"/>
      <c r="C4445" s="184"/>
      <c r="D4445" s="184"/>
      <c r="E4445" s="184"/>
      <c r="F4445" s="184"/>
      <c r="I4445" s="186"/>
      <c r="J4445" s="184"/>
    </row>
    <row r="4446" spans="2:10">
      <c r="B4446" s="184"/>
      <c r="C4446" s="184"/>
      <c r="D4446" s="184"/>
      <c r="E4446" s="184"/>
      <c r="F4446" s="184"/>
      <c r="I4446" s="186"/>
      <c r="J4446" s="184"/>
    </row>
    <row r="4447" spans="2:10">
      <c r="B4447" s="184"/>
      <c r="C4447" s="184"/>
      <c r="D4447" s="184"/>
      <c r="E4447" s="184"/>
      <c r="F4447" s="184"/>
      <c r="I4447" s="186"/>
      <c r="J4447" s="184"/>
    </row>
    <row r="4448" spans="2:10">
      <c r="B4448" s="184"/>
      <c r="C4448" s="184"/>
      <c r="D4448" s="184"/>
      <c r="E4448" s="184"/>
      <c r="F4448" s="184"/>
      <c r="I4448" s="186"/>
      <c r="J4448" s="184"/>
    </row>
    <row r="4449" spans="2:10">
      <c r="B4449" s="184"/>
      <c r="C4449" s="184"/>
      <c r="D4449" s="184"/>
      <c r="E4449" s="184"/>
      <c r="F4449" s="184"/>
      <c r="I4449" s="186"/>
      <c r="J4449" s="184"/>
    </row>
    <row r="4450" spans="2:10">
      <c r="B4450" s="184"/>
      <c r="C4450" s="184"/>
      <c r="D4450" s="184"/>
      <c r="E4450" s="184"/>
      <c r="F4450" s="184"/>
      <c r="I4450" s="186"/>
      <c r="J4450" s="184"/>
    </row>
    <row r="4451" spans="2:10">
      <c r="B4451" s="184"/>
      <c r="C4451" s="184"/>
      <c r="D4451" s="184"/>
      <c r="E4451" s="184"/>
      <c r="F4451" s="184"/>
      <c r="I4451" s="186"/>
      <c r="J4451" s="184"/>
    </row>
    <row r="4452" spans="2:10">
      <c r="B4452" s="184"/>
      <c r="C4452" s="184"/>
      <c r="D4452" s="184"/>
      <c r="E4452" s="184"/>
      <c r="F4452" s="184"/>
      <c r="I4452" s="186"/>
      <c r="J4452" s="184"/>
    </row>
    <row r="4453" spans="2:10">
      <c r="B4453" s="184"/>
      <c r="C4453" s="184"/>
      <c r="D4453" s="184"/>
      <c r="E4453" s="184"/>
      <c r="F4453" s="184"/>
      <c r="I4453" s="186"/>
      <c r="J4453" s="184"/>
    </row>
    <row r="4454" spans="2:10">
      <c r="B4454" s="184"/>
      <c r="C4454" s="184"/>
      <c r="D4454" s="184"/>
      <c r="E4454" s="184"/>
      <c r="F4454" s="184"/>
      <c r="I4454" s="186"/>
      <c r="J4454" s="184"/>
    </row>
    <row r="4455" spans="2:10">
      <c r="B4455" s="184"/>
      <c r="C4455" s="184"/>
      <c r="D4455" s="184"/>
      <c r="E4455" s="184"/>
      <c r="F4455" s="184"/>
      <c r="I4455" s="186"/>
      <c r="J4455" s="184"/>
    </row>
    <row r="4456" spans="2:10">
      <c r="B4456" s="184"/>
      <c r="C4456" s="184"/>
      <c r="D4456" s="184"/>
      <c r="E4456" s="184"/>
      <c r="F4456" s="184"/>
      <c r="I4456" s="186"/>
      <c r="J4456" s="184"/>
    </row>
    <row r="4457" spans="2:10">
      <c r="B4457" s="184"/>
      <c r="C4457" s="184"/>
      <c r="D4457" s="184"/>
      <c r="E4457" s="184"/>
      <c r="F4457" s="184"/>
      <c r="I4457" s="186"/>
      <c r="J4457" s="184"/>
    </row>
    <row r="4458" spans="2:10">
      <c r="B4458" s="184"/>
      <c r="C4458" s="184"/>
      <c r="D4458" s="184"/>
      <c r="E4458" s="184"/>
      <c r="F4458" s="184"/>
      <c r="G4458" s="187"/>
      <c r="I4458" s="186"/>
      <c r="J4458" s="184"/>
    </row>
    <row r="4459" spans="2:10">
      <c r="B4459" s="184"/>
      <c r="C4459" s="184"/>
      <c r="D4459" s="184"/>
      <c r="E4459" s="184"/>
      <c r="F4459" s="184"/>
      <c r="I4459" s="186"/>
      <c r="J4459" s="184"/>
    </row>
    <row r="4460" spans="2:10">
      <c r="B4460" s="184"/>
      <c r="C4460" s="184"/>
      <c r="D4460" s="184"/>
      <c r="E4460" s="184"/>
      <c r="F4460" s="184"/>
      <c r="I4460" s="186"/>
      <c r="J4460" s="184"/>
    </row>
    <row r="4461" spans="2:10">
      <c r="B4461" s="184"/>
      <c r="C4461" s="184"/>
      <c r="D4461" s="184"/>
      <c r="E4461" s="184"/>
      <c r="F4461" s="184"/>
      <c r="I4461" s="186"/>
      <c r="J4461" s="184"/>
    </row>
    <row r="4462" spans="2:10">
      <c r="B4462" s="184"/>
      <c r="C4462" s="184"/>
      <c r="D4462" s="184"/>
      <c r="E4462" s="184"/>
      <c r="F4462" s="184"/>
      <c r="I4462" s="186"/>
      <c r="J4462" s="184"/>
    </row>
    <row r="4463" spans="2:10">
      <c r="B4463" s="184"/>
      <c r="C4463" s="184"/>
      <c r="D4463" s="184"/>
      <c r="E4463" s="184"/>
      <c r="F4463" s="184"/>
      <c r="I4463" s="186"/>
      <c r="J4463" s="184"/>
    </row>
    <row r="4464" spans="2:10">
      <c r="B4464" s="184"/>
      <c r="C4464" s="184"/>
      <c r="D4464" s="184"/>
      <c r="E4464" s="184"/>
      <c r="F4464" s="184"/>
      <c r="I4464" s="186"/>
      <c r="J4464" s="184"/>
    </row>
    <row r="4465" spans="2:10">
      <c r="B4465" s="184"/>
      <c r="C4465" s="184"/>
      <c r="D4465" s="184"/>
      <c r="E4465" s="184"/>
      <c r="F4465" s="184"/>
      <c r="I4465" s="186"/>
      <c r="J4465" s="184"/>
    </row>
    <row r="4466" spans="2:10">
      <c r="B4466" s="184"/>
      <c r="C4466" s="184"/>
      <c r="D4466" s="184"/>
      <c r="E4466" s="184"/>
      <c r="F4466" s="184"/>
      <c r="I4466" s="186"/>
      <c r="J4466" s="184"/>
    </row>
    <row r="4467" spans="2:10">
      <c r="B4467" s="184"/>
      <c r="C4467" s="184"/>
      <c r="D4467" s="184"/>
      <c r="E4467" s="184"/>
      <c r="F4467" s="184"/>
      <c r="I4467" s="186"/>
      <c r="J4467" s="184"/>
    </row>
    <row r="4468" spans="2:10">
      <c r="B4468" s="184"/>
      <c r="C4468" s="184"/>
      <c r="D4468" s="184"/>
      <c r="E4468" s="184"/>
      <c r="F4468" s="184"/>
      <c r="I4468" s="186"/>
      <c r="J4468" s="184"/>
    </row>
    <row r="4469" spans="2:10">
      <c r="B4469" s="184"/>
      <c r="C4469" s="184"/>
      <c r="D4469" s="184"/>
      <c r="E4469" s="184"/>
      <c r="F4469" s="184"/>
      <c r="I4469" s="186"/>
      <c r="J4469" s="184"/>
    </row>
    <row r="4470" spans="2:10">
      <c r="B4470" s="184"/>
      <c r="C4470" s="184"/>
      <c r="D4470" s="184"/>
      <c r="E4470" s="184"/>
      <c r="F4470" s="184"/>
      <c r="I4470" s="186"/>
      <c r="J4470" s="184"/>
    </row>
    <row r="4471" spans="2:10">
      <c r="B4471" s="184"/>
      <c r="C4471" s="184"/>
      <c r="D4471" s="184"/>
      <c r="E4471" s="184"/>
      <c r="F4471" s="184"/>
      <c r="I4471" s="186"/>
      <c r="J4471" s="184"/>
    </row>
    <row r="4472" spans="2:10">
      <c r="B4472" s="184"/>
      <c r="C4472" s="184"/>
      <c r="D4472" s="184"/>
      <c r="E4472" s="184"/>
      <c r="F4472" s="184"/>
      <c r="I4472" s="186"/>
      <c r="J4472" s="184"/>
    </row>
    <row r="4473" spans="2:10">
      <c r="B4473" s="184"/>
      <c r="C4473" s="184"/>
      <c r="D4473" s="184"/>
      <c r="E4473" s="184"/>
      <c r="F4473" s="184"/>
      <c r="I4473" s="186"/>
      <c r="J4473" s="184"/>
    </row>
    <row r="4474" spans="2:10">
      <c r="B4474" s="184"/>
      <c r="C4474" s="184"/>
      <c r="D4474" s="184"/>
      <c r="E4474" s="184"/>
      <c r="F4474" s="184"/>
      <c r="G4474" s="187"/>
      <c r="I4474" s="186"/>
      <c r="J4474" s="184"/>
    </row>
    <row r="4475" spans="2:10">
      <c r="B4475" s="184"/>
      <c r="C4475" s="184"/>
      <c r="D4475" s="184"/>
      <c r="E4475" s="184"/>
      <c r="F4475" s="184"/>
      <c r="I4475" s="186"/>
      <c r="J4475" s="184"/>
    </row>
    <row r="4476" spans="2:10">
      <c r="B4476" s="184"/>
      <c r="C4476" s="184"/>
      <c r="D4476" s="184"/>
      <c r="E4476" s="184"/>
      <c r="F4476" s="184"/>
      <c r="I4476" s="186"/>
      <c r="J4476" s="184"/>
    </row>
    <row r="4477" spans="2:10">
      <c r="B4477" s="184"/>
      <c r="C4477" s="184"/>
      <c r="D4477" s="184"/>
      <c r="E4477" s="184"/>
      <c r="F4477" s="184"/>
      <c r="I4477" s="186"/>
      <c r="J4477" s="184"/>
    </row>
    <row r="4478" spans="2:10">
      <c r="B4478" s="184"/>
      <c r="C4478" s="184"/>
      <c r="D4478" s="184"/>
      <c r="E4478" s="184"/>
      <c r="F4478" s="184"/>
      <c r="I4478" s="186"/>
      <c r="J4478" s="184"/>
    </row>
    <row r="4479" spans="2:10">
      <c r="B4479" s="184"/>
      <c r="C4479" s="184"/>
      <c r="D4479" s="184"/>
      <c r="E4479" s="184"/>
      <c r="F4479" s="184"/>
      <c r="I4479" s="186"/>
      <c r="J4479" s="184"/>
    </row>
    <row r="4480" spans="2:10">
      <c r="B4480" s="184"/>
      <c r="C4480" s="184"/>
      <c r="D4480" s="184"/>
      <c r="E4480" s="184"/>
      <c r="F4480" s="184"/>
      <c r="I4480" s="186"/>
      <c r="J4480" s="184"/>
    </row>
    <row r="4481" spans="2:10">
      <c r="B4481" s="184"/>
      <c r="C4481" s="184"/>
      <c r="D4481" s="184"/>
      <c r="E4481" s="184"/>
      <c r="F4481" s="184"/>
      <c r="I4481" s="186"/>
      <c r="J4481" s="184"/>
    </row>
    <row r="4482" spans="2:10">
      <c r="B4482" s="184"/>
      <c r="C4482" s="184"/>
      <c r="D4482" s="184"/>
      <c r="E4482" s="184"/>
      <c r="F4482" s="184"/>
      <c r="I4482" s="186"/>
      <c r="J4482" s="184"/>
    </row>
    <row r="4483" spans="2:10">
      <c r="B4483" s="184"/>
      <c r="C4483" s="184"/>
      <c r="D4483" s="184"/>
      <c r="E4483" s="184"/>
      <c r="F4483" s="184"/>
      <c r="I4483" s="186"/>
      <c r="J4483" s="184"/>
    </row>
    <row r="4484" spans="2:10">
      <c r="B4484" s="184"/>
      <c r="C4484" s="184"/>
      <c r="D4484" s="184"/>
      <c r="E4484" s="184"/>
      <c r="F4484" s="184"/>
      <c r="I4484" s="186"/>
      <c r="J4484" s="184"/>
    </row>
    <row r="4485" spans="2:10">
      <c r="B4485" s="184"/>
      <c r="C4485" s="184"/>
      <c r="D4485" s="184"/>
      <c r="E4485" s="184"/>
      <c r="F4485" s="184"/>
      <c r="I4485" s="186"/>
      <c r="J4485" s="184"/>
    </row>
    <row r="4486" spans="2:10">
      <c r="B4486" s="184"/>
      <c r="C4486" s="184"/>
      <c r="D4486" s="184"/>
      <c r="E4486" s="184"/>
      <c r="F4486" s="184"/>
      <c r="I4486" s="186"/>
      <c r="J4486" s="184"/>
    </row>
    <row r="4487" spans="2:10">
      <c r="B4487" s="184"/>
      <c r="C4487" s="184"/>
      <c r="D4487" s="184"/>
      <c r="E4487" s="184"/>
      <c r="F4487" s="184"/>
      <c r="I4487" s="186"/>
      <c r="J4487" s="184"/>
    </row>
    <row r="4488" spans="2:10">
      <c r="B4488" s="184"/>
      <c r="C4488" s="184"/>
      <c r="D4488" s="184"/>
      <c r="E4488" s="184"/>
      <c r="F4488" s="184"/>
      <c r="I4488" s="186"/>
      <c r="J4488" s="184"/>
    </row>
    <row r="4489" spans="2:10">
      <c r="B4489" s="184"/>
      <c r="C4489" s="184"/>
      <c r="D4489" s="184"/>
      <c r="E4489" s="184"/>
      <c r="F4489" s="184"/>
      <c r="I4489" s="186"/>
      <c r="J4489" s="184"/>
    </row>
    <row r="4490" spans="2:10">
      <c r="B4490" s="184"/>
      <c r="C4490" s="184"/>
      <c r="D4490" s="184"/>
      <c r="E4490" s="184"/>
      <c r="F4490" s="184"/>
      <c r="G4490" s="187"/>
      <c r="I4490" s="186"/>
      <c r="J4490" s="184"/>
    </row>
    <row r="4491" spans="2:10">
      <c r="B4491" s="184"/>
      <c r="C4491" s="184"/>
      <c r="D4491" s="184"/>
      <c r="E4491" s="184"/>
      <c r="F4491" s="184"/>
      <c r="G4491" s="187"/>
      <c r="I4491" s="186"/>
      <c r="J4491" s="184"/>
    </row>
    <row r="4492" spans="2:10">
      <c r="B4492" s="184"/>
      <c r="C4492" s="184"/>
      <c r="D4492" s="184"/>
      <c r="E4492" s="184"/>
      <c r="F4492" s="184"/>
      <c r="G4492" s="187"/>
      <c r="I4492" s="186"/>
      <c r="J4492" s="184"/>
    </row>
    <row r="4493" spans="2:10">
      <c r="B4493" s="184"/>
      <c r="C4493" s="184"/>
      <c r="D4493" s="184"/>
      <c r="E4493" s="184"/>
      <c r="F4493" s="184"/>
      <c r="I4493" s="186"/>
      <c r="J4493" s="184"/>
    </row>
    <row r="4494" spans="2:10">
      <c r="B4494" s="184"/>
      <c r="C4494" s="184"/>
      <c r="D4494" s="184"/>
      <c r="E4494" s="184"/>
      <c r="F4494" s="184"/>
      <c r="I4494" s="186"/>
      <c r="J4494" s="184"/>
    </row>
    <row r="4495" spans="2:10">
      <c r="B4495" s="184"/>
      <c r="C4495" s="184"/>
      <c r="D4495" s="184"/>
      <c r="E4495" s="184"/>
      <c r="F4495" s="184"/>
      <c r="I4495" s="186"/>
      <c r="J4495" s="184"/>
    </row>
    <row r="4496" spans="2:10">
      <c r="B4496" s="184"/>
      <c r="C4496" s="184"/>
      <c r="D4496" s="184"/>
      <c r="E4496" s="184"/>
      <c r="F4496" s="184"/>
      <c r="I4496" s="186"/>
      <c r="J4496" s="184"/>
    </row>
    <row r="4497" spans="2:10">
      <c r="B4497" s="184"/>
      <c r="C4497" s="184"/>
      <c r="D4497" s="184"/>
      <c r="E4497" s="184"/>
      <c r="F4497" s="184"/>
      <c r="G4497" s="187"/>
      <c r="I4497" s="186"/>
      <c r="J4497" s="184"/>
    </row>
    <row r="4498" spans="2:10">
      <c r="B4498" s="184"/>
      <c r="C4498" s="184"/>
      <c r="D4498" s="184"/>
      <c r="E4498" s="184"/>
      <c r="F4498" s="184"/>
      <c r="G4498" s="187"/>
      <c r="I4498" s="186"/>
      <c r="J4498" s="184"/>
    </row>
    <row r="4499" spans="2:10">
      <c r="B4499" s="184"/>
      <c r="C4499" s="184"/>
      <c r="D4499" s="184"/>
      <c r="E4499" s="184"/>
      <c r="F4499" s="184"/>
      <c r="G4499" s="187"/>
      <c r="I4499" s="186"/>
      <c r="J4499" s="184"/>
    </row>
    <row r="4500" spans="2:10">
      <c r="B4500" s="184"/>
      <c r="C4500" s="184"/>
      <c r="D4500" s="184"/>
      <c r="E4500" s="184"/>
      <c r="F4500" s="184"/>
      <c r="I4500" s="186"/>
      <c r="J4500" s="184"/>
    </row>
    <row r="4501" spans="2:10">
      <c r="B4501" s="184"/>
      <c r="C4501" s="184"/>
      <c r="D4501" s="184"/>
      <c r="E4501" s="184"/>
      <c r="F4501" s="184"/>
      <c r="G4501" s="187"/>
      <c r="I4501" s="186"/>
      <c r="J4501" s="184"/>
    </row>
    <row r="4502" spans="2:10">
      <c r="B4502" s="184"/>
      <c r="C4502" s="184"/>
      <c r="D4502" s="184"/>
      <c r="E4502" s="184"/>
      <c r="F4502" s="184"/>
      <c r="G4502" s="187"/>
      <c r="I4502" s="186"/>
      <c r="J4502" s="184"/>
    </row>
    <row r="4503" spans="2:10">
      <c r="B4503" s="184"/>
      <c r="C4503" s="184"/>
      <c r="D4503" s="184"/>
      <c r="E4503" s="184"/>
      <c r="F4503" s="184"/>
      <c r="G4503" s="187"/>
      <c r="I4503" s="186"/>
      <c r="J4503" s="184"/>
    </row>
    <row r="4504" spans="2:10">
      <c r="B4504" s="184"/>
      <c r="C4504" s="184"/>
      <c r="D4504" s="184"/>
      <c r="E4504" s="184"/>
      <c r="F4504" s="184"/>
      <c r="G4504" s="187"/>
      <c r="I4504" s="186"/>
      <c r="J4504" s="184"/>
    </row>
    <row r="4505" spans="2:10">
      <c r="B4505" s="184"/>
      <c r="C4505" s="184"/>
      <c r="D4505" s="184"/>
      <c r="E4505" s="184"/>
      <c r="F4505" s="184"/>
      <c r="G4505" s="187"/>
      <c r="I4505" s="186"/>
      <c r="J4505" s="184"/>
    </row>
    <row r="4506" spans="2:10">
      <c r="B4506" s="184"/>
      <c r="C4506" s="184"/>
      <c r="D4506" s="184"/>
      <c r="E4506" s="184"/>
      <c r="F4506" s="184"/>
      <c r="G4506" s="187"/>
      <c r="I4506" s="186"/>
      <c r="J4506" s="184"/>
    </row>
    <row r="4507" spans="2:10">
      <c r="B4507" s="184"/>
      <c r="C4507" s="184"/>
      <c r="D4507" s="184"/>
      <c r="E4507" s="184"/>
      <c r="F4507" s="184"/>
      <c r="G4507" s="187"/>
      <c r="I4507" s="186"/>
      <c r="J4507" s="184"/>
    </row>
    <row r="4508" spans="2:10">
      <c r="B4508" s="184"/>
      <c r="C4508" s="184"/>
      <c r="D4508" s="184"/>
      <c r="E4508" s="184"/>
      <c r="F4508" s="184"/>
      <c r="I4508" s="186"/>
      <c r="J4508" s="184"/>
    </row>
    <row r="4509" spans="2:10">
      <c r="B4509" s="184"/>
      <c r="C4509" s="184"/>
      <c r="D4509" s="184"/>
      <c r="E4509" s="184"/>
      <c r="F4509" s="184"/>
      <c r="G4509" s="187"/>
      <c r="I4509" s="186"/>
      <c r="J4509" s="184"/>
    </row>
    <row r="4510" spans="2:10">
      <c r="B4510" s="184"/>
      <c r="C4510" s="184"/>
      <c r="D4510" s="184"/>
      <c r="E4510" s="184"/>
      <c r="F4510" s="184"/>
      <c r="G4510" s="187"/>
      <c r="I4510" s="186"/>
      <c r="J4510" s="184"/>
    </row>
    <row r="4511" spans="2:10">
      <c r="B4511" s="184"/>
      <c r="C4511" s="184"/>
      <c r="D4511" s="184"/>
      <c r="E4511" s="184"/>
      <c r="F4511" s="184"/>
      <c r="G4511" s="187"/>
      <c r="I4511" s="186"/>
      <c r="J4511" s="184"/>
    </row>
    <row r="4512" spans="2:10">
      <c r="B4512" s="184"/>
      <c r="C4512" s="184"/>
      <c r="D4512" s="184"/>
      <c r="E4512" s="184"/>
      <c r="F4512" s="184"/>
      <c r="G4512" s="187"/>
      <c r="I4512" s="186"/>
      <c r="J4512" s="184"/>
    </row>
    <row r="4513" spans="2:10">
      <c r="B4513" s="184"/>
      <c r="C4513" s="184"/>
      <c r="D4513" s="184"/>
      <c r="E4513" s="184"/>
      <c r="F4513" s="184"/>
      <c r="G4513" s="187"/>
      <c r="I4513" s="186"/>
      <c r="J4513" s="184"/>
    </row>
    <row r="4514" spans="2:10">
      <c r="B4514" s="184"/>
      <c r="C4514" s="184"/>
      <c r="D4514" s="184"/>
      <c r="E4514" s="184"/>
      <c r="F4514" s="184"/>
      <c r="G4514" s="187"/>
      <c r="I4514" s="186"/>
      <c r="J4514" s="184"/>
    </row>
    <row r="4515" spans="2:10">
      <c r="B4515" s="184"/>
      <c r="C4515" s="184"/>
      <c r="D4515" s="184"/>
      <c r="E4515" s="184"/>
      <c r="F4515" s="184"/>
      <c r="G4515" s="187"/>
      <c r="I4515" s="186"/>
      <c r="J4515" s="184"/>
    </row>
    <row r="4516" spans="2:10">
      <c r="B4516" s="184"/>
      <c r="C4516" s="184"/>
      <c r="D4516" s="184"/>
      <c r="E4516" s="184"/>
      <c r="F4516" s="184"/>
      <c r="I4516" s="186"/>
      <c r="J4516" s="184"/>
    </row>
    <row r="4517" spans="2:10">
      <c r="B4517" s="184"/>
      <c r="C4517" s="184"/>
      <c r="D4517" s="184"/>
      <c r="E4517" s="184"/>
      <c r="F4517" s="184"/>
      <c r="G4517" s="187"/>
      <c r="I4517" s="186"/>
      <c r="J4517" s="184"/>
    </row>
    <row r="4518" spans="2:10">
      <c r="B4518" s="184"/>
      <c r="C4518" s="184"/>
      <c r="D4518" s="184"/>
      <c r="E4518" s="184"/>
      <c r="F4518" s="184"/>
      <c r="G4518" s="187"/>
      <c r="I4518" s="186"/>
      <c r="J4518" s="184"/>
    </row>
    <row r="4519" spans="2:10">
      <c r="B4519" s="184"/>
      <c r="C4519" s="184"/>
      <c r="D4519" s="184"/>
      <c r="E4519" s="184"/>
      <c r="F4519" s="184"/>
      <c r="G4519" s="187"/>
      <c r="I4519" s="186"/>
      <c r="J4519" s="184"/>
    </row>
    <row r="4520" spans="2:10">
      <c r="B4520" s="184"/>
      <c r="C4520" s="184"/>
      <c r="D4520" s="184"/>
      <c r="E4520" s="184"/>
      <c r="F4520" s="184"/>
      <c r="G4520" s="187"/>
      <c r="I4520" s="186"/>
      <c r="J4520" s="184"/>
    </row>
    <row r="4521" spans="2:10">
      <c r="B4521" s="184"/>
      <c r="C4521" s="184"/>
      <c r="D4521" s="184"/>
      <c r="E4521" s="184"/>
      <c r="F4521" s="184"/>
      <c r="G4521" s="187"/>
      <c r="I4521" s="186"/>
      <c r="J4521" s="184"/>
    </row>
    <row r="4522" spans="2:10">
      <c r="B4522" s="184"/>
      <c r="C4522" s="184"/>
      <c r="D4522" s="184"/>
      <c r="E4522" s="184"/>
      <c r="F4522" s="184"/>
      <c r="G4522" s="187"/>
      <c r="I4522" s="186"/>
      <c r="J4522" s="184"/>
    </row>
    <row r="4523" spans="2:10">
      <c r="B4523" s="184"/>
      <c r="C4523" s="184"/>
      <c r="D4523" s="184"/>
      <c r="E4523" s="184"/>
      <c r="F4523" s="184"/>
      <c r="G4523" s="187"/>
      <c r="I4523" s="186"/>
      <c r="J4523" s="184"/>
    </row>
    <row r="4524" spans="2:10">
      <c r="B4524" s="184"/>
      <c r="C4524" s="184"/>
      <c r="D4524" s="184"/>
      <c r="E4524" s="184"/>
      <c r="F4524" s="184"/>
      <c r="I4524" s="186"/>
      <c r="J4524" s="184"/>
    </row>
    <row r="4525" spans="2:10">
      <c r="B4525" s="184"/>
      <c r="C4525" s="184"/>
      <c r="D4525" s="184"/>
      <c r="E4525" s="184"/>
      <c r="F4525" s="184"/>
      <c r="G4525" s="187"/>
      <c r="I4525" s="186"/>
      <c r="J4525" s="184"/>
    </row>
    <row r="4526" spans="2:10">
      <c r="B4526" s="184"/>
      <c r="C4526" s="184"/>
      <c r="D4526" s="184"/>
      <c r="E4526" s="184"/>
      <c r="F4526" s="184"/>
      <c r="G4526" s="187"/>
      <c r="I4526" s="186"/>
      <c r="J4526" s="184"/>
    </row>
    <row r="4527" spans="2:10">
      <c r="B4527" s="184"/>
      <c r="C4527" s="184"/>
      <c r="D4527" s="184"/>
      <c r="E4527" s="184"/>
      <c r="F4527" s="184"/>
      <c r="G4527" s="187"/>
      <c r="I4527" s="186"/>
      <c r="J4527" s="184"/>
    </row>
    <row r="4528" spans="2:10">
      <c r="B4528" s="184"/>
      <c r="C4528" s="184"/>
      <c r="D4528" s="184"/>
      <c r="E4528" s="184"/>
      <c r="F4528" s="184"/>
      <c r="G4528" s="187"/>
      <c r="I4528" s="186"/>
      <c r="J4528" s="184"/>
    </row>
    <row r="4529" spans="2:10">
      <c r="B4529" s="184"/>
      <c r="C4529" s="184"/>
      <c r="D4529" s="184"/>
      <c r="E4529" s="184"/>
      <c r="F4529" s="184"/>
      <c r="I4529" s="186"/>
      <c r="J4529" s="184"/>
    </row>
    <row r="4530" spans="2:10">
      <c r="B4530" s="184"/>
      <c r="C4530" s="184"/>
      <c r="D4530" s="184"/>
      <c r="E4530" s="184"/>
      <c r="F4530" s="184"/>
      <c r="I4530" s="186"/>
      <c r="J4530" s="184"/>
    </row>
    <row r="4531" spans="2:10">
      <c r="B4531" s="184"/>
      <c r="C4531" s="184"/>
      <c r="D4531" s="184"/>
      <c r="E4531" s="184"/>
      <c r="F4531" s="184"/>
      <c r="I4531" s="186"/>
      <c r="J4531" s="184"/>
    </row>
    <row r="4532" spans="2:10">
      <c r="B4532" s="184"/>
      <c r="C4532" s="184"/>
      <c r="D4532" s="184"/>
      <c r="E4532" s="184"/>
      <c r="F4532" s="184"/>
      <c r="I4532" s="186"/>
      <c r="J4532" s="184"/>
    </row>
    <row r="4533" spans="2:10">
      <c r="B4533" s="184"/>
      <c r="C4533" s="184"/>
      <c r="D4533" s="184"/>
      <c r="E4533" s="184"/>
      <c r="F4533" s="184"/>
      <c r="G4533" s="187"/>
      <c r="I4533" s="186"/>
      <c r="J4533" s="184"/>
    </row>
    <row r="4534" spans="2:10">
      <c r="B4534" s="184"/>
      <c r="C4534" s="184"/>
      <c r="D4534" s="184"/>
      <c r="E4534" s="184"/>
      <c r="F4534" s="184"/>
      <c r="I4534" s="186"/>
      <c r="J4534" s="184"/>
    </row>
    <row r="4535" spans="2:10">
      <c r="B4535" s="184"/>
      <c r="C4535" s="184"/>
      <c r="D4535" s="184"/>
      <c r="E4535" s="184"/>
      <c r="F4535" s="184"/>
      <c r="I4535" s="186"/>
      <c r="J4535" s="184"/>
    </row>
    <row r="4536" spans="2:10">
      <c r="B4536" s="184"/>
      <c r="C4536" s="184"/>
      <c r="D4536" s="184"/>
      <c r="E4536" s="184"/>
      <c r="F4536" s="184"/>
      <c r="I4536" s="186"/>
      <c r="J4536" s="184"/>
    </row>
    <row r="4537" spans="2:10">
      <c r="B4537" s="184"/>
      <c r="C4537" s="184"/>
      <c r="D4537" s="184"/>
      <c r="E4537" s="184"/>
      <c r="F4537" s="184"/>
      <c r="I4537" s="186"/>
      <c r="J4537" s="184"/>
    </row>
    <row r="4538" spans="2:10">
      <c r="B4538" s="184"/>
      <c r="C4538" s="184"/>
      <c r="D4538" s="184"/>
      <c r="E4538" s="184"/>
      <c r="F4538" s="184"/>
      <c r="I4538" s="186"/>
      <c r="J4538" s="184"/>
    </row>
    <row r="4539" spans="2:10">
      <c r="B4539" s="184"/>
      <c r="C4539" s="184"/>
      <c r="D4539" s="184"/>
      <c r="E4539" s="184"/>
      <c r="F4539" s="184"/>
      <c r="I4539" s="186"/>
      <c r="J4539" s="184"/>
    </row>
    <row r="4540" spans="2:10">
      <c r="B4540" s="184"/>
      <c r="C4540" s="184"/>
      <c r="D4540" s="184"/>
      <c r="E4540" s="184"/>
      <c r="F4540" s="184"/>
      <c r="I4540" s="186"/>
      <c r="J4540" s="184"/>
    </row>
    <row r="4541" spans="2:10">
      <c r="B4541" s="184"/>
      <c r="C4541" s="184"/>
      <c r="D4541" s="184"/>
      <c r="E4541" s="184"/>
      <c r="F4541" s="184"/>
      <c r="I4541" s="186"/>
      <c r="J4541" s="184"/>
    </row>
    <row r="4542" spans="2:10">
      <c r="B4542" s="184"/>
      <c r="C4542" s="184"/>
      <c r="D4542" s="184"/>
      <c r="E4542" s="184"/>
      <c r="F4542" s="184"/>
      <c r="I4542" s="186"/>
      <c r="J4542" s="184"/>
    </row>
    <row r="4543" spans="2:10">
      <c r="B4543" s="184"/>
      <c r="C4543" s="184"/>
      <c r="D4543" s="184"/>
      <c r="E4543" s="184"/>
      <c r="F4543" s="184"/>
      <c r="I4543" s="186"/>
      <c r="J4543" s="184"/>
    </row>
    <row r="4544" spans="2:10">
      <c r="B4544" s="184"/>
      <c r="C4544" s="184"/>
      <c r="D4544" s="184"/>
      <c r="E4544" s="184"/>
      <c r="F4544" s="184"/>
      <c r="I4544" s="186"/>
      <c r="J4544" s="184"/>
    </row>
    <row r="4545" spans="2:10">
      <c r="B4545" s="184"/>
      <c r="C4545" s="184"/>
      <c r="D4545" s="184"/>
      <c r="E4545" s="184"/>
      <c r="F4545" s="184"/>
      <c r="I4545" s="186"/>
      <c r="J4545" s="184"/>
    </row>
    <row r="4546" spans="2:10">
      <c r="B4546" s="184"/>
      <c r="C4546" s="184"/>
      <c r="D4546" s="184"/>
      <c r="E4546" s="184"/>
      <c r="F4546" s="184"/>
      <c r="I4546" s="186"/>
      <c r="J4546" s="184"/>
    </row>
    <row r="4547" spans="2:10">
      <c r="B4547" s="184"/>
      <c r="C4547" s="184"/>
      <c r="D4547" s="184"/>
      <c r="E4547" s="184"/>
      <c r="F4547" s="184"/>
      <c r="I4547" s="186"/>
      <c r="J4547" s="184"/>
    </row>
    <row r="4548" spans="2:10">
      <c r="B4548" s="184"/>
      <c r="C4548" s="184"/>
      <c r="D4548" s="184"/>
      <c r="E4548" s="184"/>
      <c r="F4548" s="184"/>
      <c r="I4548" s="186"/>
      <c r="J4548" s="184"/>
    </row>
    <row r="4549" spans="2:10">
      <c r="B4549" s="184"/>
      <c r="C4549" s="184"/>
      <c r="D4549" s="184"/>
      <c r="E4549" s="184"/>
      <c r="F4549" s="184"/>
      <c r="I4549" s="186"/>
      <c r="J4549" s="184"/>
    </row>
    <row r="4550" spans="2:10">
      <c r="B4550" s="184"/>
      <c r="C4550" s="184"/>
      <c r="D4550" s="184"/>
      <c r="E4550" s="184"/>
      <c r="F4550" s="184"/>
      <c r="I4550" s="186"/>
      <c r="J4550" s="184"/>
    </row>
    <row r="4551" spans="2:10">
      <c r="B4551" s="184"/>
      <c r="C4551" s="184"/>
      <c r="D4551" s="184"/>
      <c r="E4551" s="184"/>
      <c r="F4551" s="184"/>
      <c r="I4551" s="186"/>
      <c r="J4551" s="184"/>
    </row>
    <row r="4552" spans="2:10">
      <c r="B4552" s="184"/>
      <c r="C4552" s="184"/>
      <c r="D4552" s="184"/>
      <c r="E4552" s="184"/>
      <c r="F4552" s="184"/>
      <c r="I4552" s="186"/>
      <c r="J4552" s="184"/>
    </row>
    <row r="4553" spans="2:10">
      <c r="B4553" s="184"/>
      <c r="C4553" s="184"/>
      <c r="D4553" s="184"/>
      <c r="E4553" s="184"/>
      <c r="F4553" s="184"/>
      <c r="I4553" s="186"/>
      <c r="J4553" s="184"/>
    </row>
    <row r="4554" spans="2:10">
      <c r="B4554" s="184"/>
      <c r="C4554" s="184"/>
      <c r="D4554" s="184"/>
      <c r="E4554" s="184"/>
      <c r="F4554" s="184"/>
      <c r="I4554" s="186"/>
      <c r="J4554" s="184"/>
    </row>
    <row r="4555" spans="2:10">
      <c r="B4555" s="184"/>
      <c r="C4555" s="184"/>
      <c r="D4555" s="184"/>
      <c r="E4555" s="184"/>
      <c r="F4555" s="184"/>
      <c r="I4555" s="186"/>
      <c r="J4555" s="184"/>
    </row>
    <row r="4556" spans="2:10">
      <c r="B4556" s="184"/>
      <c r="C4556" s="184"/>
      <c r="D4556" s="184"/>
      <c r="E4556" s="184"/>
      <c r="F4556" s="184"/>
      <c r="I4556" s="186"/>
      <c r="J4556" s="184"/>
    </row>
    <row r="4557" spans="2:10">
      <c r="B4557" s="184"/>
      <c r="C4557" s="184"/>
      <c r="D4557" s="184"/>
      <c r="E4557" s="184"/>
      <c r="F4557" s="184"/>
      <c r="I4557" s="186"/>
      <c r="J4557" s="184"/>
    </row>
    <row r="4558" spans="2:10">
      <c r="B4558" s="184"/>
      <c r="C4558" s="184"/>
      <c r="D4558" s="184"/>
      <c r="E4558" s="184"/>
      <c r="F4558" s="184"/>
      <c r="I4558" s="186"/>
      <c r="J4558" s="184"/>
    </row>
    <row r="4559" spans="2:10">
      <c r="B4559" s="184"/>
      <c r="C4559" s="184"/>
      <c r="D4559" s="184"/>
      <c r="E4559" s="184"/>
      <c r="F4559" s="184"/>
      <c r="I4559" s="186"/>
      <c r="J4559" s="184"/>
    </row>
    <row r="4560" spans="2:10">
      <c r="B4560" s="184"/>
      <c r="C4560" s="184"/>
      <c r="D4560" s="184"/>
      <c r="E4560" s="184"/>
      <c r="F4560" s="184"/>
      <c r="I4560" s="186"/>
      <c r="J4560" s="184"/>
    </row>
    <row r="4561" spans="2:10">
      <c r="B4561" s="184"/>
      <c r="C4561" s="184"/>
      <c r="D4561" s="184"/>
      <c r="E4561" s="184"/>
      <c r="F4561" s="184"/>
      <c r="I4561" s="186"/>
      <c r="J4561" s="184"/>
    </row>
    <row r="4562" spans="2:10">
      <c r="B4562" s="184"/>
      <c r="C4562" s="184"/>
      <c r="D4562" s="184"/>
      <c r="E4562" s="184"/>
      <c r="F4562" s="184"/>
      <c r="I4562" s="186"/>
      <c r="J4562" s="184"/>
    </row>
    <row r="4563" spans="2:10">
      <c r="B4563" s="184"/>
      <c r="C4563" s="184"/>
      <c r="D4563" s="184"/>
      <c r="E4563" s="184"/>
      <c r="F4563" s="184"/>
      <c r="I4563" s="186"/>
      <c r="J4563" s="184"/>
    </row>
    <row r="4564" spans="2:10">
      <c r="B4564" s="184"/>
      <c r="C4564" s="184"/>
      <c r="D4564" s="184"/>
      <c r="E4564" s="184"/>
      <c r="F4564" s="184"/>
      <c r="I4564" s="186"/>
      <c r="J4564" s="184"/>
    </row>
    <row r="4565" spans="2:10">
      <c r="B4565" s="184"/>
      <c r="C4565" s="184"/>
      <c r="D4565" s="184"/>
      <c r="E4565" s="184"/>
      <c r="F4565" s="184"/>
      <c r="I4565" s="186"/>
      <c r="J4565" s="184"/>
    </row>
    <row r="4566" spans="2:10">
      <c r="B4566" s="184"/>
      <c r="C4566" s="184"/>
      <c r="D4566" s="184"/>
      <c r="E4566" s="184"/>
      <c r="F4566" s="184"/>
      <c r="I4566" s="186"/>
      <c r="J4566" s="184"/>
    </row>
    <row r="4567" spans="2:10">
      <c r="B4567" s="184"/>
      <c r="C4567" s="184"/>
      <c r="D4567" s="184"/>
      <c r="E4567" s="184"/>
      <c r="F4567" s="184"/>
      <c r="I4567" s="186"/>
      <c r="J4567" s="184"/>
    </row>
    <row r="4568" spans="2:10">
      <c r="B4568" s="184"/>
      <c r="C4568" s="184"/>
      <c r="D4568" s="184"/>
      <c r="E4568" s="184"/>
      <c r="F4568" s="184"/>
      <c r="I4568" s="186"/>
      <c r="J4568" s="184"/>
    </row>
    <row r="4569" spans="2:10">
      <c r="B4569" s="184"/>
      <c r="C4569" s="184"/>
      <c r="D4569" s="184"/>
      <c r="E4569" s="184"/>
      <c r="F4569" s="184"/>
      <c r="I4569" s="186"/>
      <c r="J4569" s="184"/>
    </row>
    <row r="4570" spans="2:10">
      <c r="B4570" s="184"/>
      <c r="C4570" s="184"/>
      <c r="D4570" s="184"/>
      <c r="E4570" s="184"/>
      <c r="F4570" s="184"/>
      <c r="I4570" s="186"/>
      <c r="J4570" s="184"/>
    </row>
    <row r="4571" spans="2:10">
      <c r="B4571" s="184"/>
      <c r="C4571" s="184"/>
      <c r="D4571" s="184"/>
      <c r="E4571" s="184"/>
      <c r="F4571" s="184"/>
      <c r="I4571" s="186"/>
      <c r="J4571" s="184"/>
    </row>
    <row r="4572" spans="2:10">
      <c r="B4572" s="184"/>
      <c r="C4572" s="184"/>
      <c r="D4572" s="184"/>
      <c r="E4572" s="184"/>
      <c r="F4572" s="184"/>
      <c r="I4572" s="186"/>
      <c r="J4572" s="184"/>
    </row>
    <row r="4573" spans="2:10">
      <c r="B4573" s="184"/>
      <c r="C4573" s="184"/>
      <c r="D4573" s="184"/>
      <c r="E4573" s="184"/>
      <c r="F4573" s="184"/>
      <c r="I4573" s="186"/>
      <c r="J4573" s="184"/>
    </row>
    <row r="4574" spans="2:10">
      <c r="B4574" s="184"/>
      <c r="C4574" s="184"/>
      <c r="D4574" s="184"/>
      <c r="E4574" s="184"/>
      <c r="F4574" s="184"/>
      <c r="I4574" s="186"/>
      <c r="J4574" s="184"/>
    </row>
    <row r="4575" spans="2:10">
      <c r="B4575" s="184"/>
      <c r="C4575" s="184"/>
      <c r="D4575" s="184"/>
      <c r="E4575" s="184"/>
      <c r="F4575" s="184"/>
      <c r="I4575" s="186"/>
      <c r="J4575" s="184"/>
    </row>
    <row r="4576" spans="2:10">
      <c r="B4576" s="184"/>
      <c r="C4576" s="184"/>
      <c r="D4576" s="184"/>
      <c r="E4576" s="184"/>
      <c r="F4576" s="184"/>
      <c r="I4576" s="186"/>
      <c r="J4576" s="184"/>
    </row>
    <row r="4577" spans="2:10">
      <c r="B4577" s="184"/>
      <c r="C4577" s="184"/>
      <c r="D4577" s="184"/>
      <c r="E4577" s="184"/>
      <c r="F4577" s="184"/>
      <c r="I4577" s="186"/>
      <c r="J4577" s="184"/>
    </row>
    <row r="4578" spans="2:10">
      <c r="B4578" s="184"/>
      <c r="C4578" s="184"/>
      <c r="D4578" s="184"/>
      <c r="E4578" s="184"/>
      <c r="F4578" s="184"/>
      <c r="I4578" s="186"/>
      <c r="J4578" s="184"/>
    </row>
    <row r="4579" spans="2:10">
      <c r="B4579" s="184"/>
      <c r="C4579" s="184"/>
      <c r="D4579" s="184"/>
      <c r="E4579" s="184"/>
      <c r="F4579" s="184"/>
      <c r="I4579" s="186"/>
      <c r="J4579" s="184"/>
    </row>
    <row r="4580" spans="2:10">
      <c r="B4580" s="184"/>
      <c r="C4580" s="184"/>
      <c r="D4580" s="184"/>
      <c r="E4580" s="184"/>
      <c r="F4580" s="184"/>
      <c r="I4580" s="186"/>
      <c r="J4580" s="184"/>
    </row>
    <row r="4581" spans="2:10">
      <c r="B4581" s="184"/>
      <c r="C4581" s="184"/>
      <c r="D4581" s="184"/>
      <c r="E4581" s="184"/>
      <c r="F4581" s="184"/>
      <c r="I4581" s="186"/>
      <c r="J4581" s="184"/>
    </row>
    <row r="4582" spans="2:10">
      <c r="B4582" s="184"/>
      <c r="C4582" s="184"/>
      <c r="D4582" s="184"/>
      <c r="E4582" s="184"/>
      <c r="F4582" s="184"/>
      <c r="G4582" s="187"/>
      <c r="I4582" s="186"/>
      <c r="J4582" s="184"/>
    </row>
    <row r="4583" spans="2:10">
      <c r="B4583" s="184"/>
      <c r="C4583" s="184"/>
      <c r="D4583" s="184"/>
      <c r="E4583" s="184"/>
      <c r="F4583" s="184"/>
      <c r="G4583" s="187"/>
      <c r="I4583" s="186"/>
      <c r="J4583" s="184"/>
    </row>
    <row r="4584" spans="2:10">
      <c r="B4584" s="184"/>
      <c r="C4584" s="184"/>
      <c r="D4584" s="184"/>
      <c r="E4584" s="184"/>
      <c r="F4584" s="184"/>
      <c r="G4584" s="187"/>
      <c r="I4584" s="186"/>
      <c r="J4584" s="184"/>
    </row>
    <row r="4585" spans="2:10">
      <c r="B4585" s="184"/>
      <c r="C4585" s="184"/>
      <c r="D4585" s="184"/>
      <c r="E4585" s="184"/>
      <c r="F4585" s="184"/>
      <c r="G4585" s="187"/>
      <c r="I4585" s="186"/>
      <c r="J4585" s="184"/>
    </row>
    <row r="4586" spans="2:10">
      <c r="B4586" s="184"/>
      <c r="C4586" s="184"/>
      <c r="D4586" s="184"/>
      <c r="E4586" s="184"/>
      <c r="F4586" s="184"/>
      <c r="G4586" s="187"/>
      <c r="I4586" s="186"/>
      <c r="J4586" s="184"/>
    </row>
    <row r="4587" spans="2:10">
      <c r="B4587" s="184"/>
      <c r="C4587" s="184"/>
      <c r="D4587" s="184"/>
      <c r="E4587" s="184"/>
      <c r="F4587" s="184"/>
      <c r="G4587" s="187"/>
      <c r="I4587" s="186"/>
      <c r="J4587" s="184"/>
    </row>
    <row r="4588" spans="2:10">
      <c r="B4588" s="184"/>
      <c r="C4588" s="184"/>
      <c r="D4588" s="184"/>
      <c r="E4588" s="184"/>
      <c r="F4588" s="184"/>
      <c r="G4588" s="187"/>
      <c r="I4588" s="186"/>
      <c r="J4588" s="184"/>
    </row>
    <row r="4589" spans="2:10">
      <c r="B4589" s="184"/>
      <c r="C4589" s="184"/>
      <c r="D4589" s="184"/>
      <c r="E4589" s="184"/>
      <c r="F4589" s="184"/>
      <c r="G4589" s="187"/>
      <c r="I4589" s="186"/>
      <c r="J4589" s="184"/>
    </row>
    <row r="4590" spans="2:10">
      <c r="B4590" s="184"/>
      <c r="C4590" s="184"/>
      <c r="D4590" s="184"/>
      <c r="E4590" s="184"/>
      <c r="F4590" s="184"/>
      <c r="G4590" s="187"/>
      <c r="I4590" s="186"/>
      <c r="J4590" s="184"/>
    </row>
    <row r="4591" spans="2:10">
      <c r="B4591" s="184"/>
      <c r="C4591" s="184"/>
      <c r="D4591" s="184"/>
      <c r="E4591" s="184"/>
      <c r="F4591" s="184"/>
      <c r="G4591" s="187"/>
      <c r="I4591" s="186"/>
      <c r="J4591" s="184"/>
    </row>
    <row r="4592" spans="2:10">
      <c r="B4592" s="184"/>
      <c r="C4592" s="184"/>
      <c r="D4592" s="184"/>
      <c r="E4592" s="184"/>
      <c r="F4592" s="184"/>
      <c r="G4592" s="187"/>
      <c r="I4592" s="186"/>
      <c r="J4592" s="184"/>
    </row>
    <row r="4593" spans="2:10">
      <c r="B4593" s="184"/>
      <c r="C4593" s="184"/>
      <c r="D4593" s="184"/>
      <c r="E4593" s="184"/>
      <c r="F4593" s="184"/>
      <c r="G4593" s="187"/>
      <c r="I4593" s="186"/>
      <c r="J4593" s="184"/>
    </row>
    <row r="4594" spans="2:10">
      <c r="B4594" s="184"/>
      <c r="C4594" s="184"/>
      <c r="D4594" s="184"/>
      <c r="E4594" s="184"/>
      <c r="F4594" s="184"/>
      <c r="G4594" s="187"/>
      <c r="I4594" s="186"/>
      <c r="J4594" s="184"/>
    </row>
    <row r="4595" spans="2:10">
      <c r="B4595" s="184"/>
      <c r="C4595" s="184"/>
      <c r="D4595" s="184"/>
      <c r="E4595" s="184"/>
      <c r="F4595" s="184"/>
      <c r="G4595" s="187"/>
      <c r="I4595" s="186"/>
      <c r="J4595" s="184"/>
    </row>
    <row r="4596" spans="2:10">
      <c r="B4596" s="184"/>
      <c r="C4596" s="184"/>
      <c r="D4596" s="184"/>
      <c r="E4596" s="184"/>
      <c r="F4596" s="184"/>
      <c r="G4596" s="187"/>
      <c r="I4596" s="186"/>
      <c r="J4596" s="184"/>
    </row>
    <row r="4597" spans="2:10">
      <c r="B4597" s="184"/>
      <c r="C4597" s="184"/>
      <c r="D4597" s="184"/>
      <c r="E4597" s="184"/>
      <c r="F4597" s="184"/>
      <c r="G4597" s="187"/>
      <c r="I4597" s="186"/>
      <c r="J4597" s="184"/>
    </row>
    <row r="4598" spans="2:10">
      <c r="B4598" s="184"/>
      <c r="C4598" s="184"/>
      <c r="D4598" s="184"/>
      <c r="E4598" s="184"/>
      <c r="F4598" s="184"/>
      <c r="G4598" s="187"/>
      <c r="I4598" s="186"/>
      <c r="J4598" s="184"/>
    </row>
    <row r="4599" spans="2:10">
      <c r="B4599" s="184"/>
      <c r="C4599" s="184"/>
      <c r="D4599" s="184"/>
      <c r="E4599" s="184"/>
      <c r="F4599" s="184"/>
      <c r="G4599" s="187"/>
      <c r="I4599" s="186"/>
      <c r="J4599" s="184"/>
    </row>
    <row r="4600" spans="2:10">
      <c r="B4600" s="184"/>
      <c r="C4600" s="184"/>
      <c r="D4600" s="184"/>
      <c r="E4600" s="184"/>
      <c r="F4600" s="184"/>
      <c r="I4600" s="186"/>
      <c r="J4600" s="184"/>
    </row>
    <row r="4601" spans="2:10">
      <c r="B4601" s="184"/>
      <c r="C4601" s="184"/>
      <c r="D4601" s="184"/>
      <c r="E4601" s="184"/>
      <c r="F4601" s="184"/>
      <c r="G4601" s="187"/>
      <c r="I4601" s="186"/>
      <c r="J4601" s="184"/>
    </row>
    <row r="4602" spans="2:10">
      <c r="B4602" s="184"/>
      <c r="C4602" s="184"/>
      <c r="D4602" s="184"/>
      <c r="E4602" s="184"/>
      <c r="F4602" s="184"/>
      <c r="I4602" s="186"/>
      <c r="J4602" s="184"/>
    </row>
    <row r="4603" spans="2:10">
      <c r="B4603" s="184"/>
      <c r="C4603" s="184"/>
      <c r="D4603" s="184"/>
      <c r="E4603" s="184"/>
      <c r="F4603" s="184"/>
      <c r="I4603" s="186"/>
      <c r="J4603" s="184"/>
    </row>
    <row r="4604" spans="2:10">
      <c r="B4604" s="184"/>
      <c r="C4604" s="184"/>
      <c r="D4604" s="184"/>
      <c r="E4604" s="184"/>
      <c r="F4604" s="184"/>
      <c r="I4604" s="186"/>
      <c r="J4604" s="184"/>
    </row>
    <row r="4605" spans="2:10">
      <c r="B4605" s="184"/>
      <c r="C4605" s="184"/>
      <c r="D4605" s="184"/>
      <c r="E4605" s="184"/>
      <c r="F4605" s="184"/>
      <c r="I4605" s="186"/>
      <c r="J4605" s="184"/>
    </row>
    <row r="4606" spans="2:10">
      <c r="B4606" s="184"/>
      <c r="C4606" s="184"/>
      <c r="D4606" s="184"/>
      <c r="E4606" s="184"/>
      <c r="F4606" s="184"/>
      <c r="I4606" s="186"/>
      <c r="J4606" s="184"/>
    </row>
    <row r="4607" spans="2:10">
      <c r="B4607" s="184"/>
      <c r="C4607" s="184"/>
      <c r="D4607" s="184"/>
      <c r="E4607" s="184"/>
      <c r="F4607" s="184"/>
      <c r="I4607" s="186"/>
      <c r="J4607" s="184"/>
    </row>
    <row r="4608" spans="2:10">
      <c r="B4608" s="184"/>
      <c r="C4608" s="184"/>
      <c r="D4608" s="184"/>
      <c r="E4608" s="184"/>
      <c r="F4608" s="184"/>
      <c r="I4608" s="186"/>
      <c r="J4608" s="184"/>
    </row>
    <row r="4609" spans="2:10">
      <c r="B4609" s="184"/>
      <c r="C4609" s="184"/>
      <c r="D4609" s="184"/>
      <c r="E4609" s="184"/>
      <c r="F4609" s="184"/>
      <c r="I4609" s="186"/>
      <c r="J4609" s="184"/>
    </row>
    <row r="4610" spans="2:10">
      <c r="B4610" s="184"/>
      <c r="C4610" s="184"/>
      <c r="D4610" s="184"/>
      <c r="E4610" s="184"/>
      <c r="F4610" s="184"/>
      <c r="I4610" s="186"/>
      <c r="J4610" s="184"/>
    </row>
    <row r="4611" spans="2:10">
      <c r="B4611" s="184"/>
      <c r="C4611" s="184"/>
      <c r="D4611" s="184"/>
      <c r="E4611" s="184"/>
      <c r="F4611" s="184"/>
      <c r="I4611" s="186"/>
      <c r="J4611" s="184"/>
    </row>
    <row r="4612" spans="2:10">
      <c r="B4612" s="184"/>
      <c r="C4612" s="184"/>
      <c r="D4612" s="184"/>
      <c r="E4612" s="184"/>
      <c r="F4612" s="184"/>
      <c r="I4612" s="186"/>
      <c r="J4612" s="184"/>
    </row>
    <row r="4613" spans="2:10">
      <c r="B4613" s="184"/>
      <c r="C4613" s="184"/>
      <c r="D4613" s="184"/>
      <c r="E4613" s="184"/>
      <c r="F4613" s="184"/>
      <c r="I4613" s="186"/>
      <c r="J4613" s="184"/>
    </row>
    <row r="4614" spans="2:10">
      <c r="B4614" s="184"/>
      <c r="C4614" s="184"/>
      <c r="D4614" s="184"/>
      <c r="E4614" s="184"/>
      <c r="F4614" s="184"/>
      <c r="I4614" s="186"/>
      <c r="J4614" s="184"/>
    </row>
    <row r="4615" spans="2:10">
      <c r="B4615" s="184"/>
      <c r="C4615" s="184"/>
      <c r="D4615" s="184"/>
      <c r="E4615" s="184"/>
      <c r="F4615" s="184"/>
      <c r="I4615" s="186"/>
      <c r="J4615" s="184"/>
    </row>
    <row r="4616" spans="2:10">
      <c r="B4616" s="184"/>
      <c r="C4616" s="184"/>
      <c r="D4616" s="184"/>
      <c r="E4616" s="184"/>
      <c r="F4616" s="184"/>
      <c r="I4616" s="186"/>
      <c r="J4616" s="184"/>
    </row>
    <row r="4617" spans="2:10">
      <c r="B4617" s="184"/>
      <c r="C4617" s="184"/>
      <c r="D4617" s="184"/>
      <c r="E4617" s="184"/>
      <c r="F4617" s="184"/>
      <c r="I4617" s="186"/>
      <c r="J4617" s="184"/>
    </row>
    <row r="4618" spans="2:10">
      <c r="B4618" s="184"/>
      <c r="C4618" s="184"/>
      <c r="D4618" s="184"/>
      <c r="E4618" s="184"/>
      <c r="F4618" s="184"/>
      <c r="I4618" s="186"/>
      <c r="J4618" s="184"/>
    </row>
    <row r="4619" spans="2:10">
      <c r="B4619" s="184"/>
      <c r="C4619" s="184"/>
      <c r="D4619" s="184"/>
      <c r="E4619" s="184"/>
      <c r="F4619" s="184"/>
      <c r="I4619" s="186"/>
      <c r="J4619" s="184"/>
    </row>
    <row r="4620" spans="2:10">
      <c r="B4620" s="184"/>
      <c r="C4620" s="184"/>
      <c r="D4620" s="184"/>
      <c r="E4620" s="184"/>
      <c r="F4620" s="184"/>
      <c r="I4620" s="186"/>
      <c r="J4620" s="184"/>
    </row>
    <row r="4621" spans="2:10">
      <c r="B4621" s="184"/>
      <c r="C4621" s="184"/>
      <c r="D4621" s="184"/>
      <c r="E4621" s="184"/>
      <c r="F4621" s="184"/>
      <c r="I4621" s="186"/>
      <c r="J4621" s="184"/>
    </row>
    <row r="4622" spans="2:10">
      <c r="B4622" s="184"/>
      <c r="C4622" s="184"/>
      <c r="D4622" s="184"/>
      <c r="E4622" s="184"/>
      <c r="F4622" s="184"/>
      <c r="I4622" s="186"/>
      <c r="J4622" s="184"/>
    </row>
    <row r="4623" spans="2:10">
      <c r="B4623" s="184"/>
      <c r="C4623" s="184"/>
      <c r="D4623" s="184"/>
      <c r="E4623" s="184"/>
      <c r="F4623" s="184"/>
      <c r="I4623" s="186"/>
      <c r="J4623" s="184"/>
    </row>
    <row r="4624" spans="2:10">
      <c r="B4624" s="184"/>
      <c r="C4624" s="184"/>
      <c r="D4624" s="184"/>
      <c r="E4624" s="184"/>
      <c r="F4624" s="184"/>
      <c r="I4624" s="186"/>
      <c r="J4624" s="184"/>
    </row>
    <row r="4625" spans="2:10">
      <c r="B4625" s="184"/>
      <c r="C4625" s="184"/>
      <c r="D4625" s="184"/>
      <c r="E4625" s="184"/>
      <c r="F4625" s="184"/>
      <c r="I4625" s="186"/>
      <c r="J4625" s="184"/>
    </row>
    <row r="4626" spans="2:10">
      <c r="B4626" s="184"/>
      <c r="C4626" s="184"/>
      <c r="D4626" s="184"/>
      <c r="E4626" s="184"/>
      <c r="F4626" s="184"/>
      <c r="I4626" s="186"/>
      <c r="J4626" s="184"/>
    </row>
    <row r="4627" spans="2:10">
      <c r="B4627" s="184"/>
      <c r="C4627" s="184"/>
      <c r="D4627" s="184"/>
      <c r="E4627" s="184"/>
      <c r="F4627" s="184"/>
      <c r="I4627" s="186"/>
      <c r="J4627" s="184"/>
    </row>
    <row r="4628" spans="2:10">
      <c r="B4628" s="184"/>
      <c r="C4628" s="184"/>
      <c r="D4628" s="184"/>
      <c r="E4628" s="184"/>
      <c r="F4628" s="184"/>
      <c r="I4628" s="186"/>
      <c r="J4628" s="184"/>
    </row>
    <row r="4629" spans="2:10">
      <c r="B4629" s="184"/>
      <c r="C4629" s="184"/>
      <c r="D4629" s="184"/>
      <c r="E4629" s="184"/>
      <c r="F4629" s="184"/>
      <c r="I4629" s="186"/>
      <c r="J4629" s="184"/>
    </row>
    <row r="4630" spans="2:10">
      <c r="B4630" s="184"/>
      <c r="C4630" s="184"/>
      <c r="D4630" s="184"/>
      <c r="E4630" s="184"/>
      <c r="F4630" s="184"/>
      <c r="I4630" s="186"/>
      <c r="J4630" s="184"/>
    </row>
    <row r="4631" spans="2:10">
      <c r="B4631" s="184"/>
      <c r="C4631" s="184"/>
      <c r="D4631" s="184"/>
      <c r="E4631" s="184"/>
      <c r="F4631" s="184"/>
      <c r="I4631" s="186"/>
      <c r="J4631" s="184"/>
    </row>
    <row r="4632" spans="2:10">
      <c r="B4632" s="184"/>
      <c r="C4632" s="184"/>
      <c r="D4632" s="184"/>
      <c r="E4632" s="184"/>
      <c r="F4632" s="184"/>
      <c r="I4632" s="186"/>
      <c r="J4632" s="184"/>
    </row>
    <row r="4633" spans="2:10">
      <c r="B4633" s="184"/>
      <c r="C4633" s="184"/>
      <c r="D4633" s="184"/>
      <c r="E4633" s="184"/>
      <c r="F4633" s="184"/>
      <c r="I4633" s="186"/>
      <c r="J4633" s="184"/>
    </row>
    <row r="4634" spans="2:10">
      <c r="B4634" s="184"/>
      <c r="C4634" s="184"/>
      <c r="D4634" s="184"/>
      <c r="E4634" s="184"/>
      <c r="F4634" s="184"/>
      <c r="I4634" s="186"/>
      <c r="J4634" s="184"/>
    </row>
    <row r="4635" spans="2:10">
      <c r="B4635" s="184"/>
      <c r="C4635" s="184"/>
      <c r="D4635" s="184"/>
      <c r="E4635" s="184"/>
      <c r="F4635" s="184"/>
      <c r="I4635" s="186"/>
      <c r="J4635" s="184"/>
    </row>
    <row r="4636" spans="2:10">
      <c r="B4636" s="184"/>
      <c r="C4636" s="184"/>
      <c r="D4636" s="184"/>
      <c r="E4636" s="184"/>
      <c r="F4636" s="184"/>
      <c r="I4636" s="186"/>
      <c r="J4636" s="184"/>
    </row>
    <row r="4637" spans="2:10">
      <c r="B4637" s="184"/>
      <c r="C4637" s="184"/>
      <c r="D4637" s="184"/>
      <c r="E4637" s="184"/>
      <c r="F4637" s="184"/>
      <c r="I4637" s="186"/>
      <c r="J4637" s="184"/>
    </row>
    <row r="4638" spans="2:10">
      <c r="B4638" s="184"/>
      <c r="C4638" s="184"/>
      <c r="D4638" s="184"/>
      <c r="E4638" s="184"/>
      <c r="F4638" s="184"/>
      <c r="I4638" s="186"/>
      <c r="J4638" s="184"/>
    </row>
    <row r="4639" spans="2:10">
      <c r="B4639" s="184"/>
      <c r="C4639" s="184"/>
      <c r="D4639" s="184"/>
      <c r="E4639" s="184"/>
      <c r="F4639" s="184"/>
      <c r="I4639" s="186"/>
      <c r="J4639" s="184"/>
    </row>
    <row r="4640" spans="2:10">
      <c r="B4640" s="184"/>
      <c r="C4640" s="184"/>
      <c r="D4640" s="184"/>
      <c r="E4640" s="184"/>
      <c r="F4640" s="184"/>
      <c r="I4640" s="186"/>
      <c r="J4640" s="184"/>
    </row>
    <row r="4641" spans="2:10">
      <c r="B4641" s="184"/>
      <c r="C4641" s="184"/>
      <c r="D4641" s="184"/>
      <c r="E4641" s="184"/>
      <c r="F4641" s="184"/>
      <c r="I4641" s="186"/>
      <c r="J4641" s="184"/>
    </row>
    <row r="4642" spans="2:10">
      <c r="B4642" s="184"/>
      <c r="C4642" s="184"/>
      <c r="D4642" s="184"/>
      <c r="E4642" s="184"/>
      <c r="F4642" s="184"/>
      <c r="I4642" s="186"/>
      <c r="J4642" s="184"/>
    </row>
    <row r="4643" spans="2:10">
      <c r="B4643" s="184"/>
      <c r="C4643" s="184"/>
      <c r="D4643" s="184"/>
      <c r="E4643" s="184"/>
      <c r="F4643" s="184"/>
      <c r="I4643" s="186"/>
      <c r="J4643" s="184"/>
    </row>
    <row r="4644" spans="2:10">
      <c r="B4644" s="184"/>
      <c r="C4644" s="184"/>
      <c r="D4644" s="184"/>
      <c r="E4644" s="184"/>
      <c r="F4644" s="184"/>
      <c r="I4644" s="186"/>
      <c r="J4644" s="184"/>
    </row>
    <row r="4645" spans="2:10">
      <c r="B4645" s="184"/>
      <c r="C4645" s="184"/>
      <c r="D4645" s="184"/>
      <c r="E4645" s="184"/>
      <c r="F4645" s="184"/>
      <c r="I4645" s="186"/>
      <c r="J4645" s="184"/>
    </row>
    <row r="4646" spans="2:10">
      <c r="B4646" s="184"/>
      <c r="C4646" s="184"/>
      <c r="D4646" s="184"/>
      <c r="E4646" s="184"/>
      <c r="F4646" s="184"/>
      <c r="I4646" s="186"/>
      <c r="J4646" s="184"/>
    </row>
    <row r="4647" spans="2:10">
      <c r="B4647" s="184"/>
      <c r="C4647" s="184"/>
      <c r="D4647" s="184"/>
      <c r="E4647" s="184"/>
      <c r="F4647" s="184"/>
      <c r="I4647" s="186"/>
      <c r="J4647" s="184"/>
    </row>
    <row r="4648" spans="2:10">
      <c r="B4648" s="184"/>
      <c r="C4648" s="184"/>
      <c r="D4648" s="184"/>
      <c r="E4648" s="184"/>
      <c r="F4648" s="184"/>
      <c r="I4648" s="186"/>
      <c r="J4648" s="184"/>
    </row>
    <row r="4649" spans="2:10">
      <c r="B4649" s="184"/>
      <c r="C4649" s="184"/>
      <c r="D4649" s="184"/>
      <c r="E4649" s="184"/>
      <c r="F4649" s="184"/>
      <c r="I4649" s="186"/>
      <c r="J4649" s="184"/>
    </row>
    <row r="4650" spans="2:10">
      <c r="B4650" s="184"/>
      <c r="C4650" s="184"/>
      <c r="D4650" s="184"/>
      <c r="E4650" s="184"/>
      <c r="F4650" s="184"/>
      <c r="I4650" s="186"/>
      <c r="J4650" s="184"/>
    </row>
    <row r="4651" spans="2:10">
      <c r="B4651" s="184"/>
      <c r="C4651" s="184"/>
      <c r="D4651" s="184"/>
      <c r="E4651" s="184"/>
      <c r="F4651" s="184"/>
      <c r="I4651" s="186"/>
      <c r="J4651" s="184"/>
    </row>
    <row r="4652" spans="2:10">
      <c r="B4652" s="184"/>
      <c r="C4652" s="184"/>
      <c r="D4652" s="184"/>
      <c r="E4652" s="184"/>
      <c r="F4652" s="184"/>
      <c r="I4652" s="186"/>
      <c r="J4652" s="184"/>
    </row>
    <row r="4653" spans="2:10">
      <c r="B4653" s="184"/>
      <c r="C4653" s="184"/>
      <c r="D4653" s="184"/>
      <c r="E4653" s="184"/>
      <c r="F4653" s="184"/>
      <c r="I4653" s="186"/>
      <c r="J4653" s="184"/>
    </row>
    <row r="4654" spans="2:10">
      <c r="B4654" s="184"/>
      <c r="C4654" s="184"/>
      <c r="D4654" s="184"/>
      <c r="E4654" s="184"/>
      <c r="F4654" s="184"/>
      <c r="I4654" s="186"/>
      <c r="J4654" s="184"/>
    </row>
    <row r="4655" spans="2:10">
      <c r="B4655" s="184"/>
      <c r="C4655" s="184"/>
      <c r="D4655" s="184"/>
      <c r="E4655" s="184"/>
      <c r="F4655" s="184"/>
      <c r="I4655" s="186"/>
      <c r="J4655" s="184"/>
    </row>
    <row r="4656" spans="2:10">
      <c r="B4656" s="184"/>
      <c r="C4656" s="184"/>
      <c r="D4656" s="184"/>
      <c r="E4656" s="184"/>
      <c r="F4656" s="184"/>
      <c r="I4656" s="186"/>
      <c r="J4656" s="184"/>
    </row>
    <row r="4657" spans="2:10">
      <c r="B4657" s="184"/>
      <c r="C4657" s="184"/>
      <c r="D4657" s="184"/>
      <c r="E4657" s="184"/>
      <c r="F4657" s="184"/>
      <c r="I4657" s="186"/>
      <c r="J4657" s="184"/>
    </row>
    <row r="4658" spans="2:10">
      <c r="B4658" s="184"/>
      <c r="C4658" s="184"/>
      <c r="D4658" s="184"/>
      <c r="E4658" s="184"/>
      <c r="F4658" s="184"/>
      <c r="I4658" s="186"/>
      <c r="J4658" s="184"/>
    </row>
    <row r="4659" spans="2:10">
      <c r="B4659" s="184"/>
      <c r="C4659" s="184"/>
      <c r="D4659" s="184"/>
      <c r="E4659" s="184"/>
      <c r="F4659" s="184"/>
      <c r="I4659" s="186"/>
      <c r="J4659" s="184"/>
    </row>
    <row r="4660" spans="2:10">
      <c r="B4660" s="184"/>
      <c r="C4660" s="184"/>
      <c r="D4660" s="184"/>
      <c r="E4660" s="184"/>
      <c r="F4660" s="184"/>
      <c r="I4660" s="186"/>
      <c r="J4660" s="184"/>
    </row>
    <row r="4661" spans="2:10">
      <c r="B4661" s="184"/>
      <c r="C4661" s="184"/>
      <c r="D4661" s="184"/>
      <c r="E4661" s="184"/>
      <c r="F4661" s="184"/>
      <c r="I4661" s="186"/>
      <c r="J4661" s="184"/>
    </row>
    <row r="4662" spans="2:10">
      <c r="B4662" s="184"/>
      <c r="C4662" s="184"/>
      <c r="D4662" s="184"/>
      <c r="E4662" s="184"/>
      <c r="F4662" s="184"/>
      <c r="I4662" s="186"/>
      <c r="J4662" s="184"/>
    </row>
    <row r="4663" spans="2:10">
      <c r="B4663" s="184"/>
      <c r="C4663" s="184"/>
      <c r="D4663" s="184"/>
      <c r="E4663" s="184"/>
      <c r="F4663" s="184"/>
      <c r="I4663" s="186"/>
      <c r="J4663" s="184"/>
    </row>
    <row r="4664" spans="2:10">
      <c r="B4664" s="184"/>
      <c r="C4664" s="184"/>
      <c r="D4664" s="184"/>
      <c r="E4664" s="184"/>
      <c r="F4664" s="184"/>
      <c r="I4664" s="186"/>
      <c r="J4664" s="184"/>
    </row>
    <row r="4665" spans="2:10">
      <c r="B4665" s="184"/>
      <c r="C4665" s="184"/>
      <c r="D4665" s="184"/>
      <c r="E4665" s="184"/>
      <c r="F4665" s="184"/>
      <c r="I4665" s="186"/>
      <c r="J4665" s="184"/>
    </row>
    <row r="4666" spans="2:10">
      <c r="B4666" s="184"/>
      <c r="C4666" s="184"/>
      <c r="D4666" s="184"/>
      <c r="E4666" s="184"/>
      <c r="F4666" s="184"/>
      <c r="I4666" s="186"/>
      <c r="J4666" s="184"/>
    </row>
    <row r="4667" spans="2:10">
      <c r="B4667" s="184"/>
      <c r="C4667" s="184"/>
      <c r="D4667" s="184"/>
      <c r="E4667" s="184"/>
      <c r="F4667" s="184"/>
      <c r="I4667" s="186"/>
      <c r="J4667" s="184"/>
    </row>
    <row r="4668" spans="2:10">
      <c r="B4668" s="184"/>
      <c r="C4668" s="184"/>
      <c r="D4668" s="184"/>
      <c r="E4668" s="184"/>
      <c r="F4668" s="184"/>
      <c r="I4668" s="186"/>
      <c r="J4668" s="184"/>
    </row>
    <row r="4669" spans="2:10">
      <c r="B4669" s="184"/>
      <c r="C4669" s="184"/>
      <c r="D4669" s="184"/>
      <c r="E4669" s="184"/>
      <c r="F4669" s="184"/>
      <c r="I4669" s="186"/>
      <c r="J4669" s="184"/>
    </row>
    <row r="4670" spans="2:10">
      <c r="B4670" s="184"/>
      <c r="C4670" s="184"/>
      <c r="D4670" s="184"/>
      <c r="E4670" s="184"/>
      <c r="F4670" s="184"/>
      <c r="I4670" s="186"/>
      <c r="J4670" s="184"/>
    </row>
    <row r="4671" spans="2:10">
      <c r="B4671" s="184"/>
      <c r="C4671" s="184"/>
      <c r="D4671" s="184"/>
      <c r="E4671" s="184"/>
      <c r="F4671" s="184"/>
      <c r="I4671" s="186"/>
      <c r="J4671" s="184"/>
    </row>
    <row r="4672" spans="2:10">
      <c r="B4672" s="184"/>
      <c r="C4672" s="184"/>
      <c r="D4672" s="184"/>
      <c r="E4672" s="184"/>
      <c r="F4672" s="184"/>
      <c r="I4672" s="186"/>
      <c r="J4672" s="184"/>
    </row>
    <row r="4673" spans="2:10">
      <c r="B4673" s="184"/>
      <c r="C4673" s="184"/>
      <c r="D4673" s="184"/>
      <c r="E4673" s="184"/>
      <c r="F4673" s="184"/>
      <c r="I4673" s="186"/>
      <c r="J4673" s="184"/>
    </row>
    <row r="4674" spans="2:10">
      <c r="B4674" s="184"/>
      <c r="C4674" s="184"/>
      <c r="D4674" s="184"/>
      <c r="E4674" s="184"/>
      <c r="F4674" s="184"/>
      <c r="I4674" s="186"/>
      <c r="J4674" s="184"/>
    </row>
    <row r="4675" spans="2:10">
      <c r="B4675" s="184"/>
      <c r="C4675" s="184"/>
      <c r="D4675" s="184"/>
      <c r="E4675" s="184"/>
      <c r="F4675" s="184"/>
      <c r="I4675" s="186"/>
      <c r="J4675" s="184"/>
    </row>
    <row r="4676" spans="2:10">
      <c r="B4676" s="184"/>
      <c r="C4676" s="184"/>
      <c r="D4676" s="184"/>
      <c r="E4676" s="184"/>
      <c r="F4676" s="184"/>
      <c r="I4676" s="186"/>
      <c r="J4676" s="184"/>
    </row>
    <row r="4677" spans="2:10">
      <c r="B4677" s="184"/>
      <c r="C4677" s="184"/>
      <c r="D4677" s="184"/>
      <c r="E4677" s="184"/>
      <c r="F4677" s="184"/>
      <c r="I4677" s="186"/>
      <c r="J4677" s="184"/>
    </row>
    <row r="4678" spans="2:10">
      <c r="B4678" s="184"/>
      <c r="C4678" s="184"/>
      <c r="D4678" s="184"/>
      <c r="E4678" s="184"/>
      <c r="F4678" s="184"/>
      <c r="I4678" s="186"/>
      <c r="J4678" s="184"/>
    </row>
    <row r="4679" spans="2:10">
      <c r="B4679" s="184"/>
      <c r="C4679" s="184"/>
      <c r="D4679" s="184"/>
      <c r="E4679" s="184"/>
      <c r="F4679" s="184"/>
      <c r="I4679" s="186"/>
      <c r="J4679" s="184"/>
    </row>
    <row r="4680" spans="2:10">
      <c r="B4680" s="184"/>
      <c r="C4680" s="184"/>
      <c r="D4680" s="184"/>
      <c r="E4680" s="184"/>
      <c r="F4680" s="184"/>
      <c r="I4680" s="186"/>
      <c r="J4680" s="184"/>
    </row>
    <row r="4681" spans="2:10">
      <c r="B4681" s="184"/>
      <c r="C4681" s="184"/>
      <c r="D4681" s="184"/>
      <c r="E4681" s="184"/>
      <c r="F4681" s="184"/>
      <c r="I4681" s="186"/>
      <c r="J4681" s="184"/>
    </row>
    <row r="4682" spans="2:10">
      <c r="B4682" s="184"/>
      <c r="C4682" s="184"/>
      <c r="D4682" s="184"/>
      <c r="E4682" s="184"/>
      <c r="F4682" s="184"/>
      <c r="I4682" s="186"/>
      <c r="J4682" s="184"/>
    </row>
    <row r="4683" spans="2:10">
      <c r="B4683" s="184"/>
      <c r="C4683" s="184"/>
      <c r="D4683" s="184"/>
      <c r="E4683" s="184"/>
      <c r="F4683" s="184"/>
      <c r="I4683" s="186"/>
      <c r="J4683" s="184"/>
    </row>
    <row r="4684" spans="2:10">
      <c r="B4684" s="184"/>
      <c r="C4684" s="184"/>
      <c r="D4684" s="184"/>
      <c r="E4684" s="184"/>
      <c r="F4684" s="184"/>
      <c r="I4684" s="186"/>
      <c r="J4684" s="184"/>
    </row>
    <row r="4685" spans="2:10">
      <c r="B4685" s="184"/>
      <c r="C4685" s="184"/>
      <c r="D4685" s="184"/>
      <c r="E4685" s="184"/>
      <c r="F4685" s="184"/>
      <c r="I4685" s="186"/>
      <c r="J4685" s="184"/>
    </row>
    <row r="4686" spans="2:10">
      <c r="B4686" s="184"/>
      <c r="C4686" s="184"/>
      <c r="D4686" s="184"/>
      <c r="E4686" s="184"/>
      <c r="F4686" s="184"/>
      <c r="I4686" s="186"/>
      <c r="J4686" s="184"/>
    </row>
    <row r="4687" spans="2:10">
      <c r="B4687" s="184"/>
      <c r="C4687" s="184"/>
      <c r="D4687" s="184"/>
      <c r="E4687" s="184"/>
      <c r="F4687" s="184"/>
      <c r="G4687" s="187"/>
      <c r="I4687" s="186"/>
      <c r="J4687" s="184"/>
    </row>
    <row r="4688" spans="2:10">
      <c r="B4688" s="184"/>
      <c r="C4688" s="184"/>
      <c r="D4688" s="184"/>
      <c r="E4688" s="184"/>
      <c r="F4688" s="184"/>
      <c r="I4688" s="186"/>
      <c r="J4688" s="184"/>
    </row>
    <row r="4689" spans="2:10">
      <c r="B4689" s="184"/>
      <c r="C4689" s="184"/>
      <c r="D4689" s="184"/>
      <c r="E4689" s="184"/>
      <c r="F4689" s="184"/>
      <c r="I4689" s="186"/>
      <c r="J4689" s="184"/>
    </row>
    <row r="4690" spans="2:10">
      <c r="B4690" s="184"/>
      <c r="C4690" s="184"/>
      <c r="D4690" s="184"/>
      <c r="E4690" s="184"/>
      <c r="F4690" s="184"/>
      <c r="I4690" s="186"/>
      <c r="J4690" s="184"/>
    </row>
    <row r="4691" spans="2:10">
      <c r="B4691" s="184"/>
      <c r="C4691" s="184"/>
      <c r="D4691" s="184"/>
      <c r="E4691" s="184"/>
      <c r="F4691" s="184"/>
      <c r="I4691" s="186"/>
      <c r="J4691" s="184"/>
    </row>
    <row r="4692" spans="2:10">
      <c r="B4692" s="184"/>
      <c r="C4692" s="184"/>
      <c r="D4692" s="184"/>
      <c r="E4692" s="184"/>
      <c r="F4692" s="184"/>
      <c r="I4692" s="186"/>
      <c r="J4692" s="184"/>
    </row>
    <row r="4693" spans="2:10">
      <c r="B4693" s="184"/>
      <c r="C4693" s="184"/>
      <c r="D4693" s="184"/>
      <c r="E4693" s="184"/>
      <c r="F4693" s="184"/>
      <c r="I4693" s="186"/>
      <c r="J4693" s="184"/>
    </row>
    <row r="4694" spans="2:10">
      <c r="B4694" s="184"/>
      <c r="C4694" s="184"/>
      <c r="D4694" s="184"/>
      <c r="E4694" s="184"/>
      <c r="F4694" s="184"/>
      <c r="I4694" s="186"/>
      <c r="J4694" s="184"/>
    </row>
    <row r="4695" spans="2:10">
      <c r="B4695" s="184"/>
      <c r="C4695" s="184"/>
      <c r="D4695" s="184"/>
      <c r="E4695" s="184"/>
      <c r="F4695" s="184"/>
      <c r="I4695" s="186"/>
      <c r="J4695" s="184"/>
    </row>
    <row r="4696" spans="2:10">
      <c r="B4696" s="184"/>
      <c r="C4696" s="184"/>
      <c r="D4696" s="184"/>
      <c r="E4696" s="184"/>
      <c r="F4696" s="184"/>
      <c r="I4696" s="186"/>
      <c r="J4696" s="184"/>
    </row>
    <row r="4697" spans="2:10">
      <c r="B4697" s="184"/>
      <c r="C4697" s="184"/>
      <c r="D4697" s="184"/>
      <c r="E4697" s="184"/>
      <c r="F4697" s="184"/>
      <c r="I4697" s="186"/>
      <c r="J4697" s="184"/>
    </row>
    <row r="4698" spans="2:10">
      <c r="B4698" s="184"/>
      <c r="C4698" s="184"/>
      <c r="D4698" s="184"/>
      <c r="E4698" s="184"/>
      <c r="F4698" s="184"/>
      <c r="I4698" s="186"/>
      <c r="J4698" s="184"/>
    </row>
    <row r="4699" spans="2:10">
      <c r="B4699" s="184"/>
      <c r="C4699" s="184"/>
      <c r="D4699" s="184"/>
      <c r="E4699" s="184"/>
      <c r="F4699" s="184"/>
      <c r="I4699" s="186"/>
      <c r="J4699" s="184"/>
    </row>
    <row r="4700" spans="2:10">
      <c r="B4700" s="184"/>
      <c r="C4700" s="184"/>
      <c r="D4700" s="184"/>
      <c r="E4700" s="184"/>
      <c r="F4700" s="184"/>
      <c r="I4700" s="186"/>
      <c r="J4700" s="184"/>
    </row>
    <row r="4701" spans="2:10">
      <c r="B4701" s="184"/>
      <c r="C4701" s="184"/>
      <c r="D4701" s="184"/>
      <c r="E4701" s="184"/>
      <c r="F4701" s="184"/>
      <c r="G4701" s="187"/>
      <c r="I4701" s="186"/>
      <c r="J4701" s="184"/>
    </row>
    <row r="4702" spans="2:10">
      <c r="B4702" s="184"/>
      <c r="C4702" s="184"/>
      <c r="D4702" s="184"/>
      <c r="E4702" s="184"/>
      <c r="F4702" s="184"/>
      <c r="G4702" s="187"/>
      <c r="I4702" s="186"/>
      <c r="J4702" s="184"/>
    </row>
    <row r="4703" spans="2:10">
      <c r="B4703" s="184"/>
      <c r="C4703" s="184"/>
      <c r="D4703" s="184"/>
      <c r="E4703" s="184"/>
      <c r="F4703" s="184"/>
      <c r="I4703" s="186"/>
      <c r="J4703" s="184"/>
    </row>
    <row r="4704" spans="2:10">
      <c r="B4704" s="184"/>
      <c r="C4704" s="184"/>
      <c r="D4704" s="184"/>
      <c r="E4704" s="184"/>
      <c r="F4704" s="184"/>
      <c r="I4704" s="186"/>
      <c r="J4704" s="184"/>
    </row>
    <row r="4705" spans="2:10">
      <c r="B4705" s="184"/>
      <c r="C4705" s="184"/>
      <c r="D4705" s="184"/>
      <c r="E4705" s="184"/>
      <c r="F4705" s="184"/>
      <c r="I4705" s="186"/>
      <c r="J4705" s="184"/>
    </row>
    <row r="4706" spans="2:10">
      <c r="B4706" s="184"/>
      <c r="C4706" s="184"/>
      <c r="D4706" s="184"/>
      <c r="E4706" s="184"/>
      <c r="F4706" s="184"/>
      <c r="I4706" s="186"/>
      <c r="J4706" s="184"/>
    </row>
    <row r="4707" spans="2:10">
      <c r="B4707" s="184"/>
      <c r="C4707" s="184"/>
      <c r="D4707" s="184"/>
      <c r="E4707" s="184"/>
      <c r="F4707" s="184"/>
      <c r="I4707" s="186"/>
      <c r="J4707" s="184"/>
    </row>
    <row r="4708" spans="2:10">
      <c r="B4708" s="184"/>
      <c r="C4708" s="184"/>
      <c r="D4708" s="184"/>
      <c r="E4708" s="184"/>
      <c r="F4708" s="184"/>
      <c r="I4708" s="186"/>
      <c r="J4708" s="184"/>
    </row>
    <row r="4709" spans="2:10">
      <c r="B4709" s="184"/>
      <c r="C4709" s="184"/>
      <c r="D4709" s="184"/>
      <c r="E4709" s="184"/>
      <c r="F4709" s="184"/>
      <c r="I4709" s="186"/>
      <c r="J4709" s="184"/>
    </row>
    <row r="4710" spans="2:10">
      <c r="B4710" s="184"/>
      <c r="C4710" s="184"/>
      <c r="D4710" s="184"/>
      <c r="E4710" s="184"/>
      <c r="F4710" s="184"/>
      <c r="I4710" s="186"/>
      <c r="J4710" s="184"/>
    </row>
    <row r="4711" spans="2:10">
      <c r="B4711" s="184"/>
      <c r="C4711" s="184"/>
      <c r="D4711" s="184"/>
      <c r="E4711" s="184"/>
      <c r="F4711" s="184"/>
      <c r="I4711" s="186"/>
      <c r="J4711" s="184"/>
    </row>
    <row r="4712" spans="2:10">
      <c r="B4712" s="184"/>
      <c r="C4712" s="184"/>
      <c r="D4712" s="184"/>
      <c r="E4712" s="184"/>
      <c r="F4712" s="184"/>
      <c r="I4712" s="186"/>
      <c r="J4712" s="184"/>
    </row>
    <row r="4713" spans="2:10">
      <c r="B4713" s="184"/>
      <c r="C4713" s="184"/>
      <c r="D4713" s="184"/>
      <c r="E4713" s="184"/>
      <c r="F4713" s="184"/>
      <c r="I4713" s="186"/>
      <c r="J4713" s="184"/>
    </row>
    <row r="4714" spans="2:10">
      <c r="B4714" s="184"/>
      <c r="C4714" s="184"/>
      <c r="D4714" s="184"/>
      <c r="E4714" s="184"/>
      <c r="F4714" s="184"/>
      <c r="I4714" s="186"/>
      <c r="J4714" s="184"/>
    </row>
    <row r="4715" spans="2:10">
      <c r="B4715" s="184"/>
      <c r="C4715" s="184"/>
      <c r="D4715" s="184"/>
      <c r="E4715" s="184"/>
      <c r="F4715" s="184"/>
      <c r="I4715" s="186"/>
      <c r="J4715" s="184"/>
    </row>
    <row r="4716" spans="2:10">
      <c r="B4716" s="184"/>
      <c r="C4716" s="184"/>
      <c r="D4716" s="184"/>
      <c r="E4716" s="184"/>
      <c r="F4716" s="184"/>
      <c r="I4716" s="186"/>
      <c r="J4716" s="184"/>
    </row>
    <row r="4717" spans="2:10">
      <c r="B4717" s="184"/>
      <c r="C4717" s="184"/>
      <c r="D4717" s="184"/>
      <c r="E4717" s="184"/>
      <c r="F4717" s="184"/>
      <c r="I4717" s="186"/>
      <c r="J4717" s="184"/>
    </row>
    <row r="4718" spans="2:10">
      <c r="B4718" s="184"/>
      <c r="C4718" s="184"/>
      <c r="D4718" s="184"/>
      <c r="E4718" s="184"/>
      <c r="F4718" s="184"/>
      <c r="I4718" s="186"/>
      <c r="J4718" s="184"/>
    </row>
    <row r="4719" spans="2:10">
      <c r="B4719" s="184"/>
      <c r="C4719" s="184"/>
      <c r="D4719" s="184"/>
      <c r="E4719" s="184"/>
      <c r="F4719" s="184"/>
      <c r="I4719" s="186"/>
      <c r="J4719" s="184"/>
    </row>
    <row r="4720" spans="2:10">
      <c r="B4720" s="184"/>
      <c r="C4720" s="184"/>
      <c r="D4720" s="184"/>
      <c r="E4720" s="184"/>
      <c r="F4720" s="184"/>
      <c r="I4720" s="186"/>
      <c r="J4720" s="184"/>
    </row>
    <row r="4721" spans="2:10">
      <c r="B4721" s="184"/>
      <c r="C4721" s="184"/>
      <c r="D4721" s="184"/>
      <c r="E4721" s="184"/>
      <c r="F4721" s="184"/>
      <c r="I4721" s="186"/>
      <c r="J4721" s="184"/>
    </row>
    <row r="4722" spans="2:10">
      <c r="B4722" s="184"/>
      <c r="C4722" s="184"/>
      <c r="D4722" s="184"/>
      <c r="E4722" s="184"/>
      <c r="F4722" s="184"/>
      <c r="I4722" s="186"/>
      <c r="J4722" s="184"/>
    </row>
    <row r="4723" spans="2:10">
      <c r="B4723" s="184"/>
      <c r="C4723" s="184"/>
      <c r="D4723" s="184"/>
      <c r="E4723" s="184"/>
      <c r="F4723" s="184"/>
      <c r="I4723" s="186"/>
      <c r="J4723" s="184"/>
    </row>
    <row r="4724" spans="2:10">
      <c r="B4724" s="184"/>
      <c r="C4724" s="184"/>
      <c r="D4724" s="184"/>
      <c r="E4724" s="184"/>
      <c r="F4724" s="184"/>
      <c r="I4724" s="186"/>
      <c r="J4724" s="184"/>
    </row>
    <row r="4725" spans="2:10">
      <c r="B4725" s="184"/>
      <c r="C4725" s="184"/>
      <c r="D4725" s="184"/>
      <c r="E4725" s="184"/>
      <c r="F4725" s="184"/>
      <c r="I4725" s="186"/>
      <c r="J4725" s="184"/>
    </row>
    <row r="4726" spans="2:10">
      <c r="B4726" s="184"/>
      <c r="C4726" s="184"/>
      <c r="D4726" s="184"/>
      <c r="E4726" s="184"/>
      <c r="F4726" s="184"/>
      <c r="I4726" s="186"/>
      <c r="J4726" s="184"/>
    </row>
    <row r="4727" spans="2:10">
      <c r="B4727" s="184"/>
      <c r="C4727" s="184"/>
      <c r="D4727" s="184"/>
      <c r="E4727" s="184"/>
      <c r="F4727" s="184"/>
      <c r="I4727" s="186"/>
      <c r="J4727" s="184"/>
    </row>
    <row r="4728" spans="2:10">
      <c r="B4728" s="184"/>
      <c r="C4728" s="184"/>
      <c r="D4728" s="184"/>
      <c r="E4728" s="184"/>
      <c r="F4728" s="184"/>
      <c r="I4728" s="186"/>
      <c r="J4728" s="184"/>
    </row>
    <row r="4729" spans="2:10">
      <c r="B4729" s="184"/>
      <c r="C4729" s="184"/>
      <c r="D4729" s="184"/>
      <c r="E4729" s="184"/>
      <c r="F4729" s="184"/>
      <c r="I4729" s="186"/>
      <c r="J4729" s="184"/>
    </row>
    <row r="4730" spans="2:10">
      <c r="B4730" s="184"/>
      <c r="C4730" s="184"/>
      <c r="D4730" s="184"/>
      <c r="E4730" s="184"/>
      <c r="F4730" s="184"/>
      <c r="I4730" s="186"/>
      <c r="J4730" s="184"/>
    </row>
    <row r="4731" spans="2:10">
      <c r="B4731" s="184"/>
      <c r="C4731" s="184"/>
      <c r="D4731" s="184"/>
      <c r="E4731" s="184"/>
      <c r="F4731" s="184"/>
      <c r="I4731" s="186"/>
      <c r="J4731" s="184"/>
    </row>
    <row r="4732" spans="2:10">
      <c r="B4732" s="184"/>
      <c r="C4732" s="184"/>
      <c r="D4732" s="184"/>
      <c r="E4732" s="184"/>
      <c r="F4732" s="184"/>
      <c r="I4732" s="186"/>
      <c r="J4732" s="184"/>
    </row>
    <row r="4733" spans="2:10">
      <c r="B4733" s="184"/>
      <c r="C4733" s="184"/>
      <c r="D4733" s="184"/>
      <c r="E4733" s="184"/>
      <c r="F4733" s="184"/>
      <c r="I4733" s="186"/>
      <c r="J4733" s="184"/>
    </row>
    <row r="4734" spans="2:10">
      <c r="B4734" s="184"/>
      <c r="C4734" s="184"/>
      <c r="D4734" s="184"/>
      <c r="E4734" s="184"/>
      <c r="F4734" s="184"/>
      <c r="I4734" s="186"/>
      <c r="J4734" s="184"/>
    </row>
    <row r="4735" spans="2:10">
      <c r="B4735" s="184"/>
      <c r="C4735" s="184"/>
      <c r="D4735" s="184"/>
      <c r="E4735" s="184"/>
      <c r="F4735" s="184"/>
      <c r="I4735" s="186"/>
      <c r="J4735" s="184"/>
    </row>
    <row r="4736" spans="2:10">
      <c r="B4736" s="184"/>
      <c r="C4736" s="184"/>
      <c r="D4736" s="184"/>
      <c r="E4736" s="184"/>
      <c r="F4736" s="184"/>
      <c r="I4736" s="186"/>
      <c r="J4736" s="184"/>
    </row>
    <row r="4737" spans="2:10">
      <c r="B4737" s="184"/>
      <c r="C4737" s="184"/>
      <c r="D4737" s="184"/>
      <c r="E4737" s="184"/>
      <c r="F4737" s="184"/>
      <c r="I4737" s="186"/>
      <c r="J4737" s="184"/>
    </row>
    <row r="4738" spans="2:10">
      <c r="B4738" s="184"/>
      <c r="C4738" s="184"/>
      <c r="D4738" s="184"/>
      <c r="E4738" s="184"/>
      <c r="F4738" s="184"/>
      <c r="I4738" s="186"/>
      <c r="J4738" s="184"/>
    </row>
    <row r="4739" spans="2:10">
      <c r="B4739" s="184"/>
      <c r="C4739" s="184"/>
      <c r="D4739" s="184"/>
      <c r="E4739" s="184"/>
      <c r="F4739" s="184"/>
      <c r="I4739" s="186"/>
      <c r="J4739" s="184"/>
    </row>
    <row r="4740" spans="2:10">
      <c r="B4740" s="184"/>
      <c r="C4740" s="184"/>
      <c r="D4740" s="184"/>
      <c r="E4740" s="184"/>
      <c r="F4740" s="184"/>
      <c r="I4740" s="186"/>
      <c r="J4740" s="184"/>
    </row>
    <row r="4741" spans="2:10">
      <c r="B4741" s="184"/>
      <c r="C4741" s="184"/>
      <c r="D4741" s="184"/>
      <c r="E4741" s="184"/>
      <c r="F4741" s="184"/>
      <c r="I4741" s="186"/>
      <c r="J4741" s="184"/>
    </row>
    <row r="4742" spans="2:10">
      <c r="B4742" s="184"/>
      <c r="C4742" s="184"/>
      <c r="D4742" s="184"/>
      <c r="E4742" s="184"/>
      <c r="F4742" s="184"/>
      <c r="I4742" s="186"/>
      <c r="J4742" s="184"/>
    </row>
    <row r="4743" spans="2:10">
      <c r="B4743" s="184"/>
      <c r="C4743" s="184"/>
      <c r="D4743" s="184"/>
      <c r="E4743" s="184"/>
      <c r="F4743" s="184"/>
      <c r="I4743" s="186"/>
      <c r="J4743" s="184"/>
    </row>
    <row r="4744" spans="2:10">
      <c r="B4744" s="184"/>
      <c r="C4744" s="184"/>
      <c r="D4744" s="184"/>
      <c r="E4744" s="184"/>
      <c r="F4744" s="184"/>
      <c r="I4744" s="186"/>
      <c r="J4744" s="184"/>
    </row>
    <row r="4745" spans="2:10">
      <c r="B4745" s="184"/>
      <c r="C4745" s="184"/>
      <c r="D4745" s="184"/>
      <c r="E4745" s="184"/>
      <c r="F4745" s="184"/>
      <c r="I4745" s="186"/>
      <c r="J4745" s="184"/>
    </row>
    <row r="4746" spans="2:10">
      <c r="B4746" s="184"/>
      <c r="C4746" s="184"/>
      <c r="D4746" s="184"/>
      <c r="E4746" s="184"/>
      <c r="F4746" s="184"/>
      <c r="I4746" s="186"/>
      <c r="J4746" s="184"/>
    </row>
    <row r="4747" spans="2:10">
      <c r="B4747" s="184"/>
      <c r="C4747" s="184"/>
      <c r="D4747" s="184"/>
      <c r="E4747" s="184"/>
      <c r="F4747" s="184"/>
      <c r="I4747" s="186"/>
      <c r="J4747" s="184"/>
    </row>
    <row r="4748" spans="2:10">
      <c r="B4748" s="184"/>
      <c r="C4748" s="184"/>
      <c r="D4748" s="184"/>
      <c r="E4748" s="184"/>
      <c r="F4748" s="184"/>
      <c r="I4748" s="186"/>
      <c r="J4748" s="184"/>
    </row>
    <row r="4749" spans="2:10">
      <c r="B4749" s="184"/>
      <c r="C4749" s="184"/>
      <c r="D4749" s="184"/>
      <c r="E4749" s="184"/>
      <c r="F4749" s="184"/>
      <c r="I4749" s="186"/>
      <c r="J4749" s="184"/>
    </row>
    <row r="4750" spans="2:10">
      <c r="B4750" s="184"/>
      <c r="C4750" s="184"/>
      <c r="D4750" s="184"/>
      <c r="E4750" s="184"/>
      <c r="F4750" s="184"/>
      <c r="I4750" s="186"/>
      <c r="J4750" s="184"/>
    </row>
    <row r="4751" spans="2:10">
      <c r="B4751" s="184"/>
      <c r="C4751" s="184"/>
      <c r="D4751" s="184"/>
      <c r="E4751" s="184"/>
      <c r="F4751" s="184"/>
      <c r="I4751" s="186"/>
      <c r="J4751" s="184"/>
    </row>
    <row r="4752" spans="2:10">
      <c r="B4752" s="184"/>
      <c r="C4752" s="184"/>
      <c r="D4752" s="184"/>
      <c r="E4752" s="184"/>
      <c r="F4752" s="184"/>
      <c r="I4752" s="186"/>
      <c r="J4752" s="184"/>
    </row>
    <row r="4753" spans="2:10">
      <c r="B4753" s="184"/>
      <c r="C4753" s="184"/>
      <c r="D4753" s="184"/>
      <c r="E4753" s="184"/>
      <c r="F4753" s="184"/>
      <c r="I4753" s="186"/>
      <c r="J4753" s="184"/>
    </row>
    <row r="4754" spans="2:10">
      <c r="B4754" s="184"/>
      <c r="C4754" s="184"/>
      <c r="D4754" s="184"/>
      <c r="E4754" s="184"/>
      <c r="F4754" s="184"/>
      <c r="I4754" s="186"/>
      <c r="J4754" s="184"/>
    </row>
    <row r="4755" spans="2:10">
      <c r="B4755" s="184"/>
      <c r="C4755" s="184"/>
      <c r="D4755" s="184"/>
      <c r="E4755" s="184"/>
      <c r="F4755" s="184"/>
      <c r="I4755" s="186"/>
      <c r="J4755" s="184"/>
    </row>
    <row r="4756" spans="2:10">
      <c r="B4756" s="184"/>
      <c r="C4756" s="184"/>
      <c r="D4756" s="184"/>
      <c r="E4756" s="184"/>
      <c r="F4756" s="184"/>
      <c r="I4756" s="186"/>
      <c r="J4756" s="184"/>
    </row>
    <row r="4757" spans="2:10">
      <c r="B4757" s="184"/>
      <c r="C4757" s="184"/>
      <c r="D4757" s="184"/>
      <c r="E4757" s="184"/>
      <c r="F4757" s="184"/>
      <c r="I4757" s="186"/>
      <c r="J4757" s="184"/>
    </row>
    <row r="4758" spans="2:10">
      <c r="B4758" s="184"/>
      <c r="C4758" s="184"/>
      <c r="D4758" s="184"/>
      <c r="E4758" s="184"/>
      <c r="F4758" s="184"/>
      <c r="I4758" s="186"/>
      <c r="J4758" s="184"/>
    </row>
    <row r="4759" spans="2:10">
      <c r="B4759" s="184"/>
      <c r="C4759" s="184"/>
      <c r="D4759" s="184"/>
      <c r="E4759" s="184"/>
      <c r="F4759" s="184"/>
      <c r="I4759" s="186"/>
      <c r="J4759" s="184"/>
    </row>
    <row r="4760" spans="2:10">
      <c r="B4760" s="184"/>
      <c r="C4760" s="184"/>
      <c r="D4760" s="184"/>
      <c r="E4760" s="184"/>
      <c r="F4760" s="184"/>
      <c r="I4760" s="186"/>
      <c r="J4760" s="184"/>
    </row>
    <row r="4761" spans="2:10">
      <c r="B4761" s="184"/>
      <c r="C4761" s="184"/>
      <c r="D4761" s="184"/>
      <c r="E4761" s="184"/>
      <c r="F4761" s="184"/>
      <c r="I4761" s="186"/>
      <c r="J4761" s="184"/>
    </row>
    <row r="4762" spans="2:10">
      <c r="B4762" s="184"/>
      <c r="C4762" s="184"/>
      <c r="D4762" s="184"/>
      <c r="E4762" s="184"/>
      <c r="F4762" s="184"/>
      <c r="I4762" s="186"/>
      <c r="J4762" s="184"/>
    </row>
    <row r="4763" spans="2:10">
      <c r="B4763" s="184"/>
      <c r="C4763" s="184"/>
      <c r="D4763" s="184"/>
      <c r="E4763" s="184"/>
      <c r="F4763" s="184"/>
      <c r="I4763" s="186"/>
      <c r="J4763" s="184"/>
    </row>
    <row r="4764" spans="2:10">
      <c r="B4764" s="184"/>
      <c r="C4764" s="184"/>
      <c r="D4764" s="184"/>
      <c r="E4764" s="184"/>
      <c r="F4764" s="184"/>
      <c r="I4764" s="186"/>
      <c r="J4764" s="184"/>
    </row>
    <row r="4765" spans="2:10">
      <c r="B4765" s="184"/>
      <c r="C4765" s="184"/>
      <c r="D4765" s="184"/>
      <c r="E4765" s="184"/>
      <c r="F4765" s="184"/>
      <c r="I4765" s="186"/>
      <c r="J4765" s="184"/>
    </row>
    <row r="4766" spans="2:10">
      <c r="B4766" s="184"/>
      <c r="C4766" s="184"/>
      <c r="D4766" s="184"/>
      <c r="E4766" s="184"/>
      <c r="F4766" s="184"/>
      <c r="I4766" s="186"/>
      <c r="J4766" s="184"/>
    </row>
    <row r="4767" spans="2:10">
      <c r="B4767" s="184"/>
      <c r="C4767" s="184"/>
      <c r="D4767" s="184"/>
      <c r="E4767" s="184"/>
      <c r="F4767" s="184"/>
      <c r="I4767" s="186"/>
      <c r="J4767" s="184"/>
    </row>
    <row r="4768" spans="2:10">
      <c r="B4768" s="184"/>
      <c r="C4768" s="184"/>
      <c r="D4768" s="184"/>
      <c r="E4768" s="184"/>
      <c r="F4768" s="184"/>
      <c r="I4768" s="186"/>
      <c r="J4768" s="184"/>
    </row>
    <row r="4769" spans="2:10">
      <c r="B4769" s="184"/>
      <c r="C4769" s="184"/>
      <c r="D4769" s="184"/>
      <c r="E4769" s="184"/>
      <c r="F4769" s="184"/>
      <c r="I4769" s="186"/>
      <c r="J4769" s="184"/>
    </row>
    <row r="4770" spans="2:10">
      <c r="B4770" s="184"/>
      <c r="C4770" s="184"/>
      <c r="D4770" s="184"/>
      <c r="E4770" s="184"/>
      <c r="F4770" s="184"/>
      <c r="I4770" s="186"/>
      <c r="J4770" s="184"/>
    </row>
    <row r="4771" spans="2:10">
      <c r="B4771" s="184"/>
      <c r="C4771" s="184"/>
      <c r="D4771" s="184"/>
      <c r="E4771" s="184"/>
      <c r="F4771" s="184"/>
      <c r="I4771" s="186"/>
      <c r="J4771" s="184"/>
    </row>
    <row r="4772" spans="2:10">
      <c r="B4772" s="184"/>
      <c r="C4772" s="184"/>
      <c r="D4772" s="184"/>
      <c r="E4772" s="184"/>
      <c r="F4772" s="184"/>
      <c r="I4772" s="186"/>
      <c r="J4772" s="184"/>
    </row>
    <row r="4773" spans="2:10">
      <c r="B4773" s="184"/>
      <c r="C4773" s="184"/>
      <c r="D4773" s="184"/>
      <c r="E4773" s="184"/>
      <c r="F4773" s="184"/>
      <c r="I4773" s="186"/>
      <c r="J4773" s="184"/>
    </row>
    <row r="4774" spans="2:10">
      <c r="B4774" s="184"/>
      <c r="C4774" s="184"/>
      <c r="D4774" s="184"/>
      <c r="E4774" s="184"/>
      <c r="F4774" s="184"/>
      <c r="I4774" s="186"/>
      <c r="J4774" s="184"/>
    </row>
    <row r="4775" spans="2:10">
      <c r="B4775" s="184"/>
      <c r="C4775" s="184"/>
      <c r="D4775" s="184"/>
      <c r="E4775" s="184"/>
      <c r="F4775" s="184"/>
      <c r="I4775" s="186"/>
      <c r="J4775" s="184"/>
    </row>
    <row r="4776" spans="2:10">
      <c r="B4776" s="184"/>
      <c r="C4776" s="184"/>
      <c r="D4776" s="184"/>
      <c r="E4776" s="184"/>
      <c r="F4776" s="184"/>
      <c r="I4776" s="186"/>
      <c r="J4776" s="184"/>
    </row>
    <row r="4777" spans="2:10">
      <c r="B4777" s="184"/>
      <c r="C4777" s="184"/>
      <c r="D4777" s="184"/>
      <c r="E4777" s="184"/>
      <c r="F4777" s="184"/>
      <c r="I4777" s="186"/>
      <c r="J4777" s="184"/>
    </row>
    <row r="4780" spans="2:10">
      <c r="G4780" s="187"/>
    </row>
    <row r="4781" spans="2:10">
      <c r="G4781" s="187"/>
    </row>
    <row r="4784" spans="2:10">
      <c r="G4784" s="187"/>
    </row>
    <row r="4785" spans="7:7">
      <c r="G4785" s="187"/>
    </row>
    <row r="4799" spans="7:7">
      <c r="G4799" s="187"/>
    </row>
    <row r="4810" spans="7:7">
      <c r="G4810" s="187"/>
    </row>
    <row r="4811" spans="7:7">
      <c r="G4811" s="187"/>
    </row>
    <row r="4812" spans="7:7">
      <c r="G4812" s="187"/>
    </row>
    <row r="4813" spans="7:7">
      <c r="G4813" s="187"/>
    </row>
    <row r="4814" spans="7:7">
      <c r="G4814" s="187"/>
    </row>
    <row r="4815" spans="7:7">
      <c r="G4815" s="187"/>
    </row>
    <row r="4816" spans="7:7">
      <c r="G4816" s="187"/>
    </row>
    <row r="4817" spans="7:7">
      <c r="G4817" s="187"/>
    </row>
    <row r="4819" spans="7:7">
      <c r="G4819" s="187"/>
    </row>
    <row r="4824" spans="7:7">
      <c r="G4824" s="187"/>
    </row>
    <row r="4826" spans="7:7">
      <c r="G4826" s="187"/>
    </row>
    <row r="4838" spans="7:7">
      <c r="G4838" s="187"/>
    </row>
    <row r="4842" spans="7:7">
      <c r="G4842" s="187"/>
    </row>
    <row r="4846" spans="7:7">
      <c r="G4846" s="187"/>
    </row>
    <row r="4847" spans="7:7">
      <c r="G4847" s="187"/>
    </row>
    <row r="4848" spans="7:7">
      <c r="G4848" s="187"/>
    </row>
    <row r="4849" spans="7:7">
      <c r="G4849" s="187"/>
    </row>
    <row r="4851" spans="7:7">
      <c r="G4851" s="187"/>
    </row>
    <row r="4852" spans="7:7">
      <c r="G4852" s="187"/>
    </row>
    <row r="4898" spans="7:7">
      <c r="G4898" s="187"/>
    </row>
    <row r="4914" spans="7:7">
      <c r="G4914" s="187"/>
    </row>
    <row r="4978" spans="7:7">
      <c r="G4978" s="187"/>
    </row>
    <row r="4982" spans="7:7">
      <c r="G4982" s="187"/>
    </row>
  </sheetData>
  <conditionalFormatting sqref="B2:G4777 I2:O4777">
    <cfRule type="cellIs" dxfId="1738" priority="5" operator="equal">
      <formula>"nok"</formula>
    </cfRule>
  </conditionalFormatting>
  <conditionalFormatting sqref="B4737:G4783 I4737:J4783">
    <cfRule type="cellIs" dxfId="1737" priority="4" operator="equal">
      <formula>"nok"</formula>
    </cfRule>
  </conditionalFormatting>
  <conditionalFormatting sqref="B2:G4736 I2:J4736">
    <cfRule type="cellIs" dxfId="1736" priority="3" operator="equal">
      <formula>"OK"</formula>
    </cfRule>
  </conditionalFormatting>
  <conditionalFormatting sqref="B4737:G4777 I4737:J4777">
    <cfRule type="cellIs" dxfId="1735" priority="2" operator="equal">
      <formula>"OK"</formula>
    </cfRule>
  </conditionalFormatting>
  <conditionalFormatting sqref="A2:O7000">
    <cfRule type="cellIs" dxfId="1734"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workbookViewId="0"/>
  </sheetViews>
  <sheetFormatPr defaultColWidth="9.140625" defaultRowHeight="12.75"/>
  <cols>
    <col min="1" max="1" width="8.28515625" style="180" bestFit="1" customWidth="1"/>
    <col min="2" max="2" width="11.5703125" style="180" bestFit="1" customWidth="1"/>
    <col min="3" max="3" width="75" style="179" customWidth="1"/>
    <col min="4" max="4" width="8.42578125" style="180" customWidth="1"/>
    <col min="5" max="5" width="9.85546875" style="180" bestFit="1" customWidth="1"/>
    <col min="6" max="6" width="21.140625" style="180" customWidth="1"/>
    <col min="7" max="7" width="14" style="180" customWidth="1"/>
    <col min="8" max="9" width="18.85546875" style="180" customWidth="1"/>
    <col min="10" max="10" width="47.5703125" style="181" bestFit="1" customWidth="1"/>
    <col min="11" max="11" width="21.42578125" style="180" customWidth="1"/>
    <col min="12" max="12" width="9.5703125" style="182" bestFit="1" customWidth="1"/>
    <col min="13" max="13" width="16.140625" style="180" bestFit="1" customWidth="1"/>
    <col min="14" max="14" width="19.5703125" style="180" bestFit="1" customWidth="1"/>
    <col min="15" max="15" width="8.28515625" style="180" bestFit="1" customWidth="1"/>
    <col min="16" max="16384" width="9.140625" style="174"/>
  </cols>
  <sheetData>
    <row r="1" spans="1:15" ht="81" customHeight="1" thickBot="1">
      <c r="A1" s="192" t="s">
        <v>159</v>
      </c>
      <c r="B1" s="193" t="s">
        <v>485</v>
      </c>
      <c r="C1" s="194" t="s">
        <v>449</v>
      </c>
      <c r="D1" s="195" t="s">
        <v>450</v>
      </c>
      <c r="E1" s="196" t="s">
        <v>451</v>
      </c>
      <c r="F1" s="196" t="s">
        <v>59</v>
      </c>
      <c r="G1" s="196" t="s">
        <v>452</v>
      </c>
      <c r="H1" s="196" t="s">
        <v>453</v>
      </c>
      <c r="I1" s="196" t="s">
        <v>454</v>
      </c>
      <c r="J1" s="196" t="s">
        <v>455</v>
      </c>
      <c r="K1" s="196" t="s">
        <v>456</v>
      </c>
      <c r="L1" s="196" t="s">
        <v>457</v>
      </c>
      <c r="M1" s="196" t="s">
        <v>458</v>
      </c>
      <c r="N1" s="197" t="s">
        <v>459</v>
      </c>
      <c r="O1" s="173"/>
    </row>
    <row r="2" spans="1:15">
      <c r="A2" s="175">
        <v>1</v>
      </c>
      <c r="B2" s="175" t="str">
        <f>IF(ISNA(D2),"NotApplicable","Applicable")</f>
        <v>NotApplicable</v>
      </c>
      <c r="C2" s="176"/>
      <c r="D2" s="175" t="e">
        <f>VLOOKUP(C:C,'QT Import for PTC'!B:D,3,0)</f>
        <v>#N/A</v>
      </c>
      <c r="E2" s="175"/>
      <c r="F2" s="175"/>
      <c r="G2" s="177"/>
      <c r="H2" s="177"/>
      <c r="I2" s="177"/>
      <c r="J2" s="178"/>
      <c r="K2" s="175"/>
      <c r="L2" s="179"/>
      <c r="M2" s="177"/>
      <c r="N2" s="175"/>
      <c r="O2" s="175">
        <v>1</v>
      </c>
    </row>
    <row r="3" spans="1:15">
      <c r="A3" s="175">
        <v>2</v>
      </c>
      <c r="B3" s="175" t="str">
        <f t="shared" ref="B3:B66" si="0">IF(ISNA(D3),"NotApplicable","Applicable")</f>
        <v>NotApplicable</v>
      </c>
      <c r="D3" s="175" t="e">
        <f>VLOOKUP(C:C,'QT Import for PTC'!B:D,3,0)</f>
        <v>#N/A</v>
      </c>
      <c r="E3" s="177"/>
      <c r="F3" s="177"/>
      <c r="G3" s="177"/>
      <c r="H3" s="177"/>
      <c r="I3" s="177"/>
      <c r="J3" s="178"/>
      <c r="K3" s="175"/>
      <c r="L3" s="179"/>
      <c r="M3" s="177"/>
      <c r="N3" s="175"/>
      <c r="O3" s="175">
        <v>2</v>
      </c>
    </row>
    <row r="4" spans="1:15">
      <c r="A4" s="175">
        <v>3</v>
      </c>
      <c r="B4" s="175" t="str">
        <f t="shared" si="0"/>
        <v>NotApplicable</v>
      </c>
      <c r="D4" s="175" t="e">
        <f>VLOOKUP(C:C,'QT Import for PTC'!B:D,3,0)</f>
        <v>#N/A</v>
      </c>
      <c r="E4" s="177"/>
      <c r="F4" s="177"/>
      <c r="G4" s="177"/>
      <c r="H4" s="177"/>
      <c r="I4" s="177"/>
      <c r="J4" s="178"/>
      <c r="K4" s="175"/>
      <c r="L4" s="179"/>
      <c r="M4" s="177"/>
      <c r="N4" s="175"/>
      <c r="O4" s="175">
        <v>3</v>
      </c>
    </row>
    <row r="5" spans="1:15">
      <c r="A5" s="175">
        <v>4</v>
      </c>
      <c r="B5" s="175" t="str">
        <f t="shared" si="0"/>
        <v>NotApplicable</v>
      </c>
      <c r="D5" s="175" t="e">
        <f>VLOOKUP(C:C,'QT Import for PTC'!B:D,3,0)</f>
        <v>#N/A</v>
      </c>
      <c r="E5" s="177"/>
      <c r="F5" s="177"/>
      <c r="G5" s="177"/>
      <c r="H5" s="177"/>
      <c r="I5" s="177"/>
      <c r="J5" s="178"/>
      <c r="K5" s="175"/>
      <c r="L5" s="179"/>
      <c r="M5" s="177"/>
      <c r="N5" s="175"/>
      <c r="O5" s="175">
        <v>4</v>
      </c>
    </row>
    <row r="6" spans="1:15">
      <c r="A6" s="175">
        <v>5</v>
      </c>
      <c r="B6" s="175" t="str">
        <f t="shared" si="0"/>
        <v>NotApplicable</v>
      </c>
      <c r="D6" s="175" t="e">
        <f>VLOOKUP(C:C,'QT Import for PTC'!B:D,3,0)</f>
        <v>#N/A</v>
      </c>
      <c r="E6" s="177"/>
      <c r="F6" s="177"/>
      <c r="G6" s="177"/>
      <c r="H6" s="177"/>
      <c r="I6" s="177"/>
      <c r="J6" s="178"/>
      <c r="K6" s="175"/>
      <c r="L6" s="179"/>
      <c r="M6" s="177"/>
      <c r="N6" s="175"/>
      <c r="O6" s="175">
        <v>5</v>
      </c>
    </row>
    <row r="7" spans="1:15">
      <c r="A7" s="175">
        <v>6</v>
      </c>
      <c r="B7" s="175" t="str">
        <f t="shared" si="0"/>
        <v>NotApplicable</v>
      </c>
      <c r="D7" s="175" t="e">
        <f>VLOOKUP(C:C,'QT Import for PTC'!B:D,3,0)</f>
        <v>#N/A</v>
      </c>
      <c r="E7" s="177"/>
      <c r="F7" s="177"/>
      <c r="G7" s="177"/>
      <c r="H7" s="177"/>
      <c r="I7" s="177"/>
      <c r="J7" s="178"/>
      <c r="K7" s="175"/>
      <c r="L7" s="179"/>
      <c r="M7" s="177"/>
      <c r="N7" s="175"/>
      <c r="O7" s="175">
        <v>6</v>
      </c>
    </row>
    <row r="8" spans="1:15">
      <c r="A8" s="175">
        <v>7</v>
      </c>
      <c r="B8" s="175" t="str">
        <f t="shared" si="0"/>
        <v>NotApplicable</v>
      </c>
      <c r="D8" s="175" t="e">
        <f>VLOOKUP(C:C,'QT Import for PTC'!B:D,3,0)</f>
        <v>#N/A</v>
      </c>
      <c r="E8" s="177"/>
      <c r="F8" s="177"/>
      <c r="G8" s="177"/>
      <c r="H8" s="177"/>
      <c r="I8" s="177"/>
      <c r="J8" s="178"/>
      <c r="K8" s="175"/>
      <c r="L8" s="179"/>
      <c r="M8" s="177"/>
      <c r="N8" s="175"/>
      <c r="O8" s="175">
        <v>7</v>
      </c>
    </row>
    <row r="9" spans="1:15">
      <c r="A9" s="175">
        <v>8</v>
      </c>
      <c r="B9" s="175" t="str">
        <f t="shared" si="0"/>
        <v>NotApplicable</v>
      </c>
      <c r="D9" s="175" t="e">
        <f>VLOOKUP(C:C,'QT Import for PTC'!B:D,3,0)</f>
        <v>#N/A</v>
      </c>
      <c r="E9" s="177"/>
      <c r="F9" s="177"/>
      <c r="G9" s="177"/>
      <c r="H9" s="177"/>
      <c r="I9" s="177"/>
      <c r="J9" s="178"/>
      <c r="K9" s="175"/>
      <c r="L9" s="179"/>
      <c r="M9" s="177"/>
      <c r="N9" s="175"/>
      <c r="O9" s="175">
        <v>8</v>
      </c>
    </row>
    <row r="10" spans="1:15">
      <c r="A10" s="175">
        <v>9</v>
      </c>
      <c r="B10" s="175" t="str">
        <f t="shared" si="0"/>
        <v>NotApplicable</v>
      </c>
      <c r="D10" s="175" t="e">
        <f>VLOOKUP(C:C,'QT Import for PTC'!B:D,3,0)</f>
        <v>#N/A</v>
      </c>
      <c r="E10" s="177"/>
      <c r="F10" s="177"/>
      <c r="G10" s="177"/>
      <c r="H10" s="177"/>
      <c r="I10" s="177"/>
      <c r="J10" s="178"/>
      <c r="K10" s="175"/>
      <c r="L10" s="179"/>
      <c r="M10" s="177"/>
      <c r="N10" s="175"/>
      <c r="O10" s="175">
        <v>9</v>
      </c>
    </row>
    <row r="11" spans="1:15">
      <c r="A11" s="175">
        <v>10</v>
      </c>
      <c r="B11" s="175" t="str">
        <f t="shared" si="0"/>
        <v>NotApplicable</v>
      </c>
      <c r="D11" s="175" t="e">
        <f>VLOOKUP(C:C,'QT Import for PTC'!B:D,3,0)</f>
        <v>#N/A</v>
      </c>
      <c r="E11" s="177"/>
      <c r="F11" s="177"/>
      <c r="G11" s="177"/>
      <c r="H11" s="177"/>
      <c r="I11" s="177"/>
      <c r="J11" s="178"/>
      <c r="K11" s="175"/>
      <c r="L11" s="179"/>
      <c r="M11" s="177"/>
      <c r="N11" s="175"/>
      <c r="O11" s="175">
        <v>10</v>
      </c>
    </row>
    <row r="12" spans="1:15">
      <c r="A12" s="175">
        <v>11</v>
      </c>
      <c r="B12" s="175" t="str">
        <f t="shared" si="0"/>
        <v>NotApplicable</v>
      </c>
      <c r="D12" s="175" t="e">
        <f>VLOOKUP(C:C,'QT Import for PTC'!B:D,3,0)</f>
        <v>#N/A</v>
      </c>
      <c r="E12" s="177"/>
      <c r="F12" s="177"/>
      <c r="G12" s="177"/>
      <c r="H12" s="177"/>
      <c r="I12" s="177"/>
      <c r="J12" s="178"/>
      <c r="K12" s="175"/>
      <c r="L12" s="179"/>
      <c r="M12" s="177"/>
      <c r="N12" s="175"/>
      <c r="O12" s="175">
        <v>11</v>
      </c>
    </row>
    <row r="13" spans="1:15">
      <c r="A13" s="175">
        <v>12</v>
      </c>
      <c r="B13" s="175" t="str">
        <f t="shared" si="0"/>
        <v>NotApplicable</v>
      </c>
      <c r="D13" s="175" t="e">
        <f>VLOOKUP(C:C,'QT Import for PTC'!B:D,3,0)</f>
        <v>#N/A</v>
      </c>
      <c r="E13" s="177"/>
      <c r="F13" s="177"/>
      <c r="G13" s="177"/>
      <c r="H13" s="177"/>
      <c r="I13" s="177"/>
      <c r="J13" s="178"/>
      <c r="K13" s="175"/>
      <c r="L13" s="179"/>
      <c r="M13" s="177"/>
      <c r="N13" s="175"/>
      <c r="O13" s="175">
        <v>12</v>
      </c>
    </row>
    <row r="14" spans="1:15">
      <c r="A14" s="175">
        <v>13</v>
      </c>
      <c r="B14" s="175" t="str">
        <f t="shared" si="0"/>
        <v>NotApplicable</v>
      </c>
      <c r="D14" s="175" t="e">
        <f>VLOOKUP(C:C,'QT Import for PTC'!B:D,3,0)</f>
        <v>#N/A</v>
      </c>
      <c r="E14" s="177"/>
      <c r="F14" s="177"/>
      <c r="G14" s="177"/>
      <c r="H14" s="177"/>
      <c r="I14" s="177"/>
      <c r="J14" s="178"/>
      <c r="K14" s="175"/>
      <c r="L14" s="179"/>
      <c r="M14" s="177"/>
      <c r="N14" s="175"/>
      <c r="O14" s="175">
        <v>13</v>
      </c>
    </row>
    <row r="15" spans="1:15">
      <c r="A15" s="175">
        <v>14</v>
      </c>
      <c r="B15" s="175" t="str">
        <f t="shared" si="0"/>
        <v>NotApplicable</v>
      </c>
      <c r="D15" s="175" t="e">
        <f>VLOOKUP(C:C,'QT Import for PTC'!B:D,3,0)</f>
        <v>#N/A</v>
      </c>
      <c r="E15" s="177"/>
      <c r="F15" s="177"/>
      <c r="G15" s="177"/>
      <c r="H15" s="177"/>
      <c r="I15" s="177"/>
      <c r="J15" s="178"/>
      <c r="K15" s="175"/>
      <c r="L15" s="179"/>
      <c r="M15" s="177"/>
      <c r="N15" s="175"/>
      <c r="O15" s="175">
        <v>14</v>
      </c>
    </row>
    <row r="16" spans="1:15">
      <c r="A16" s="175">
        <v>15</v>
      </c>
      <c r="B16" s="175" t="str">
        <f t="shared" si="0"/>
        <v>NotApplicable</v>
      </c>
      <c r="D16" s="175" t="e">
        <f>VLOOKUP(C:C,'QT Import for PTC'!B:D,3,0)</f>
        <v>#N/A</v>
      </c>
      <c r="E16" s="177"/>
      <c r="F16" s="177"/>
      <c r="G16" s="177"/>
      <c r="H16" s="177"/>
      <c r="I16" s="177"/>
      <c r="J16" s="178"/>
      <c r="K16" s="175"/>
      <c r="L16" s="179"/>
      <c r="M16" s="177"/>
      <c r="N16" s="175"/>
      <c r="O16" s="175">
        <v>15</v>
      </c>
    </row>
    <row r="17" spans="1:15">
      <c r="A17" s="175">
        <v>16</v>
      </c>
      <c r="B17" s="175" t="str">
        <f t="shared" si="0"/>
        <v>NotApplicable</v>
      </c>
      <c r="D17" s="175" t="e">
        <f>VLOOKUP(C:C,'QT Import for PTC'!B:D,3,0)</f>
        <v>#N/A</v>
      </c>
      <c r="E17" s="177"/>
      <c r="F17" s="177"/>
      <c r="G17" s="177"/>
      <c r="H17" s="177"/>
      <c r="I17" s="177"/>
      <c r="J17" s="178"/>
      <c r="K17" s="175"/>
      <c r="L17" s="179"/>
      <c r="M17" s="177"/>
      <c r="N17" s="175"/>
      <c r="O17" s="175">
        <v>16</v>
      </c>
    </row>
    <row r="18" spans="1:15">
      <c r="A18" s="175">
        <v>17</v>
      </c>
      <c r="B18" s="175" t="str">
        <f t="shared" si="0"/>
        <v>NotApplicable</v>
      </c>
      <c r="D18" s="175" t="e">
        <f>VLOOKUP(C:C,'QT Import for PTC'!B:D,3,0)</f>
        <v>#N/A</v>
      </c>
      <c r="E18" s="177"/>
      <c r="F18" s="177"/>
      <c r="G18" s="177"/>
      <c r="H18" s="177"/>
      <c r="I18" s="177"/>
      <c r="J18" s="178"/>
      <c r="K18" s="175"/>
      <c r="L18" s="179"/>
      <c r="M18" s="177"/>
      <c r="N18" s="175"/>
      <c r="O18" s="175">
        <v>17</v>
      </c>
    </row>
    <row r="19" spans="1:15">
      <c r="A19" s="175">
        <v>18</v>
      </c>
      <c r="B19" s="175" t="str">
        <f t="shared" si="0"/>
        <v>NotApplicable</v>
      </c>
      <c r="D19" s="175" t="e">
        <f>VLOOKUP(C:C,'QT Import for PTC'!B:D,3,0)</f>
        <v>#N/A</v>
      </c>
      <c r="E19" s="177"/>
      <c r="F19" s="177"/>
      <c r="G19" s="177"/>
      <c r="H19" s="177"/>
      <c r="I19" s="177"/>
      <c r="J19" s="178"/>
      <c r="K19" s="175"/>
      <c r="L19" s="179"/>
      <c r="M19" s="177"/>
      <c r="N19" s="175"/>
      <c r="O19" s="175">
        <v>18</v>
      </c>
    </row>
    <row r="20" spans="1:15">
      <c r="A20" s="175">
        <v>19</v>
      </c>
      <c r="B20" s="175" t="str">
        <f t="shared" si="0"/>
        <v>NotApplicable</v>
      </c>
      <c r="D20" s="175" t="e">
        <f>VLOOKUP(C:C,'QT Import for PTC'!B:D,3,0)</f>
        <v>#N/A</v>
      </c>
      <c r="E20" s="177"/>
      <c r="F20" s="177"/>
      <c r="G20" s="177"/>
      <c r="H20" s="177"/>
      <c r="I20" s="177"/>
      <c r="J20" s="178"/>
      <c r="K20" s="175"/>
      <c r="L20" s="179"/>
      <c r="M20" s="177"/>
      <c r="N20" s="175"/>
      <c r="O20" s="175">
        <v>19</v>
      </c>
    </row>
    <row r="21" spans="1:15">
      <c r="A21" s="175">
        <v>20</v>
      </c>
      <c r="B21" s="175" t="str">
        <f t="shared" si="0"/>
        <v>NotApplicable</v>
      </c>
      <c r="D21" s="175" t="e">
        <f>VLOOKUP(C:C,'QT Import for PTC'!B:D,3,0)</f>
        <v>#N/A</v>
      </c>
      <c r="E21" s="177"/>
      <c r="F21" s="177"/>
      <c r="G21" s="177"/>
      <c r="H21" s="177"/>
      <c r="I21" s="177"/>
      <c r="J21" s="178"/>
      <c r="K21" s="175"/>
      <c r="L21" s="179"/>
      <c r="M21" s="177"/>
      <c r="N21" s="175"/>
      <c r="O21" s="175">
        <v>20</v>
      </c>
    </row>
    <row r="22" spans="1:15">
      <c r="A22" s="175">
        <v>21</v>
      </c>
      <c r="B22" s="175" t="str">
        <f t="shared" si="0"/>
        <v>NotApplicable</v>
      </c>
      <c r="D22" s="175" t="e">
        <f>VLOOKUP(C:C,'QT Import for PTC'!B:D,3,0)</f>
        <v>#N/A</v>
      </c>
      <c r="E22" s="177"/>
      <c r="F22" s="177"/>
      <c r="G22" s="177"/>
      <c r="H22" s="177"/>
      <c r="I22" s="177"/>
      <c r="J22" s="178"/>
      <c r="K22" s="175"/>
      <c r="L22" s="179"/>
      <c r="M22" s="177"/>
      <c r="N22" s="175"/>
      <c r="O22" s="175">
        <v>21</v>
      </c>
    </row>
    <row r="23" spans="1:15">
      <c r="A23" s="175">
        <v>22</v>
      </c>
      <c r="B23" s="175" t="str">
        <f t="shared" si="0"/>
        <v>NotApplicable</v>
      </c>
      <c r="D23" s="175" t="e">
        <f>VLOOKUP(C:C,'QT Import for PTC'!B:D,3,0)</f>
        <v>#N/A</v>
      </c>
      <c r="E23" s="177"/>
      <c r="F23" s="177"/>
      <c r="G23" s="177"/>
      <c r="H23" s="177"/>
      <c r="I23" s="177"/>
      <c r="J23" s="178"/>
      <c r="K23" s="175"/>
      <c r="L23" s="179"/>
      <c r="M23" s="177"/>
      <c r="N23" s="175"/>
      <c r="O23" s="175">
        <v>22</v>
      </c>
    </row>
    <row r="24" spans="1:15">
      <c r="A24" s="175">
        <v>23</v>
      </c>
      <c r="B24" s="175" t="str">
        <f t="shared" si="0"/>
        <v>NotApplicable</v>
      </c>
      <c r="D24" s="175" t="e">
        <f>VLOOKUP(C:C,'QT Import for PTC'!B:D,3,0)</f>
        <v>#N/A</v>
      </c>
      <c r="E24" s="177"/>
      <c r="F24" s="177"/>
      <c r="G24" s="177"/>
      <c r="H24" s="177"/>
      <c r="I24" s="177"/>
      <c r="J24" s="178"/>
      <c r="K24" s="175"/>
      <c r="L24" s="179"/>
      <c r="M24" s="177"/>
      <c r="N24" s="175"/>
      <c r="O24" s="175">
        <v>23</v>
      </c>
    </row>
    <row r="25" spans="1:15">
      <c r="A25" s="175">
        <v>24</v>
      </c>
      <c r="B25" s="175" t="str">
        <f t="shared" si="0"/>
        <v>NotApplicable</v>
      </c>
      <c r="D25" s="175" t="e">
        <f>VLOOKUP(C:C,'QT Import for PTC'!B:D,3,0)</f>
        <v>#N/A</v>
      </c>
      <c r="E25" s="177"/>
      <c r="F25" s="177"/>
      <c r="G25" s="177"/>
      <c r="H25" s="177"/>
      <c r="I25" s="177"/>
      <c r="J25" s="178"/>
      <c r="K25" s="175"/>
      <c r="L25" s="179"/>
      <c r="M25" s="177"/>
      <c r="N25" s="175"/>
      <c r="O25" s="175">
        <v>24</v>
      </c>
    </row>
    <row r="26" spans="1:15">
      <c r="A26" s="175">
        <v>25</v>
      </c>
      <c r="B26" s="175" t="str">
        <f t="shared" si="0"/>
        <v>NotApplicable</v>
      </c>
      <c r="D26" s="175" t="e">
        <f>VLOOKUP(C:C,'QT Import for PTC'!B:D,3,0)</f>
        <v>#N/A</v>
      </c>
      <c r="E26" s="177"/>
      <c r="F26" s="177"/>
      <c r="G26" s="177"/>
      <c r="H26" s="177"/>
      <c r="I26" s="177"/>
      <c r="J26" s="178"/>
      <c r="K26" s="175"/>
      <c r="L26" s="179"/>
      <c r="M26" s="177"/>
      <c r="N26" s="175"/>
      <c r="O26" s="175">
        <v>25</v>
      </c>
    </row>
    <row r="27" spans="1:15">
      <c r="A27" s="175">
        <v>26</v>
      </c>
      <c r="B27" s="175" t="str">
        <f t="shared" si="0"/>
        <v>NotApplicable</v>
      </c>
      <c r="D27" s="175" t="e">
        <f>VLOOKUP(C:C,'QT Import for PTC'!B:D,3,0)</f>
        <v>#N/A</v>
      </c>
      <c r="E27" s="177"/>
      <c r="F27" s="177"/>
      <c r="G27" s="177"/>
      <c r="H27" s="177"/>
      <c r="I27" s="177"/>
      <c r="J27" s="178"/>
      <c r="K27" s="175"/>
      <c r="L27" s="179"/>
      <c r="M27" s="177"/>
      <c r="N27" s="175"/>
      <c r="O27" s="175">
        <v>26</v>
      </c>
    </row>
    <row r="28" spans="1:15">
      <c r="A28" s="175">
        <v>27</v>
      </c>
      <c r="B28" s="175" t="str">
        <f t="shared" si="0"/>
        <v>NotApplicable</v>
      </c>
      <c r="D28" s="175" t="e">
        <f>VLOOKUP(C:C,'QT Import for PTC'!B:D,3,0)</f>
        <v>#N/A</v>
      </c>
      <c r="E28" s="177"/>
      <c r="F28" s="177"/>
      <c r="G28" s="177"/>
      <c r="H28" s="177"/>
      <c r="I28" s="177"/>
      <c r="J28" s="178"/>
      <c r="K28" s="175"/>
      <c r="L28" s="179"/>
      <c r="M28" s="177"/>
      <c r="N28" s="175"/>
      <c r="O28" s="175">
        <v>27</v>
      </c>
    </row>
    <row r="29" spans="1:15">
      <c r="A29" s="175">
        <v>28</v>
      </c>
      <c r="B29" s="175" t="str">
        <f t="shared" si="0"/>
        <v>NotApplicable</v>
      </c>
      <c r="D29" s="175" t="e">
        <f>VLOOKUP(C:C,'QT Import for PTC'!B:D,3,0)</f>
        <v>#N/A</v>
      </c>
      <c r="E29" s="177"/>
      <c r="F29" s="177"/>
      <c r="G29" s="177"/>
      <c r="H29" s="177"/>
      <c r="I29" s="177"/>
      <c r="J29" s="178"/>
      <c r="K29" s="175"/>
      <c r="L29" s="179"/>
      <c r="M29" s="177"/>
      <c r="N29" s="175"/>
      <c r="O29" s="175">
        <v>28</v>
      </c>
    </row>
    <row r="30" spans="1:15">
      <c r="A30" s="175">
        <v>29</v>
      </c>
      <c r="B30" s="175" t="str">
        <f t="shared" si="0"/>
        <v>NotApplicable</v>
      </c>
      <c r="D30" s="175" t="e">
        <f>VLOOKUP(C:C,'QT Import for PTC'!B:D,3,0)</f>
        <v>#N/A</v>
      </c>
      <c r="E30" s="177"/>
      <c r="F30" s="177"/>
      <c r="G30" s="177"/>
      <c r="H30" s="177"/>
      <c r="I30" s="177"/>
      <c r="J30" s="178"/>
      <c r="K30" s="175"/>
      <c r="L30" s="179"/>
      <c r="M30" s="177"/>
      <c r="N30" s="175"/>
      <c r="O30" s="175">
        <v>29</v>
      </c>
    </row>
    <row r="31" spans="1:15">
      <c r="A31" s="175">
        <v>30</v>
      </c>
      <c r="B31" s="175" t="str">
        <f t="shared" si="0"/>
        <v>NotApplicable</v>
      </c>
      <c r="D31" s="175" t="e">
        <f>VLOOKUP(C:C,'QT Import for PTC'!B:D,3,0)</f>
        <v>#N/A</v>
      </c>
      <c r="E31" s="177"/>
      <c r="F31" s="177"/>
      <c r="G31" s="177"/>
      <c r="H31" s="177"/>
      <c r="I31" s="177"/>
      <c r="J31" s="178"/>
      <c r="K31" s="175"/>
      <c r="L31" s="179"/>
      <c r="M31" s="177"/>
      <c r="N31" s="175"/>
      <c r="O31" s="175">
        <v>30</v>
      </c>
    </row>
    <row r="32" spans="1:15">
      <c r="A32" s="175">
        <v>31</v>
      </c>
      <c r="B32" s="175" t="str">
        <f t="shared" si="0"/>
        <v>NotApplicable</v>
      </c>
      <c r="D32" s="175" t="e">
        <f>VLOOKUP(C:C,'QT Import for PTC'!B:D,3,0)</f>
        <v>#N/A</v>
      </c>
      <c r="E32" s="177"/>
      <c r="F32" s="177"/>
      <c r="G32" s="177"/>
      <c r="H32" s="177"/>
      <c r="I32" s="177"/>
      <c r="J32" s="178"/>
      <c r="K32" s="175"/>
      <c r="L32" s="179"/>
      <c r="M32" s="177"/>
      <c r="N32" s="175"/>
      <c r="O32" s="175">
        <v>31</v>
      </c>
    </row>
    <row r="33" spans="1:15">
      <c r="A33" s="175">
        <v>32</v>
      </c>
      <c r="B33" s="175" t="str">
        <f t="shared" si="0"/>
        <v>NotApplicable</v>
      </c>
      <c r="D33" s="175" t="e">
        <f>VLOOKUP(C:C,'QT Import for PTC'!B:D,3,0)</f>
        <v>#N/A</v>
      </c>
      <c r="E33" s="177"/>
      <c r="F33" s="177"/>
      <c r="G33" s="177"/>
      <c r="H33" s="177"/>
      <c r="I33" s="177"/>
      <c r="J33" s="178"/>
      <c r="K33" s="175"/>
      <c r="L33" s="179"/>
      <c r="M33" s="177"/>
      <c r="N33" s="175"/>
      <c r="O33" s="175">
        <v>32</v>
      </c>
    </row>
    <row r="34" spans="1:15">
      <c r="A34" s="175">
        <v>33</v>
      </c>
      <c r="B34" s="175" t="str">
        <f t="shared" si="0"/>
        <v>NotApplicable</v>
      </c>
      <c r="D34" s="175" t="e">
        <f>VLOOKUP(C:C,'QT Import for PTC'!B:D,3,0)</f>
        <v>#N/A</v>
      </c>
      <c r="E34" s="177"/>
      <c r="F34" s="177"/>
      <c r="G34" s="177"/>
      <c r="H34" s="177"/>
      <c r="I34" s="177"/>
      <c r="J34" s="178"/>
      <c r="K34" s="175"/>
      <c r="L34" s="179"/>
      <c r="M34" s="177"/>
      <c r="N34" s="175"/>
      <c r="O34" s="175">
        <v>33</v>
      </c>
    </row>
    <row r="35" spans="1:15">
      <c r="A35" s="175">
        <v>34</v>
      </c>
      <c r="B35" s="175" t="str">
        <f t="shared" si="0"/>
        <v>NotApplicable</v>
      </c>
      <c r="D35" s="175" t="e">
        <f>VLOOKUP(C:C,'QT Import for PTC'!B:D,3,0)</f>
        <v>#N/A</v>
      </c>
      <c r="E35" s="177"/>
      <c r="F35" s="177"/>
      <c r="G35" s="177"/>
      <c r="H35" s="177"/>
      <c r="I35" s="177"/>
      <c r="J35" s="178"/>
      <c r="K35" s="175"/>
      <c r="L35" s="179"/>
      <c r="M35" s="177"/>
      <c r="N35" s="175"/>
      <c r="O35" s="175">
        <v>34</v>
      </c>
    </row>
    <row r="36" spans="1:15">
      <c r="A36" s="175">
        <v>35</v>
      </c>
      <c r="B36" s="175" t="str">
        <f t="shared" si="0"/>
        <v>NotApplicable</v>
      </c>
      <c r="D36" s="175" t="e">
        <f>VLOOKUP(C:C,'QT Import for PTC'!B:D,3,0)</f>
        <v>#N/A</v>
      </c>
      <c r="E36" s="177"/>
      <c r="F36" s="177"/>
      <c r="G36" s="177"/>
      <c r="H36" s="177"/>
      <c r="I36" s="177"/>
      <c r="J36" s="178"/>
      <c r="K36" s="175"/>
      <c r="L36" s="179"/>
      <c r="M36" s="177"/>
      <c r="N36" s="175"/>
      <c r="O36" s="175">
        <v>35</v>
      </c>
    </row>
    <row r="37" spans="1:15">
      <c r="A37" s="175">
        <v>36</v>
      </c>
      <c r="B37" s="175" t="str">
        <f t="shared" si="0"/>
        <v>NotApplicable</v>
      </c>
      <c r="D37" s="175" t="e">
        <f>VLOOKUP(C:C,'QT Import for PTC'!B:D,3,0)</f>
        <v>#N/A</v>
      </c>
      <c r="E37" s="177"/>
      <c r="F37" s="177"/>
      <c r="G37" s="177"/>
      <c r="H37" s="177"/>
      <c r="I37" s="177"/>
      <c r="J37" s="178"/>
      <c r="K37" s="175"/>
      <c r="L37" s="179"/>
      <c r="M37" s="177"/>
      <c r="N37" s="175"/>
      <c r="O37" s="175">
        <v>36</v>
      </c>
    </row>
    <row r="38" spans="1:15">
      <c r="A38" s="175">
        <v>37</v>
      </c>
      <c r="B38" s="175" t="str">
        <f t="shared" si="0"/>
        <v>NotApplicable</v>
      </c>
      <c r="D38" s="175" t="e">
        <f>VLOOKUP(C:C,'QT Import for PTC'!B:D,3,0)</f>
        <v>#N/A</v>
      </c>
      <c r="E38" s="177"/>
      <c r="F38" s="177"/>
      <c r="G38" s="177"/>
      <c r="H38" s="177"/>
      <c r="I38" s="177"/>
      <c r="J38" s="178"/>
      <c r="K38" s="175"/>
      <c r="L38" s="179"/>
      <c r="M38" s="177"/>
      <c r="N38" s="175"/>
      <c r="O38" s="175">
        <v>37</v>
      </c>
    </row>
    <row r="39" spans="1:15">
      <c r="A39" s="175">
        <v>38</v>
      </c>
      <c r="B39" s="175" t="str">
        <f t="shared" si="0"/>
        <v>NotApplicable</v>
      </c>
      <c r="D39" s="175" t="e">
        <f>VLOOKUP(C:C,'QT Import for PTC'!B:D,3,0)</f>
        <v>#N/A</v>
      </c>
      <c r="E39" s="177"/>
      <c r="F39" s="177"/>
      <c r="G39" s="177"/>
      <c r="H39" s="177"/>
      <c r="I39" s="177"/>
      <c r="J39" s="178"/>
      <c r="K39" s="175"/>
      <c r="L39" s="179"/>
      <c r="M39" s="177"/>
      <c r="N39" s="175"/>
      <c r="O39" s="175">
        <v>38</v>
      </c>
    </row>
    <row r="40" spans="1:15">
      <c r="A40" s="175">
        <v>39</v>
      </c>
      <c r="B40" s="175" t="str">
        <f t="shared" si="0"/>
        <v>NotApplicable</v>
      </c>
      <c r="D40" s="175" t="e">
        <f>VLOOKUP(C:C,'QT Import for PTC'!B:D,3,0)</f>
        <v>#N/A</v>
      </c>
      <c r="E40" s="177"/>
      <c r="F40" s="177"/>
      <c r="G40" s="177"/>
      <c r="H40" s="177"/>
      <c r="I40" s="177"/>
      <c r="J40" s="178"/>
      <c r="K40" s="175"/>
      <c r="L40" s="179"/>
      <c r="M40" s="177"/>
      <c r="N40" s="175"/>
      <c r="O40" s="175">
        <v>39</v>
      </c>
    </row>
    <row r="41" spans="1:15">
      <c r="A41" s="175">
        <v>40</v>
      </c>
      <c r="B41" s="175" t="str">
        <f t="shared" si="0"/>
        <v>NotApplicable</v>
      </c>
      <c r="D41" s="175" t="e">
        <f>VLOOKUP(C:C,'QT Import for PTC'!B:D,3,0)</f>
        <v>#N/A</v>
      </c>
      <c r="E41" s="177"/>
      <c r="F41" s="177"/>
      <c r="G41" s="177"/>
      <c r="H41" s="177"/>
      <c r="I41" s="177"/>
      <c r="J41" s="178"/>
      <c r="K41" s="175"/>
      <c r="L41" s="179"/>
      <c r="M41" s="177"/>
      <c r="N41" s="175"/>
      <c r="O41" s="175">
        <v>40</v>
      </c>
    </row>
    <row r="42" spans="1:15">
      <c r="A42" s="175">
        <v>41</v>
      </c>
      <c r="B42" s="175" t="str">
        <f t="shared" si="0"/>
        <v>NotApplicable</v>
      </c>
      <c r="D42" s="175" t="e">
        <f>VLOOKUP(C:C,'QT Import for PTC'!B:D,3,0)</f>
        <v>#N/A</v>
      </c>
      <c r="E42" s="177"/>
      <c r="F42" s="177"/>
      <c r="G42" s="177"/>
      <c r="H42" s="177"/>
      <c r="I42" s="177"/>
      <c r="J42" s="178"/>
      <c r="K42" s="175"/>
      <c r="L42" s="179"/>
      <c r="M42" s="177"/>
      <c r="N42" s="175"/>
      <c r="O42" s="175">
        <v>41</v>
      </c>
    </row>
    <row r="43" spans="1:15">
      <c r="A43" s="175">
        <v>42</v>
      </c>
      <c r="B43" s="175" t="str">
        <f t="shared" si="0"/>
        <v>NotApplicable</v>
      </c>
      <c r="D43" s="175" t="e">
        <f>VLOOKUP(C:C,'QT Import for PTC'!B:D,3,0)</f>
        <v>#N/A</v>
      </c>
      <c r="E43" s="177"/>
      <c r="F43" s="177"/>
      <c r="G43" s="177"/>
      <c r="H43" s="177"/>
      <c r="I43" s="177"/>
      <c r="J43" s="178"/>
      <c r="K43" s="175"/>
      <c r="L43" s="179"/>
      <c r="M43" s="177"/>
      <c r="N43" s="175"/>
      <c r="O43" s="175">
        <v>42</v>
      </c>
    </row>
    <row r="44" spans="1:15">
      <c r="A44" s="175">
        <v>43</v>
      </c>
      <c r="B44" s="175" t="str">
        <f t="shared" si="0"/>
        <v>NotApplicable</v>
      </c>
      <c r="D44" s="175" t="e">
        <f>VLOOKUP(C:C,'QT Import for PTC'!B:D,3,0)</f>
        <v>#N/A</v>
      </c>
      <c r="E44" s="177"/>
      <c r="F44" s="177"/>
      <c r="G44" s="177"/>
      <c r="H44" s="177"/>
      <c r="I44" s="177"/>
      <c r="J44" s="178"/>
      <c r="K44" s="175"/>
      <c r="L44" s="179"/>
      <c r="M44" s="177"/>
      <c r="N44" s="175"/>
      <c r="O44" s="175">
        <v>43</v>
      </c>
    </row>
    <row r="45" spans="1:15">
      <c r="A45" s="175">
        <v>44</v>
      </c>
      <c r="B45" s="175" t="str">
        <f t="shared" si="0"/>
        <v>NotApplicable</v>
      </c>
      <c r="D45" s="175" t="e">
        <f>VLOOKUP(C:C,'QT Import for PTC'!B:D,3,0)</f>
        <v>#N/A</v>
      </c>
      <c r="E45" s="177"/>
      <c r="F45" s="177"/>
      <c r="G45" s="177"/>
      <c r="H45" s="177"/>
      <c r="I45" s="177"/>
      <c r="J45" s="178"/>
      <c r="K45" s="175"/>
      <c r="L45" s="179"/>
      <c r="M45" s="177"/>
      <c r="N45" s="175"/>
      <c r="O45" s="175">
        <v>44</v>
      </c>
    </row>
    <row r="46" spans="1:15">
      <c r="A46" s="175">
        <v>45</v>
      </c>
      <c r="B46" s="175" t="str">
        <f t="shared" si="0"/>
        <v>NotApplicable</v>
      </c>
      <c r="D46" s="175" t="e">
        <f>VLOOKUP(C:C,'QT Import for PTC'!B:D,3,0)</f>
        <v>#N/A</v>
      </c>
      <c r="E46" s="177"/>
      <c r="F46" s="177"/>
      <c r="G46" s="177"/>
      <c r="H46" s="177"/>
      <c r="I46" s="177"/>
      <c r="J46" s="178"/>
      <c r="K46" s="175"/>
      <c r="L46" s="179"/>
      <c r="M46" s="177"/>
      <c r="N46" s="175"/>
      <c r="O46" s="175">
        <v>45</v>
      </c>
    </row>
    <row r="47" spans="1:15">
      <c r="A47" s="175">
        <v>46</v>
      </c>
      <c r="B47" s="175" t="str">
        <f t="shared" si="0"/>
        <v>NotApplicable</v>
      </c>
      <c r="D47" s="175" t="e">
        <f>VLOOKUP(C:C,'QT Import for PTC'!B:D,3,0)</f>
        <v>#N/A</v>
      </c>
      <c r="E47" s="177"/>
      <c r="F47" s="177"/>
      <c r="G47" s="177"/>
      <c r="H47" s="177"/>
      <c r="I47" s="177"/>
      <c r="J47" s="178"/>
      <c r="K47" s="175"/>
      <c r="L47" s="179"/>
      <c r="M47" s="177"/>
      <c r="N47" s="175"/>
      <c r="O47" s="175">
        <v>46</v>
      </c>
    </row>
    <row r="48" spans="1:15">
      <c r="A48" s="175">
        <v>47</v>
      </c>
      <c r="B48" s="175" t="str">
        <f t="shared" si="0"/>
        <v>NotApplicable</v>
      </c>
      <c r="D48" s="175" t="e">
        <f>VLOOKUP(C:C,'QT Import for PTC'!B:D,3,0)</f>
        <v>#N/A</v>
      </c>
      <c r="E48" s="177"/>
      <c r="F48" s="177"/>
      <c r="G48" s="177"/>
      <c r="H48" s="177"/>
      <c r="I48" s="177"/>
      <c r="J48" s="178"/>
      <c r="K48" s="175"/>
      <c r="L48" s="179"/>
      <c r="M48" s="177"/>
      <c r="N48" s="175"/>
      <c r="O48" s="175">
        <v>47</v>
      </c>
    </row>
    <row r="49" spans="1:15">
      <c r="A49" s="175">
        <v>48</v>
      </c>
      <c r="B49" s="175" t="str">
        <f t="shared" si="0"/>
        <v>NotApplicable</v>
      </c>
      <c r="D49" s="175" t="e">
        <f>VLOOKUP(C:C,'QT Import for PTC'!B:D,3,0)</f>
        <v>#N/A</v>
      </c>
      <c r="E49" s="177"/>
      <c r="F49" s="177"/>
      <c r="G49" s="177"/>
      <c r="H49" s="177"/>
      <c r="I49" s="177"/>
      <c r="J49" s="178"/>
      <c r="K49" s="175"/>
      <c r="L49" s="179"/>
      <c r="M49" s="177"/>
      <c r="N49" s="175"/>
      <c r="O49" s="175">
        <v>48</v>
      </c>
    </row>
    <row r="50" spans="1:15">
      <c r="A50" s="175">
        <v>49</v>
      </c>
      <c r="B50" s="175" t="str">
        <f t="shared" si="0"/>
        <v>NotApplicable</v>
      </c>
      <c r="D50" s="175" t="e">
        <f>VLOOKUP(C:C,'QT Import for PTC'!B:D,3,0)</f>
        <v>#N/A</v>
      </c>
      <c r="E50" s="177"/>
      <c r="F50" s="177"/>
      <c r="G50" s="177"/>
      <c r="H50" s="177"/>
      <c r="I50" s="177"/>
      <c r="J50" s="178"/>
      <c r="K50" s="175"/>
      <c r="L50" s="179"/>
      <c r="M50" s="177"/>
      <c r="N50" s="175"/>
      <c r="O50" s="175">
        <v>49</v>
      </c>
    </row>
    <row r="51" spans="1:15">
      <c r="A51" s="175">
        <v>50</v>
      </c>
      <c r="B51" s="175" t="str">
        <f t="shared" si="0"/>
        <v>NotApplicable</v>
      </c>
      <c r="D51" s="175" t="e">
        <f>VLOOKUP(C:C,'QT Import for PTC'!B:D,3,0)</f>
        <v>#N/A</v>
      </c>
      <c r="E51" s="177"/>
      <c r="F51" s="177"/>
      <c r="G51" s="177"/>
      <c r="H51" s="177"/>
      <c r="I51" s="177"/>
      <c r="J51" s="178"/>
      <c r="K51" s="175"/>
      <c r="L51" s="179"/>
      <c r="M51" s="177"/>
      <c r="N51" s="175"/>
      <c r="O51" s="175">
        <v>50</v>
      </c>
    </row>
    <row r="52" spans="1:15">
      <c r="A52" s="175">
        <v>51</v>
      </c>
      <c r="B52" s="175" t="str">
        <f t="shared" si="0"/>
        <v>NotApplicable</v>
      </c>
      <c r="D52" s="175" t="e">
        <f>VLOOKUP(C:C,'QT Import for PTC'!B:D,3,0)</f>
        <v>#N/A</v>
      </c>
      <c r="E52" s="177"/>
      <c r="F52" s="177"/>
      <c r="G52" s="177"/>
      <c r="H52" s="177"/>
      <c r="I52" s="177"/>
      <c r="J52" s="178"/>
      <c r="K52" s="175"/>
      <c r="L52" s="179"/>
      <c r="M52" s="177"/>
      <c r="N52" s="175"/>
      <c r="O52" s="175">
        <v>51</v>
      </c>
    </row>
    <row r="53" spans="1:15">
      <c r="A53" s="175">
        <v>52</v>
      </c>
      <c r="B53" s="175" t="str">
        <f t="shared" si="0"/>
        <v>NotApplicable</v>
      </c>
      <c r="D53" s="175" t="e">
        <f>VLOOKUP(C:C,'QT Import for PTC'!B:D,3,0)</f>
        <v>#N/A</v>
      </c>
      <c r="E53" s="177"/>
      <c r="F53" s="177"/>
      <c r="G53" s="177"/>
      <c r="H53" s="177"/>
      <c r="I53" s="177"/>
      <c r="J53" s="178"/>
      <c r="K53" s="175"/>
      <c r="L53" s="179"/>
      <c r="M53" s="177"/>
      <c r="N53" s="175"/>
      <c r="O53" s="175">
        <v>52</v>
      </c>
    </row>
    <row r="54" spans="1:15">
      <c r="A54" s="175">
        <v>53</v>
      </c>
      <c r="B54" s="175" t="str">
        <f t="shared" si="0"/>
        <v>NotApplicable</v>
      </c>
      <c r="D54" s="175" t="e">
        <f>VLOOKUP(C:C,'QT Import for PTC'!B:D,3,0)</f>
        <v>#N/A</v>
      </c>
      <c r="E54" s="177"/>
      <c r="F54" s="177"/>
      <c r="G54" s="177"/>
      <c r="H54" s="177"/>
      <c r="I54" s="177"/>
      <c r="J54" s="178"/>
      <c r="K54" s="175"/>
      <c r="L54" s="179"/>
      <c r="M54" s="177"/>
      <c r="N54" s="175"/>
      <c r="O54" s="175">
        <v>53</v>
      </c>
    </row>
    <row r="55" spans="1:15">
      <c r="A55" s="175">
        <v>54</v>
      </c>
      <c r="B55" s="175" t="str">
        <f t="shared" si="0"/>
        <v>NotApplicable</v>
      </c>
      <c r="D55" s="175" t="e">
        <f>VLOOKUP(C:C,'QT Import for PTC'!B:D,3,0)</f>
        <v>#N/A</v>
      </c>
      <c r="E55" s="177"/>
      <c r="F55" s="177"/>
      <c r="G55" s="177"/>
      <c r="H55" s="177"/>
      <c r="I55" s="177"/>
      <c r="J55" s="178"/>
      <c r="K55" s="175"/>
      <c r="L55" s="179"/>
      <c r="M55" s="177"/>
      <c r="N55" s="175"/>
      <c r="O55" s="175">
        <v>54</v>
      </c>
    </row>
    <row r="56" spans="1:15">
      <c r="A56" s="175">
        <v>55</v>
      </c>
      <c r="B56" s="175" t="str">
        <f t="shared" si="0"/>
        <v>NotApplicable</v>
      </c>
      <c r="D56" s="175" t="e">
        <f>VLOOKUP(C:C,'QT Import for PTC'!B:D,3,0)</f>
        <v>#N/A</v>
      </c>
      <c r="E56" s="177"/>
      <c r="F56" s="177"/>
      <c r="G56" s="177"/>
      <c r="H56" s="177"/>
      <c r="I56" s="177"/>
      <c r="J56" s="178"/>
      <c r="K56" s="175"/>
      <c r="L56" s="179"/>
      <c r="M56" s="177"/>
      <c r="N56" s="175"/>
      <c r="O56" s="175">
        <v>55</v>
      </c>
    </row>
    <row r="57" spans="1:15">
      <c r="A57" s="175">
        <v>56</v>
      </c>
      <c r="B57" s="175" t="str">
        <f t="shared" si="0"/>
        <v>NotApplicable</v>
      </c>
      <c r="D57" s="175" t="e">
        <f>VLOOKUP(C:C,'QT Import for PTC'!B:D,3,0)</f>
        <v>#N/A</v>
      </c>
      <c r="E57" s="177"/>
      <c r="F57" s="177"/>
      <c r="G57" s="177"/>
      <c r="H57" s="177"/>
      <c r="I57" s="177"/>
      <c r="J57" s="178"/>
      <c r="K57" s="175"/>
      <c r="L57" s="179"/>
      <c r="M57" s="177"/>
      <c r="N57" s="175"/>
      <c r="O57" s="175">
        <v>56</v>
      </c>
    </row>
    <row r="58" spans="1:15">
      <c r="A58" s="175">
        <v>57</v>
      </c>
      <c r="B58" s="175" t="str">
        <f t="shared" si="0"/>
        <v>NotApplicable</v>
      </c>
      <c r="D58" s="175" t="e">
        <f>VLOOKUP(C:C,'QT Import for PTC'!B:D,3,0)</f>
        <v>#N/A</v>
      </c>
      <c r="E58" s="177"/>
      <c r="F58" s="177"/>
      <c r="G58" s="177"/>
      <c r="H58" s="177"/>
      <c r="I58" s="177"/>
      <c r="J58" s="178"/>
      <c r="K58" s="175"/>
      <c r="L58" s="179"/>
      <c r="M58" s="177"/>
      <c r="N58" s="175"/>
      <c r="O58" s="175">
        <v>57</v>
      </c>
    </row>
    <row r="59" spans="1:15">
      <c r="A59" s="175">
        <v>58</v>
      </c>
      <c r="B59" s="175" t="str">
        <f t="shared" si="0"/>
        <v>NotApplicable</v>
      </c>
      <c r="D59" s="175" t="e">
        <f>VLOOKUP(C:C,'QT Import for PTC'!B:D,3,0)</f>
        <v>#N/A</v>
      </c>
      <c r="E59" s="177"/>
      <c r="F59" s="177"/>
      <c r="G59" s="177"/>
      <c r="H59" s="177"/>
      <c r="I59" s="177"/>
      <c r="J59" s="178"/>
      <c r="K59" s="175"/>
      <c r="L59" s="179"/>
      <c r="M59" s="177"/>
      <c r="N59" s="175"/>
      <c r="O59" s="175">
        <v>58</v>
      </c>
    </row>
    <row r="60" spans="1:15">
      <c r="A60" s="175">
        <v>59</v>
      </c>
      <c r="B60" s="175" t="str">
        <f t="shared" si="0"/>
        <v>NotApplicable</v>
      </c>
      <c r="D60" s="175" t="e">
        <f>VLOOKUP(C:C,'QT Import for PTC'!B:D,3,0)</f>
        <v>#N/A</v>
      </c>
      <c r="E60" s="177"/>
      <c r="F60" s="177"/>
      <c r="G60" s="177"/>
      <c r="H60" s="177"/>
      <c r="I60" s="177"/>
      <c r="J60" s="178"/>
      <c r="K60" s="175"/>
      <c r="L60" s="179"/>
      <c r="M60" s="177"/>
      <c r="N60" s="175"/>
      <c r="O60" s="175">
        <v>59</v>
      </c>
    </row>
    <row r="61" spans="1:15">
      <c r="A61" s="175">
        <v>60</v>
      </c>
      <c r="B61" s="175" t="str">
        <f t="shared" si="0"/>
        <v>NotApplicable</v>
      </c>
      <c r="D61" s="175" t="e">
        <f>VLOOKUP(C:C,'QT Import for PTC'!B:D,3,0)</f>
        <v>#N/A</v>
      </c>
      <c r="E61" s="177"/>
      <c r="F61" s="177"/>
      <c r="G61" s="177"/>
      <c r="H61" s="177"/>
      <c r="I61" s="177"/>
      <c r="J61" s="178"/>
      <c r="K61" s="175"/>
      <c r="L61" s="179"/>
      <c r="M61" s="177"/>
      <c r="N61" s="175"/>
      <c r="O61" s="175">
        <v>60</v>
      </c>
    </row>
    <row r="62" spans="1:15">
      <c r="A62" s="175">
        <v>61</v>
      </c>
      <c r="B62" s="175" t="str">
        <f t="shared" si="0"/>
        <v>NotApplicable</v>
      </c>
      <c r="D62" s="175" t="e">
        <f>VLOOKUP(C:C,'QT Import for PTC'!B:D,3,0)</f>
        <v>#N/A</v>
      </c>
      <c r="E62" s="177"/>
      <c r="F62" s="177"/>
      <c r="G62" s="177"/>
      <c r="H62" s="177"/>
      <c r="I62" s="177"/>
      <c r="J62" s="178"/>
      <c r="K62" s="175"/>
      <c r="L62" s="179"/>
      <c r="M62" s="177"/>
      <c r="N62" s="175"/>
      <c r="O62" s="175">
        <v>61</v>
      </c>
    </row>
    <row r="63" spans="1:15">
      <c r="A63" s="175">
        <v>62</v>
      </c>
      <c r="B63" s="175" t="str">
        <f t="shared" si="0"/>
        <v>NotApplicable</v>
      </c>
      <c r="D63" s="175" t="e">
        <f>VLOOKUP(C:C,'QT Import for PTC'!B:D,3,0)</f>
        <v>#N/A</v>
      </c>
      <c r="E63" s="177"/>
      <c r="F63" s="177"/>
      <c r="G63" s="177"/>
      <c r="H63" s="177"/>
      <c r="I63" s="177"/>
      <c r="J63" s="178"/>
      <c r="K63" s="175"/>
      <c r="L63" s="179"/>
      <c r="M63" s="177"/>
      <c r="N63" s="175"/>
      <c r="O63" s="175">
        <v>62</v>
      </c>
    </row>
    <row r="64" spans="1:15">
      <c r="A64" s="175">
        <v>63</v>
      </c>
      <c r="B64" s="175" t="str">
        <f t="shared" si="0"/>
        <v>NotApplicable</v>
      </c>
      <c r="D64" s="175" t="e">
        <f>VLOOKUP(C:C,'QT Import for PTC'!B:D,3,0)</f>
        <v>#N/A</v>
      </c>
      <c r="E64" s="177"/>
      <c r="F64" s="177"/>
      <c r="G64" s="177"/>
      <c r="H64" s="177"/>
      <c r="I64" s="177"/>
      <c r="J64" s="178"/>
      <c r="K64" s="175"/>
      <c r="L64" s="179"/>
      <c r="M64" s="177"/>
      <c r="N64" s="175"/>
      <c r="O64" s="175">
        <v>63</v>
      </c>
    </row>
    <row r="65" spans="1:15">
      <c r="A65" s="175">
        <v>64</v>
      </c>
      <c r="B65" s="175" t="str">
        <f t="shared" si="0"/>
        <v>NotApplicable</v>
      </c>
      <c r="D65" s="175" t="e">
        <f>VLOOKUP(C:C,'QT Import for PTC'!B:D,3,0)</f>
        <v>#N/A</v>
      </c>
      <c r="E65" s="177"/>
      <c r="F65" s="177"/>
      <c r="G65" s="177"/>
      <c r="H65" s="177"/>
      <c r="I65" s="177"/>
      <c r="J65" s="178"/>
      <c r="K65" s="175"/>
      <c r="L65" s="179"/>
      <c r="M65" s="177"/>
      <c r="N65" s="175"/>
      <c r="O65" s="175">
        <v>64</v>
      </c>
    </row>
    <row r="66" spans="1:15">
      <c r="A66" s="175">
        <v>65</v>
      </c>
      <c r="B66" s="175" t="str">
        <f t="shared" si="0"/>
        <v>NotApplicable</v>
      </c>
      <c r="D66" s="175" t="e">
        <f>VLOOKUP(C:C,'QT Import for PTC'!B:D,3,0)</f>
        <v>#N/A</v>
      </c>
      <c r="E66" s="177"/>
      <c r="F66" s="177"/>
      <c r="G66" s="177"/>
      <c r="H66" s="177"/>
      <c r="I66" s="177"/>
      <c r="J66" s="178"/>
      <c r="K66" s="175"/>
      <c r="L66" s="179"/>
      <c r="M66" s="177"/>
      <c r="N66" s="175"/>
      <c r="O66" s="175">
        <v>65</v>
      </c>
    </row>
    <row r="67" spans="1:15">
      <c r="A67" s="175">
        <v>66</v>
      </c>
      <c r="B67" s="175" t="str">
        <f t="shared" ref="B67:B130" si="1">IF(ISNA(D67),"NotApplicable","Applicable")</f>
        <v>NotApplicable</v>
      </c>
      <c r="D67" s="175" t="e">
        <f>VLOOKUP(C:C,'QT Import for PTC'!B:D,3,0)</f>
        <v>#N/A</v>
      </c>
      <c r="E67" s="177"/>
      <c r="F67" s="177"/>
      <c r="G67" s="177"/>
      <c r="H67" s="177"/>
      <c r="I67" s="177"/>
      <c r="J67" s="178"/>
      <c r="K67" s="175"/>
      <c r="L67" s="179"/>
      <c r="M67" s="177"/>
      <c r="N67" s="175"/>
      <c r="O67" s="175">
        <v>66</v>
      </c>
    </row>
    <row r="68" spans="1:15">
      <c r="A68" s="175">
        <v>67</v>
      </c>
      <c r="B68" s="175" t="str">
        <f t="shared" si="1"/>
        <v>NotApplicable</v>
      </c>
      <c r="D68" s="175" t="e">
        <f>VLOOKUP(C:C,'QT Import for PTC'!B:D,3,0)</f>
        <v>#N/A</v>
      </c>
      <c r="E68" s="177"/>
      <c r="F68" s="177"/>
      <c r="G68" s="177"/>
      <c r="H68" s="177"/>
      <c r="I68" s="177"/>
      <c r="J68" s="178"/>
      <c r="K68" s="175"/>
      <c r="L68" s="179"/>
      <c r="M68" s="177"/>
      <c r="N68" s="175"/>
      <c r="O68" s="175">
        <v>67</v>
      </c>
    </row>
    <row r="69" spans="1:15">
      <c r="A69" s="175">
        <v>68</v>
      </c>
      <c r="B69" s="175" t="str">
        <f t="shared" si="1"/>
        <v>NotApplicable</v>
      </c>
      <c r="D69" s="175" t="e">
        <f>VLOOKUP(C:C,'QT Import for PTC'!B:D,3,0)</f>
        <v>#N/A</v>
      </c>
      <c r="E69" s="177"/>
      <c r="F69" s="177"/>
      <c r="G69" s="177"/>
      <c r="H69" s="177"/>
      <c r="I69" s="177"/>
      <c r="J69" s="178"/>
      <c r="K69" s="175"/>
      <c r="L69" s="179"/>
      <c r="M69" s="177"/>
      <c r="N69" s="175"/>
      <c r="O69" s="175">
        <v>68</v>
      </c>
    </row>
    <row r="70" spans="1:15">
      <c r="A70" s="175">
        <v>69</v>
      </c>
      <c r="B70" s="175" t="str">
        <f t="shared" si="1"/>
        <v>NotApplicable</v>
      </c>
      <c r="D70" s="175" t="e">
        <f>VLOOKUP(C:C,'QT Import for PTC'!B:D,3,0)</f>
        <v>#N/A</v>
      </c>
      <c r="E70" s="177"/>
      <c r="F70" s="177"/>
      <c r="G70" s="177"/>
      <c r="H70" s="177"/>
      <c r="I70" s="177"/>
      <c r="J70" s="178"/>
      <c r="K70" s="175"/>
      <c r="L70" s="179"/>
      <c r="M70" s="177"/>
      <c r="N70" s="175"/>
      <c r="O70" s="175">
        <v>69</v>
      </c>
    </row>
    <row r="71" spans="1:15">
      <c r="A71" s="175">
        <v>70</v>
      </c>
      <c r="B71" s="175" t="str">
        <f t="shared" si="1"/>
        <v>NotApplicable</v>
      </c>
      <c r="D71" s="175" t="e">
        <f>VLOOKUP(C:C,'QT Import for PTC'!B:D,3,0)</f>
        <v>#N/A</v>
      </c>
      <c r="E71" s="177"/>
      <c r="F71" s="177"/>
      <c r="G71" s="177"/>
      <c r="H71" s="177"/>
      <c r="I71" s="177"/>
      <c r="J71" s="178"/>
      <c r="K71" s="175"/>
      <c r="L71" s="179"/>
      <c r="M71" s="177"/>
      <c r="N71" s="175"/>
      <c r="O71" s="175">
        <v>70</v>
      </c>
    </row>
    <row r="72" spans="1:15">
      <c r="A72" s="175">
        <v>71</v>
      </c>
      <c r="B72" s="175" t="str">
        <f t="shared" si="1"/>
        <v>NotApplicable</v>
      </c>
      <c r="D72" s="175" t="e">
        <f>VLOOKUP(C:C,'QT Import for PTC'!B:D,3,0)</f>
        <v>#N/A</v>
      </c>
      <c r="E72" s="177"/>
      <c r="F72" s="177"/>
      <c r="G72" s="177"/>
      <c r="H72" s="177"/>
      <c r="I72" s="177"/>
      <c r="J72" s="178"/>
      <c r="K72" s="175"/>
      <c r="L72" s="179"/>
      <c r="M72" s="177"/>
      <c r="N72" s="175"/>
      <c r="O72" s="175">
        <v>71</v>
      </c>
    </row>
    <row r="73" spans="1:15">
      <c r="A73" s="175">
        <v>72</v>
      </c>
      <c r="B73" s="175" t="str">
        <f t="shared" si="1"/>
        <v>NotApplicable</v>
      </c>
      <c r="D73" s="175" t="e">
        <f>VLOOKUP(C:C,'QT Import for PTC'!B:D,3,0)</f>
        <v>#N/A</v>
      </c>
      <c r="E73" s="177"/>
      <c r="F73" s="177"/>
      <c r="G73" s="177"/>
      <c r="H73" s="177"/>
      <c r="I73" s="177"/>
      <c r="J73" s="178"/>
      <c r="K73" s="175"/>
      <c r="L73" s="179"/>
      <c r="M73" s="177"/>
      <c r="N73" s="175"/>
      <c r="O73" s="175">
        <v>72</v>
      </c>
    </row>
    <row r="74" spans="1:15">
      <c r="A74" s="175">
        <v>73</v>
      </c>
      <c r="B74" s="175" t="str">
        <f t="shared" si="1"/>
        <v>NotApplicable</v>
      </c>
      <c r="D74" s="175" t="e">
        <f>VLOOKUP(C:C,'QT Import for PTC'!B:D,3,0)</f>
        <v>#N/A</v>
      </c>
      <c r="E74" s="177"/>
      <c r="F74" s="177"/>
      <c r="G74" s="177"/>
      <c r="H74" s="177"/>
      <c r="I74" s="177"/>
      <c r="J74" s="178"/>
      <c r="K74" s="175"/>
      <c r="L74" s="179"/>
      <c r="M74" s="177"/>
      <c r="N74" s="175"/>
      <c r="O74" s="175">
        <v>73</v>
      </c>
    </row>
    <row r="75" spans="1:15">
      <c r="A75" s="175">
        <v>74</v>
      </c>
      <c r="B75" s="175" t="str">
        <f t="shared" si="1"/>
        <v>NotApplicable</v>
      </c>
      <c r="D75" s="175" t="e">
        <f>VLOOKUP(C:C,'QT Import for PTC'!B:D,3,0)</f>
        <v>#N/A</v>
      </c>
      <c r="E75" s="177"/>
      <c r="F75" s="177"/>
      <c r="G75" s="177"/>
      <c r="H75" s="177"/>
      <c r="I75" s="177"/>
      <c r="J75" s="178"/>
      <c r="K75" s="175"/>
      <c r="L75" s="179"/>
      <c r="M75" s="177"/>
      <c r="N75" s="175"/>
      <c r="O75" s="175">
        <v>74</v>
      </c>
    </row>
    <row r="76" spans="1:15">
      <c r="A76" s="175">
        <v>75</v>
      </c>
      <c r="B76" s="175" t="str">
        <f t="shared" si="1"/>
        <v>NotApplicable</v>
      </c>
      <c r="D76" s="175" t="e">
        <f>VLOOKUP(C:C,'QT Import for PTC'!B:D,3,0)</f>
        <v>#N/A</v>
      </c>
      <c r="E76" s="177"/>
      <c r="F76" s="177"/>
      <c r="G76" s="177"/>
      <c r="H76" s="177"/>
      <c r="I76" s="177"/>
      <c r="J76" s="178"/>
      <c r="K76" s="175"/>
      <c r="L76" s="179"/>
      <c r="M76" s="177"/>
      <c r="N76" s="175"/>
      <c r="O76" s="175">
        <v>75</v>
      </c>
    </row>
    <row r="77" spans="1:15">
      <c r="A77" s="175">
        <v>76</v>
      </c>
      <c r="B77" s="175" t="str">
        <f t="shared" si="1"/>
        <v>NotApplicable</v>
      </c>
      <c r="D77" s="175" t="e">
        <f>VLOOKUP(C:C,'QT Import for PTC'!B:D,3,0)</f>
        <v>#N/A</v>
      </c>
      <c r="E77" s="177"/>
      <c r="F77" s="177"/>
      <c r="G77" s="177"/>
      <c r="H77" s="177"/>
      <c r="I77" s="177"/>
      <c r="J77" s="178"/>
      <c r="K77" s="175"/>
      <c r="L77" s="179"/>
      <c r="M77" s="177"/>
      <c r="N77" s="175"/>
      <c r="O77" s="175">
        <v>76</v>
      </c>
    </row>
    <row r="78" spans="1:15">
      <c r="A78" s="175">
        <v>77</v>
      </c>
      <c r="B78" s="175" t="str">
        <f t="shared" si="1"/>
        <v>NotApplicable</v>
      </c>
      <c r="D78" s="175" t="e">
        <f>VLOOKUP(C:C,'QT Import for PTC'!B:D,3,0)</f>
        <v>#N/A</v>
      </c>
      <c r="E78" s="177"/>
      <c r="F78" s="177"/>
      <c r="G78" s="177"/>
      <c r="H78" s="177"/>
      <c r="I78" s="177"/>
      <c r="J78" s="178"/>
      <c r="K78" s="175"/>
      <c r="L78" s="179"/>
      <c r="M78" s="177"/>
      <c r="N78" s="175"/>
      <c r="O78" s="175">
        <v>77</v>
      </c>
    </row>
    <row r="79" spans="1:15">
      <c r="A79" s="175">
        <v>78</v>
      </c>
      <c r="B79" s="175" t="str">
        <f t="shared" si="1"/>
        <v>NotApplicable</v>
      </c>
      <c r="D79" s="175" t="e">
        <f>VLOOKUP(C:C,'QT Import for PTC'!B:D,3,0)</f>
        <v>#N/A</v>
      </c>
      <c r="E79" s="177"/>
      <c r="F79" s="177"/>
      <c r="G79" s="177"/>
      <c r="H79" s="177"/>
      <c r="I79" s="177"/>
      <c r="J79" s="178"/>
      <c r="K79" s="175"/>
      <c r="L79" s="179"/>
      <c r="M79" s="177"/>
      <c r="N79" s="175"/>
      <c r="O79" s="175">
        <v>78</v>
      </c>
    </row>
    <row r="80" spans="1:15">
      <c r="A80" s="175">
        <v>79</v>
      </c>
      <c r="B80" s="175" t="str">
        <f t="shared" si="1"/>
        <v>NotApplicable</v>
      </c>
      <c r="D80" s="175" t="e">
        <f>VLOOKUP(C:C,'QT Import for PTC'!B:D,3,0)</f>
        <v>#N/A</v>
      </c>
      <c r="E80" s="177"/>
      <c r="F80" s="177"/>
      <c r="G80" s="177"/>
      <c r="H80" s="177"/>
      <c r="I80" s="177"/>
      <c r="J80" s="178"/>
      <c r="K80" s="175"/>
      <c r="L80" s="179"/>
      <c r="M80" s="177"/>
      <c r="N80" s="175"/>
      <c r="O80" s="175">
        <v>79</v>
      </c>
    </row>
    <row r="81" spans="1:15">
      <c r="A81" s="175">
        <v>80</v>
      </c>
      <c r="B81" s="175" t="str">
        <f t="shared" si="1"/>
        <v>NotApplicable</v>
      </c>
      <c r="D81" s="175" t="e">
        <f>VLOOKUP(C:C,'QT Import for PTC'!B:D,3,0)</f>
        <v>#N/A</v>
      </c>
      <c r="E81" s="177"/>
      <c r="F81" s="177"/>
      <c r="G81" s="177"/>
      <c r="H81" s="177"/>
      <c r="I81" s="177"/>
      <c r="J81" s="178"/>
      <c r="K81" s="175"/>
      <c r="L81" s="179"/>
      <c r="M81" s="177"/>
      <c r="N81" s="175"/>
      <c r="O81" s="175">
        <v>80</v>
      </c>
    </row>
    <row r="82" spans="1:15">
      <c r="A82" s="175">
        <v>81</v>
      </c>
      <c r="B82" s="175" t="str">
        <f t="shared" si="1"/>
        <v>NotApplicable</v>
      </c>
      <c r="D82" s="175" t="e">
        <f>VLOOKUP(C:C,'QT Import for PTC'!B:D,3,0)</f>
        <v>#N/A</v>
      </c>
      <c r="E82" s="177"/>
      <c r="F82" s="177"/>
      <c r="G82" s="177"/>
      <c r="H82" s="177"/>
      <c r="I82" s="177"/>
      <c r="J82" s="178"/>
      <c r="K82" s="175"/>
      <c r="L82" s="179"/>
      <c r="M82" s="177"/>
      <c r="N82" s="175"/>
      <c r="O82" s="175">
        <v>81</v>
      </c>
    </row>
    <row r="83" spans="1:15">
      <c r="A83" s="175">
        <v>82</v>
      </c>
      <c r="B83" s="175" t="str">
        <f t="shared" si="1"/>
        <v>NotApplicable</v>
      </c>
      <c r="D83" s="175" t="e">
        <f>VLOOKUP(C:C,'QT Import for PTC'!B:D,3,0)</f>
        <v>#N/A</v>
      </c>
      <c r="E83" s="177"/>
      <c r="F83" s="177"/>
      <c r="G83" s="177"/>
      <c r="H83" s="177"/>
      <c r="I83" s="177"/>
      <c r="J83" s="178"/>
      <c r="K83" s="175"/>
      <c r="L83" s="179"/>
      <c r="M83" s="177"/>
      <c r="N83" s="175"/>
      <c r="O83" s="175">
        <v>82</v>
      </c>
    </row>
    <row r="84" spans="1:15">
      <c r="A84" s="175">
        <v>83</v>
      </c>
      <c r="B84" s="175" t="str">
        <f t="shared" si="1"/>
        <v>NotApplicable</v>
      </c>
      <c r="D84" s="175" t="e">
        <f>VLOOKUP(C:C,'QT Import for PTC'!B:D,3,0)</f>
        <v>#N/A</v>
      </c>
      <c r="E84" s="177"/>
      <c r="F84" s="177"/>
      <c r="G84" s="177"/>
      <c r="H84" s="177"/>
      <c r="I84" s="177"/>
      <c r="J84" s="178"/>
      <c r="K84" s="175"/>
      <c r="L84" s="179"/>
      <c r="M84" s="177"/>
      <c r="N84" s="175"/>
      <c r="O84" s="175">
        <v>83</v>
      </c>
    </row>
    <row r="85" spans="1:15">
      <c r="A85" s="175">
        <v>84</v>
      </c>
      <c r="B85" s="175" t="str">
        <f t="shared" si="1"/>
        <v>NotApplicable</v>
      </c>
      <c r="D85" s="175" t="e">
        <f>VLOOKUP(C:C,'QT Import for PTC'!B:D,3,0)</f>
        <v>#N/A</v>
      </c>
      <c r="E85" s="177"/>
      <c r="F85" s="177"/>
      <c r="G85" s="177"/>
      <c r="H85" s="177"/>
      <c r="I85" s="177"/>
      <c r="J85" s="178"/>
      <c r="K85" s="175"/>
      <c r="L85" s="179"/>
      <c r="M85" s="177"/>
      <c r="N85" s="175"/>
      <c r="O85" s="175">
        <v>84</v>
      </c>
    </row>
    <row r="86" spans="1:15">
      <c r="A86" s="175">
        <v>85</v>
      </c>
      <c r="B86" s="175" t="str">
        <f t="shared" si="1"/>
        <v>NotApplicable</v>
      </c>
      <c r="D86" s="175" t="e">
        <f>VLOOKUP(C:C,'QT Import for PTC'!B:D,3,0)</f>
        <v>#N/A</v>
      </c>
      <c r="E86" s="177"/>
      <c r="F86" s="177"/>
      <c r="G86" s="177"/>
      <c r="H86" s="177"/>
      <c r="I86" s="177"/>
      <c r="J86" s="178"/>
      <c r="K86" s="175"/>
      <c r="L86" s="179"/>
      <c r="M86" s="177"/>
      <c r="N86" s="175"/>
      <c r="O86" s="175">
        <v>85</v>
      </c>
    </row>
    <row r="87" spans="1:15">
      <c r="A87" s="175">
        <v>86</v>
      </c>
      <c r="B87" s="175" t="str">
        <f t="shared" si="1"/>
        <v>NotApplicable</v>
      </c>
      <c r="D87" s="175" t="e">
        <f>VLOOKUP(C:C,'QT Import for PTC'!B:D,3,0)</f>
        <v>#N/A</v>
      </c>
      <c r="E87" s="177"/>
      <c r="F87" s="177"/>
      <c r="G87" s="177"/>
      <c r="H87" s="177"/>
      <c r="I87" s="177"/>
      <c r="J87" s="178"/>
      <c r="K87" s="175"/>
      <c r="L87" s="179"/>
      <c r="M87" s="177"/>
      <c r="N87" s="175"/>
      <c r="O87" s="175">
        <v>86</v>
      </c>
    </row>
    <row r="88" spans="1:15">
      <c r="A88" s="175">
        <v>87</v>
      </c>
      <c r="B88" s="175" t="str">
        <f t="shared" si="1"/>
        <v>NotApplicable</v>
      </c>
      <c r="D88" s="175" t="e">
        <f>VLOOKUP(C:C,'QT Import for PTC'!B:D,3,0)</f>
        <v>#N/A</v>
      </c>
      <c r="E88" s="177"/>
      <c r="F88" s="177"/>
      <c r="G88" s="177"/>
      <c r="H88" s="177"/>
      <c r="I88" s="177"/>
      <c r="J88" s="178"/>
      <c r="K88" s="175"/>
      <c r="L88" s="179"/>
      <c r="M88" s="177"/>
      <c r="N88" s="175"/>
      <c r="O88" s="175">
        <v>87</v>
      </c>
    </row>
    <row r="89" spans="1:15">
      <c r="A89" s="175">
        <v>88</v>
      </c>
      <c r="B89" s="175" t="str">
        <f t="shared" si="1"/>
        <v>NotApplicable</v>
      </c>
      <c r="D89" s="175" t="e">
        <f>VLOOKUP(C:C,'QT Import for PTC'!B:D,3,0)</f>
        <v>#N/A</v>
      </c>
      <c r="E89" s="177"/>
      <c r="F89" s="177"/>
      <c r="G89" s="177"/>
      <c r="H89" s="177"/>
      <c r="I89" s="177"/>
      <c r="J89" s="178"/>
      <c r="K89" s="175"/>
      <c r="L89" s="179"/>
      <c r="M89" s="177"/>
      <c r="N89" s="175"/>
      <c r="O89" s="175">
        <v>88</v>
      </c>
    </row>
    <row r="90" spans="1:15">
      <c r="A90" s="175">
        <v>89</v>
      </c>
      <c r="B90" s="175" t="str">
        <f t="shared" si="1"/>
        <v>NotApplicable</v>
      </c>
      <c r="D90" s="175" t="e">
        <f>VLOOKUP(C:C,'QT Import for PTC'!B:D,3,0)</f>
        <v>#N/A</v>
      </c>
      <c r="E90" s="177"/>
      <c r="F90" s="177"/>
      <c r="G90" s="177"/>
      <c r="H90" s="177"/>
      <c r="I90" s="177"/>
      <c r="J90" s="178"/>
      <c r="K90" s="175"/>
      <c r="L90" s="179"/>
      <c r="M90" s="177"/>
      <c r="N90" s="175"/>
      <c r="O90" s="175">
        <v>89</v>
      </c>
    </row>
    <row r="91" spans="1:15">
      <c r="A91" s="175">
        <v>90</v>
      </c>
      <c r="B91" s="175" t="str">
        <f t="shared" si="1"/>
        <v>NotApplicable</v>
      </c>
      <c r="D91" s="175" t="e">
        <f>VLOOKUP(C:C,'QT Import for PTC'!B:D,3,0)</f>
        <v>#N/A</v>
      </c>
      <c r="E91" s="177"/>
      <c r="F91" s="177"/>
      <c r="G91" s="177"/>
      <c r="H91" s="177"/>
      <c r="I91" s="177"/>
      <c r="J91" s="178"/>
      <c r="K91" s="175"/>
      <c r="L91" s="179"/>
      <c r="M91" s="177"/>
      <c r="N91" s="175"/>
      <c r="O91" s="175">
        <v>90</v>
      </c>
    </row>
    <row r="92" spans="1:15">
      <c r="A92" s="175">
        <v>91</v>
      </c>
      <c r="B92" s="175" t="str">
        <f t="shared" si="1"/>
        <v>NotApplicable</v>
      </c>
      <c r="D92" s="175" t="e">
        <f>VLOOKUP(C:C,'QT Import for PTC'!B:D,3,0)</f>
        <v>#N/A</v>
      </c>
      <c r="E92" s="177"/>
      <c r="F92" s="177"/>
      <c r="G92" s="177"/>
      <c r="H92" s="177"/>
      <c r="I92" s="177"/>
      <c r="J92" s="178"/>
      <c r="K92" s="175"/>
      <c r="L92" s="179"/>
      <c r="M92" s="177"/>
      <c r="N92" s="175"/>
      <c r="O92" s="175">
        <v>91</v>
      </c>
    </row>
    <row r="93" spans="1:15">
      <c r="A93" s="175">
        <v>92</v>
      </c>
      <c r="B93" s="175" t="str">
        <f t="shared" si="1"/>
        <v>NotApplicable</v>
      </c>
      <c r="D93" s="175" t="e">
        <f>VLOOKUP(C:C,'QT Import for PTC'!B:D,3,0)</f>
        <v>#N/A</v>
      </c>
      <c r="E93" s="177"/>
      <c r="F93" s="177"/>
      <c r="G93" s="177"/>
      <c r="H93" s="177"/>
      <c r="I93" s="177"/>
      <c r="J93" s="178"/>
      <c r="K93" s="175"/>
      <c r="L93" s="179"/>
      <c r="M93" s="177"/>
      <c r="N93" s="175"/>
      <c r="O93" s="175">
        <v>92</v>
      </c>
    </row>
    <row r="94" spans="1:15">
      <c r="A94" s="175">
        <v>93</v>
      </c>
      <c r="B94" s="175" t="str">
        <f t="shared" si="1"/>
        <v>NotApplicable</v>
      </c>
      <c r="D94" s="175" t="e">
        <f>VLOOKUP(C:C,'QT Import for PTC'!B:D,3,0)</f>
        <v>#N/A</v>
      </c>
      <c r="E94" s="177"/>
      <c r="F94" s="177"/>
      <c r="G94" s="177"/>
      <c r="H94" s="177"/>
      <c r="I94" s="177"/>
      <c r="J94" s="178"/>
      <c r="K94" s="175"/>
      <c r="L94" s="179"/>
      <c r="M94" s="177"/>
      <c r="N94" s="175"/>
      <c r="O94" s="175">
        <v>93</v>
      </c>
    </row>
    <row r="95" spans="1:15">
      <c r="A95" s="175">
        <v>94</v>
      </c>
      <c r="B95" s="175" t="str">
        <f t="shared" si="1"/>
        <v>NotApplicable</v>
      </c>
      <c r="D95" s="175" t="e">
        <f>VLOOKUP(C:C,'QT Import for PTC'!B:D,3,0)</f>
        <v>#N/A</v>
      </c>
      <c r="E95" s="177"/>
      <c r="F95" s="177"/>
      <c r="G95" s="177"/>
      <c r="H95" s="177"/>
      <c r="I95" s="177"/>
      <c r="J95" s="178"/>
      <c r="K95" s="175"/>
      <c r="L95" s="179"/>
      <c r="M95" s="177"/>
      <c r="N95" s="175"/>
      <c r="O95" s="175">
        <v>94</v>
      </c>
    </row>
    <row r="96" spans="1:15">
      <c r="A96" s="175">
        <v>95</v>
      </c>
      <c r="B96" s="175" t="str">
        <f t="shared" si="1"/>
        <v>NotApplicable</v>
      </c>
      <c r="D96" s="175" t="e">
        <f>VLOOKUP(C:C,'QT Import for PTC'!B:D,3,0)</f>
        <v>#N/A</v>
      </c>
      <c r="E96" s="177"/>
      <c r="F96" s="177"/>
      <c r="G96" s="177"/>
      <c r="H96" s="177"/>
      <c r="I96" s="177"/>
      <c r="J96" s="178"/>
      <c r="K96" s="175"/>
      <c r="L96" s="179"/>
      <c r="M96" s="177"/>
      <c r="N96" s="175"/>
      <c r="O96" s="175">
        <v>95</v>
      </c>
    </row>
    <row r="97" spans="1:15">
      <c r="A97" s="175">
        <v>96</v>
      </c>
      <c r="B97" s="175" t="str">
        <f t="shared" si="1"/>
        <v>NotApplicable</v>
      </c>
      <c r="D97" s="175" t="e">
        <f>VLOOKUP(C:C,'QT Import for PTC'!B:D,3,0)</f>
        <v>#N/A</v>
      </c>
      <c r="E97" s="177"/>
      <c r="F97" s="177"/>
      <c r="G97" s="177"/>
      <c r="H97" s="177"/>
      <c r="I97" s="177"/>
      <c r="J97" s="178"/>
      <c r="K97" s="175"/>
      <c r="L97" s="179"/>
      <c r="M97" s="177"/>
      <c r="N97" s="175"/>
      <c r="O97" s="175">
        <v>96</v>
      </c>
    </row>
    <row r="98" spans="1:15">
      <c r="A98" s="175">
        <v>97</v>
      </c>
      <c r="B98" s="175" t="str">
        <f t="shared" si="1"/>
        <v>NotApplicable</v>
      </c>
      <c r="D98" s="175" t="e">
        <f>VLOOKUP(C:C,'QT Import for PTC'!B:D,3,0)</f>
        <v>#N/A</v>
      </c>
      <c r="E98" s="177"/>
      <c r="F98" s="177"/>
      <c r="G98" s="177"/>
      <c r="H98" s="177"/>
      <c r="I98" s="177"/>
      <c r="J98" s="178"/>
      <c r="K98" s="175"/>
      <c r="L98" s="179"/>
      <c r="M98" s="177"/>
      <c r="N98" s="175"/>
      <c r="O98" s="175">
        <v>97</v>
      </c>
    </row>
    <row r="99" spans="1:15">
      <c r="A99" s="175">
        <v>98</v>
      </c>
      <c r="B99" s="175" t="str">
        <f t="shared" si="1"/>
        <v>NotApplicable</v>
      </c>
      <c r="D99" s="175" t="e">
        <f>VLOOKUP(C:C,'QT Import for PTC'!B:D,3,0)</f>
        <v>#N/A</v>
      </c>
      <c r="E99" s="177"/>
      <c r="F99" s="177"/>
      <c r="G99" s="177"/>
      <c r="H99" s="177"/>
      <c r="I99" s="177"/>
      <c r="J99" s="178"/>
      <c r="K99" s="175"/>
      <c r="L99" s="179"/>
      <c r="M99" s="177"/>
      <c r="N99" s="175"/>
      <c r="O99" s="175">
        <v>98</v>
      </c>
    </row>
    <row r="100" spans="1:15">
      <c r="A100" s="175">
        <v>99</v>
      </c>
      <c r="B100" s="175" t="str">
        <f t="shared" si="1"/>
        <v>NotApplicable</v>
      </c>
      <c r="D100" s="175" t="e">
        <f>VLOOKUP(C:C,'QT Import for PTC'!B:D,3,0)</f>
        <v>#N/A</v>
      </c>
      <c r="E100" s="177"/>
      <c r="F100" s="177"/>
      <c r="G100" s="177"/>
      <c r="H100" s="177"/>
      <c r="I100" s="177"/>
      <c r="J100" s="178"/>
      <c r="K100" s="175"/>
      <c r="L100" s="179"/>
      <c r="M100" s="177"/>
      <c r="N100" s="175"/>
      <c r="O100" s="175">
        <v>99</v>
      </c>
    </row>
    <row r="101" spans="1:15">
      <c r="A101" s="175">
        <v>100</v>
      </c>
      <c r="B101" s="175" t="str">
        <f t="shared" si="1"/>
        <v>NotApplicable</v>
      </c>
      <c r="D101" s="175" t="e">
        <f>VLOOKUP(C:C,'QT Import for PTC'!B:D,3,0)</f>
        <v>#N/A</v>
      </c>
      <c r="E101" s="177"/>
      <c r="F101" s="177"/>
      <c r="G101" s="177"/>
      <c r="H101" s="177"/>
      <c r="I101" s="177"/>
      <c r="J101" s="178"/>
      <c r="K101" s="175"/>
      <c r="L101" s="179"/>
      <c r="M101" s="177"/>
      <c r="N101" s="175"/>
      <c r="O101" s="175">
        <v>100</v>
      </c>
    </row>
    <row r="102" spans="1:15">
      <c r="A102" s="175">
        <v>101</v>
      </c>
      <c r="B102" s="175" t="str">
        <f t="shared" si="1"/>
        <v>NotApplicable</v>
      </c>
      <c r="D102" s="175" t="e">
        <f>VLOOKUP(C:C,'QT Import for PTC'!B:D,3,0)</f>
        <v>#N/A</v>
      </c>
      <c r="E102" s="177"/>
      <c r="F102" s="177"/>
      <c r="G102" s="177"/>
      <c r="H102" s="177"/>
      <c r="I102" s="177"/>
      <c r="J102" s="178"/>
      <c r="K102" s="175"/>
      <c r="L102" s="179"/>
      <c r="M102" s="177"/>
      <c r="N102" s="175"/>
      <c r="O102" s="175">
        <v>101</v>
      </c>
    </row>
    <row r="103" spans="1:15">
      <c r="A103" s="175">
        <v>102</v>
      </c>
      <c r="B103" s="175" t="str">
        <f t="shared" si="1"/>
        <v>NotApplicable</v>
      </c>
      <c r="D103" s="175" t="e">
        <f>VLOOKUP(C:C,'QT Import for PTC'!B:D,3,0)</f>
        <v>#N/A</v>
      </c>
      <c r="E103" s="177"/>
      <c r="F103" s="177"/>
      <c r="G103" s="177"/>
      <c r="H103" s="177"/>
      <c r="I103" s="177"/>
      <c r="J103" s="178"/>
      <c r="K103" s="175"/>
      <c r="L103" s="179"/>
      <c r="M103" s="177"/>
      <c r="N103" s="175"/>
      <c r="O103" s="175">
        <v>102</v>
      </c>
    </row>
    <row r="104" spans="1:15">
      <c r="A104" s="175">
        <v>103</v>
      </c>
      <c r="B104" s="175" t="str">
        <f t="shared" si="1"/>
        <v>NotApplicable</v>
      </c>
      <c r="D104" s="175" t="e">
        <f>VLOOKUP(C:C,'QT Import for PTC'!B:D,3,0)</f>
        <v>#N/A</v>
      </c>
      <c r="E104" s="177"/>
      <c r="F104" s="177"/>
      <c r="G104" s="177"/>
      <c r="H104" s="177"/>
      <c r="I104" s="177"/>
      <c r="J104" s="178"/>
      <c r="K104" s="175"/>
      <c r="L104" s="179"/>
      <c r="M104" s="177"/>
      <c r="N104" s="175"/>
      <c r="O104" s="175">
        <v>103</v>
      </c>
    </row>
    <row r="105" spans="1:15">
      <c r="A105" s="175">
        <v>104</v>
      </c>
      <c r="B105" s="175" t="str">
        <f t="shared" si="1"/>
        <v>NotApplicable</v>
      </c>
      <c r="D105" s="175" t="e">
        <f>VLOOKUP(C:C,'QT Import for PTC'!B:D,3,0)</f>
        <v>#N/A</v>
      </c>
      <c r="E105" s="177"/>
      <c r="F105" s="177"/>
      <c r="G105" s="177"/>
      <c r="H105" s="177"/>
      <c r="I105" s="177"/>
      <c r="J105" s="178"/>
      <c r="K105" s="175"/>
      <c r="L105" s="179"/>
      <c r="M105" s="177"/>
      <c r="N105" s="175"/>
      <c r="O105" s="175">
        <v>104</v>
      </c>
    </row>
    <row r="106" spans="1:15">
      <c r="A106" s="175">
        <v>105</v>
      </c>
      <c r="B106" s="175" t="str">
        <f t="shared" si="1"/>
        <v>NotApplicable</v>
      </c>
      <c r="D106" s="175" t="e">
        <f>VLOOKUP(C:C,'QT Import for PTC'!B:D,3,0)</f>
        <v>#N/A</v>
      </c>
      <c r="E106" s="177"/>
      <c r="F106" s="177"/>
      <c r="G106" s="177"/>
      <c r="H106" s="177"/>
      <c r="I106" s="177"/>
      <c r="J106" s="178"/>
      <c r="K106" s="175"/>
      <c r="L106" s="179"/>
      <c r="M106" s="177"/>
      <c r="N106" s="175"/>
      <c r="O106" s="175">
        <v>105</v>
      </c>
    </row>
    <row r="107" spans="1:15">
      <c r="A107" s="175">
        <v>106</v>
      </c>
      <c r="B107" s="175" t="str">
        <f t="shared" si="1"/>
        <v>NotApplicable</v>
      </c>
      <c r="D107" s="175" t="e">
        <f>VLOOKUP(C:C,'QT Import for PTC'!B:D,3,0)</f>
        <v>#N/A</v>
      </c>
      <c r="E107" s="177"/>
      <c r="F107" s="177"/>
      <c r="G107" s="177"/>
      <c r="H107" s="177"/>
      <c r="I107" s="177"/>
      <c r="J107" s="178"/>
      <c r="K107" s="175"/>
      <c r="L107" s="179"/>
      <c r="M107" s="177"/>
      <c r="N107" s="175"/>
      <c r="O107" s="175">
        <v>106</v>
      </c>
    </row>
    <row r="108" spans="1:15">
      <c r="A108" s="175">
        <v>107</v>
      </c>
      <c r="B108" s="175" t="str">
        <f t="shared" si="1"/>
        <v>NotApplicable</v>
      </c>
      <c r="D108" s="175" t="e">
        <f>VLOOKUP(C:C,'QT Import for PTC'!B:D,3,0)</f>
        <v>#N/A</v>
      </c>
      <c r="E108" s="177"/>
      <c r="F108" s="177"/>
      <c r="G108" s="177"/>
      <c r="H108" s="177"/>
      <c r="I108" s="177"/>
      <c r="J108" s="178"/>
      <c r="K108" s="175"/>
      <c r="L108" s="179"/>
      <c r="M108" s="177"/>
      <c r="N108" s="175"/>
      <c r="O108" s="175">
        <v>107</v>
      </c>
    </row>
    <row r="109" spans="1:15">
      <c r="A109" s="175">
        <v>108</v>
      </c>
      <c r="B109" s="175" t="str">
        <f t="shared" si="1"/>
        <v>NotApplicable</v>
      </c>
      <c r="D109" s="175" t="e">
        <f>VLOOKUP(C:C,'QT Import for PTC'!B:D,3,0)</f>
        <v>#N/A</v>
      </c>
      <c r="E109" s="177"/>
      <c r="F109" s="177"/>
      <c r="G109" s="177"/>
      <c r="H109" s="177"/>
      <c r="I109" s="177"/>
      <c r="J109" s="178"/>
      <c r="K109" s="175"/>
      <c r="L109" s="179"/>
      <c r="M109" s="177"/>
      <c r="N109" s="175"/>
      <c r="O109" s="175">
        <v>108</v>
      </c>
    </row>
    <row r="110" spans="1:15">
      <c r="A110" s="175">
        <v>109</v>
      </c>
      <c r="B110" s="175" t="str">
        <f t="shared" si="1"/>
        <v>NotApplicable</v>
      </c>
      <c r="D110" s="175" t="e">
        <f>VLOOKUP(C:C,'QT Import for PTC'!B:D,3,0)</f>
        <v>#N/A</v>
      </c>
      <c r="E110" s="177"/>
      <c r="F110" s="177"/>
      <c r="G110" s="177"/>
      <c r="H110" s="177"/>
      <c r="I110" s="177"/>
      <c r="J110" s="178"/>
      <c r="K110" s="175"/>
      <c r="L110" s="179"/>
      <c r="M110" s="177"/>
      <c r="N110" s="175"/>
      <c r="O110" s="175">
        <v>109</v>
      </c>
    </row>
    <row r="111" spans="1:15">
      <c r="A111" s="175">
        <v>110</v>
      </c>
      <c r="B111" s="175" t="str">
        <f t="shared" si="1"/>
        <v>NotApplicable</v>
      </c>
      <c r="D111" s="175" t="e">
        <f>VLOOKUP(C:C,'QT Import for PTC'!B:D,3,0)</f>
        <v>#N/A</v>
      </c>
      <c r="E111" s="177"/>
      <c r="F111" s="177"/>
      <c r="G111" s="177"/>
      <c r="H111" s="177"/>
      <c r="I111" s="177"/>
      <c r="J111" s="178"/>
      <c r="K111" s="175"/>
      <c r="L111" s="179"/>
      <c r="M111" s="177"/>
      <c r="N111" s="175"/>
      <c r="O111" s="175">
        <v>110</v>
      </c>
    </row>
    <row r="112" spans="1:15">
      <c r="A112" s="175">
        <v>111</v>
      </c>
      <c r="B112" s="175" t="str">
        <f t="shared" si="1"/>
        <v>NotApplicable</v>
      </c>
      <c r="D112" s="175" t="e">
        <f>VLOOKUP(C:C,'QT Import for PTC'!B:D,3,0)</f>
        <v>#N/A</v>
      </c>
      <c r="E112" s="177"/>
      <c r="F112" s="177"/>
      <c r="G112" s="177"/>
      <c r="H112" s="177"/>
      <c r="I112" s="177"/>
      <c r="J112" s="178"/>
      <c r="K112" s="175"/>
      <c r="L112" s="179"/>
      <c r="M112" s="177"/>
      <c r="N112" s="175"/>
      <c r="O112" s="175">
        <v>111</v>
      </c>
    </row>
    <row r="113" spans="1:15">
      <c r="A113" s="175">
        <v>112</v>
      </c>
      <c r="B113" s="175" t="str">
        <f t="shared" si="1"/>
        <v>NotApplicable</v>
      </c>
      <c r="D113" s="175" t="e">
        <f>VLOOKUP(C:C,'QT Import for PTC'!B:D,3,0)</f>
        <v>#N/A</v>
      </c>
      <c r="E113" s="177"/>
      <c r="F113" s="177"/>
      <c r="G113" s="177"/>
      <c r="H113" s="177"/>
      <c r="I113" s="177"/>
      <c r="J113" s="178"/>
      <c r="K113" s="175"/>
      <c r="L113" s="179"/>
      <c r="M113" s="177"/>
      <c r="N113" s="175"/>
      <c r="O113" s="175">
        <v>112</v>
      </c>
    </row>
    <row r="114" spans="1:15">
      <c r="A114" s="175">
        <v>113</v>
      </c>
      <c r="B114" s="175" t="str">
        <f t="shared" si="1"/>
        <v>NotApplicable</v>
      </c>
      <c r="D114" s="175" t="e">
        <f>VLOOKUP(C:C,'QT Import for PTC'!B:D,3,0)</f>
        <v>#N/A</v>
      </c>
      <c r="E114" s="177"/>
      <c r="F114" s="177"/>
      <c r="G114" s="177"/>
      <c r="H114" s="177"/>
      <c r="I114" s="177"/>
      <c r="J114" s="178"/>
      <c r="K114" s="175"/>
      <c r="L114" s="179"/>
      <c r="M114" s="177"/>
      <c r="N114" s="175"/>
      <c r="O114" s="175">
        <v>113</v>
      </c>
    </row>
    <row r="115" spans="1:15">
      <c r="A115" s="175">
        <v>114</v>
      </c>
      <c r="B115" s="175" t="str">
        <f t="shared" si="1"/>
        <v>NotApplicable</v>
      </c>
      <c r="D115" s="175" t="e">
        <f>VLOOKUP(C:C,'QT Import for PTC'!B:D,3,0)</f>
        <v>#N/A</v>
      </c>
      <c r="E115" s="177"/>
      <c r="F115" s="177"/>
      <c r="G115" s="177"/>
      <c r="H115" s="177"/>
      <c r="I115" s="177"/>
      <c r="J115" s="178"/>
      <c r="K115" s="175"/>
      <c r="L115" s="179"/>
      <c r="M115" s="177"/>
      <c r="N115" s="175"/>
      <c r="O115" s="175">
        <v>114</v>
      </c>
    </row>
    <row r="116" spans="1:15">
      <c r="A116" s="175">
        <v>115</v>
      </c>
      <c r="B116" s="175" t="str">
        <f t="shared" si="1"/>
        <v>NotApplicable</v>
      </c>
      <c r="D116" s="175" t="e">
        <f>VLOOKUP(C:C,'QT Import for PTC'!B:D,3,0)</f>
        <v>#N/A</v>
      </c>
      <c r="E116" s="177"/>
      <c r="F116" s="177"/>
      <c r="G116" s="177"/>
      <c r="H116" s="177"/>
      <c r="I116" s="177"/>
      <c r="J116" s="178"/>
      <c r="K116" s="175"/>
      <c r="L116" s="179"/>
      <c r="M116" s="177"/>
      <c r="N116" s="175"/>
      <c r="O116" s="175">
        <v>115</v>
      </c>
    </row>
    <row r="117" spans="1:15">
      <c r="A117" s="175">
        <v>116</v>
      </c>
      <c r="B117" s="175" t="str">
        <f t="shared" si="1"/>
        <v>NotApplicable</v>
      </c>
      <c r="D117" s="175" t="e">
        <f>VLOOKUP(C:C,'QT Import for PTC'!B:D,3,0)</f>
        <v>#N/A</v>
      </c>
      <c r="E117" s="177"/>
      <c r="F117" s="177"/>
      <c r="G117" s="177"/>
      <c r="H117" s="177"/>
      <c r="I117" s="177"/>
      <c r="J117" s="178"/>
      <c r="K117" s="175"/>
      <c r="L117" s="179"/>
      <c r="M117" s="177"/>
      <c r="N117" s="175"/>
      <c r="O117" s="175">
        <v>116</v>
      </c>
    </row>
    <row r="118" spans="1:15">
      <c r="A118" s="175">
        <v>117</v>
      </c>
      <c r="B118" s="175" t="str">
        <f t="shared" si="1"/>
        <v>NotApplicable</v>
      </c>
      <c r="D118" s="175" t="e">
        <f>VLOOKUP(C:C,'QT Import for PTC'!B:D,3,0)</f>
        <v>#N/A</v>
      </c>
      <c r="E118" s="177"/>
      <c r="F118" s="177"/>
      <c r="G118" s="177"/>
      <c r="H118" s="177"/>
      <c r="I118" s="177"/>
      <c r="J118" s="178"/>
      <c r="K118" s="175"/>
      <c r="L118" s="179"/>
      <c r="M118" s="177"/>
      <c r="N118" s="175"/>
      <c r="O118" s="175">
        <v>117</v>
      </c>
    </row>
    <row r="119" spans="1:15">
      <c r="A119" s="175">
        <v>118</v>
      </c>
      <c r="B119" s="175" t="str">
        <f t="shared" si="1"/>
        <v>NotApplicable</v>
      </c>
      <c r="D119" s="175" t="e">
        <f>VLOOKUP(C:C,'QT Import for PTC'!B:D,3,0)</f>
        <v>#N/A</v>
      </c>
      <c r="E119" s="177"/>
      <c r="F119" s="177"/>
      <c r="G119" s="177"/>
      <c r="H119" s="177"/>
      <c r="I119" s="177"/>
      <c r="J119" s="178"/>
      <c r="K119" s="175"/>
      <c r="L119" s="179"/>
      <c r="M119" s="177"/>
      <c r="N119" s="175"/>
      <c r="O119" s="175">
        <v>118</v>
      </c>
    </row>
    <row r="120" spans="1:15">
      <c r="A120" s="175">
        <v>119</v>
      </c>
      <c r="B120" s="175" t="str">
        <f t="shared" si="1"/>
        <v>NotApplicable</v>
      </c>
      <c r="D120" s="175" t="e">
        <f>VLOOKUP(C:C,'QT Import for PTC'!B:D,3,0)</f>
        <v>#N/A</v>
      </c>
      <c r="E120" s="177"/>
      <c r="F120" s="177"/>
      <c r="G120" s="177"/>
      <c r="H120" s="177"/>
      <c r="I120" s="177"/>
      <c r="J120" s="178"/>
      <c r="K120" s="175"/>
      <c r="L120" s="179"/>
      <c r="M120" s="177"/>
      <c r="N120" s="175"/>
      <c r="O120" s="175">
        <v>119</v>
      </c>
    </row>
    <row r="121" spans="1:15">
      <c r="A121" s="175">
        <v>120</v>
      </c>
      <c r="B121" s="175" t="str">
        <f t="shared" si="1"/>
        <v>NotApplicable</v>
      </c>
      <c r="D121" s="175" t="e">
        <f>VLOOKUP(C:C,'QT Import for PTC'!B:D,3,0)</f>
        <v>#N/A</v>
      </c>
      <c r="E121" s="177"/>
      <c r="F121" s="177"/>
      <c r="G121" s="177"/>
      <c r="H121" s="177"/>
      <c r="I121" s="177"/>
      <c r="J121" s="178"/>
      <c r="K121" s="175"/>
      <c r="L121" s="179"/>
      <c r="M121" s="177"/>
      <c r="N121" s="175"/>
      <c r="O121" s="175">
        <v>120</v>
      </c>
    </row>
    <row r="122" spans="1:15">
      <c r="A122" s="175">
        <v>121</v>
      </c>
      <c r="B122" s="175" t="str">
        <f t="shared" si="1"/>
        <v>NotApplicable</v>
      </c>
      <c r="D122" s="175" t="e">
        <f>VLOOKUP(C:C,'QT Import for PTC'!B:D,3,0)</f>
        <v>#N/A</v>
      </c>
      <c r="E122" s="177"/>
      <c r="F122" s="177"/>
      <c r="G122" s="177"/>
      <c r="H122" s="177"/>
      <c r="I122" s="177"/>
      <c r="J122" s="178"/>
      <c r="K122" s="175"/>
      <c r="L122" s="179"/>
      <c r="M122" s="177"/>
      <c r="N122" s="175"/>
      <c r="O122" s="175">
        <v>121</v>
      </c>
    </row>
    <row r="123" spans="1:15">
      <c r="A123" s="175">
        <v>122</v>
      </c>
      <c r="B123" s="175" t="str">
        <f t="shared" si="1"/>
        <v>NotApplicable</v>
      </c>
      <c r="D123" s="175" t="e">
        <f>VLOOKUP(C:C,'QT Import for PTC'!B:D,3,0)</f>
        <v>#N/A</v>
      </c>
      <c r="E123" s="177"/>
      <c r="F123" s="177"/>
      <c r="G123" s="177"/>
      <c r="H123" s="177"/>
      <c r="I123" s="177"/>
      <c r="J123" s="178"/>
      <c r="K123" s="175"/>
      <c r="L123" s="179"/>
      <c r="M123" s="177"/>
      <c r="N123" s="175"/>
      <c r="O123" s="175">
        <v>122</v>
      </c>
    </row>
    <row r="124" spans="1:15">
      <c r="A124" s="175">
        <v>123</v>
      </c>
      <c r="B124" s="175" t="str">
        <f t="shared" si="1"/>
        <v>NotApplicable</v>
      </c>
      <c r="D124" s="175" t="e">
        <f>VLOOKUP(C:C,'QT Import for PTC'!B:D,3,0)</f>
        <v>#N/A</v>
      </c>
      <c r="E124" s="177"/>
      <c r="F124" s="177"/>
      <c r="G124" s="177"/>
      <c r="H124" s="177"/>
      <c r="I124" s="177"/>
      <c r="J124" s="178"/>
      <c r="K124" s="175"/>
      <c r="L124" s="179"/>
      <c r="M124" s="177"/>
      <c r="N124" s="175"/>
      <c r="O124" s="175">
        <v>123</v>
      </c>
    </row>
    <row r="125" spans="1:15">
      <c r="A125" s="175">
        <v>124</v>
      </c>
      <c r="B125" s="175" t="str">
        <f t="shared" si="1"/>
        <v>NotApplicable</v>
      </c>
      <c r="D125" s="175" t="e">
        <f>VLOOKUP(C:C,'QT Import for PTC'!B:D,3,0)</f>
        <v>#N/A</v>
      </c>
      <c r="E125" s="177"/>
      <c r="F125" s="177"/>
      <c r="G125" s="177"/>
      <c r="H125" s="177"/>
      <c r="I125" s="177"/>
      <c r="J125" s="178"/>
      <c r="K125" s="175"/>
      <c r="L125" s="179"/>
      <c r="M125" s="177"/>
      <c r="N125" s="175"/>
      <c r="O125" s="175">
        <v>124</v>
      </c>
    </row>
    <row r="126" spans="1:15">
      <c r="A126" s="175">
        <v>125</v>
      </c>
      <c r="B126" s="175" t="str">
        <f t="shared" si="1"/>
        <v>NotApplicable</v>
      </c>
      <c r="D126" s="175" t="e">
        <f>VLOOKUP(C:C,'QT Import for PTC'!B:D,3,0)</f>
        <v>#N/A</v>
      </c>
      <c r="E126" s="177"/>
      <c r="F126" s="177"/>
      <c r="G126" s="177"/>
      <c r="H126" s="177"/>
      <c r="I126" s="177"/>
      <c r="J126" s="178"/>
      <c r="K126" s="175"/>
      <c r="L126" s="179"/>
      <c r="M126" s="177"/>
      <c r="N126" s="175"/>
      <c r="O126" s="175">
        <v>125</v>
      </c>
    </row>
    <row r="127" spans="1:15">
      <c r="A127" s="175">
        <v>126</v>
      </c>
      <c r="B127" s="175" t="str">
        <f t="shared" si="1"/>
        <v>NotApplicable</v>
      </c>
      <c r="D127" s="175" t="e">
        <f>VLOOKUP(C:C,'QT Import for PTC'!B:D,3,0)</f>
        <v>#N/A</v>
      </c>
      <c r="E127" s="177"/>
      <c r="F127" s="177"/>
      <c r="G127" s="177"/>
      <c r="H127" s="177"/>
      <c r="I127" s="177"/>
      <c r="J127" s="178"/>
      <c r="K127" s="175"/>
      <c r="L127" s="179"/>
      <c r="M127" s="177"/>
      <c r="N127" s="175"/>
      <c r="O127" s="175">
        <v>126</v>
      </c>
    </row>
    <row r="128" spans="1:15">
      <c r="A128" s="175">
        <v>127</v>
      </c>
      <c r="B128" s="175" t="str">
        <f t="shared" si="1"/>
        <v>NotApplicable</v>
      </c>
      <c r="D128" s="175" t="e">
        <f>VLOOKUP(C:C,'QT Import for PTC'!B:D,3,0)</f>
        <v>#N/A</v>
      </c>
      <c r="E128" s="177"/>
      <c r="F128" s="177"/>
      <c r="G128" s="177"/>
      <c r="H128" s="177"/>
      <c r="I128" s="177"/>
      <c r="J128" s="178"/>
      <c r="K128" s="175"/>
      <c r="L128" s="179"/>
      <c r="M128" s="177"/>
      <c r="N128" s="175"/>
      <c r="O128" s="175">
        <v>127</v>
      </c>
    </row>
    <row r="129" spans="1:15">
      <c r="A129" s="175">
        <v>128</v>
      </c>
      <c r="B129" s="175" t="str">
        <f t="shared" si="1"/>
        <v>NotApplicable</v>
      </c>
      <c r="D129" s="175" t="e">
        <f>VLOOKUP(C:C,'QT Import for PTC'!B:D,3,0)</f>
        <v>#N/A</v>
      </c>
      <c r="E129" s="177"/>
      <c r="F129" s="177"/>
      <c r="G129" s="177"/>
      <c r="H129" s="177"/>
      <c r="I129" s="177"/>
      <c r="J129" s="178"/>
      <c r="K129" s="175"/>
      <c r="L129" s="179"/>
      <c r="M129" s="177"/>
      <c r="N129" s="175"/>
      <c r="O129" s="175">
        <v>128</v>
      </c>
    </row>
    <row r="130" spans="1:15">
      <c r="A130" s="175">
        <v>129</v>
      </c>
      <c r="B130" s="175" t="str">
        <f t="shared" si="1"/>
        <v>NotApplicable</v>
      </c>
      <c r="D130" s="175" t="e">
        <f>VLOOKUP(C:C,'QT Import for PTC'!B:D,3,0)</f>
        <v>#N/A</v>
      </c>
      <c r="E130" s="177"/>
      <c r="F130" s="177"/>
      <c r="G130" s="177"/>
      <c r="H130" s="177"/>
      <c r="I130" s="177"/>
      <c r="J130" s="178"/>
      <c r="K130" s="175"/>
      <c r="L130" s="179"/>
      <c r="M130" s="177"/>
      <c r="N130" s="175"/>
      <c r="O130" s="175">
        <v>129</v>
      </c>
    </row>
    <row r="131" spans="1:15">
      <c r="A131" s="175">
        <v>130</v>
      </c>
      <c r="B131" s="175" t="str">
        <f t="shared" ref="B131:B194" si="2">IF(ISNA(D131),"NotApplicable","Applicable")</f>
        <v>NotApplicable</v>
      </c>
      <c r="D131" s="175" t="e">
        <f>VLOOKUP(C:C,'QT Import for PTC'!B:D,3,0)</f>
        <v>#N/A</v>
      </c>
      <c r="E131" s="177"/>
      <c r="F131" s="177"/>
      <c r="G131" s="177"/>
      <c r="H131" s="177"/>
      <c r="I131" s="177"/>
      <c r="J131" s="178"/>
      <c r="K131" s="175"/>
      <c r="L131" s="179"/>
      <c r="M131" s="177"/>
      <c r="N131" s="175"/>
      <c r="O131" s="175">
        <v>130</v>
      </c>
    </row>
    <row r="132" spans="1:15">
      <c r="A132" s="175">
        <v>131</v>
      </c>
      <c r="B132" s="175" t="str">
        <f t="shared" si="2"/>
        <v>NotApplicable</v>
      </c>
      <c r="D132" s="175" t="e">
        <f>VLOOKUP(C:C,'QT Import for PTC'!B:D,3,0)</f>
        <v>#N/A</v>
      </c>
      <c r="E132" s="177"/>
      <c r="F132" s="177"/>
      <c r="G132" s="177"/>
      <c r="H132" s="177"/>
      <c r="I132" s="177"/>
      <c r="J132" s="178"/>
      <c r="K132" s="175"/>
      <c r="L132" s="179"/>
      <c r="M132" s="177"/>
      <c r="N132" s="175"/>
      <c r="O132" s="175">
        <v>131</v>
      </c>
    </row>
    <row r="133" spans="1:15">
      <c r="A133" s="175">
        <v>132</v>
      </c>
      <c r="B133" s="175" t="str">
        <f t="shared" si="2"/>
        <v>NotApplicable</v>
      </c>
      <c r="D133" s="175" t="e">
        <f>VLOOKUP(C:C,'QT Import for PTC'!B:D,3,0)</f>
        <v>#N/A</v>
      </c>
      <c r="E133" s="177"/>
      <c r="F133" s="177"/>
      <c r="G133" s="177"/>
      <c r="H133" s="177"/>
      <c r="I133" s="177"/>
      <c r="J133" s="178"/>
      <c r="K133" s="175"/>
      <c r="L133" s="179"/>
      <c r="M133" s="177"/>
      <c r="N133" s="175"/>
      <c r="O133" s="175">
        <v>132</v>
      </c>
    </row>
    <row r="134" spans="1:15">
      <c r="A134" s="175"/>
      <c r="B134" s="175" t="str">
        <f t="shared" si="2"/>
        <v>NotApplicable</v>
      </c>
      <c r="D134" s="175" t="e">
        <f>VLOOKUP(C:C,'QT Import for PTC'!B:D,3,0)</f>
        <v>#N/A</v>
      </c>
      <c r="E134" s="177"/>
      <c r="F134" s="177"/>
      <c r="G134" s="177"/>
      <c r="H134" s="177"/>
      <c r="I134" s="177"/>
      <c r="J134" s="178"/>
      <c r="K134" s="175"/>
      <c r="L134" s="179"/>
      <c r="M134" s="177"/>
      <c r="N134" s="175"/>
      <c r="O134" s="175">
        <v>133</v>
      </c>
    </row>
    <row r="135" spans="1:15">
      <c r="A135" s="175"/>
      <c r="B135" s="175" t="str">
        <f t="shared" si="2"/>
        <v>NotApplicable</v>
      </c>
      <c r="D135" s="175" t="e">
        <f>VLOOKUP(C:C,'QT Import for PTC'!B:D,3,0)</f>
        <v>#N/A</v>
      </c>
      <c r="E135" s="177"/>
      <c r="F135" s="177"/>
      <c r="G135" s="177"/>
      <c r="H135" s="177"/>
      <c r="I135" s="177"/>
      <c r="J135" s="178"/>
      <c r="K135" s="175"/>
      <c r="L135" s="179"/>
      <c r="M135" s="177"/>
      <c r="N135" s="175"/>
      <c r="O135" s="175">
        <v>134</v>
      </c>
    </row>
    <row r="136" spans="1:15">
      <c r="A136" s="175"/>
      <c r="B136" s="175" t="str">
        <f t="shared" si="2"/>
        <v>NotApplicable</v>
      </c>
      <c r="D136" s="175" t="e">
        <f>VLOOKUP(C:C,'QT Import for PTC'!B:D,3,0)</f>
        <v>#N/A</v>
      </c>
      <c r="E136" s="177"/>
      <c r="F136" s="177"/>
      <c r="G136" s="177"/>
      <c r="H136" s="177"/>
      <c r="I136" s="177"/>
      <c r="J136" s="178"/>
      <c r="K136" s="175"/>
      <c r="L136" s="179"/>
      <c r="M136" s="177"/>
      <c r="N136" s="175"/>
      <c r="O136" s="175">
        <v>135</v>
      </c>
    </row>
    <row r="137" spans="1:15">
      <c r="A137" s="175"/>
      <c r="B137" s="175" t="str">
        <f t="shared" si="2"/>
        <v>NotApplicable</v>
      </c>
      <c r="D137" s="175" t="e">
        <f>VLOOKUP(C:C,'QT Import for PTC'!B:D,3,0)</f>
        <v>#N/A</v>
      </c>
      <c r="E137" s="177"/>
      <c r="F137" s="177"/>
      <c r="G137" s="177"/>
      <c r="H137" s="177"/>
      <c r="I137" s="177"/>
      <c r="J137" s="178"/>
      <c r="K137" s="175"/>
      <c r="L137" s="179"/>
      <c r="M137" s="177"/>
      <c r="N137" s="175"/>
      <c r="O137" s="175">
        <v>136</v>
      </c>
    </row>
    <row r="138" spans="1:15">
      <c r="A138" s="175"/>
      <c r="B138" s="175" t="str">
        <f t="shared" si="2"/>
        <v>NotApplicable</v>
      </c>
      <c r="D138" s="175" t="e">
        <f>VLOOKUP(C:C,'QT Import for PTC'!B:D,3,0)</f>
        <v>#N/A</v>
      </c>
      <c r="E138" s="177"/>
      <c r="F138" s="177"/>
      <c r="G138" s="177"/>
      <c r="H138" s="177"/>
      <c r="I138" s="177"/>
      <c r="J138" s="178"/>
      <c r="K138" s="175"/>
      <c r="L138" s="179"/>
      <c r="M138" s="177"/>
      <c r="N138" s="175"/>
      <c r="O138" s="175">
        <v>137</v>
      </c>
    </row>
    <row r="139" spans="1:15">
      <c r="A139" s="175"/>
      <c r="B139" s="175" t="str">
        <f t="shared" si="2"/>
        <v>NotApplicable</v>
      </c>
      <c r="D139" s="175" t="e">
        <f>VLOOKUP(C:C,'QT Import for PTC'!B:D,3,0)</f>
        <v>#N/A</v>
      </c>
      <c r="E139" s="177"/>
      <c r="F139" s="177"/>
      <c r="G139" s="177"/>
      <c r="H139" s="177"/>
      <c r="I139" s="177"/>
      <c r="J139" s="178"/>
      <c r="K139" s="175"/>
      <c r="L139" s="179"/>
      <c r="M139" s="177"/>
      <c r="N139" s="175"/>
      <c r="O139" s="175">
        <v>138</v>
      </c>
    </row>
    <row r="140" spans="1:15">
      <c r="A140" s="175"/>
      <c r="B140" s="175" t="str">
        <f t="shared" si="2"/>
        <v>NotApplicable</v>
      </c>
      <c r="D140" s="175" t="e">
        <f>VLOOKUP(C:C,'QT Import for PTC'!B:D,3,0)</f>
        <v>#N/A</v>
      </c>
      <c r="E140" s="177"/>
      <c r="F140" s="177"/>
      <c r="G140" s="177"/>
      <c r="H140" s="177"/>
      <c r="I140" s="177"/>
      <c r="J140" s="178"/>
      <c r="K140" s="175"/>
      <c r="L140" s="179"/>
      <c r="M140" s="177"/>
      <c r="N140" s="175"/>
      <c r="O140" s="175">
        <v>139</v>
      </c>
    </row>
    <row r="141" spans="1:15">
      <c r="A141" s="175"/>
      <c r="B141" s="175" t="str">
        <f t="shared" si="2"/>
        <v>NotApplicable</v>
      </c>
      <c r="D141" s="175" t="e">
        <f>VLOOKUP(C:C,'QT Import for PTC'!B:D,3,0)</f>
        <v>#N/A</v>
      </c>
      <c r="E141" s="177"/>
      <c r="F141" s="177"/>
      <c r="G141" s="177"/>
      <c r="H141" s="177"/>
      <c r="I141" s="177"/>
      <c r="J141" s="178"/>
      <c r="K141" s="175"/>
      <c r="L141" s="179"/>
      <c r="M141" s="177"/>
      <c r="N141" s="175"/>
      <c r="O141" s="175">
        <v>140</v>
      </c>
    </row>
    <row r="142" spans="1:15">
      <c r="A142" s="175"/>
      <c r="B142" s="175" t="str">
        <f t="shared" si="2"/>
        <v>NotApplicable</v>
      </c>
      <c r="D142" s="175" t="e">
        <f>VLOOKUP(C:C,'QT Import for PTC'!B:D,3,0)</f>
        <v>#N/A</v>
      </c>
      <c r="E142" s="177"/>
      <c r="F142" s="177"/>
      <c r="G142" s="177"/>
      <c r="H142" s="177"/>
      <c r="I142" s="177"/>
      <c r="J142" s="178"/>
      <c r="K142" s="175"/>
      <c r="L142" s="179"/>
      <c r="M142" s="177"/>
      <c r="N142" s="175"/>
      <c r="O142" s="175">
        <v>141</v>
      </c>
    </row>
    <row r="143" spans="1:15">
      <c r="A143" s="175"/>
      <c r="B143" s="175" t="str">
        <f t="shared" si="2"/>
        <v>NotApplicable</v>
      </c>
      <c r="D143" s="175" t="e">
        <f>VLOOKUP(C:C,'QT Import for PTC'!B:D,3,0)</f>
        <v>#N/A</v>
      </c>
      <c r="E143" s="177"/>
      <c r="F143" s="177"/>
      <c r="G143" s="177"/>
      <c r="H143" s="177"/>
      <c r="I143" s="177"/>
      <c r="J143" s="178"/>
      <c r="K143" s="175"/>
      <c r="L143" s="179"/>
      <c r="M143" s="177"/>
      <c r="N143" s="175"/>
      <c r="O143" s="175">
        <v>142</v>
      </c>
    </row>
    <row r="144" spans="1:15">
      <c r="A144" s="175"/>
      <c r="B144" s="175" t="str">
        <f t="shared" si="2"/>
        <v>NotApplicable</v>
      </c>
      <c r="D144" s="175" t="e">
        <f>VLOOKUP(C:C,'QT Import for PTC'!B:D,3,0)</f>
        <v>#N/A</v>
      </c>
      <c r="E144" s="177"/>
      <c r="F144" s="177"/>
      <c r="G144" s="177"/>
      <c r="H144" s="177"/>
      <c r="I144" s="177"/>
      <c r="J144" s="178"/>
      <c r="K144" s="175"/>
      <c r="L144" s="179"/>
      <c r="M144" s="177"/>
      <c r="N144" s="175"/>
      <c r="O144" s="175">
        <v>143</v>
      </c>
    </row>
    <row r="145" spans="1:15">
      <c r="A145" s="175"/>
      <c r="B145" s="175" t="str">
        <f t="shared" si="2"/>
        <v>NotApplicable</v>
      </c>
      <c r="D145" s="175" t="e">
        <f>VLOOKUP(C:C,'QT Import for PTC'!B:D,3,0)</f>
        <v>#N/A</v>
      </c>
      <c r="E145" s="177"/>
      <c r="F145" s="177"/>
      <c r="G145" s="177"/>
      <c r="H145" s="177"/>
      <c r="I145" s="177"/>
      <c r="J145" s="178"/>
      <c r="K145" s="175"/>
      <c r="L145" s="179"/>
      <c r="M145" s="177"/>
      <c r="N145" s="175"/>
      <c r="O145" s="175">
        <v>144</v>
      </c>
    </row>
    <row r="146" spans="1:15">
      <c r="A146" s="175"/>
      <c r="B146" s="175" t="str">
        <f t="shared" si="2"/>
        <v>NotApplicable</v>
      </c>
      <c r="D146" s="175" t="e">
        <f>VLOOKUP(C:C,'QT Import for PTC'!B:D,3,0)</f>
        <v>#N/A</v>
      </c>
      <c r="E146" s="177"/>
      <c r="F146" s="177"/>
      <c r="G146" s="177"/>
      <c r="H146" s="177"/>
      <c r="I146" s="177"/>
      <c r="J146" s="178"/>
      <c r="K146" s="175"/>
      <c r="L146" s="179"/>
      <c r="M146" s="177"/>
      <c r="N146" s="175"/>
      <c r="O146" s="175">
        <v>145</v>
      </c>
    </row>
    <row r="147" spans="1:15">
      <c r="A147" s="175"/>
      <c r="B147" s="175" t="str">
        <f t="shared" si="2"/>
        <v>NotApplicable</v>
      </c>
      <c r="D147" s="175" t="e">
        <f>VLOOKUP(C:C,'QT Import for PTC'!B:D,3,0)</f>
        <v>#N/A</v>
      </c>
      <c r="E147" s="177"/>
      <c r="F147" s="177"/>
      <c r="G147" s="177"/>
      <c r="H147" s="177"/>
      <c r="I147" s="177"/>
      <c r="J147" s="178"/>
      <c r="K147" s="175"/>
      <c r="L147" s="179"/>
      <c r="M147" s="177"/>
      <c r="N147" s="175"/>
      <c r="O147" s="175">
        <v>146</v>
      </c>
    </row>
    <row r="148" spans="1:15">
      <c r="A148" s="175"/>
      <c r="B148" s="175" t="str">
        <f t="shared" si="2"/>
        <v>NotApplicable</v>
      </c>
      <c r="D148" s="175" t="e">
        <f>VLOOKUP(C:C,'QT Import for PTC'!B:D,3,0)</f>
        <v>#N/A</v>
      </c>
      <c r="E148" s="177"/>
      <c r="F148" s="177"/>
      <c r="G148" s="177"/>
      <c r="H148" s="177"/>
      <c r="I148" s="177"/>
      <c r="J148" s="178"/>
      <c r="K148" s="175"/>
      <c r="L148" s="179"/>
      <c r="M148" s="177"/>
      <c r="N148" s="175"/>
      <c r="O148" s="175">
        <v>147</v>
      </c>
    </row>
    <row r="149" spans="1:15">
      <c r="A149" s="175"/>
      <c r="B149" s="175" t="str">
        <f t="shared" si="2"/>
        <v>NotApplicable</v>
      </c>
      <c r="D149" s="175" t="e">
        <f>VLOOKUP(C:C,'QT Import for PTC'!B:D,3,0)</f>
        <v>#N/A</v>
      </c>
      <c r="E149" s="177"/>
      <c r="F149" s="177"/>
      <c r="G149" s="177"/>
      <c r="H149" s="177"/>
      <c r="I149" s="177"/>
      <c r="J149" s="178"/>
      <c r="K149" s="175"/>
      <c r="L149" s="179"/>
      <c r="M149" s="177"/>
      <c r="N149" s="175"/>
      <c r="O149" s="175">
        <v>148</v>
      </c>
    </row>
    <row r="150" spans="1:15">
      <c r="A150" s="175"/>
      <c r="B150" s="175" t="str">
        <f t="shared" si="2"/>
        <v>NotApplicable</v>
      </c>
      <c r="D150" s="175" t="e">
        <f>VLOOKUP(C:C,'QT Import for PTC'!B:D,3,0)</f>
        <v>#N/A</v>
      </c>
      <c r="E150" s="177"/>
      <c r="F150" s="177"/>
      <c r="G150" s="177"/>
      <c r="H150" s="177"/>
      <c r="I150" s="177"/>
      <c r="J150" s="178"/>
      <c r="K150" s="175"/>
      <c r="L150" s="179"/>
      <c r="M150" s="177"/>
      <c r="N150" s="175"/>
      <c r="O150" s="175">
        <v>149</v>
      </c>
    </row>
    <row r="151" spans="1:15">
      <c r="A151" s="175"/>
      <c r="B151" s="175" t="str">
        <f t="shared" si="2"/>
        <v>NotApplicable</v>
      </c>
      <c r="D151" s="175" t="e">
        <f>VLOOKUP(C:C,'QT Import for PTC'!B:D,3,0)</f>
        <v>#N/A</v>
      </c>
      <c r="E151" s="177"/>
      <c r="F151" s="177"/>
      <c r="G151" s="177"/>
      <c r="H151" s="177"/>
      <c r="I151" s="177"/>
      <c r="J151" s="178"/>
      <c r="K151" s="175"/>
      <c r="L151" s="179"/>
      <c r="M151" s="177"/>
      <c r="N151" s="175"/>
      <c r="O151" s="175">
        <v>150</v>
      </c>
    </row>
    <row r="152" spans="1:15">
      <c r="A152" s="175"/>
      <c r="B152" s="175" t="str">
        <f t="shared" si="2"/>
        <v>NotApplicable</v>
      </c>
      <c r="D152" s="175" t="e">
        <f>VLOOKUP(C:C,'QT Import for PTC'!B:D,3,0)</f>
        <v>#N/A</v>
      </c>
      <c r="E152" s="177"/>
      <c r="F152" s="177"/>
      <c r="G152" s="177"/>
      <c r="H152" s="177"/>
      <c r="I152" s="177"/>
      <c r="J152" s="178"/>
      <c r="K152" s="175"/>
      <c r="L152" s="179"/>
      <c r="M152" s="177"/>
      <c r="N152" s="175"/>
      <c r="O152" s="175">
        <v>151</v>
      </c>
    </row>
    <row r="153" spans="1:15">
      <c r="A153" s="175"/>
      <c r="B153" s="175" t="str">
        <f t="shared" si="2"/>
        <v>NotApplicable</v>
      </c>
      <c r="D153" s="175" t="e">
        <f>VLOOKUP(C:C,'QT Import for PTC'!B:D,3,0)</f>
        <v>#N/A</v>
      </c>
      <c r="E153" s="177"/>
      <c r="F153" s="177"/>
      <c r="G153" s="177"/>
      <c r="H153" s="177"/>
      <c r="I153" s="177"/>
      <c r="J153" s="178"/>
      <c r="K153" s="175"/>
      <c r="L153" s="179"/>
      <c r="M153" s="177"/>
      <c r="N153" s="175"/>
      <c r="O153" s="175">
        <v>152</v>
      </c>
    </row>
    <row r="154" spans="1:15">
      <c r="A154" s="175"/>
      <c r="B154" s="175" t="str">
        <f t="shared" si="2"/>
        <v>NotApplicable</v>
      </c>
      <c r="D154" s="175" t="e">
        <f>VLOOKUP(C:C,'QT Import for PTC'!B:D,3,0)</f>
        <v>#N/A</v>
      </c>
      <c r="E154" s="177"/>
      <c r="F154" s="177"/>
      <c r="G154" s="177"/>
      <c r="H154" s="177"/>
      <c r="I154" s="177"/>
      <c r="J154" s="178"/>
      <c r="K154" s="175"/>
      <c r="L154" s="179"/>
      <c r="M154" s="177"/>
      <c r="N154" s="175"/>
      <c r="O154" s="175">
        <v>153</v>
      </c>
    </row>
    <row r="155" spans="1:15">
      <c r="A155" s="175"/>
      <c r="B155" s="175" t="str">
        <f t="shared" si="2"/>
        <v>NotApplicable</v>
      </c>
      <c r="D155" s="175" t="e">
        <f>VLOOKUP(C:C,'QT Import for PTC'!B:D,3,0)</f>
        <v>#N/A</v>
      </c>
      <c r="E155" s="177"/>
      <c r="F155" s="177"/>
      <c r="G155" s="177"/>
      <c r="H155" s="177"/>
      <c r="I155" s="177"/>
      <c r="J155" s="178"/>
      <c r="K155" s="175"/>
      <c r="L155" s="179"/>
      <c r="M155" s="177"/>
      <c r="N155" s="175"/>
      <c r="O155" s="175">
        <v>154</v>
      </c>
    </row>
    <row r="156" spans="1:15">
      <c r="A156" s="175"/>
      <c r="B156" s="175" t="str">
        <f t="shared" si="2"/>
        <v>NotApplicable</v>
      </c>
      <c r="D156" s="175" t="e">
        <f>VLOOKUP(C:C,'QT Import for PTC'!B:D,3,0)</f>
        <v>#N/A</v>
      </c>
      <c r="E156" s="177"/>
      <c r="F156" s="177"/>
      <c r="G156" s="177"/>
      <c r="H156" s="177"/>
      <c r="I156" s="177"/>
      <c r="J156" s="178"/>
      <c r="K156" s="175"/>
      <c r="L156" s="179"/>
      <c r="M156" s="177"/>
      <c r="N156" s="175"/>
      <c r="O156" s="175">
        <v>155</v>
      </c>
    </row>
    <row r="157" spans="1:15">
      <c r="A157" s="175"/>
      <c r="B157" s="175" t="str">
        <f t="shared" si="2"/>
        <v>NotApplicable</v>
      </c>
      <c r="D157" s="175" t="e">
        <f>VLOOKUP(C:C,'QT Import for PTC'!B:D,3,0)</f>
        <v>#N/A</v>
      </c>
      <c r="E157" s="177"/>
      <c r="F157" s="177"/>
      <c r="G157" s="177"/>
      <c r="H157" s="177"/>
      <c r="I157" s="177"/>
      <c r="J157" s="178"/>
      <c r="K157" s="175"/>
      <c r="L157" s="179"/>
      <c r="M157" s="177"/>
      <c r="N157" s="175"/>
      <c r="O157" s="175">
        <v>156</v>
      </c>
    </row>
    <row r="158" spans="1:15">
      <c r="A158" s="175"/>
      <c r="B158" s="175" t="str">
        <f t="shared" si="2"/>
        <v>NotApplicable</v>
      </c>
      <c r="D158" s="175" t="e">
        <f>VLOOKUP(C:C,'QT Import for PTC'!B:D,3,0)</f>
        <v>#N/A</v>
      </c>
      <c r="E158" s="177"/>
      <c r="F158" s="177"/>
      <c r="G158" s="177"/>
      <c r="H158" s="177"/>
      <c r="I158" s="177"/>
      <c r="J158" s="178"/>
      <c r="K158" s="175"/>
      <c r="L158" s="179"/>
      <c r="M158" s="177"/>
      <c r="N158" s="175"/>
      <c r="O158" s="175">
        <v>157</v>
      </c>
    </row>
    <row r="159" spans="1:15">
      <c r="A159" s="175"/>
      <c r="B159" s="175" t="str">
        <f t="shared" si="2"/>
        <v>NotApplicable</v>
      </c>
      <c r="D159" s="175" t="e">
        <f>VLOOKUP(C:C,'QT Import for PTC'!B:D,3,0)</f>
        <v>#N/A</v>
      </c>
      <c r="E159" s="177"/>
      <c r="F159" s="177"/>
      <c r="G159" s="177"/>
      <c r="H159" s="177"/>
      <c r="I159" s="177"/>
      <c r="J159" s="178"/>
      <c r="K159" s="175"/>
      <c r="L159" s="179"/>
      <c r="M159" s="177"/>
      <c r="N159" s="175"/>
      <c r="O159" s="175">
        <v>158</v>
      </c>
    </row>
    <row r="160" spans="1:15">
      <c r="A160" s="175"/>
      <c r="B160" s="175" t="str">
        <f t="shared" si="2"/>
        <v>NotApplicable</v>
      </c>
      <c r="D160" s="175" t="e">
        <f>VLOOKUP(C:C,'QT Import for PTC'!B:D,3,0)</f>
        <v>#N/A</v>
      </c>
      <c r="E160" s="177"/>
      <c r="F160" s="177"/>
      <c r="G160" s="177"/>
      <c r="H160" s="177"/>
      <c r="I160" s="177"/>
      <c r="J160" s="178"/>
      <c r="K160" s="175"/>
      <c r="L160" s="179"/>
      <c r="M160" s="177"/>
      <c r="N160" s="175"/>
      <c r="O160" s="175">
        <v>159</v>
      </c>
    </row>
    <row r="161" spans="1:15">
      <c r="A161" s="175"/>
      <c r="B161" s="175" t="str">
        <f t="shared" si="2"/>
        <v>NotApplicable</v>
      </c>
      <c r="D161" s="175" t="e">
        <f>VLOOKUP(C:C,'QT Import for PTC'!B:D,3,0)</f>
        <v>#N/A</v>
      </c>
      <c r="E161" s="177"/>
      <c r="F161" s="177"/>
      <c r="G161" s="177"/>
      <c r="H161" s="177"/>
      <c r="I161" s="177"/>
      <c r="J161" s="178"/>
      <c r="K161" s="175"/>
      <c r="L161" s="179"/>
      <c r="M161" s="177"/>
      <c r="N161" s="175"/>
      <c r="O161" s="175">
        <v>160</v>
      </c>
    </row>
    <row r="162" spans="1:15">
      <c r="A162" s="175"/>
      <c r="B162" s="175" t="str">
        <f t="shared" si="2"/>
        <v>NotApplicable</v>
      </c>
      <c r="D162" s="175" t="e">
        <f>VLOOKUP(C:C,'QT Import for PTC'!B:D,3,0)</f>
        <v>#N/A</v>
      </c>
      <c r="E162" s="177"/>
      <c r="F162" s="177"/>
      <c r="G162" s="177"/>
      <c r="H162" s="177"/>
      <c r="I162" s="177"/>
      <c r="J162" s="178"/>
      <c r="K162" s="175"/>
      <c r="L162" s="179"/>
      <c r="M162" s="177"/>
      <c r="N162" s="175"/>
      <c r="O162" s="175">
        <v>161</v>
      </c>
    </row>
    <row r="163" spans="1:15">
      <c r="A163" s="175"/>
      <c r="B163" s="175" t="str">
        <f t="shared" si="2"/>
        <v>NotApplicable</v>
      </c>
      <c r="D163" s="175" t="e">
        <f>VLOOKUP(C:C,'QT Import for PTC'!B:D,3,0)</f>
        <v>#N/A</v>
      </c>
      <c r="E163" s="177"/>
      <c r="F163" s="177"/>
      <c r="G163" s="177"/>
      <c r="H163" s="177"/>
      <c r="I163" s="177"/>
      <c r="J163" s="178"/>
      <c r="K163" s="175"/>
      <c r="L163" s="179"/>
      <c r="M163" s="177"/>
      <c r="N163" s="175"/>
      <c r="O163" s="175">
        <v>162</v>
      </c>
    </row>
    <row r="164" spans="1:15">
      <c r="A164" s="175"/>
      <c r="B164" s="175" t="str">
        <f t="shared" si="2"/>
        <v>NotApplicable</v>
      </c>
      <c r="D164" s="175" t="e">
        <f>VLOOKUP(C:C,'QT Import for PTC'!B:D,3,0)</f>
        <v>#N/A</v>
      </c>
      <c r="E164" s="177"/>
      <c r="F164" s="177"/>
      <c r="G164" s="177"/>
      <c r="H164" s="177"/>
      <c r="I164" s="177"/>
      <c r="J164" s="178"/>
      <c r="K164" s="175"/>
      <c r="L164" s="179"/>
      <c r="M164" s="177"/>
      <c r="N164" s="175"/>
      <c r="O164" s="175">
        <v>163</v>
      </c>
    </row>
    <row r="165" spans="1:15">
      <c r="A165" s="175"/>
      <c r="B165" s="175" t="str">
        <f t="shared" si="2"/>
        <v>NotApplicable</v>
      </c>
      <c r="D165" s="175" t="e">
        <f>VLOOKUP(C:C,'QT Import for PTC'!B:D,3,0)</f>
        <v>#N/A</v>
      </c>
      <c r="E165" s="177"/>
      <c r="F165" s="177"/>
      <c r="G165" s="177"/>
      <c r="H165" s="177"/>
      <c r="I165" s="177"/>
      <c r="J165" s="178"/>
      <c r="K165" s="175"/>
      <c r="L165" s="179"/>
      <c r="M165" s="177"/>
      <c r="N165" s="175"/>
      <c r="O165" s="175">
        <v>164</v>
      </c>
    </row>
    <row r="166" spans="1:15">
      <c r="A166" s="175"/>
      <c r="B166" s="175" t="str">
        <f t="shared" si="2"/>
        <v>NotApplicable</v>
      </c>
      <c r="D166" s="175" t="e">
        <f>VLOOKUP(C:C,'QT Import for PTC'!B:D,3,0)</f>
        <v>#N/A</v>
      </c>
      <c r="E166" s="177"/>
      <c r="F166" s="177"/>
      <c r="G166" s="177"/>
      <c r="H166" s="177"/>
      <c r="I166" s="177"/>
      <c r="J166" s="178"/>
      <c r="K166" s="175"/>
      <c r="L166" s="179"/>
      <c r="M166" s="177"/>
      <c r="N166" s="175"/>
      <c r="O166" s="175">
        <v>165</v>
      </c>
    </row>
    <row r="167" spans="1:15">
      <c r="A167" s="175"/>
      <c r="B167" s="175" t="str">
        <f t="shared" si="2"/>
        <v>NotApplicable</v>
      </c>
      <c r="D167" s="175" t="e">
        <f>VLOOKUP(C:C,'QT Import for PTC'!B:D,3,0)</f>
        <v>#N/A</v>
      </c>
      <c r="E167" s="177"/>
      <c r="F167" s="177"/>
      <c r="G167" s="177"/>
      <c r="H167" s="177"/>
      <c r="I167" s="177"/>
      <c r="J167" s="178"/>
      <c r="K167" s="175"/>
      <c r="L167" s="179"/>
      <c r="M167" s="177"/>
      <c r="N167" s="175"/>
      <c r="O167" s="175">
        <v>166</v>
      </c>
    </row>
    <row r="168" spans="1:15">
      <c r="A168" s="175"/>
      <c r="B168" s="175" t="str">
        <f t="shared" si="2"/>
        <v>NotApplicable</v>
      </c>
      <c r="D168" s="175" t="e">
        <f>VLOOKUP(C:C,'QT Import for PTC'!B:D,3,0)</f>
        <v>#N/A</v>
      </c>
      <c r="E168" s="177"/>
      <c r="F168" s="177"/>
      <c r="G168" s="177"/>
      <c r="H168" s="177"/>
      <c r="I168" s="177"/>
      <c r="J168" s="178"/>
      <c r="K168" s="175"/>
      <c r="L168" s="179"/>
      <c r="M168" s="177"/>
      <c r="N168" s="175"/>
      <c r="O168" s="175">
        <v>167</v>
      </c>
    </row>
    <row r="169" spans="1:15">
      <c r="A169" s="175"/>
      <c r="B169" s="175" t="str">
        <f t="shared" si="2"/>
        <v>NotApplicable</v>
      </c>
      <c r="D169" s="175" t="e">
        <f>VLOOKUP(C:C,'QT Import for PTC'!B:D,3,0)</f>
        <v>#N/A</v>
      </c>
      <c r="E169" s="177"/>
      <c r="F169" s="177"/>
      <c r="G169" s="177"/>
      <c r="H169" s="177"/>
      <c r="I169" s="177"/>
      <c r="J169" s="178"/>
      <c r="K169" s="175"/>
      <c r="L169" s="179"/>
      <c r="M169" s="177"/>
      <c r="N169" s="175"/>
      <c r="O169" s="175">
        <v>168</v>
      </c>
    </row>
    <row r="170" spans="1:15">
      <c r="A170" s="175"/>
      <c r="B170" s="175" t="str">
        <f t="shared" si="2"/>
        <v>NotApplicable</v>
      </c>
      <c r="D170" s="175" t="e">
        <f>VLOOKUP(C:C,'QT Import for PTC'!B:D,3,0)</f>
        <v>#N/A</v>
      </c>
      <c r="E170" s="177"/>
      <c r="F170" s="177"/>
      <c r="G170" s="177"/>
      <c r="H170" s="177"/>
      <c r="I170" s="177"/>
      <c r="J170" s="178"/>
      <c r="K170" s="175"/>
      <c r="L170" s="179"/>
      <c r="M170" s="177"/>
      <c r="N170" s="175"/>
      <c r="O170" s="175">
        <v>169</v>
      </c>
    </row>
    <row r="171" spans="1:15">
      <c r="A171" s="175"/>
      <c r="B171" s="175" t="str">
        <f t="shared" si="2"/>
        <v>NotApplicable</v>
      </c>
      <c r="D171" s="175" t="e">
        <f>VLOOKUP(C:C,'QT Import for PTC'!B:D,3,0)</f>
        <v>#N/A</v>
      </c>
      <c r="E171" s="177"/>
      <c r="F171" s="177"/>
      <c r="G171" s="177"/>
      <c r="H171" s="177"/>
      <c r="I171" s="177"/>
      <c r="J171" s="178"/>
      <c r="K171" s="175"/>
      <c r="L171" s="179"/>
      <c r="M171" s="177"/>
      <c r="N171" s="175"/>
      <c r="O171" s="175">
        <v>170</v>
      </c>
    </row>
    <row r="172" spans="1:15">
      <c r="A172" s="175"/>
      <c r="B172" s="175" t="str">
        <f t="shared" si="2"/>
        <v>NotApplicable</v>
      </c>
      <c r="D172" s="175" t="e">
        <f>VLOOKUP(C:C,'QT Import for PTC'!B:D,3,0)</f>
        <v>#N/A</v>
      </c>
      <c r="E172" s="177"/>
      <c r="F172" s="177"/>
      <c r="G172" s="177"/>
      <c r="H172" s="177"/>
      <c r="I172" s="177"/>
      <c r="J172" s="178"/>
      <c r="K172" s="175"/>
      <c r="L172" s="179"/>
      <c r="M172" s="177"/>
      <c r="N172" s="175"/>
      <c r="O172" s="175">
        <v>171</v>
      </c>
    </row>
    <row r="173" spans="1:15">
      <c r="A173" s="175"/>
      <c r="B173" s="175" t="str">
        <f t="shared" si="2"/>
        <v>NotApplicable</v>
      </c>
      <c r="D173" s="175" t="e">
        <f>VLOOKUP(C:C,'QT Import for PTC'!B:D,3,0)</f>
        <v>#N/A</v>
      </c>
      <c r="E173" s="177"/>
      <c r="F173" s="177"/>
      <c r="G173" s="177"/>
      <c r="H173" s="177"/>
      <c r="I173" s="177"/>
      <c r="J173" s="178"/>
      <c r="K173" s="175"/>
      <c r="L173" s="179"/>
      <c r="M173" s="177"/>
      <c r="N173" s="175"/>
      <c r="O173" s="175">
        <v>172</v>
      </c>
    </row>
    <row r="174" spans="1:15">
      <c r="A174" s="175"/>
      <c r="B174" s="175" t="str">
        <f t="shared" si="2"/>
        <v>NotApplicable</v>
      </c>
      <c r="D174" s="175" t="e">
        <f>VLOOKUP(C:C,'QT Import for PTC'!B:D,3,0)</f>
        <v>#N/A</v>
      </c>
      <c r="E174" s="177"/>
      <c r="F174" s="177"/>
      <c r="G174" s="177"/>
      <c r="H174" s="177"/>
      <c r="I174" s="177"/>
      <c r="J174" s="178"/>
      <c r="K174" s="175"/>
      <c r="L174" s="179"/>
      <c r="M174" s="177"/>
      <c r="N174" s="175"/>
      <c r="O174" s="175">
        <v>173</v>
      </c>
    </row>
    <row r="175" spans="1:15">
      <c r="A175" s="175"/>
      <c r="B175" s="175" t="str">
        <f t="shared" si="2"/>
        <v>NotApplicable</v>
      </c>
      <c r="D175" s="175" t="e">
        <f>VLOOKUP(C:C,'QT Import for PTC'!B:D,3,0)</f>
        <v>#N/A</v>
      </c>
      <c r="E175" s="177"/>
      <c r="F175" s="177"/>
      <c r="G175" s="177"/>
      <c r="H175" s="177"/>
      <c r="I175" s="177"/>
      <c r="J175" s="178"/>
      <c r="K175" s="175"/>
      <c r="L175" s="179"/>
      <c r="M175" s="177"/>
      <c r="N175" s="175"/>
      <c r="O175" s="175">
        <v>174</v>
      </c>
    </row>
    <row r="176" spans="1:15">
      <c r="A176" s="175"/>
      <c r="B176" s="175" t="str">
        <f t="shared" si="2"/>
        <v>NotApplicable</v>
      </c>
      <c r="D176" s="175" t="e">
        <f>VLOOKUP(C:C,'QT Import for PTC'!B:D,3,0)</f>
        <v>#N/A</v>
      </c>
      <c r="E176" s="177"/>
      <c r="F176" s="177"/>
      <c r="G176" s="177"/>
      <c r="H176" s="177"/>
      <c r="I176" s="177"/>
      <c r="J176" s="178"/>
      <c r="K176" s="175"/>
      <c r="L176" s="179"/>
      <c r="M176" s="177"/>
      <c r="N176" s="175"/>
      <c r="O176" s="175">
        <v>175</v>
      </c>
    </row>
    <row r="177" spans="1:15">
      <c r="A177" s="175"/>
      <c r="B177" s="175" t="str">
        <f t="shared" si="2"/>
        <v>NotApplicable</v>
      </c>
      <c r="D177" s="175" t="e">
        <f>VLOOKUP(C:C,'QT Import for PTC'!B:D,3,0)</f>
        <v>#N/A</v>
      </c>
      <c r="E177" s="177"/>
      <c r="F177" s="177"/>
      <c r="G177" s="177"/>
      <c r="H177" s="177"/>
      <c r="I177" s="177"/>
      <c r="J177" s="178"/>
      <c r="K177" s="175"/>
      <c r="L177" s="179"/>
      <c r="M177" s="177"/>
      <c r="N177" s="175"/>
      <c r="O177" s="175">
        <v>176</v>
      </c>
    </row>
    <row r="178" spans="1:15">
      <c r="A178" s="175"/>
      <c r="B178" s="175" t="str">
        <f t="shared" si="2"/>
        <v>NotApplicable</v>
      </c>
      <c r="D178" s="175" t="e">
        <f>VLOOKUP(C:C,'QT Import for PTC'!B:D,3,0)</f>
        <v>#N/A</v>
      </c>
      <c r="E178" s="177"/>
      <c r="F178" s="177"/>
      <c r="G178" s="177"/>
      <c r="H178" s="177"/>
      <c r="I178" s="177"/>
      <c r="J178" s="178"/>
      <c r="K178" s="175"/>
      <c r="L178" s="179"/>
      <c r="M178" s="177"/>
      <c r="N178" s="175"/>
      <c r="O178" s="175">
        <v>177</v>
      </c>
    </row>
    <row r="179" spans="1:15">
      <c r="A179" s="175"/>
      <c r="B179" s="175" t="str">
        <f t="shared" si="2"/>
        <v>NotApplicable</v>
      </c>
      <c r="D179" s="175" t="e">
        <f>VLOOKUP(C:C,'QT Import for PTC'!B:D,3,0)</f>
        <v>#N/A</v>
      </c>
      <c r="E179" s="177"/>
      <c r="F179" s="177"/>
      <c r="G179" s="177"/>
      <c r="H179" s="177"/>
      <c r="I179" s="177"/>
      <c r="J179" s="178"/>
      <c r="K179" s="175"/>
      <c r="L179" s="179"/>
      <c r="M179" s="177"/>
      <c r="N179" s="175"/>
      <c r="O179" s="175">
        <v>178</v>
      </c>
    </row>
    <row r="180" spans="1:15">
      <c r="A180" s="175"/>
      <c r="B180" s="175" t="str">
        <f t="shared" si="2"/>
        <v>NotApplicable</v>
      </c>
      <c r="D180" s="175" t="e">
        <f>VLOOKUP(C:C,'QT Import for PTC'!B:D,3,0)</f>
        <v>#N/A</v>
      </c>
      <c r="E180" s="177"/>
      <c r="F180" s="177"/>
      <c r="G180" s="177"/>
      <c r="H180" s="177"/>
      <c r="I180" s="177"/>
      <c r="J180" s="178"/>
      <c r="K180" s="175"/>
      <c r="L180" s="179"/>
      <c r="M180" s="177"/>
      <c r="N180" s="175"/>
      <c r="O180" s="175">
        <v>179</v>
      </c>
    </row>
    <row r="181" spans="1:15">
      <c r="A181" s="175"/>
      <c r="B181" s="175" t="str">
        <f t="shared" si="2"/>
        <v>NotApplicable</v>
      </c>
      <c r="D181" s="175" t="e">
        <f>VLOOKUP(C:C,'QT Import for PTC'!B:D,3,0)</f>
        <v>#N/A</v>
      </c>
      <c r="E181" s="177"/>
      <c r="F181" s="177"/>
      <c r="G181" s="177"/>
      <c r="H181" s="177"/>
      <c r="I181" s="177"/>
      <c r="J181" s="178"/>
      <c r="K181" s="175"/>
      <c r="L181" s="179"/>
      <c r="M181" s="177"/>
      <c r="N181" s="175"/>
      <c r="O181" s="175">
        <v>180</v>
      </c>
    </row>
    <row r="182" spans="1:15">
      <c r="A182" s="175"/>
      <c r="B182" s="175" t="str">
        <f t="shared" si="2"/>
        <v>NotApplicable</v>
      </c>
      <c r="D182" s="175" t="e">
        <f>VLOOKUP(C:C,'QT Import for PTC'!B:D,3,0)</f>
        <v>#N/A</v>
      </c>
      <c r="E182" s="177"/>
      <c r="F182" s="177"/>
      <c r="G182" s="177"/>
      <c r="H182" s="177"/>
      <c r="I182" s="177"/>
      <c r="J182" s="178"/>
      <c r="K182" s="175"/>
      <c r="L182" s="179"/>
      <c r="M182" s="177"/>
      <c r="N182" s="175"/>
      <c r="O182" s="175">
        <v>181</v>
      </c>
    </row>
    <row r="183" spans="1:15">
      <c r="A183" s="175"/>
      <c r="B183" s="175" t="str">
        <f t="shared" si="2"/>
        <v>NotApplicable</v>
      </c>
      <c r="D183" s="175" t="e">
        <f>VLOOKUP(C:C,'QT Import for PTC'!B:D,3,0)</f>
        <v>#N/A</v>
      </c>
      <c r="E183" s="177"/>
      <c r="F183" s="177"/>
      <c r="G183" s="177"/>
      <c r="H183" s="177"/>
      <c r="I183" s="177"/>
      <c r="J183" s="178"/>
      <c r="K183" s="175"/>
      <c r="L183" s="179"/>
      <c r="M183" s="177"/>
      <c r="N183" s="175"/>
      <c r="O183" s="175">
        <v>182</v>
      </c>
    </row>
    <row r="184" spans="1:15">
      <c r="A184" s="175"/>
      <c r="B184" s="175" t="str">
        <f t="shared" si="2"/>
        <v>NotApplicable</v>
      </c>
      <c r="D184" s="175" t="e">
        <f>VLOOKUP(C:C,'QT Import for PTC'!B:D,3,0)</f>
        <v>#N/A</v>
      </c>
      <c r="E184" s="177"/>
      <c r="F184" s="177"/>
      <c r="G184" s="177"/>
      <c r="H184" s="177"/>
      <c r="I184" s="177"/>
      <c r="J184" s="178"/>
      <c r="K184" s="175"/>
      <c r="L184" s="179"/>
      <c r="M184" s="177"/>
      <c r="N184" s="175"/>
      <c r="O184" s="175">
        <v>183</v>
      </c>
    </row>
    <row r="185" spans="1:15">
      <c r="A185" s="175"/>
      <c r="B185" s="175" t="str">
        <f t="shared" si="2"/>
        <v>NotApplicable</v>
      </c>
      <c r="D185" s="175" t="e">
        <f>VLOOKUP(C:C,'QT Import for PTC'!B:D,3,0)</f>
        <v>#N/A</v>
      </c>
      <c r="E185" s="177"/>
      <c r="F185" s="177"/>
      <c r="G185" s="177"/>
      <c r="H185" s="177"/>
      <c r="I185" s="177"/>
      <c r="J185" s="178"/>
      <c r="K185" s="175"/>
      <c r="L185" s="179"/>
      <c r="M185" s="177"/>
      <c r="N185" s="175"/>
      <c r="O185" s="175">
        <v>184</v>
      </c>
    </row>
    <row r="186" spans="1:15">
      <c r="A186" s="175"/>
      <c r="B186" s="175" t="str">
        <f t="shared" si="2"/>
        <v>NotApplicable</v>
      </c>
      <c r="D186" s="175" t="e">
        <f>VLOOKUP(C:C,'QT Import for PTC'!B:D,3,0)</f>
        <v>#N/A</v>
      </c>
      <c r="E186" s="177"/>
      <c r="F186" s="177"/>
      <c r="G186" s="177"/>
      <c r="H186" s="177"/>
      <c r="I186" s="177"/>
      <c r="J186" s="178"/>
      <c r="K186" s="175"/>
      <c r="L186" s="179"/>
      <c r="M186" s="177"/>
      <c r="N186" s="175"/>
      <c r="O186" s="175">
        <v>185</v>
      </c>
    </row>
    <row r="187" spans="1:15">
      <c r="A187" s="175"/>
      <c r="B187" s="175" t="str">
        <f t="shared" si="2"/>
        <v>NotApplicable</v>
      </c>
      <c r="D187" s="175" t="e">
        <f>VLOOKUP(C:C,'QT Import for PTC'!B:D,3,0)</f>
        <v>#N/A</v>
      </c>
      <c r="E187" s="177"/>
      <c r="F187" s="177"/>
      <c r="G187" s="177"/>
      <c r="H187" s="177"/>
      <c r="I187" s="177"/>
      <c r="J187" s="178"/>
      <c r="K187" s="175"/>
      <c r="L187" s="179"/>
      <c r="M187" s="177"/>
      <c r="N187" s="175"/>
      <c r="O187" s="175">
        <v>186</v>
      </c>
    </row>
    <row r="188" spans="1:15">
      <c r="A188" s="175"/>
      <c r="B188" s="175" t="str">
        <f t="shared" si="2"/>
        <v>NotApplicable</v>
      </c>
      <c r="D188" s="175" t="e">
        <f>VLOOKUP(C:C,'QT Import for PTC'!B:D,3,0)</f>
        <v>#N/A</v>
      </c>
      <c r="E188" s="177"/>
      <c r="F188" s="177"/>
      <c r="G188" s="177"/>
      <c r="H188" s="177"/>
      <c r="I188" s="177"/>
      <c r="J188" s="178"/>
      <c r="K188" s="175"/>
      <c r="L188" s="179"/>
      <c r="M188" s="177"/>
      <c r="N188" s="175"/>
      <c r="O188" s="175">
        <v>187</v>
      </c>
    </row>
    <row r="189" spans="1:15">
      <c r="A189" s="175"/>
      <c r="B189" s="175" t="str">
        <f t="shared" si="2"/>
        <v>NotApplicable</v>
      </c>
      <c r="D189" s="175" t="e">
        <f>VLOOKUP(C:C,'QT Import for PTC'!B:D,3,0)</f>
        <v>#N/A</v>
      </c>
      <c r="E189" s="177"/>
      <c r="F189" s="177"/>
      <c r="G189" s="177"/>
      <c r="H189" s="177"/>
      <c r="I189" s="177"/>
      <c r="J189" s="178"/>
      <c r="K189" s="175"/>
      <c r="L189" s="179"/>
      <c r="M189" s="177"/>
      <c r="N189" s="175"/>
      <c r="O189" s="175">
        <v>188</v>
      </c>
    </row>
    <row r="190" spans="1:15">
      <c r="A190" s="175"/>
      <c r="B190" s="175" t="str">
        <f t="shared" si="2"/>
        <v>NotApplicable</v>
      </c>
      <c r="D190" s="175" t="e">
        <f>VLOOKUP(C:C,'QT Import for PTC'!B:D,3,0)</f>
        <v>#N/A</v>
      </c>
      <c r="E190" s="177"/>
      <c r="F190" s="177"/>
      <c r="G190" s="177"/>
      <c r="H190" s="177"/>
      <c r="I190" s="177"/>
      <c r="J190" s="178"/>
      <c r="K190" s="175"/>
      <c r="L190" s="179"/>
      <c r="M190" s="177"/>
      <c r="N190" s="175"/>
      <c r="O190" s="175">
        <v>189</v>
      </c>
    </row>
    <row r="191" spans="1:15">
      <c r="A191" s="175"/>
      <c r="B191" s="175" t="str">
        <f t="shared" si="2"/>
        <v>NotApplicable</v>
      </c>
      <c r="D191" s="175" t="e">
        <f>VLOOKUP(C:C,'QT Import for PTC'!B:D,3,0)</f>
        <v>#N/A</v>
      </c>
      <c r="E191" s="177"/>
      <c r="F191" s="177"/>
      <c r="G191" s="177"/>
      <c r="H191" s="177"/>
      <c r="I191" s="177"/>
      <c r="J191" s="178"/>
      <c r="K191" s="175"/>
      <c r="L191" s="179"/>
      <c r="M191" s="177"/>
      <c r="N191" s="175"/>
      <c r="O191" s="175">
        <v>190</v>
      </c>
    </row>
    <row r="192" spans="1:15">
      <c r="A192" s="175"/>
      <c r="B192" s="175" t="str">
        <f t="shared" si="2"/>
        <v>NotApplicable</v>
      </c>
      <c r="D192" s="175" t="e">
        <f>VLOOKUP(C:C,'QT Import for PTC'!B:D,3,0)</f>
        <v>#N/A</v>
      </c>
      <c r="E192" s="177"/>
      <c r="F192" s="177"/>
      <c r="G192" s="177"/>
      <c r="H192" s="177"/>
      <c r="I192" s="177"/>
      <c r="J192" s="178"/>
      <c r="K192" s="175"/>
      <c r="L192" s="179"/>
      <c r="M192" s="177"/>
      <c r="N192" s="175"/>
      <c r="O192" s="175">
        <v>191</v>
      </c>
    </row>
    <row r="193" spans="1:15">
      <c r="A193" s="175"/>
      <c r="B193" s="175" t="str">
        <f t="shared" si="2"/>
        <v>NotApplicable</v>
      </c>
      <c r="D193" s="175" t="e">
        <f>VLOOKUP(C:C,'QT Import for PTC'!B:D,3,0)</f>
        <v>#N/A</v>
      </c>
      <c r="E193" s="177"/>
      <c r="F193" s="177"/>
      <c r="G193" s="177"/>
      <c r="H193" s="177"/>
      <c r="I193" s="177"/>
      <c r="J193" s="178"/>
      <c r="K193" s="175"/>
      <c r="L193" s="179"/>
      <c r="M193" s="177"/>
      <c r="N193" s="175"/>
      <c r="O193" s="175">
        <v>192</v>
      </c>
    </row>
    <row r="194" spans="1:15">
      <c r="A194" s="175"/>
      <c r="B194" s="175" t="str">
        <f t="shared" si="2"/>
        <v>NotApplicable</v>
      </c>
      <c r="D194" s="175" t="e">
        <f>VLOOKUP(C:C,'QT Import for PTC'!B:D,3,0)</f>
        <v>#N/A</v>
      </c>
      <c r="E194" s="177"/>
      <c r="F194" s="177"/>
      <c r="G194" s="177"/>
      <c r="H194" s="177"/>
      <c r="I194" s="177"/>
      <c r="J194" s="178"/>
      <c r="K194" s="175"/>
      <c r="L194" s="179"/>
      <c r="M194" s="177"/>
      <c r="N194" s="175"/>
      <c r="O194" s="175">
        <v>193</v>
      </c>
    </row>
    <row r="195" spans="1:15">
      <c r="A195" s="175"/>
      <c r="B195" s="175" t="str">
        <f t="shared" ref="B195:B258" si="3">IF(ISNA(D195),"NotApplicable","Applicable")</f>
        <v>NotApplicable</v>
      </c>
      <c r="D195" s="175" t="e">
        <f>VLOOKUP(C:C,'QT Import for PTC'!B:D,3,0)</f>
        <v>#N/A</v>
      </c>
      <c r="E195" s="177"/>
      <c r="F195" s="177"/>
      <c r="G195" s="177"/>
      <c r="H195" s="177"/>
      <c r="I195" s="177"/>
      <c r="J195" s="178"/>
      <c r="K195" s="175"/>
      <c r="L195" s="179"/>
      <c r="M195" s="177"/>
      <c r="N195" s="175"/>
      <c r="O195" s="175">
        <v>194</v>
      </c>
    </row>
    <row r="196" spans="1:15">
      <c r="A196" s="175"/>
      <c r="B196" s="175" t="str">
        <f t="shared" si="3"/>
        <v>NotApplicable</v>
      </c>
      <c r="D196" s="175" t="e">
        <f>VLOOKUP(C:C,'QT Import for PTC'!B:D,3,0)</f>
        <v>#N/A</v>
      </c>
      <c r="E196" s="177"/>
      <c r="F196" s="177"/>
      <c r="G196" s="177"/>
      <c r="H196" s="177"/>
      <c r="I196" s="177"/>
      <c r="J196" s="178"/>
      <c r="K196" s="175"/>
      <c r="L196" s="179"/>
      <c r="M196" s="177"/>
      <c r="N196" s="175"/>
      <c r="O196" s="175">
        <v>195</v>
      </c>
    </row>
    <row r="197" spans="1:15">
      <c r="A197" s="175"/>
      <c r="B197" s="175" t="str">
        <f t="shared" si="3"/>
        <v>NotApplicable</v>
      </c>
      <c r="D197" s="175" t="e">
        <f>VLOOKUP(C:C,'QT Import for PTC'!B:D,3,0)</f>
        <v>#N/A</v>
      </c>
      <c r="E197" s="177"/>
      <c r="F197" s="177"/>
      <c r="G197" s="177"/>
      <c r="H197" s="177"/>
      <c r="I197" s="177"/>
      <c r="J197" s="178"/>
      <c r="K197" s="175"/>
      <c r="L197" s="179"/>
      <c r="M197" s="177"/>
      <c r="N197" s="175"/>
      <c r="O197" s="175">
        <v>196</v>
      </c>
    </row>
    <row r="198" spans="1:15">
      <c r="A198" s="175"/>
      <c r="B198" s="175" t="str">
        <f t="shared" si="3"/>
        <v>NotApplicable</v>
      </c>
      <c r="D198" s="175" t="e">
        <f>VLOOKUP(C:C,'QT Import for PTC'!B:D,3,0)</f>
        <v>#N/A</v>
      </c>
      <c r="E198" s="177"/>
      <c r="F198" s="177"/>
      <c r="G198" s="177"/>
      <c r="H198" s="177"/>
      <c r="I198" s="177"/>
      <c r="J198" s="178"/>
      <c r="K198" s="175"/>
      <c r="L198" s="179"/>
      <c r="M198" s="177"/>
      <c r="N198" s="175"/>
      <c r="O198" s="175">
        <v>197</v>
      </c>
    </row>
    <row r="199" spans="1:15">
      <c r="A199" s="175"/>
      <c r="B199" s="175" t="str">
        <f t="shared" si="3"/>
        <v>NotApplicable</v>
      </c>
      <c r="D199" s="175" t="e">
        <f>VLOOKUP(C:C,'QT Import for PTC'!B:D,3,0)</f>
        <v>#N/A</v>
      </c>
      <c r="E199" s="177"/>
      <c r="F199" s="177"/>
      <c r="G199" s="177"/>
      <c r="H199" s="177"/>
      <c r="I199" s="177"/>
      <c r="J199" s="178"/>
      <c r="K199" s="175"/>
      <c r="L199" s="179"/>
      <c r="M199" s="177"/>
      <c r="N199" s="175"/>
      <c r="O199" s="175">
        <v>198</v>
      </c>
    </row>
    <row r="200" spans="1:15">
      <c r="A200" s="175"/>
      <c r="B200" s="175" t="str">
        <f t="shared" si="3"/>
        <v>NotApplicable</v>
      </c>
      <c r="D200" s="175" t="e">
        <f>VLOOKUP(C:C,'QT Import for PTC'!B:D,3,0)</f>
        <v>#N/A</v>
      </c>
      <c r="E200" s="177"/>
      <c r="F200" s="177"/>
      <c r="G200" s="177"/>
      <c r="H200" s="177"/>
      <c r="I200" s="177"/>
      <c r="J200" s="178"/>
      <c r="K200" s="175"/>
      <c r="L200" s="179"/>
      <c r="M200" s="177"/>
      <c r="N200" s="175"/>
      <c r="O200" s="175">
        <v>199</v>
      </c>
    </row>
    <row r="201" spans="1:15">
      <c r="A201" s="175"/>
      <c r="B201" s="175" t="str">
        <f t="shared" si="3"/>
        <v>NotApplicable</v>
      </c>
      <c r="D201" s="175" t="e">
        <f>VLOOKUP(C:C,'QT Import for PTC'!B:D,3,0)</f>
        <v>#N/A</v>
      </c>
      <c r="E201" s="177"/>
      <c r="F201" s="177"/>
      <c r="G201" s="177"/>
      <c r="H201" s="177"/>
      <c r="I201" s="177"/>
      <c r="J201" s="178"/>
      <c r="K201" s="175"/>
      <c r="L201" s="179"/>
      <c r="M201" s="177"/>
      <c r="N201" s="175"/>
      <c r="O201" s="175">
        <v>200</v>
      </c>
    </row>
    <row r="202" spans="1:15">
      <c r="A202" s="175"/>
      <c r="B202" s="175" t="str">
        <f t="shared" si="3"/>
        <v>NotApplicable</v>
      </c>
      <c r="D202" s="175" t="e">
        <f>VLOOKUP(C:C,'QT Import for PTC'!B:D,3,0)</f>
        <v>#N/A</v>
      </c>
      <c r="E202" s="177"/>
      <c r="F202" s="177"/>
      <c r="G202" s="177"/>
      <c r="H202" s="177"/>
      <c r="I202" s="177"/>
      <c r="J202" s="178"/>
      <c r="K202" s="175"/>
      <c r="L202" s="179"/>
      <c r="M202" s="177"/>
      <c r="N202" s="175"/>
      <c r="O202" s="175">
        <v>201</v>
      </c>
    </row>
    <row r="203" spans="1:15">
      <c r="A203" s="175"/>
      <c r="B203" s="175" t="str">
        <f t="shared" si="3"/>
        <v>NotApplicable</v>
      </c>
      <c r="D203" s="175" t="e">
        <f>VLOOKUP(C:C,'QT Import for PTC'!B:D,3,0)</f>
        <v>#N/A</v>
      </c>
      <c r="E203" s="177"/>
      <c r="F203" s="177"/>
      <c r="G203" s="177"/>
      <c r="H203" s="177"/>
      <c r="I203" s="177"/>
      <c r="J203" s="178"/>
      <c r="K203" s="175"/>
      <c r="L203" s="179"/>
      <c r="M203" s="177"/>
      <c r="N203" s="175"/>
      <c r="O203" s="175">
        <v>202</v>
      </c>
    </row>
    <row r="204" spans="1:15">
      <c r="A204" s="175"/>
      <c r="B204" s="175" t="str">
        <f t="shared" si="3"/>
        <v>NotApplicable</v>
      </c>
      <c r="D204" s="175" t="e">
        <f>VLOOKUP(C:C,'QT Import for PTC'!B:D,3,0)</f>
        <v>#N/A</v>
      </c>
      <c r="E204" s="177"/>
      <c r="F204" s="177"/>
      <c r="G204" s="177"/>
      <c r="H204" s="177"/>
      <c r="I204" s="177"/>
      <c r="J204" s="178"/>
      <c r="K204" s="175"/>
      <c r="L204" s="179"/>
      <c r="M204" s="177"/>
      <c r="N204" s="175"/>
      <c r="O204" s="175">
        <v>203</v>
      </c>
    </row>
    <row r="205" spans="1:15">
      <c r="A205" s="175"/>
      <c r="B205" s="175" t="str">
        <f t="shared" si="3"/>
        <v>NotApplicable</v>
      </c>
      <c r="D205" s="175" t="e">
        <f>VLOOKUP(C:C,'QT Import for PTC'!B:D,3,0)</f>
        <v>#N/A</v>
      </c>
      <c r="E205" s="177"/>
      <c r="F205" s="177"/>
      <c r="G205" s="177"/>
      <c r="H205" s="177"/>
      <c r="I205" s="177"/>
      <c r="J205" s="178"/>
      <c r="K205" s="175"/>
      <c r="L205" s="179"/>
      <c r="M205" s="177"/>
      <c r="N205" s="175"/>
      <c r="O205" s="175">
        <v>204</v>
      </c>
    </row>
    <row r="206" spans="1:15">
      <c r="A206" s="175"/>
      <c r="B206" s="175" t="str">
        <f t="shared" si="3"/>
        <v>NotApplicable</v>
      </c>
      <c r="D206" s="175" t="e">
        <f>VLOOKUP(C:C,'QT Import for PTC'!B:D,3,0)</f>
        <v>#N/A</v>
      </c>
      <c r="E206" s="177"/>
      <c r="F206" s="177"/>
      <c r="G206" s="177"/>
      <c r="H206" s="177"/>
      <c r="I206" s="177"/>
      <c r="J206" s="178"/>
      <c r="K206" s="175"/>
      <c r="L206" s="179"/>
      <c r="M206" s="177"/>
      <c r="N206" s="175"/>
      <c r="O206" s="175">
        <v>205</v>
      </c>
    </row>
    <row r="207" spans="1:15">
      <c r="A207" s="175"/>
      <c r="B207" s="175" t="str">
        <f t="shared" si="3"/>
        <v>NotApplicable</v>
      </c>
      <c r="D207" s="175" t="e">
        <f>VLOOKUP(C:C,'QT Import for PTC'!B:D,3,0)</f>
        <v>#N/A</v>
      </c>
      <c r="E207" s="177"/>
      <c r="F207" s="177"/>
      <c r="G207" s="177"/>
      <c r="H207" s="177"/>
      <c r="I207" s="177"/>
      <c r="J207" s="178"/>
      <c r="K207" s="175"/>
      <c r="L207" s="179"/>
      <c r="M207" s="177"/>
      <c r="N207" s="175"/>
      <c r="O207" s="175">
        <v>206</v>
      </c>
    </row>
    <row r="208" spans="1:15">
      <c r="A208" s="175"/>
      <c r="B208" s="175" t="str">
        <f t="shared" si="3"/>
        <v>NotApplicable</v>
      </c>
      <c r="D208" s="175" t="e">
        <f>VLOOKUP(C:C,'QT Import for PTC'!B:D,3,0)</f>
        <v>#N/A</v>
      </c>
      <c r="E208" s="177"/>
      <c r="F208" s="177"/>
      <c r="G208" s="177"/>
      <c r="H208" s="177"/>
      <c r="I208" s="177"/>
      <c r="J208" s="178"/>
      <c r="K208" s="175"/>
      <c r="L208" s="179"/>
      <c r="M208" s="177"/>
      <c r="N208" s="175"/>
      <c r="O208" s="175">
        <v>207</v>
      </c>
    </row>
    <row r="209" spans="1:15">
      <c r="A209" s="175"/>
      <c r="B209" s="175" t="str">
        <f t="shared" si="3"/>
        <v>NotApplicable</v>
      </c>
      <c r="D209" s="175" t="e">
        <f>VLOOKUP(C:C,'QT Import for PTC'!B:D,3,0)</f>
        <v>#N/A</v>
      </c>
      <c r="E209" s="177"/>
      <c r="F209" s="177"/>
      <c r="G209" s="177"/>
      <c r="H209" s="177"/>
      <c r="I209" s="177"/>
      <c r="J209" s="178"/>
      <c r="K209" s="175"/>
      <c r="L209" s="179"/>
      <c r="M209" s="177"/>
      <c r="N209" s="175"/>
      <c r="O209" s="175">
        <v>208</v>
      </c>
    </row>
    <row r="210" spans="1:15">
      <c r="A210" s="175"/>
      <c r="B210" s="175" t="str">
        <f t="shared" si="3"/>
        <v>NotApplicable</v>
      </c>
      <c r="D210" s="175" t="e">
        <f>VLOOKUP(C:C,'QT Import for PTC'!B:D,3,0)</f>
        <v>#N/A</v>
      </c>
      <c r="E210" s="177"/>
      <c r="F210" s="177"/>
      <c r="G210" s="177"/>
      <c r="H210" s="177"/>
      <c r="I210" s="177"/>
      <c r="J210" s="178"/>
      <c r="K210" s="175"/>
      <c r="L210" s="179"/>
      <c r="M210" s="177"/>
      <c r="N210" s="175"/>
      <c r="O210" s="175">
        <v>209</v>
      </c>
    </row>
    <row r="211" spans="1:15">
      <c r="A211" s="175"/>
      <c r="B211" s="175" t="str">
        <f t="shared" si="3"/>
        <v>NotApplicable</v>
      </c>
      <c r="D211" s="175" t="e">
        <f>VLOOKUP(C:C,'QT Import for PTC'!B:D,3,0)</f>
        <v>#N/A</v>
      </c>
      <c r="E211" s="177"/>
      <c r="F211" s="177"/>
      <c r="G211" s="177"/>
      <c r="H211" s="177"/>
      <c r="I211" s="177"/>
      <c r="J211" s="178"/>
      <c r="K211" s="175"/>
      <c r="L211" s="179"/>
      <c r="M211" s="177"/>
      <c r="N211" s="175"/>
      <c r="O211" s="175">
        <v>210</v>
      </c>
    </row>
    <row r="212" spans="1:15">
      <c r="A212" s="175"/>
      <c r="B212" s="175" t="str">
        <f t="shared" si="3"/>
        <v>NotApplicable</v>
      </c>
      <c r="D212" s="175" t="e">
        <f>VLOOKUP(C:C,'QT Import for PTC'!B:D,3,0)</f>
        <v>#N/A</v>
      </c>
      <c r="E212" s="177"/>
      <c r="F212" s="177"/>
      <c r="G212" s="177"/>
      <c r="H212" s="177"/>
      <c r="I212" s="177"/>
      <c r="J212" s="178"/>
      <c r="K212" s="175"/>
      <c r="L212" s="179"/>
      <c r="M212" s="177"/>
      <c r="N212" s="175"/>
      <c r="O212" s="175">
        <v>211</v>
      </c>
    </row>
    <row r="213" spans="1:15">
      <c r="A213" s="175"/>
      <c r="B213" s="175" t="str">
        <f t="shared" si="3"/>
        <v>NotApplicable</v>
      </c>
      <c r="D213" s="175" t="e">
        <f>VLOOKUP(C:C,'QT Import for PTC'!B:D,3,0)</f>
        <v>#N/A</v>
      </c>
      <c r="E213" s="177"/>
      <c r="F213" s="177"/>
      <c r="G213" s="177"/>
      <c r="H213" s="177"/>
      <c r="I213" s="177"/>
      <c r="J213" s="178"/>
      <c r="K213" s="175"/>
      <c r="L213" s="179"/>
      <c r="M213" s="177"/>
      <c r="N213" s="175"/>
      <c r="O213" s="175">
        <v>212</v>
      </c>
    </row>
    <row r="214" spans="1:15">
      <c r="A214" s="175"/>
      <c r="B214" s="175" t="str">
        <f t="shared" si="3"/>
        <v>NotApplicable</v>
      </c>
      <c r="D214" s="175" t="e">
        <f>VLOOKUP(C:C,'QT Import for PTC'!B:D,3,0)</f>
        <v>#N/A</v>
      </c>
      <c r="E214" s="177"/>
      <c r="F214" s="177"/>
      <c r="G214" s="177"/>
      <c r="H214" s="177"/>
      <c r="I214" s="177"/>
      <c r="J214" s="178"/>
      <c r="K214" s="175"/>
      <c r="L214" s="179"/>
      <c r="M214" s="177"/>
      <c r="N214" s="175"/>
      <c r="O214" s="175">
        <v>213</v>
      </c>
    </row>
    <row r="215" spans="1:15">
      <c r="A215" s="175"/>
      <c r="B215" s="175" t="str">
        <f t="shared" si="3"/>
        <v>NotApplicable</v>
      </c>
      <c r="D215" s="175" t="e">
        <f>VLOOKUP(C:C,'QT Import for PTC'!B:D,3,0)</f>
        <v>#N/A</v>
      </c>
      <c r="E215" s="177"/>
      <c r="F215" s="177"/>
      <c r="G215" s="177"/>
      <c r="H215" s="177"/>
      <c r="I215" s="177"/>
      <c r="J215" s="178"/>
      <c r="K215" s="175"/>
      <c r="L215" s="179"/>
      <c r="M215" s="177"/>
      <c r="N215" s="175"/>
      <c r="O215" s="175">
        <v>214</v>
      </c>
    </row>
    <row r="216" spans="1:15">
      <c r="A216" s="175"/>
      <c r="B216" s="175" t="str">
        <f t="shared" si="3"/>
        <v>NotApplicable</v>
      </c>
      <c r="D216" s="175" t="e">
        <f>VLOOKUP(C:C,'QT Import for PTC'!B:D,3,0)</f>
        <v>#N/A</v>
      </c>
      <c r="E216" s="177"/>
      <c r="F216" s="177"/>
      <c r="G216" s="177"/>
      <c r="H216" s="177"/>
      <c r="I216" s="177"/>
      <c r="J216" s="178"/>
      <c r="K216" s="175"/>
      <c r="L216" s="179"/>
      <c r="M216" s="177"/>
      <c r="N216" s="175"/>
      <c r="O216" s="175">
        <v>215</v>
      </c>
    </row>
    <row r="217" spans="1:15">
      <c r="A217" s="175"/>
      <c r="B217" s="175" t="str">
        <f t="shared" si="3"/>
        <v>NotApplicable</v>
      </c>
      <c r="D217" s="175" t="e">
        <f>VLOOKUP(C:C,'QT Import for PTC'!B:D,3,0)</f>
        <v>#N/A</v>
      </c>
      <c r="E217" s="177"/>
      <c r="F217" s="177"/>
      <c r="G217" s="177"/>
      <c r="H217" s="177"/>
      <c r="I217" s="177"/>
      <c r="J217" s="178"/>
      <c r="K217" s="175"/>
      <c r="L217" s="179"/>
      <c r="M217" s="177"/>
      <c r="N217" s="175"/>
      <c r="O217" s="175">
        <v>216</v>
      </c>
    </row>
    <row r="218" spans="1:15">
      <c r="A218" s="175"/>
      <c r="B218" s="175" t="str">
        <f t="shared" si="3"/>
        <v>NotApplicable</v>
      </c>
      <c r="D218" s="175" t="e">
        <f>VLOOKUP(C:C,'QT Import for PTC'!B:D,3,0)</f>
        <v>#N/A</v>
      </c>
      <c r="E218" s="177"/>
      <c r="F218" s="177"/>
      <c r="G218" s="177"/>
      <c r="H218" s="177"/>
      <c r="I218" s="177"/>
      <c r="J218" s="178"/>
      <c r="K218" s="175"/>
      <c r="L218" s="179"/>
      <c r="M218" s="177"/>
      <c r="N218" s="175"/>
      <c r="O218" s="175">
        <v>217</v>
      </c>
    </row>
    <row r="219" spans="1:15">
      <c r="A219" s="175"/>
      <c r="B219" s="175" t="str">
        <f t="shared" si="3"/>
        <v>NotApplicable</v>
      </c>
      <c r="D219" s="175" t="e">
        <f>VLOOKUP(C:C,'QT Import for PTC'!B:D,3,0)</f>
        <v>#N/A</v>
      </c>
      <c r="E219" s="177"/>
      <c r="F219" s="177"/>
      <c r="G219" s="177"/>
      <c r="H219" s="177"/>
      <c r="I219" s="177"/>
      <c r="J219" s="178"/>
      <c r="K219" s="175"/>
      <c r="L219" s="179"/>
      <c r="M219" s="177"/>
      <c r="N219" s="175"/>
      <c r="O219" s="175">
        <v>218</v>
      </c>
    </row>
    <row r="220" spans="1:15">
      <c r="A220" s="175"/>
      <c r="B220" s="175" t="str">
        <f t="shared" si="3"/>
        <v>NotApplicable</v>
      </c>
      <c r="D220" s="175" t="e">
        <f>VLOOKUP(C:C,'QT Import for PTC'!B:D,3,0)</f>
        <v>#N/A</v>
      </c>
      <c r="E220" s="177"/>
      <c r="F220" s="177"/>
      <c r="G220" s="177"/>
      <c r="H220" s="177"/>
      <c r="I220" s="177"/>
      <c r="J220" s="178"/>
      <c r="K220" s="175"/>
      <c r="L220" s="179"/>
      <c r="M220" s="177"/>
      <c r="N220" s="175"/>
      <c r="O220" s="175">
        <v>219</v>
      </c>
    </row>
    <row r="221" spans="1:15">
      <c r="A221" s="175"/>
      <c r="B221" s="175" t="str">
        <f t="shared" si="3"/>
        <v>NotApplicable</v>
      </c>
      <c r="D221" s="175" t="e">
        <f>VLOOKUP(C:C,'QT Import for PTC'!B:D,3,0)</f>
        <v>#N/A</v>
      </c>
      <c r="E221" s="177"/>
      <c r="F221" s="177"/>
      <c r="G221" s="177"/>
      <c r="H221" s="177"/>
      <c r="I221" s="177"/>
      <c r="J221" s="178"/>
      <c r="K221" s="175"/>
      <c r="L221" s="179"/>
      <c r="M221" s="177"/>
      <c r="N221" s="175"/>
      <c r="O221" s="175">
        <v>220</v>
      </c>
    </row>
    <row r="222" spans="1:15">
      <c r="A222" s="175"/>
      <c r="B222" s="175" t="str">
        <f t="shared" si="3"/>
        <v>NotApplicable</v>
      </c>
      <c r="D222" s="175" t="e">
        <f>VLOOKUP(C:C,'QT Import for PTC'!B:D,3,0)</f>
        <v>#N/A</v>
      </c>
      <c r="E222" s="177"/>
      <c r="F222" s="177"/>
      <c r="G222" s="177"/>
      <c r="H222" s="177"/>
      <c r="I222" s="177"/>
      <c r="J222" s="178"/>
      <c r="K222" s="175"/>
      <c r="L222" s="179"/>
      <c r="M222" s="177"/>
      <c r="N222" s="175"/>
      <c r="O222" s="175">
        <v>221</v>
      </c>
    </row>
    <row r="223" spans="1:15">
      <c r="A223" s="175"/>
      <c r="B223" s="175" t="str">
        <f t="shared" si="3"/>
        <v>NotApplicable</v>
      </c>
      <c r="D223" s="175" t="e">
        <f>VLOOKUP(C:C,'QT Import for PTC'!B:D,3,0)</f>
        <v>#N/A</v>
      </c>
      <c r="E223" s="177"/>
      <c r="F223" s="177"/>
      <c r="G223" s="177"/>
      <c r="H223" s="177"/>
      <c r="I223" s="177"/>
      <c r="J223" s="178"/>
      <c r="K223" s="175"/>
      <c r="L223" s="179"/>
      <c r="M223" s="177"/>
      <c r="N223" s="175"/>
      <c r="O223" s="175">
        <v>222</v>
      </c>
    </row>
    <row r="224" spans="1:15">
      <c r="A224" s="175"/>
      <c r="B224" s="175" t="str">
        <f t="shared" si="3"/>
        <v>NotApplicable</v>
      </c>
      <c r="D224" s="175" t="e">
        <f>VLOOKUP(C:C,'QT Import for PTC'!B:D,3,0)</f>
        <v>#N/A</v>
      </c>
      <c r="E224" s="177"/>
      <c r="F224" s="177"/>
      <c r="G224" s="177"/>
      <c r="H224" s="177"/>
      <c r="I224" s="177"/>
      <c r="J224" s="178"/>
      <c r="K224" s="175"/>
      <c r="L224" s="179"/>
      <c r="M224" s="177"/>
      <c r="N224" s="175"/>
      <c r="O224" s="175">
        <v>223</v>
      </c>
    </row>
    <row r="225" spans="1:15">
      <c r="A225" s="175"/>
      <c r="B225" s="175" t="str">
        <f t="shared" si="3"/>
        <v>NotApplicable</v>
      </c>
      <c r="D225" s="175" t="e">
        <f>VLOOKUP(C:C,'QT Import for PTC'!B:D,3,0)</f>
        <v>#N/A</v>
      </c>
      <c r="E225" s="177"/>
      <c r="F225" s="177"/>
      <c r="G225" s="177"/>
      <c r="H225" s="177"/>
      <c r="I225" s="177"/>
      <c r="J225" s="178"/>
      <c r="K225" s="175"/>
      <c r="L225" s="179"/>
      <c r="M225" s="177"/>
      <c r="N225" s="175"/>
      <c r="O225" s="175">
        <v>224</v>
      </c>
    </row>
    <row r="226" spans="1:15">
      <c r="A226" s="175"/>
      <c r="B226" s="175" t="str">
        <f t="shared" si="3"/>
        <v>NotApplicable</v>
      </c>
      <c r="D226" s="175" t="e">
        <f>VLOOKUP(C:C,'QT Import for PTC'!B:D,3,0)</f>
        <v>#N/A</v>
      </c>
      <c r="E226" s="177"/>
      <c r="F226" s="177"/>
      <c r="G226" s="177"/>
      <c r="H226" s="177"/>
      <c r="I226" s="177"/>
      <c r="J226" s="178"/>
      <c r="K226" s="175"/>
      <c r="L226" s="179"/>
      <c r="M226" s="177"/>
      <c r="N226" s="175"/>
      <c r="O226" s="175">
        <v>225</v>
      </c>
    </row>
    <row r="227" spans="1:15">
      <c r="A227" s="175"/>
      <c r="B227" s="175" t="str">
        <f t="shared" si="3"/>
        <v>NotApplicable</v>
      </c>
      <c r="D227" s="175" t="e">
        <f>VLOOKUP(C:C,'QT Import for PTC'!B:D,3,0)</f>
        <v>#N/A</v>
      </c>
      <c r="E227" s="177"/>
      <c r="F227" s="177"/>
      <c r="G227" s="177"/>
      <c r="H227" s="177"/>
      <c r="I227" s="177"/>
      <c r="J227" s="178"/>
      <c r="K227" s="175"/>
      <c r="L227" s="179"/>
      <c r="M227" s="177"/>
      <c r="N227" s="175"/>
      <c r="O227" s="175">
        <v>226</v>
      </c>
    </row>
    <row r="228" spans="1:15">
      <c r="A228" s="175"/>
      <c r="B228" s="175" t="str">
        <f t="shared" si="3"/>
        <v>NotApplicable</v>
      </c>
      <c r="D228" s="175" t="e">
        <f>VLOOKUP(C:C,'QT Import for PTC'!B:D,3,0)</f>
        <v>#N/A</v>
      </c>
      <c r="E228" s="177"/>
      <c r="F228" s="177"/>
      <c r="G228" s="177"/>
      <c r="H228" s="177"/>
      <c r="I228" s="177"/>
      <c r="J228" s="178"/>
      <c r="K228" s="175"/>
      <c r="L228" s="179"/>
      <c r="M228" s="177"/>
      <c r="N228" s="175"/>
      <c r="O228" s="175">
        <v>227</v>
      </c>
    </row>
    <row r="229" spans="1:15">
      <c r="A229" s="175"/>
      <c r="B229" s="175" t="str">
        <f t="shared" si="3"/>
        <v>NotApplicable</v>
      </c>
      <c r="D229" s="175" t="e">
        <f>VLOOKUP(C:C,'QT Import for PTC'!B:D,3,0)</f>
        <v>#N/A</v>
      </c>
      <c r="E229" s="177"/>
      <c r="F229" s="177"/>
      <c r="G229" s="177"/>
      <c r="H229" s="177"/>
      <c r="I229" s="177"/>
      <c r="J229" s="178"/>
      <c r="K229" s="175"/>
      <c r="L229" s="179"/>
      <c r="M229" s="177"/>
      <c r="N229" s="175"/>
      <c r="O229" s="175">
        <v>228</v>
      </c>
    </row>
    <row r="230" spans="1:15">
      <c r="A230" s="175"/>
      <c r="B230" s="175" t="str">
        <f t="shared" si="3"/>
        <v>NotApplicable</v>
      </c>
      <c r="D230" s="175" t="e">
        <f>VLOOKUP(C:C,'QT Import for PTC'!B:D,3,0)</f>
        <v>#N/A</v>
      </c>
      <c r="E230" s="177"/>
      <c r="F230" s="177"/>
      <c r="G230" s="177"/>
      <c r="H230" s="177"/>
      <c r="I230" s="177"/>
      <c r="J230" s="178"/>
      <c r="K230" s="175"/>
      <c r="L230" s="179"/>
      <c r="M230" s="177"/>
      <c r="N230" s="175"/>
      <c r="O230" s="175">
        <v>229</v>
      </c>
    </row>
    <row r="231" spans="1:15">
      <c r="A231" s="175"/>
      <c r="B231" s="175" t="str">
        <f t="shared" si="3"/>
        <v>NotApplicable</v>
      </c>
      <c r="D231" s="175" t="e">
        <f>VLOOKUP(C:C,'QT Import for PTC'!B:D,3,0)</f>
        <v>#N/A</v>
      </c>
      <c r="E231" s="177"/>
      <c r="F231" s="177"/>
      <c r="G231" s="177"/>
      <c r="H231" s="177"/>
      <c r="I231" s="177"/>
      <c r="J231" s="178"/>
      <c r="K231" s="175"/>
      <c r="L231" s="179"/>
      <c r="M231" s="177"/>
      <c r="N231" s="175"/>
      <c r="O231" s="175">
        <v>230</v>
      </c>
    </row>
    <row r="232" spans="1:15">
      <c r="A232" s="175"/>
      <c r="B232" s="175" t="str">
        <f t="shared" si="3"/>
        <v>NotApplicable</v>
      </c>
      <c r="D232" s="175" t="e">
        <f>VLOOKUP(C:C,'QT Import for PTC'!B:D,3,0)</f>
        <v>#N/A</v>
      </c>
      <c r="E232" s="177"/>
      <c r="F232" s="177"/>
      <c r="G232" s="177"/>
      <c r="H232" s="177"/>
      <c r="I232" s="177"/>
      <c r="J232" s="178"/>
      <c r="K232" s="175"/>
      <c r="L232" s="179"/>
      <c r="M232" s="177"/>
      <c r="N232" s="175"/>
      <c r="O232" s="175">
        <v>231</v>
      </c>
    </row>
    <row r="233" spans="1:15">
      <c r="A233" s="175"/>
      <c r="B233" s="175" t="str">
        <f t="shared" si="3"/>
        <v>NotApplicable</v>
      </c>
      <c r="D233" s="175" t="e">
        <f>VLOOKUP(C:C,'QT Import for PTC'!B:D,3,0)</f>
        <v>#N/A</v>
      </c>
      <c r="E233" s="177"/>
      <c r="F233" s="177"/>
      <c r="G233" s="177"/>
      <c r="H233" s="177"/>
      <c r="I233" s="177"/>
      <c r="J233" s="178"/>
      <c r="K233" s="175"/>
      <c r="L233" s="179"/>
      <c r="M233" s="177"/>
      <c r="N233" s="175"/>
      <c r="O233" s="175">
        <v>232</v>
      </c>
    </row>
    <row r="234" spans="1:15">
      <c r="A234" s="175"/>
      <c r="B234" s="175" t="str">
        <f t="shared" si="3"/>
        <v>NotApplicable</v>
      </c>
      <c r="D234" s="175" t="e">
        <f>VLOOKUP(C:C,'QT Import for PTC'!B:D,3,0)</f>
        <v>#N/A</v>
      </c>
      <c r="E234" s="177"/>
      <c r="F234" s="177"/>
      <c r="G234" s="177"/>
      <c r="H234" s="177"/>
      <c r="I234" s="177"/>
      <c r="J234" s="178"/>
      <c r="K234" s="175"/>
      <c r="L234" s="179"/>
      <c r="M234" s="177"/>
      <c r="N234" s="175"/>
      <c r="O234" s="175">
        <v>233</v>
      </c>
    </row>
    <row r="235" spans="1:15">
      <c r="A235" s="175"/>
      <c r="B235" s="175" t="str">
        <f t="shared" si="3"/>
        <v>NotApplicable</v>
      </c>
      <c r="D235" s="175" t="e">
        <f>VLOOKUP(C:C,'QT Import for PTC'!B:D,3,0)</f>
        <v>#N/A</v>
      </c>
      <c r="E235" s="177"/>
      <c r="F235" s="177"/>
      <c r="G235" s="177"/>
      <c r="H235" s="177"/>
      <c r="I235" s="177"/>
      <c r="J235" s="178"/>
      <c r="K235" s="175"/>
      <c r="L235" s="179"/>
      <c r="M235" s="177"/>
      <c r="N235" s="175"/>
      <c r="O235" s="175">
        <v>234</v>
      </c>
    </row>
    <row r="236" spans="1:15">
      <c r="A236" s="175"/>
      <c r="B236" s="175" t="str">
        <f t="shared" si="3"/>
        <v>NotApplicable</v>
      </c>
      <c r="D236" s="175" t="e">
        <f>VLOOKUP(C:C,'QT Import for PTC'!B:D,3,0)</f>
        <v>#N/A</v>
      </c>
      <c r="E236" s="177"/>
      <c r="F236" s="177"/>
      <c r="G236" s="177"/>
      <c r="H236" s="177"/>
      <c r="I236" s="177"/>
      <c r="J236" s="178"/>
      <c r="K236" s="175"/>
      <c r="L236" s="179"/>
      <c r="M236" s="177"/>
      <c r="N236" s="175"/>
      <c r="O236" s="175">
        <v>235</v>
      </c>
    </row>
    <row r="237" spans="1:15">
      <c r="A237" s="175"/>
      <c r="B237" s="175" t="str">
        <f t="shared" si="3"/>
        <v>NotApplicable</v>
      </c>
      <c r="D237" s="175" t="e">
        <f>VLOOKUP(C:C,'QT Import for PTC'!B:D,3,0)</f>
        <v>#N/A</v>
      </c>
      <c r="E237" s="177"/>
      <c r="F237" s="177"/>
      <c r="G237" s="177"/>
      <c r="H237" s="177"/>
      <c r="I237" s="177"/>
      <c r="J237" s="178"/>
      <c r="K237" s="175"/>
      <c r="L237" s="179"/>
      <c r="M237" s="177"/>
      <c r="N237" s="175"/>
      <c r="O237" s="175">
        <v>236</v>
      </c>
    </row>
    <row r="238" spans="1:15">
      <c r="A238" s="175"/>
      <c r="B238" s="175" t="str">
        <f t="shared" si="3"/>
        <v>NotApplicable</v>
      </c>
      <c r="D238" s="175" t="e">
        <f>VLOOKUP(C:C,'QT Import for PTC'!B:D,3,0)</f>
        <v>#N/A</v>
      </c>
      <c r="E238" s="177"/>
      <c r="F238" s="177"/>
      <c r="G238" s="177"/>
      <c r="H238" s="177"/>
      <c r="I238" s="177"/>
      <c r="J238" s="178"/>
      <c r="K238" s="175"/>
      <c r="L238" s="179"/>
      <c r="M238" s="177"/>
      <c r="N238" s="175"/>
      <c r="O238" s="175">
        <v>237</v>
      </c>
    </row>
    <row r="239" spans="1:15">
      <c r="A239" s="175"/>
      <c r="B239" s="175" t="str">
        <f t="shared" si="3"/>
        <v>NotApplicable</v>
      </c>
      <c r="D239" s="175" t="e">
        <f>VLOOKUP(C:C,'QT Import for PTC'!B:D,3,0)</f>
        <v>#N/A</v>
      </c>
      <c r="E239" s="177"/>
      <c r="F239" s="177"/>
      <c r="G239" s="177"/>
      <c r="H239" s="177"/>
      <c r="I239" s="177"/>
      <c r="J239" s="178"/>
      <c r="K239" s="175"/>
      <c r="L239" s="179"/>
      <c r="M239" s="177"/>
      <c r="N239" s="175"/>
      <c r="O239" s="175">
        <v>238</v>
      </c>
    </row>
    <row r="240" spans="1:15">
      <c r="A240" s="175"/>
      <c r="B240" s="175" t="str">
        <f t="shared" si="3"/>
        <v>NotApplicable</v>
      </c>
      <c r="D240" s="175" t="e">
        <f>VLOOKUP(C:C,'QT Import for PTC'!B:D,3,0)</f>
        <v>#N/A</v>
      </c>
      <c r="E240" s="177"/>
      <c r="F240" s="177"/>
      <c r="G240" s="177"/>
      <c r="H240" s="177"/>
      <c r="I240" s="177"/>
      <c r="J240" s="178"/>
      <c r="K240" s="175"/>
      <c r="L240" s="179"/>
      <c r="M240" s="177"/>
      <c r="N240" s="175"/>
      <c r="O240" s="175">
        <v>239</v>
      </c>
    </row>
    <row r="241" spans="1:15">
      <c r="A241" s="175"/>
      <c r="B241" s="175" t="str">
        <f t="shared" si="3"/>
        <v>NotApplicable</v>
      </c>
      <c r="D241" s="175" t="e">
        <f>VLOOKUP(C:C,'QT Import for PTC'!B:D,3,0)</f>
        <v>#N/A</v>
      </c>
      <c r="E241" s="177"/>
      <c r="F241" s="177"/>
      <c r="G241" s="177"/>
      <c r="H241" s="177"/>
      <c r="I241" s="177"/>
      <c r="J241" s="178"/>
      <c r="K241" s="175"/>
      <c r="L241" s="179"/>
      <c r="M241" s="177"/>
      <c r="N241" s="175"/>
      <c r="O241" s="175">
        <v>240</v>
      </c>
    </row>
    <row r="242" spans="1:15">
      <c r="A242" s="175"/>
      <c r="B242" s="175" t="str">
        <f t="shared" si="3"/>
        <v>NotApplicable</v>
      </c>
      <c r="D242" s="175" t="e">
        <f>VLOOKUP(C:C,'QT Import for PTC'!B:D,3,0)</f>
        <v>#N/A</v>
      </c>
      <c r="E242" s="177"/>
      <c r="F242" s="177"/>
      <c r="G242" s="177"/>
      <c r="H242" s="177"/>
      <c r="I242" s="177"/>
      <c r="J242" s="178"/>
      <c r="K242" s="175"/>
      <c r="L242" s="179"/>
      <c r="M242" s="177"/>
      <c r="N242" s="175"/>
      <c r="O242" s="175">
        <v>241</v>
      </c>
    </row>
    <row r="243" spans="1:15">
      <c r="A243" s="175"/>
      <c r="B243" s="175" t="str">
        <f t="shared" si="3"/>
        <v>NotApplicable</v>
      </c>
      <c r="D243" s="175" t="e">
        <f>VLOOKUP(C:C,'QT Import for PTC'!B:D,3,0)</f>
        <v>#N/A</v>
      </c>
      <c r="E243" s="177"/>
      <c r="F243" s="177"/>
      <c r="G243" s="177"/>
      <c r="H243" s="177"/>
      <c r="I243" s="177"/>
      <c r="J243" s="178"/>
      <c r="K243" s="175"/>
      <c r="L243" s="179"/>
      <c r="M243" s="177"/>
      <c r="N243" s="175"/>
      <c r="O243" s="175">
        <v>242</v>
      </c>
    </row>
    <row r="244" spans="1:15">
      <c r="A244" s="175"/>
      <c r="B244" s="175" t="str">
        <f t="shared" si="3"/>
        <v>NotApplicable</v>
      </c>
      <c r="D244" s="175" t="e">
        <f>VLOOKUP(C:C,'QT Import for PTC'!B:D,3,0)</f>
        <v>#N/A</v>
      </c>
      <c r="E244" s="177"/>
      <c r="F244" s="177"/>
      <c r="G244" s="177"/>
      <c r="H244" s="177"/>
      <c r="I244" s="177"/>
      <c r="J244" s="178"/>
      <c r="K244" s="175"/>
      <c r="L244" s="179"/>
      <c r="M244" s="177"/>
      <c r="N244" s="175"/>
      <c r="O244" s="175">
        <v>243</v>
      </c>
    </row>
    <row r="245" spans="1:15">
      <c r="A245" s="175"/>
      <c r="B245" s="175" t="str">
        <f t="shared" si="3"/>
        <v>NotApplicable</v>
      </c>
      <c r="D245" s="175" t="e">
        <f>VLOOKUP(C:C,'QT Import for PTC'!B:D,3,0)</f>
        <v>#N/A</v>
      </c>
      <c r="E245" s="177"/>
      <c r="F245" s="177"/>
      <c r="G245" s="177"/>
      <c r="H245" s="177"/>
      <c r="I245" s="177"/>
      <c r="J245" s="178"/>
      <c r="K245" s="175"/>
      <c r="L245" s="179"/>
      <c r="M245" s="177"/>
      <c r="N245" s="175"/>
      <c r="O245" s="175">
        <v>244</v>
      </c>
    </row>
    <row r="246" spans="1:15">
      <c r="A246" s="175"/>
      <c r="B246" s="175" t="str">
        <f t="shared" si="3"/>
        <v>NotApplicable</v>
      </c>
      <c r="D246" s="175" t="e">
        <f>VLOOKUP(C:C,'QT Import for PTC'!B:D,3,0)</f>
        <v>#N/A</v>
      </c>
      <c r="E246" s="177"/>
      <c r="F246" s="177"/>
      <c r="G246" s="177"/>
      <c r="H246" s="177"/>
      <c r="I246" s="177"/>
      <c r="J246" s="178"/>
      <c r="K246" s="175"/>
      <c r="L246" s="179"/>
      <c r="M246" s="177"/>
      <c r="N246" s="175"/>
      <c r="O246" s="175">
        <v>245</v>
      </c>
    </row>
    <row r="247" spans="1:15">
      <c r="A247" s="175"/>
      <c r="B247" s="175" t="str">
        <f t="shared" si="3"/>
        <v>NotApplicable</v>
      </c>
      <c r="D247" s="175" t="e">
        <f>VLOOKUP(C:C,'QT Import for PTC'!B:D,3,0)</f>
        <v>#N/A</v>
      </c>
      <c r="E247" s="177"/>
      <c r="F247" s="177"/>
      <c r="G247" s="177"/>
      <c r="H247" s="177"/>
      <c r="I247" s="177"/>
      <c r="J247" s="178"/>
      <c r="K247" s="175"/>
      <c r="L247" s="179"/>
      <c r="M247" s="177"/>
      <c r="N247" s="175"/>
      <c r="O247" s="175">
        <v>246</v>
      </c>
    </row>
    <row r="248" spans="1:15">
      <c r="A248" s="175"/>
      <c r="B248" s="175" t="str">
        <f t="shared" si="3"/>
        <v>NotApplicable</v>
      </c>
      <c r="D248" s="175" t="e">
        <f>VLOOKUP(C:C,'QT Import for PTC'!B:D,3,0)</f>
        <v>#N/A</v>
      </c>
      <c r="E248" s="177"/>
      <c r="F248" s="177"/>
      <c r="G248" s="177"/>
      <c r="H248" s="177"/>
      <c r="I248" s="177"/>
      <c r="J248" s="178"/>
      <c r="K248" s="175"/>
      <c r="L248" s="179"/>
      <c r="M248" s="177"/>
      <c r="N248" s="175"/>
      <c r="O248" s="175">
        <v>247</v>
      </c>
    </row>
    <row r="249" spans="1:15">
      <c r="A249" s="175"/>
      <c r="B249" s="175" t="str">
        <f t="shared" si="3"/>
        <v>NotApplicable</v>
      </c>
      <c r="D249" s="175" t="e">
        <f>VLOOKUP(C:C,'QT Import for PTC'!B:D,3,0)</f>
        <v>#N/A</v>
      </c>
      <c r="E249" s="177"/>
      <c r="F249" s="177"/>
      <c r="G249" s="177"/>
      <c r="H249" s="177"/>
      <c r="I249" s="177"/>
      <c r="J249" s="178"/>
      <c r="K249" s="175"/>
      <c r="L249" s="179"/>
      <c r="M249" s="177"/>
      <c r="N249" s="175"/>
      <c r="O249" s="175">
        <v>248</v>
      </c>
    </row>
    <row r="250" spans="1:15">
      <c r="A250" s="175"/>
      <c r="B250" s="175" t="str">
        <f t="shared" si="3"/>
        <v>NotApplicable</v>
      </c>
      <c r="D250" s="175" t="e">
        <f>VLOOKUP(C:C,'QT Import for PTC'!B:D,3,0)</f>
        <v>#N/A</v>
      </c>
      <c r="E250" s="177"/>
      <c r="F250" s="177"/>
      <c r="G250" s="177"/>
      <c r="H250" s="177"/>
      <c r="I250" s="177"/>
      <c r="J250" s="178"/>
      <c r="K250" s="175"/>
      <c r="L250" s="179"/>
      <c r="M250" s="177"/>
      <c r="N250" s="175"/>
      <c r="O250" s="175">
        <v>249</v>
      </c>
    </row>
    <row r="251" spans="1:15">
      <c r="A251" s="175"/>
      <c r="B251" s="175" t="str">
        <f t="shared" si="3"/>
        <v>NotApplicable</v>
      </c>
      <c r="D251" s="175" t="e">
        <f>VLOOKUP(C:C,'QT Import for PTC'!B:D,3,0)</f>
        <v>#N/A</v>
      </c>
      <c r="E251" s="177"/>
      <c r="F251" s="177"/>
      <c r="G251" s="177"/>
      <c r="H251" s="177"/>
      <c r="I251" s="177"/>
      <c r="J251" s="178"/>
      <c r="K251" s="175"/>
      <c r="L251" s="179"/>
      <c r="M251" s="177"/>
      <c r="N251" s="175"/>
      <c r="O251" s="175">
        <v>250</v>
      </c>
    </row>
    <row r="252" spans="1:15">
      <c r="A252" s="175"/>
      <c r="B252" s="175" t="str">
        <f t="shared" si="3"/>
        <v>NotApplicable</v>
      </c>
      <c r="D252" s="175" t="e">
        <f>VLOOKUP(C:C,'QT Import for PTC'!B:D,3,0)</f>
        <v>#N/A</v>
      </c>
      <c r="E252" s="177"/>
      <c r="F252" s="177"/>
      <c r="G252" s="177"/>
      <c r="H252" s="177"/>
      <c r="I252" s="177"/>
      <c r="J252" s="178"/>
      <c r="K252" s="175"/>
      <c r="L252" s="179"/>
      <c r="M252" s="177"/>
      <c r="N252" s="175"/>
      <c r="O252" s="175">
        <v>251</v>
      </c>
    </row>
    <row r="253" spans="1:15">
      <c r="A253" s="175"/>
      <c r="B253" s="175" t="str">
        <f t="shared" si="3"/>
        <v>NotApplicable</v>
      </c>
      <c r="D253" s="175" t="e">
        <f>VLOOKUP(C:C,'QT Import for PTC'!B:D,3,0)</f>
        <v>#N/A</v>
      </c>
      <c r="E253" s="177"/>
      <c r="F253" s="177"/>
      <c r="G253" s="177"/>
      <c r="H253" s="177"/>
      <c r="I253" s="177"/>
      <c r="J253" s="178"/>
      <c r="K253" s="175"/>
      <c r="L253" s="179"/>
      <c r="M253" s="177"/>
      <c r="N253" s="175"/>
      <c r="O253" s="175">
        <v>252</v>
      </c>
    </row>
    <row r="254" spans="1:15">
      <c r="A254" s="175"/>
      <c r="B254" s="175" t="str">
        <f t="shared" si="3"/>
        <v>NotApplicable</v>
      </c>
      <c r="D254" s="175" t="e">
        <f>VLOOKUP(C:C,'QT Import for PTC'!B:D,3,0)</f>
        <v>#N/A</v>
      </c>
      <c r="E254" s="177"/>
      <c r="F254" s="177"/>
      <c r="G254" s="177"/>
      <c r="H254" s="177"/>
      <c r="I254" s="177"/>
      <c r="J254" s="178"/>
      <c r="K254" s="175"/>
      <c r="L254" s="179"/>
      <c r="M254" s="177"/>
      <c r="N254" s="175"/>
      <c r="O254" s="175">
        <v>253</v>
      </c>
    </row>
    <row r="255" spans="1:15">
      <c r="A255" s="175"/>
      <c r="B255" s="175" t="str">
        <f t="shared" si="3"/>
        <v>NotApplicable</v>
      </c>
      <c r="D255" s="175" t="e">
        <f>VLOOKUP(C:C,'QT Import for PTC'!B:D,3,0)</f>
        <v>#N/A</v>
      </c>
      <c r="E255" s="177"/>
      <c r="F255" s="177"/>
      <c r="G255" s="177"/>
      <c r="H255" s="177"/>
      <c r="I255" s="177"/>
      <c r="J255" s="178"/>
      <c r="K255" s="175"/>
      <c r="L255" s="179"/>
      <c r="M255" s="177"/>
      <c r="N255" s="175"/>
      <c r="O255" s="175">
        <v>254</v>
      </c>
    </row>
    <row r="256" spans="1:15">
      <c r="A256" s="175"/>
      <c r="B256" s="175" t="str">
        <f t="shared" si="3"/>
        <v>NotApplicable</v>
      </c>
      <c r="D256" s="175" t="e">
        <f>VLOOKUP(C:C,'QT Import for PTC'!B:D,3,0)</f>
        <v>#N/A</v>
      </c>
      <c r="E256" s="177"/>
      <c r="F256" s="177"/>
      <c r="G256" s="177"/>
      <c r="H256" s="177"/>
      <c r="I256" s="177"/>
      <c r="J256" s="178"/>
      <c r="K256" s="175"/>
      <c r="L256" s="179"/>
      <c r="M256" s="177"/>
      <c r="N256" s="175"/>
      <c r="O256" s="175">
        <v>255</v>
      </c>
    </row>
    <row r="257" spans="1:15">
      <c r="A257" s="175"/>
      <c r="B257" s="175" t="str">
        <f t="shared" si="3"/>
        <v>NotApplicable</v>
      </c>
      <c r="D257" s="175" t="e">
        <f>VLOOKUP(C:C,'QT Import for PTC'!B:D,3,0)</f>
        <v>#N/A</v>
      </c>
      <c r="E257" s="177"/>
      <c r="F257" s="177"/>
      <c r="G257" s="177"/>
      <c r="H257" s="177"/>
      <c r="I257" s="177"/>
      <c r="J257" s="178"/>
      <c r="K257" s="175"/>
      <c r="L257" s="179"/>
      <c r="M257" s="177"/>
      <c r="N257" s="175"/>
      <c r="O257" s="175">
        <v>256</v>
      </c>
    </row>
    <row r="258" spans="1:15">
      <c r="A258" s="175"/>
      <c r="B258" s="175" t="str">
        <f t="shared" si="3"/>
        <v>NotApplicable</v>
      </c>
      <c r="D258" s="175" t="e">
        <f>VLOOKUP(C:C,'QT Import for PTC'!B:D,3,0)</f>
        <v>#N/A</v>
      </c>
      <c r="E258" s="177"/>
      <c r="F258" s="177"/>
      <c r="G258" s="177"/>
      <c r="H258" s="177"/>
      <c r="I258" s="177"/>
      <c r="J258" s="178"/>
      <c r="K258" s="175"/>
      <c r="L258" s="179"/>
      <c r="M258" s="177"/>
      <c r="N258" s="175"/>
      <c r="O258" s="175">
        <v>257</v>
      </c>
    </row>
    <row r="259" spans="1:15">
      <c r="A259" s="175"/>
      <c r="B259" s="175" t="str">
        <f t="shared" ref="B259:B322" si="4">IF(ISNA(D259),"NotApplicable","Applicable")</f>
        <v>NotApplicable</v>
      </c>
      <c r="D259" s="175" t="e">
        <f>VLOOKUP(C:C,'QT Import for PTC'!B:D,3,0)</f>
        <v>#N/A</v>
      </c>
      <c r="E259" s="177"/>
      <c r="F259" s="177"/>
      <c r="G259" s="177"/>
      <c r="H259" s="177"/>
      <c r="I259" s="177"/>
      <c r="J259" s="178"/>
      <c r="K259" s="175"/>
      <c r="L259" s="179"/>
      <c r="M259" s="177"/>
      <c r="N259" s="175"/>
      <c r="O259" s="175">
        <v>258</v>
      </c>
    </row>
    <row r="260" spans="1:15">
      <c r="A260" s="175"/>
      <c r="B260" s="175" t="str">
        <f t="shared" si="4"/>
        <v>NotApplicable</v>
      </c>
      <c r="D260" s="175" t="e">
        <f>VLOOKUP(C:C,'QT Import for PTC'!B:D,3,0)</f>
        <v>#N/A</v>
      </c>
      <c r="E260" s="177"/>
      <c r="F260" s="177"/>
      <c r="G260" s="177"/>
      <c r="H260" s="177"/>
      <c r="I260" s="177"/>
      <c r="J260" s="178"/>
      <c r="K260" s="175"/>
      <c r="L260" s="179"/>
      <c r="M260" s="177"/>
      <c r="N260" s="175"/>
      <c r="O260" s="175">
        <v>259</v>
      </c>
    </row>
    <row r="261" spans="1:15">
      <c r="A261" s="175"/>
      <c r="B261" s="175" t="str">
        <f t="shared" si="4"/>
        <v>NotApplicable</v>
      </c>
      <c r="D261" s="175" t="e">
        <f>VLOOKUP(C:C,'QT Import for PTC'!B:D,3,0)</f>
        <v>#N/A</v>
      </c>
      <c r="E261" s="177"/>
      <c r="F261" s="177"/>
      <c r="G261" s="177"/>
      <c r="H261" s="177"/>
      <c r="I261" s="177"/>
      <c r="J261" s="178"/>
      <c r="K261" s="175"/>
      <c r="L261" s="179"/>
      <c r="M261" s="177"/>
      <c r="N261" s="175"/>
      <c r="O261" s="175">
        <v>260</v>
      </c>
    </row>
    <row r="262" spans="1:15">
      <c r="A262" s="175"/>
      <c r="B262" s="175" t="str">
        <f t="shared" si="4"/>
        <v>NotApplicable</v>
      </c>
      <c r="D262" s="175" t="e">
        <f>VLOOKUP(C:C,'QT Import for PTC'!B:D,3,0)</f>
        <v>#N/A</v>
      </c>
      <c r="E262" s="177"/>
      <c r="F262" s="177"/>
      <c r="G262" s="177"/>
      <c r="H262" s="177"/>
      <c r="I262" s="177"/>
      <c r="J262" s="178"/>
      <c r="K262" s="175"/>
      <c r="L262" s="179"/>
      <c r="M262" s="177"/>
      <c r="N262" s="175"/>
      <c r="O262" s="175">
        <v>261</v>
      </c>
    </row>
    <row r="263" spans="1:15">
      <c r="A263" s="175"/>
      <c r="B263" s="175" t="str">
        <f t="shared" si="4"/>
        <v>NotApplicable</v>
      </c>
      <c r="D263" s="175" t="e">
        <f>VLOOKUP(C:C,'QT Import for PTC'!B:D,3,0)</f>
        <v>#N/A</v>
      </c>
      <c r="E263" s="177"/>
      <c r="F263" s="177"/>
      <c r="G263" s="177"/>
      <c r="H263" s="177"/>
      <c r="I263" s="177"/>
      <c r="J263" s="178"/>
      <c r="K263" s="175"/>
      <c r="L263" s="179"/>
      <c r="M263" s="177"/>
      <c r="N263" s="175"/>
      <c r="O263" s="175">
        <v>262</v>
      </c>
    </row>
    <row r="264" spans="1:15">
      <c r="A264" s="175"/>
      <c r="B264" s="175" t="str">
        <f t="shared" si="4"/>
        <v>NotApplicable</v>
      </c>
      <c r="D264" s="175" t="e">
        <f>VLOOKUP(C:C,'QT Import for PTC'!B:D,3,0)</f>
        <v>#N/A</v>
      </c>
      <c r="E264" s="177"/>
      <c r="F264" s="177"/>
      <c r="G264" s="177"/>
      <c r="H264" s="177"/>
      <c r="I264" s="177"/>
      <c r="J264" s="178"/>
      <c r="K264" s="175"/>
      <c r="L264" s="179"/>
      <c r="M264" s="177"/>
      <c r="N264" s="175"/>
      <c r="O264" s="175">
        <v>263</v>
      </c>
    </row>
    <row r="265" spans="1:15">
      <c r="A265" s="175"/>
      <c r="B265" s="175" t="str">
        <f t="shared" si="4"/>
        <v>NotApplicable</v>
      </c>
      <c r="D265" s="175" t="e">
        <f>VLOOKUP(C:C,'QT Import for PTC'!B:D,3,0)</f>
        <v>#N/A</v>
      </c>
      <c r="E265" s="177"/>
      <c r="F265" s="177"/>
      <c r="G265" s="177"/>
      <c r="H265" s="177"/>
      <c r="I265" s="177"/>
      <c r="J265" s="178"/>
      <c r="K265" s="175"/>
      <c r="L265" s="179"/>
      <c r="M265" s="177"/>
      <c r="N265" s="175"/>
      <c r="O265" s="175">
        <v>264</v>
      </c>
    </row>
    <row r="266" spans="1:15">
      <c r="A266" s="175"/>
      <c r="B266" s="175" t="str">
        <f t="shared" si="4"/>
        <v>NotApplicable</v>
      </c>
      <c r="D266" s="175" t="e">
        <f>VLOOKUP(C:C,'QT Import for PTC'!B:D,3,0)</f>
        <v>#N/A</v>
      </c>
      <c r="E266" s="177"/>
      <c r="F266" s="177"/>
      <c r="G266" s="177"/>
      <c r="H266" s="177"/>
      <c r="I266" s="177"/>
      <c r="J266" s="178"/>
      <c r="K266" s="175"/>
      <c r="L266" s="179"/>
      <c r="M266" s="177"/>
      <c r="N266" s="175"/>
      <c r="O266" s="175">
        <v>265</v>
      </c>
    </row>
    <row r="267" spans="1:15">
      <c r="A267" s="175"/>
      <c r="B267" s="175" t="str">
        <f t="shared" si="4"/>
        <v>NotApplicable</v>
      </c>
      <c r="D267" s="175" t="e">
        <f>VLOOKUP(C:C,'QT Import for PTC'!B:D,3,0)</f>
        <v>#N/A</v>
      </c>
      <c r="E267" s="177"/>
      <c r="F267" s="177"/>
      <c r="G267" s="177"/>
      <c r="H267" s="177"/>
      <c r="I267" s="177"/>
      <c r="J267" s="178"/>
      <c r="K267" s="175"/>
      <c r="L267" s="179"/>
      <c r="M267" s="177"/>
      <c r="N267" s="175"/>
      <c r="O267" s="175">
        <v>266</v>
      </c>
    </row>
    <row r="268" spans="1:15">
      <c r="A268" s="175"/>
      <c r="B268" s="175" t="str">
        <f t="shared" si="4"/>
        <v>NotApplicable</v>
      </c>
      <c r="D268" s="175" t="e">
        <f>VLOOKUP(C:C,'QT Import for PTC'!B:D,3,0)</f>
        <v>#N/A</v>
      </c>
      <c r="E268" s="177"/>
      <c r="F268" s="177"/>
      <c r="G268" s="177"/>
      <c r="H268" s="177"/>
      <c r="I268" s="177"/>
      <c r="J268" s="178"/>
      <c r="K268" s="175"/>
      <c r="L268" s="179"/>
      <c r="M268" s="177"/>
      <c r="N268" s="175"/>
      <c r="O268" s="175">
        <v>267</v>
      </c>
    </row>
    <row r="269" spans="1:15">
      <c r="A269" s="175"/>
      <c r="B269" s="175" t="str">
        <f t="shared" si="4"/>
        <v>NotApplicable</v>
      </c>
      <c r="D269" s="175" t="e">
        <f>VLOOKUP(C:C,'QT Import for PTC'!B:D,3,0)</f>
        <v>#N/A</v>
      </c>
      <c r="E269" s="177"/>
      <c r="F269" s="177"/>
      <c r="G269" s="177"/>
      <c r="H269" s="177"/>
      <c r="I269" s="177"/>
      <c r="J269" s="178"/>
      <c r="K269" s="175"/>
      <c r="L269" s="179"/>
      <c r="M269" s="177"/>
      <c r="N269" s="175"/>
      <c r="O269" s="175">
        <v>268</v>
      </c>
    </row>
    <row r="270" spans="1:15">
      <c r="A270" s="175"/>
      <c r="B270" s="175" t="str">
        <f t="shared" si="4"/>
        <v>NotApplicable</v>
      </c>
      <c r="D270" s="175" t="e">
        <f>VLOOKUP(C:C,'QT Import for PTC'!B:D,3,0)</f>
        <v>#N/A</v>
      </c>
      <c r="E270" s="177"/>
      <c r="F270" s="177"/>
      <c r="G270" s="177"/>
      <c r="H270" s="177"/>
      <c r="I270" s="177"/>
      <c r="J270" s="178"/>
      <c r="K270" s="175"/>
      <c r="L270" s="179"/>
      <c r="M270" s="177"/>
      <c r="N270" s="175"/>
      <c r="O270" s="175">
        <v>269</v>
      </c>
    </row>
    <row r="271" spans="1:15">
      <c r="A271" s="175"/>
      <c r="B271" s="175" t="str">
        <f t="shared" si="4"/>
        <v>NotApplicable</v>
      </c>
      <c r="D271" s="175" t="e">
        <f>VLOOKUP(C:C,'QT Import for PTC'!B:D,3,0)</f>
        <v>#N/A</v>
      </c>
      <c r="E271" s="177"/>
      <c r="F271" s="177"/>
      <c r="G271" s="177"/>
      <c r="H271" s="177"/>
      <c r="I271" s="177"/>
      <c r="J271" s="178"/>
      <c r="K271" s="175"/>
      <c r="L271" s="179"/>
      <c r="M271" s="177"/>
      <c r="N271" s="175"/>
      <c r="O271" s="175">
        <v>270</v>
      </c>
    </row>
    <row r="272" spans="1:15">
      <c r="A272" s="175"/>
      <c r="B272" s="175" t="str">
        <f t="shared" si="4"/>
        <v>NotApplicable</v>
      </c>
      <c r="D272" s="175" t="e">
        <f>VLOOKUP(C:C,'QT Import for PTC'!B:D,3,0)</f>
        <v>#N/A</v>
      </c>
      <c r="E272" s="177"/>
      <c r="F272" s="177"/>
      <c r="G272" s="177"/>
      <c r="H272" s="177"/>
      <c r="I272" s="177"/>
      <c r="J272" s="178"/>
      <c r="K272" s="175"/>
      <c r="L272" s="179"/>
      <c r="M272" s="177"/>
      <c r="N272" s="175"/>
      <c r="O272" s="175">
        <v>271</v>
      </c>
    </row>
    <row r="273" spans="1:15">
      <c r="A273" s="175"/>
      <c r="B273" s="175" t="str">
        <f t="shared" si="4"/>
        <v>NotApplicable</v>
      </c>
      <c r="D273" s="175" t="e">
        <f>VLOOKUP(C:C,'QT Import for PTC'!B:D,3,0)</f>
        <v>#N/A</v>
      </c>
      <c r="E273" s="177"/>
      <c r="F273" s="177"/>
      <c r="G273" s="177"/>
      <c r="H273" s="177"/>
      <c r="I273" s="177"/>
      <c r="J273" s="178"/>
      <c r="K273" s="175"/>
      <c r="L273" s="179"/>
      <c r="M273" s="177"/>
      <c r="N273" s="175"/>
      <c r="O273" s="175">
        <v>272</v>
      </c>
    </row>
    <row r="274" spans="1:15">
      <c r="A274" s="175"/>
      <c r="B274" s="175" t="str">
        <f t="shared" si="4"/>
        <v>NotApplicable</v>
      </c>
      <c r="D274" s="175" t="e">
        <f>VLOOKUP(C:C,'QT Import for PTC'!B:D,3,0)</f>
        <v>#N/A</v>
      </c>
      <c r="E274" s="177"/>
      <c r="F274" s="177"/>
      <c r="G274" s="177"/>
      <c r="H274" s="177"/>
      <c r="I274" s="177"/>
      <c r="J274" s="178"/>
      <c r="K274" s="175"/>
      <c r="L274" s="179"/>
      <c r="M274" s="177"/>
      <c r="N274" s="175"/>
      <c r="O274" s="175">
        <v>273</v>
      </c>
    </row>
    <row r="275" spans="1:15">
      <c r="A275" s="175"/>
      <c r="B275" s="175" t="str">
        <f t="shared" si="4"/>
        <v>NotApplicable</v>
      </c>
      <c r="D275" s="175" t="e">
        <f>VLOOKUP(C:C,'QT Import for PTC'!B:D,3,0)</f>
        <v>#N/A</v>
      </c>
      <c r="E275" s="177"/>
      <c r="F275" s="177"/>
      <c r="G275" s="177"/>
      <c r="H275" s="177"/>
      <c r="I275" s="177"/>
      <c r="J275" s="178"/>
      <c r="K275" s="175"/>
      <c r="L275" s="179"/>
      <c r="M275" s="177"/>
      <c r="N275" s="175"/>
      <c r="O275" s="175">
        <v>274</v>
      </c>
    </row>
    <row r="276" spans="1:15">
      <c r="A276" s="175"/>
      <c r="B276" s="175" t="str">
        <f t="shared" si="4"/>
        <v>NotApplicable</v>
      </c>
      <c r="D276" s="175" t="e">
        <f>VLOOKUP(C:C,'QT Import for PTC'!B:D,3,0)</f>
        <v>#N/A</v>
      </c>
      <c r="E276" s="177"/>
      <c r="F276" s="177"/>
      <c r="G276" s="177"/>
      <c r="H276" s="177"/>
      <c r="I276" s="177"/>
      <c r="J276" s="178"/>
      <c r="K276" s="175"/>
      <c r="L276" s="179"/>
      <c r="M276" s="177"/>
      <c r="N276" s="175"/>
      <c r="O276" s="175">
        <v>275</v>
      </c>
    </row>
    <row r="277" spans="1:15">
      <c r="A277" s="175"/>
      <c r="B277" s="175" t="str">
        <f t="shared" si="4"/>
        <v>NotApplicable</v>
      </c>
      <c r="D277" s="175" t="e">
        <f>VLOOKUP(C:C,'QT Import for PTC'!B:D,3,0)</f>
        <v>#N/A</v>
      </c>
      <c r="E277" s="177"/>
      <c r="F277" s="177"/>
      <c r="G277" s="177"/>
      <c r="H277" s="177"/>
      <c r="I277" s="177"/>
      <c r="J277" s="178"/>
      <c r="K277" s="175"/>
      <c r="L277" s="179"/>
      <c r="M277" s="177"/>
      <c r="N277" s="175"/>
      <c r="O277" s="175">
        <v>276</v>
      </c>
    </row>
    <row r="278" spans="1:15">
      <c r="A278" s="175"/>
      <c r="B278" s="175" t="str">
        <f t="shared" si="4"/>
        <v>NotApplicable</v>
      </c>
      <c r="D278" s="175" t="e">
        <f>VLOOKUP(C:C,'QT Import for PTC'!B:D,3,0)</f>
        <v>#N/A</v>
      </c>
      <c r="E278" s="177"/>
      <c r="F278" s="177"/>
      <c r="G278" s="177"/>
      <c r="H278" s="177"/>
      <c r="I278" s="177"/>
      <c r="J278" s="178"/>
      <c r="K278" s="175"/>
      <c r="L278" s="179"/>
      <c r="M278" s="177"/>
      <c r="N278" s="175"/>
      <c r="O278" s="175">
        <v>277</v>
      </c>
    </row>
    <row r="279" spans="1:15">
      <c r="A279" s="175"/>
      <c r="B279" s="175" t="str">
        <f t="shared" si="4"/>
        <v>NotApplicable</v>
      </c>
      <c r="D279" s="175" t="e">
        <f>VLOOKUP(C:C,'QT Import for PTC'!B:D,3,0)</f>
        <v>#N/A</v>
      </c>
      <c r="E279" s="177"/>
      <c r="F279" s="177"/>
      <c r="G279" s="177"/>
      <c r="H279" s="177"/>
      <c r="I279" s="177"/>
      <c r="J279" s="178"/>
      <c r="K279" s="175"/>
      <c r="L279" s="179"/>
      <c r="M279" s="177"/>
      <c r="N279" s="175"/>
      <c r="O279" s="175">
        <v>278</v>
      </c>
    </row>
    <row r="280" spans="1:15">
      <c r="A280" s="175"/>
      <c r="B280" s="175" t="str">
        <f t="shared" si="4"/>
        <v>NotApplicable</v>
      </c>
      <c r="D280" s="175" t="e">
        <f>VLOOKUP(C:C,'QT Import for PTC'!B:D,3,0)</f>
        <v>#N/A</v>
      </c>
      <c r="E280" s="177"/>
      <c r="F280" s="177"/>
      <c r="G280" s="177"/>
      <c r="H280" s="177"/>
      <c r="I280" s="177"/>
      <c r="J280" s="178"/>
      <c r="K280" s="175"/>
      <c r="L280" s="179"/>
      <c r="M280" s="177"/>
      <c r="N280" s="175"/>
      <c r="O280" s="175">
        <v>279</v>
      </c>
    </row>
    <row r="281" spans="1:15">
      <c r="A281" s="175"/>
      <c r="B281" s="175" t="str">
        <f t="shared" si="4"/>
        <v>NotApplicable</v>
      </c>
      <c r="D281" s="175" t="e">
        <f>VLOOKUP(C:C,'QT Import for PTC'!B:D,3,0)</f>
        <v>#N/A</v>
      </c>
      <c r="E281" s="177"/>
      <c r="F281" s="177"/>
      <c r="G281" s="177"/>
      <c r="H281" s="177"/>
      <c r="I281" s="177"/>
      <c r="J281" s="178"/>
      <c r="K281" s="175"/>
      <c r="L281" s="179"/>
      <c r="M281" s="177"/>
      <c r="N281" s="175"/>
      <c r="O281" s="175">
        <v>280</v>
      </c>
    </row>
    <row r="282" spans="1:15">
      <c r="A282" s="175"/>
      <c r="B282" s="175" t="str">
        <f t="shared" si="4"/>
        <v>NotApplicable</v>
      </c>
      <c r="D282" s="175" t="e">
        <f>VLOOKUP(C:C,'QT Import for PTC'!B:D,3,0)</f>
        <v>#N/A</v>
      </c>
      <c r="E282" s="177"/>
      <c r="F282" s="177"/>
      <c r="G282" s="177"/>
      <c r="H282" s="177"/>
      <c r="I282" s="177"/>
      <c r="J282" s="178"/>
      <c r="K282" s="175"/>
      <c r="L282" s="179"/>
      <c r="M282" s="177"/>
      <c r="N282" s="175"/>
      <c r="O282" s="175">
        <v>281</v>
      </c>
    </row>
    <row r="283" spans="1:15">
      <c r="A283" s="175"/>
      <c r="B283" s="175" t="str">
        <f t="shared" si="4"/>
        <v>NotApplicable</v>
      </c>
      <c r="D283" s="175" t="e">
        <f>VLOOKUP(C:C,'QT Import for PTC'!B:D,3,0)</f>
        <v>#N/A</v>
      </c>
      <c r="E283" s="177"/>
      <c r="F283" s="177"/>
      <c r="G283" s="177"/>
      <c r="H283" s="177"/>
      <c r="I283" s="177"/>
      <c r="J283" s="178"/>
      <c r="K283" s="175"/>
      <c r="L283" s="179"/>
      <c r="M283" s="177"/>
      <c r="N283" s="175"/>
      <c r="O283" s="175">
        <v>282</v>
      </c>
    </row>
    <row r="284" spans="1:15">
      <c r="A284" s="175"/>
      <c r="B284" s="175" t="str">
        <f t="shared" si="4"/>
        <v>NotApplicable</v>
      </c>
      <c r="D284" s="175" t="e">
        <f>VLOOKUP(C:C,'QT Import for PTC'!B:D,3,0)</f>
        <v>#N/A</v>
      </c>
      <c r="E284" s="177"/>
      <c r="F284" s="177"/>
      <c r="G284" s="177"/>
      <c r="H284" s="177"/>
      <c r="I284" s="177"/>
      <c r="J284" s="178"/>
      <c r="K284" s="175"/>
      <c r="L284" s="179"/>
      <c r="M284" s="177"/>
      <c r="N284" s="175"/>
      <c r="O284" s="175">
        <v>283</v>
      </c>
    </row>
    <row r="285" spans="1:15">
      <c r="A285" s="175"/>
      <c r="B285" s="175" t="str">
        <f t="shared" si="4"/>
        <v>NotApplicable</v>
      </c>
      <c r="D285" s="175" t="e">
        <f>VLOOKUP(C:C,'QT Import for PTC'!B:D,3,0)</f>
        <v>#N/A</v>
      </c>
      <c r="E285" s="177"/>
      <c r="F285" s="177"/>
      <c r="G285" s="177"/>
      <c r="H285" s="177"/>
      <c r="I285" s="177"/>
      <c r="J285" s="178"/>
      <c r="K285" s="175"/>
      <c r="L285" s="179"/>
      <c r="M285" s="177"/>
      <c r="N285" s="175"/>
      <c r="O285" s="175">
        <v>284</v>
      </c>
    </row>
    <row r="286" spans="1:15">
      <c r="A286" s="175"/>
      <c r="B286" s="175" t="str">
        <f t="shared" si="4"/>
        <v>NotApplicable</v>
      </c>
      <c r="D286" s="175" t="e">
        <f>VLOOKUP(C:C,'QT Import for PTC'!B:D,3,0)</f>
        <v>#N/A</v>
      </c>
      <c r="E286" s="177"/>
      <c r="F286" s="177"/>
      <c r="G286" s="177"/>
      <c r="H286" s="177"/>
      <c r="I286" s="177"/>
      <c r="J286" s="178"/>
      <c r="K286" s="175"/>
      <c r="L286" s="179"/>
      <c r="M286" s="177"/>
      <c r="N286" s="175"/>
      <c r="O286" s="175">
        <v>285</v>
      </c>
    </row>
    <row r="287" spans="1:15">
      <c r="A287" s="175"/>
      <c r="B287" s="175" t="str">
        <f t="shared" si="4"/>
        <v>NotApplicable</v>
      </c>
      <c r="D287" s="175" t="e">
        <f>VLOOKUP(C:C,'QT Import for PTC'!B:D,3,0)</f>
        <v>#N/A</v>
      </c>
      <c r="E287" s="177"/>
      <c r="F287" s="177"/>
      <c r="G287" s="177"/>
      <c r="H287" s="177"/>
      <c r="I287" s="177"/>
      <c r="J287" s="178"/>
      <c r="K287" s="175"/>
      <c r="L287" s="179"/>
      <c r="M287" s="177"/>
      <c r="N287" s="175"/>
      <c r="O287" s="175">
        <v>286</v>
      </c>
    </row>
    <row r="288" spans="1:15">
      <c r="A288" s="175"/>
      <c r="B288" s="175" t="str">
        <f t="shared" si="4"/>
        <v>NotApplicable</v>
      </c>
      <c r="D288" s="175" t="e">
        <f>VLOOKUP(C:C,'QT Import for PTC'!B:D,3,0)</f>
        <v>#N/A</v>
      </c>
      <c r="E288" s="177"/>
      <c r="F288" s="177"/>
      <c r="G288" s="177"/>
      <c r="H288" s="177"/>
      <c r="I288" s="177"/>
      <c r="J288" s="178"/>
      <c r="K288" s="175"/>
      <c r="L288" s="179"/>
      <c r="M288" s="177"/>
      <c r="N288" s="175"/>
      <c r="O288" s="175">
        <v>287</v>
      </c>
    </row>
    <row r="289" spans="1:15">
      <c r="A289" s="175"/>
      <c r="B289" s="175" t="str">
        <f t="shared" si="4"/>
        <v>NotApplicable</v>
      </c>
      <c r="D289" s="175" t="e">
        <f>VLOOKUP(C:C,'QT Import for PTC'!B:D,3,0)</f>
        <v>#N/A</v>
      </c>
      <c r="E289" s="177"/>
      <c r="F289" s="177"/>
      <c r="G289" s="177"/>
      <c r="H289" s="177"/>
      <c r="I289" s="177"/>
      <c r="J289" s="178"/>
      <c r="K289" s="175"/>
      <c r="L289" s="179"/>
      <c r="M289" s="177"/>
      <c r="N289" s="175"/>
      <c r="O289" s="175">
        <v>288</v>
      </c>
    </row>
    <row r="290" spans="1:15">
      <c r="A290" s="175"/>
      <c r="B290" s="175" t="str">
        <f t="shared" si="4"/>
        <v>NotApplicable</v>
      </c>
      <c r="D290" s="175" t="e">
        <f>VLOOKUP(C:C,'QT Import for PTC'!B:D,3,0)</f>
        <v>#N/A</v>
      </c>
      <c r="E290" s="177"/>
      <c r="F290" s="177"/>
      <c r="G290" s="177"/>
      <c r="H290" s="177"/>
      <c r="I290" s="177"/>
      <c r="J290" s="178"/>
      <c r="K290" s="175"/>
      <c r="L290" s="179"/>
      <c r="M290" s="177"/>
      <c r="N290" s="175"/>
      <c r="O290" s="175">
        <v>289</v>
      </c>
    </row>
    <row r="291" spans="1:15">
      <c r="A291" s="175"/>
      <c r="B291" s="175" t="str">
        <f t="shared" si="4"/>
        <v>NotApplicable</v>
      </c>
      <c r="D291" s="175" t="e">
        <f>VLOOKUP(C:C,'QT Import for PTC'!B:D,3,0)</f>
        <v>#N/A</v>
      </c>
      <c r="E291" s="177"/>
      <c r="F291" s="177"/>
      <c r="G291" s="177"/>
      <c r="H291" s="177"/>
      <c r="I291" s="177"/>
      <c r="J291" s="178"/>
      <c r="K291" s="175"/>
      <c r="L291" s="179"/>
      <c r="M291" s="177"/>
      <c r="N291" s="175"/>
      <c r="O291" s="175">
        <v>290</v>
      </c>
    </row>
    <row r="292" spans="1:15">
      <c r="A292" s="175"/>
      <c r="B292" s="175" t="str">
        <f t="shared" si="4"/>
        <v>NotApplicable</v>
      </c>
      <c r="D292" s="175" t="e">
        <f>VLOOKUP(C:C,'QT Import for PTC'!B:D,3,0)</f>
        <v>#N/A</v>
      </c>
      <c r="E292" s="177"/>
      <c r="F292" s="177"/>
      <c r="G292" s="177"/>
      <c r="H292" s="177"/>
      <c r="I292" s="177"/>
      <c r="J292" s="178"/>
      <c r="K292" s="175"/>
      <c r="L292" s="179"/>
      <c r="M292" s="177"/>
      <c r="N292" s="175"/>
      <c r="O292" s="175">
        <v>291</v>
      </c>
    </row>
    <row r="293" spans="1:15">
      <c r="A293" s="175"/>
      <c r="B293" s="175" t="str">
        <f t="shared" si="4"/>
        <v>NotApplicable</v>
      </c>
      <c r="D293" s="175" t="e">
        <f>VLOOKUP(C:C,'QT Import for PTC'!B:D,3,0)</f>
        <v>#N/A</v>
      </c>
      <c r="E293" s="177"/>
      <c r="F293" s="177"/>
      <c r="G293" s="177"/>
      <c r="H293" s="177"/>
      <c r="I293" s="177"/>
      <c r="J293" s="178"/>
      <c r="K293" s="175"/>
      <c r="L293" s="179"/>
      <c r="M293" s="177"/>
      <c r="N293" s="175"/>
      <c r="O293" s="175">
        <v>292</v>
      </c>
    </row>
    <row r="294" spans="1:15">
      <c r="A294" s="175"/>
      <c r="B294" s="175" t="str">
        <f t="shared" si="4"/>
        <v>NotApplicable</v>
      </c>
      <c r="D294" s="175" t="e">
        <f>VLOOKUP(C:C,'QT Import for PTC'!B:D,3,0)</f>
        <v>#N/A</v>
      </c>
      <c r="E294" s="177"/>
      <c r="F294" s="177"/>
      <c r="G294" s="177"/>
      <c r="H294" s="177"/>
      <c r="I294" s="177"/>
      <c r="J294" s="178"/>
      <c r="K294" s="175"/>
      <c r="L294" s="179"/>
      <c r="M294" s="177"/>
      <c r="N294" s="175"/>
      <c r="O294" s="175">
        <v>293</v>
      </c>
    </row>
    <row r="295" spans="1:15">
      <c r="A295" s="175"/>
      <c r="B295" s="175" t="str">
        <f t="shared" si="4"/>
        <v>NotApplicable</v>
      </c>
      <c r="D295" s="175" t="e">
        <f>VLOOKUP(C:C,'QT Import for PTC'!B:D,3,0)</f>
        <v>#N/A</v>
      </c>
      <c r="E295" s="177"/>
      <c r="F295" s="177"/>
      <c r="G295" s="177"/>
      <c r="H295" s="177"/>
      <c r="I295" s="177"/>
      <c r="J295" s="178"/>
      <c r="K295" s="175"/>
      <c r="L295" s="179"/>
      <c r="M295" s="177"/>
      <c r="N295" s="175"/>
      <c r="O295" s="175">
        <v>294</v>
      </c>
    </row>
    <row r="296" spans="1:15">
      <c r="A296" s="175"/>
      <c r="B296" s="175" t="str">
        <f t="shared" si="4"/>
        <v>NotApplicable</v>
      </c>
      <c r="D296" s="175" t="e">
        <f>VLOOKUP(C:C,'QT Import for PTC'!B:D,3,0)</f>
        <v>#N/A</v>
      </c>
      <c r="E296" s="177"/>
      <c r="F296" s="177"/>
      <c r="G296" s="177"/>
      <c r="H296" s="177"/>
      <c r="I296" s="177"/>
      <c r="J296" s="178"/>
      <c r="K296" s="175"/>
      <c r="L296" s="179"/>
      <c r="M296" s="177"/>
      <c r="N296" s="175"/>
      <c r="O296" s="175">
        <v>295</v>
      </c>
    </row>
    <row r="297" spans="1:15">
      <c r="A297" s="175"/>
      <c r="B297" s="175" t="str">
        <f t="shared" si="4"/>
        <v>NotApplicable</v>
      </c>
      <c r="D297" s="175" t="e">
        <f>VLOOKUP(C:C,'QT Import for PTC'!B:D,3,0)</f>
        <v>#N/A</v>
      </c>
      <c r="E297" s="177"/>
      <c r="F297" s="177"/>
      <c r="G297" s="177"/>
      <c r="H297" s="177"/>
      <c r="I297" s="177"/>
      <c r="J297" s="178"/>
      <c r="K297" s="175"/>
      <c r="L297" s="179"/>
      <c r="M297" s="177"/>
      <c r="N297" s="175"/>
      <c r="O297" s="175">
        <v>296</v>
      </c>
    </row>
    <row r="298" spans="1:15">
      <c r="A298" s="175"/>
      <c r="B298" s="175" t="str">
        <f t="shared" si="4"/>
        <v>NotApplicable</v>
      </c>
      <c r="D298" s="175" t="e">
        <f>VLOOKUP(C:C,'QT Import for PTC'!B:D,3,0)</f>
        <v>#N/A</v>
      </c>
      <c r="E298" s="177"/>
      <c r="F298" s="177"/>
      <c r="G298" s="177"/>
      <c r="H298" s="177"/>
      <c r="I298" s="177"/>
      <c r="J298" s="178"/>
      <c r="K298" s="175"/>
      <c r="L298" s="179"/>
      <c r="M298" s="177"/>
      <c r="N298" s="175"/>
      <c r="O298" s="175">
        <v>297</v>
      </c>
    </row>
    <row r="299" spans="1:15">
      <c r="A299" s="175"/>
      <c r="B299" s="175" t="str">
        <f t="shared" si="4"/>
        <v>NotApplicable</v>
      </c>
      <c r="D299" s="175" t="e">
        <f>VLOOKUP(C:C,'QT Import for PTC'!B:D,3,0)</f>
        <v>#N/A</v>
      </c>
      <c r="E299" s="177"/>
      <c r="F299" s="177"/>
      <c r="G299" s="177"/>
      <c r="H299" s="177"/>
      <c r="I299" s="177"/>
      <c r="J299" s="178"/>
      <c r="K299" s="175"/>
      <c r="L299" s="179"/>
      <c r="M299" s="177"/>
      <c r="N299" s="175"/>
      <c r="O299" s="175">
        <v>298</v>
      </c>
    </row>
    <row r="300" spans="1:15">
      <c r="A300" s="175"/>
      <c r="B300" s="175" t="str">
        <f t="shared" si="4"/>
        <v>NotApplicable</v>
      </c>
      <c r="D300" s="175" t="e">
        <f>VLOOKUP(C:C,'QT Import for PTC'!B:D,3,0)</f>
        <v>#N/A</v>
      </c>
      <c r="E300" s="177"/>
      <c r="F300" s="177"/>
      <c r="G300" s="177"/>
      <c r="H300" s="177"/>
      <c r="I300" s="177"/>
      <c r="J300" s="178"/>
      <c r="K300" s="175"/>
      <c r="L300" s="179"/>
      <c r="M300" s="177"/>
      <c r="N300" s="175"/>
      <c r="O300" s="175">
        <v>299</v>
      </c>
    </row>
    <row r="301" spans="1:15">
      <c r="A301" s="175"/>
      <c r="B301" s="175" t="str">
        <f t="shared" si="4"/>
        <v>NotApplicable</v>
      </c>
      <c r="D301" s="175" t="e">
        <f>VLOOKUP(C:C,'QT Import for PTC'!B:D,3,0)</f>
        <v>#N/A</v>
      </c>
      <c r="E301" s="177"/>
      <c r="F301" s="177"/>
      <c r="G301" s="177"/>
      <c r="H301" s="177"/>
      <c r="I301" s="177"/>
      <c r="J301" s="178"/>
      <c r="K301" s="175"/>
      <c r="L301" s="179"/>
      <c r="M301" s="177"/>
      <c r="N301" s="175"/>
      <c r="O301" s="175">
        <v>300</v>
      </c>
    </row>
    <row r="302" spans="1:15">
      <c r="A302" s="175"/>
      <c r="B302" s="175" t="str">
        <f t="shared" si="4"/>
        <v>NotApplicable</v>
      </c>
      <c r="D302" s="175" t="e">
        <f>VLOOKUP(C:C,'QT Import for PTC'!B:D,3,0)</f>
        <v>#N/A</v>
      </c>
      <c r="E302" s="177"/>
      <c r="F302" s="177"/>
      <c r="G302" s="177"/>
      <c r="H302" s="177"/>
      <c r="I302" s="177"/>
      <c r="J302" s="178"/>
      <c r="K302" s="175"/>
      <c r="L302" s="179"/>
      <c r="M302" s="177"/>
      <c r="N302" s="175"/>
      <c r="O302" s="175">
        <v>301</v>
      </c>
    </row>
    <row r="303" spans="1:15">
      <c r="A303" s="175"/>
      <c r="B303" s="175" t="str">
        <f t="shared" si="4"/>
        <v>NotApplicable</v>
      </c>
      <c r="D303" s="175" t="e">
        <f>VLOOKUP(C:C,'QT Import for PTC'!B:D,3,0)</f>
        <v>#N/A</v>
      </c>
      <c r="E303" s="177"/>
      <c r="F303" s="177"/>
      <c r="G303" s="177"/>
      <c r="H303" s="177"/>
      <c r="I303" s="177"/>
      <c r="J303" s="178"/>
      <c r="K303" s="175"/>
      <c r="L303" s="179"/>
      <c r="M303" s="177"/>
      <c r="N303" s="175"/>
      <c r="O303" s="175">
        <v>302</v>
      </c>
    </row>
    <row r="304" spans="1:15">
      <c r="A304" s="175"/>
      <c r="B304" s="175" t="str">
        <f t="shared" si="4"/>
        <v>NotApplicable</v>
      </c>
      <c r="D304" s="175" t="e">
        <f>VLOOKUP(C:C,'QT Import for PTC'!B:D,3,0)</f>
        <v>#N/A</v>
      </c>
      <c r="E304" s="177"/>
      <c r="F304" s="177"/>
      <c r="G304" s="177"/>
      <c r="H304" s="177"/>
      <c r="I304" s="177"/>
      <c r="J304" s="178"/>
      <c r="K304" s="175"/>
      <c r="L304" s="179"/>
      <c r="M304" s="177"/>
      <c r="N304" s="175"/>
      <c r="O304" s="175">
        <v>303</v>
      </c>
    </row>
    <row r="305" spans="1:15">
      <c r="A305" s="175"/>
      <c r="B305" s="175" t="str">
        <f t="shared" si="4"/>
        <v>NotApplicable</v>
      </c>
      <c r="D305" s="175" t="e">
        <f>VLOOKUP(C:C,'QT Import for PTC'!B:D,3,0)</f>
        <v>#N/A</v>
      </c>
      <c r="E305" s="177"/>
      <c r="F305" s="177"/>
      <c r="G305" s="177"/>
      <c r="H305" s="177"/>
      <c r="I305" s="177"/>
      <c r="J305" s="178"/>
      <c r="K305" s="175"/>
      <c r="L305" s="179"/>
      <c r="M305" s="177"/>
      <c r="N305" s="175"/>
      <c r="O305" s="175">
        <v>304</v>
      </c>
    </row>
    <row r="306" spans="1:15">
      <c r="A306" s="175"/>
      <c r="B306" s="175" t="str">
        <f t="shared" si="4"/>
        <v>NotApplicable</v>
      </c>
      <c r="D306" s="175" t="e">
        <f>VLOOKUP(C:C,'QT Import for PTC'!B:D,3,0)</f>
        <v>#N/A</v>
      </c>
      <c r="E306" s="177"/>
      <c r="F306" s="177"/>
      <c r="G306" s="177"/>
      <c r="H306" s="177"/>
      <c r="I306" s="177"/>
      <c r="J306" s="178"/>
      <c r="K306" s="175"/>
      <c r="L306" s="179"/>
      <c r="M306" s="177"/>
      <c r="N306" s="175"/>
      <c r="O306" s="175">
        <v>305</v>
      </c>
    </row>
    <row r="307" spans="1:15">
      <c r="A307" s="175"/>
      <c r="B307" s="175" t="str">
        <f t="shared" si="4"/>
        <v>NotApplicable</v>
      </c>
      <c r="D307" s="175" t="e">
        <f>VLOOKUP(C:C,'QT Import for PTC'!B:D,3,0)</f>
        <v>#N/A</v>
      </c>
      <c r="E307" s="177"/>
      <c r="F307" s="177"/>
      <c r="G307" s="177"/>
      <c r="H307" s="177"/>
      <c r="I307" s="177"/>
      <c r="J307" s="178"/>
      <c r="K307" s="175"/>
      <c r="L307" s="179"/>
      <c r="M307" s="177"/>
      <c r="N307" s="175"/>
      <c r="O307" s="175">
        <v>306</v>
      </c>
    </row>
    <row r="308" spans="1:15">
      <c r="A308" s="175"/>
      <c r="B308" s="175" t="str">
        <f t="shared" si="4"/>
        <v>NotApplicable</v>
      </c>
      <c r="D308" s="175" t="e">
        <f>VLOOKUP(C:C,'QT Import for PTC'!B:D,3,0)</f>
        <v>#N/A</v>
      </c>
      <c r="E308" s="177"/>
      <c r="F308" s="177"/>
      <c r="G308" s="177"/>
      <c r="H308" s="177"/>
      <c r="I308" s="177"/>
      <c r="J308" s="178"/>
      <c r="K308" s="175"/>
      <c r="L308" s="179"/>
      <c r="M308" s="177"/>
      <c r="N308" s="175"/>
      <c r="O308" s="175">
        <v>307</v>
      </c>
    </row>
    <row r="309" spans="1:15">
      <c r="A309" s="175"/>
      <c r="B309" s="175" t="str">
        <f t="shared" si="4"/>
        <v>NotApplicable</v>
      </c>
      <c r="D309" s="175" t="e">
        <f>VLOOKUP(C:C,'QT Import for PTC'!B:D,3,0)</f>
        <v>#N/A</v>
      </c>
      <c r="E309" s="177"/>
      <c r="F309" s="177"/>
      <c r="G309" s="177"/>
      <c r="H309" s="177"/>
      <c r="I309" s="177"/>
      <c r="J309" s="178"/>
      <c r="K309" s="175"/>
      <c r="L309" s="179"/>
      <c r="M309" s="177"/>
      <c r="N309" s="175"/>
      <c r="O309" s="175">
        <v>308</v>
      </c>
    </row>
    <row r="310" spans="1:15">
      <c r="A310" s="175"/>
      <c r="B310" s="175" t="str">
        <f t="shared" si="4"/>
        <v>NotApplicable</v>
      </c>
      <c r="D310" s="175" t="e">
        <f>VLOOKUP(C:C,'QT Import for PTC'!B:D,3,0)</f>
        <v>#N/A</v>
      </c>
      <c r="E310" s="177"/>
      <c r="F310" s="177"/>
      <c r="G310" s="177"/>
      <c r="H310" s="177"/>
      <c r="I310" s="177"/>
      <c r="J310" s="178"/>
      <c r="K310" s="175"/>
      <c r="L310" s="179"/>
      <c r="M310" s="177"/>
      <c r="N310" s="175"/>
      <c r="O310" s="175">
        <v>309</v>
      </c>
    </row>
    <row r="311" spans="1:15">
      <c r="A311" s="175"/>
      <c r="B311" s="175" t="str">
        <f t="shared" si="4"/>
        <v>NotApplicable</v>
      </c>
      <c r="D311" s="175" t="e">
        <f>VLOOKUP(C:C,'QT Import for PTC'!B:D,3,0)</f>
        <v>#N/A</v>
      </c>
      <c r="E311" s="177"/>
      <c r="F311" s="177"/>
      <c r="G311" s="177"/>
      <c r="H311" s="177"/>
      <c r="I311" s="177"/>
      <c r="J311" s="178"/>
      <c r="K311" s="175"/>
      <c r="L311" s="179"/>
      <c r="M311" s="177"/>
      <c r="N311" s="175"/>
      <c r="O311" s="175">
        <v>310</v>
      </c>
    </row>
    <row r="312" spans="1:15">
      <c r="A312" s="175"/>
      <c r="B312" s="175" t="str">
        <f t="shared" si="4"/>
        <v>NotApplicable</v>
      </c>
      <c r="D312" s="175" t="e">
        <f>VLOOKUP(C:C,'QT Import for PTC'!B:D,3,0)</f>
        <v>#N/A</v>
      </c>
      <c r="E312" s="177"/>
      <c r="F312" s="177"/>
      <c r="G312" s="177"/>
      <c r="H312" s="177"/>
      <c r="I312" s="177"/>
      <c r="J312" s="178"/>
      <c r="K312" s="175"/>
      <c r="L312" s="179"/>
      <c r="M312" s="177"/>
      <c r="N312" s="175"/>
      <c r="O312" s="175">
        <v>311</v>
      </c>
    </row>
    <row r="313" spans="1:15">
      <c r="A313" s="175"/>
      <c r="B313" s="175" t="str">
        <f t="shared" si="4"/>
        <v>NotApplicable</v>
      </c>
      <c r="D313" s="175" t="e">
        <f>VLOOKUP(C:C,'QT Import for PTC'!B:D,3,0)</f>
        <v>#N/A</v>
      </c>
      <c r="E313" s="177"/>
      <c r="F313" s="177"/>
      <c r="G313" s="177"/>
      <c r="H313" s="177"/>
      <c r="I313" s="177"/>
      <c r="J313" s="178"/>
      <c r="K313" s="175"/>
      <c r="L313" s="179"/>
      <c r="M313" s="177"/>
      <c r="N313" s="175"/>
      <c r="O313" s="175">
        <v>312</v>
      </c>
    </row>
    <row r="314" spans="1:15">
      <c r="A314" s="175"/>
      <c r="B314" s="175" t="str">
        <f t="shared" si="4"/>
        <v>NotApplicable</v>
      </c>
      <c r="D314" s="175" t="e">
        <f>VLOOKUP(C:C,'QT Import for PTC'!B:D,3,0)</f>
        <v>#N/A</v>
      </c>
      <c r="E314" s="177"/>
      <c r="F314" s="177"/>
      <c r="G314" s="177"/>
      <c r="H314" s="177"/>
      <c r="I314" s="177"/>
      <c r="J314" s="178"/>
      <c r="K314" s="175"/>
      <c r="L314" s="179"/>
      <c r="M314" s="177"/>
      <c r="N314" s="175"/>
      <c r="O314" s="175">
        <v>313</v>
      </c>
    </row>
    <row r="315" spans="1:15">
      <c r="A315" s="175"/>
      <c r="B315" s="175" t="str">
        <f t="shared" si="4"/>
        <v>NotApplicable</v>
      </c>
      <c r="D315" s="175" t="e">
        <f>VLOOKUP(C:C,'QT Import for PTC'!B:D,3,0)</f>
        <v>#N/A</v>
      </c>
      <c r="E315" s="177"/>
      <c r="F315" s="177"/>
      <c r="G315" s="177"/>
      <c r="H315" s="177"/>
      <c r="I315" s="177"/>
      <c r="J315" s="178"/>
      <c r="K315" s="175"/>
      <c r="L315" s="179"/>
      <c r="M315" s="177"/>
      <c r="N315" s="175"/>
      <c r="O315" s="175">
        <v>314</v>
      </c>
    </row>
    <row r="316" spans="1:15">
      <c r="A316" s="175"/>
      <c r="B316" s="175" t="str">
        <f t="shared" si="4"/>
        <v>NotApplicable</v>
      </c>
      <c r="D316" s="175" t="e">
        <f>VLOOKUP(C:C,'QT Import for PTC'!B:D,3,0)</f>
        <v>#N/A</v>
      </c>
      <c r="E316" s="177"/>
      <c r="F316" s="177"/>
      <c r="G316" s="177"/>
      <c r="H316" s="177"/>
      <c r="I316" s="177"/>
      <c r="J316" s="178"/>
      <c r="K316" s="175"/>
      <c r="L316" s="179"/>
      <c r="M316" s="177"/>
      <c r="N316" s="175"/>
      <c r="O316" s="175">
        <v>315</v>
      </c>
    </row>
    <row r="317" spans="1:15">
      <c r="A317" s="175"/>
      <c r="B317" s="175" t="str">
        <f t="shared" si="4"/>
        <v>NotApplicable</v>
      </c>
      <c r="D317" s="175" t="e">
        <f>VLOOKUP(C:C,'QT Import for PTC'!B:D,3,0)</f>
        <v>#N/A</v>
      </c>
      <c r="E317" s="177"/>
      <c r="F317" s="177"/>
      <c r="G317" s="177"/>
      <c r="H317" s="177"/>
      <c r="I317" s="177"/>
      <c r="J317" s="178"/>
      <c r="K317" s="175"/>
      <c r="L317" s="179"/>
      <c r="M317" s="177"/>
      <c r="N317" s="175"/>
      <c r="O317" s="175">
        <v>316</v>
      </c>
    </row>
    <row r="318" spans="1:15">
      <c r="A318" s="175"/>
      <c r="B318" s="175" t="str">
        <f t="shared" si="4"/>
        <v>NotApplicable</v>
      </c>
      <c r="D318" s="175" t="e">
        <f>VLOOKUP(C:C,'QT Import for PTC'!B:D,3,0)</f>
        <v>#N/A</v>
      </c>
      <c r="E318" s="177"/>
      <c r="F318" s="177"/>
      <c r="G318" s="177"/>
      <c r="H318" s="177"/>
      <c r="I318" s="177"/>
      <c r="J318" s="178"/>
      <c r="K318" s="175"/>
      <c r="L318" s="179"/>
      <c r="M318" s="177"/>
      <c r="N318" s="175"/>
      <c r="O318" s="175">
        <v>317</v>
      </c>
    </row>
    <row r="319" spans="1:15">
      <c r="A319" s="175"/>
      <c r="B319" s="175" t="str">
        <f t="shared" si="4"/>
        <v>NotApplicable</v>
      </c>
      <c r="D319" s="175" t="e">
        <f>VLOOKUP(C:C,'QT Import for PTC'!B:D,3,0)</f>
        <v>#N/A</v>
      </c>
      <c r="E319" s="177"/>
      <c r="F319" s="177"/>
      <c r="G319" s="177"/>
      <c r="H319" s="177"/>
      <c r="I319" s="177"/>
      <c r="J319" s="178"/>
      <c r="K319" s="175"/>
      <c r="L319" s="179"/>
      <c r="M319" s="177"/>
      <c r="N319" s="175"/>
      <c r="O319" s="175">
        <v>318</v>
      </c>
    </row>
    <row r="320" spans="1:15">
      <c r="A320" s="175"/>
      <c r="B320" s="175" t="str">
        <f t="shared" si="4"/>
        <v>NotApplicable</v>
      </c>
      <c r="D320" s="175" t="e">
        <f>VLOOKUP(C:C,'QT Import for PTC'!B:D,3,0)</f>
        <v>#N/A</v>
      </c>
      <c r="E320" s="177"/>
      <c r="F320" s="177"/>
      <c r="G320" s="177"/>
      <c r="H320" s="177"/>
      <c r="I320" s="177"/>
      <c r="J320" s="178"/>
      <c r="K320" s="175"/>
      <c r="L320" s="179"/>
      <c r="M320" s="177"/>
      <c r="N320" s="175"/>
      <c r="O320" s="175">
        <v>319</v>
      </c>
    </row>
    <row r="321" spans="1:15">
      <c r="A321" s="175"/>
      <c r="B321" s="175" t="str">
        <f t="shared" si="4"/>
        <v>NotApplicable</v>
      </c>
      <c r="D321" s="175" t="e">
        <f>VLOOKUP(C:C,'QT Import for PTC'!B:D,3,0)</f>
        <v>#N/A</v>
      </c>
      <c r="E321" s="177"/>
      <c r="F321" s="177"/>
      <c r="G321" s="177"/>
      <c r="H321" s="177"/>
      <c r="I321" s="177"/>
      <c r="J321" s="178"/>
      <c r="K321" s="175"/>
      <c r="L321" s="179"/>
      <c r="M321" s="177"/>
      <c r="N321" s="175"/>
      <c r="O321" s="175">
        <v>320</v>
      </c>
    </row>
    <row r="322" spans="1:15">
      <c r="A322" s="175"/>
      <c r="B322" s="175" t="str">
        <f t="shared" si="4"/>
        <v>NotApplicable</v>
      </c>
      <c r="D322" s="175" t="e">
        <f>VLOOKUP(C:C,'QT Import for PTC'!B:D,3,0)</f>
        <v>#N/A</v>
      </c>
      <c r="E322" s="177"/>
      <c r="F322" s="177"/>
      <c r="G322" s="177"/>
      <c r="H322" s="177"/>
      <c r="I322" s="177"/>
      <c r="J322" s="178"/>
      <c r="K322" s="175"/>
      <c r="L322" s="179"/>
      <c r="M322" s="177"/>
      <c r="N322" s="175"/>
      <c r="O322" s="175">
        <v>321</v>
      </c>
    </row>
    <row r="323" spans="1:15">
      <c r="A323" s="175"/>
      <c r="B323" s="175" t="str">
        <f t="shared" ref="B323:B344" si="5">IF(ISNA(D323),"NotApplicable","Applicable")</f>
        <v>NotApplicable</v>
      </c>
      <c r="D323" s="175" t="e">
        <f>VLOOKUP(C:C,'QT Import for PTC'!B:D,3,0)</f>
        <v>#N/A</v>
      </c>
      <c r="E323" s="177"/>
      <c r="F323" s="177"/>
      <c r="G323" s="177"/>
      <c r="H323" s="177"/>
      <c r="I323" s="177"/>
      <c r="J323" s="178"/>
      <c r="K323" s="175"/>
      <c r="L323" s="179"/>
      <c r="M323" s="177"/>
      <c r="N323" s="175"/>
      <c r="O323" s="175">
        <v>322</v>
      </c>
    </row>
    <row r="324" spans="1:15">
      <c r="A324" s="175"/>
      <c r="B324" s="175" t="str">
        <f t="shared" si="5"/>
        <v>NotApplicable</v>
      </c>
      <c r="D324" s="175" t="e">
        <f>VLOOKUP(C:C,'QT Import for PTC'!B:D,3,0)</f>
        <v>#N/A</v>
      </c>
      <c r="E324" s="177"/>
      <c r="F324" s="177"/>
      <c r="G324" s="177"/>
      <c r="H324" s="177"/>
      <c r="I324" s="177"/>
      <c r="J324" s="178"/>
      <c r="K324" s="175"/>
      <c r="L324" s="179"/>
      <c r="M324" s="177"/>
      <c r="N324" s="175"/>
      <c r="O324" s="175">
        <v>323</v>
      </c>
    </row>
    <row r="325" spans="1:15">
      <c r="A325" s="175"/>
      <c r="B325" s="175" t="str">
        <f t="shared" si="5"/>
        <v>NotApplicable</v>
      </c>
      <c r="D325" s="175" t="e">
        <f>VLOOKUP(C:C,'QT Import for PTC'!B:D,3,0)</f>
        <v>#N/A</v>
      </c>
      <c r="E325" s="177"/>
      <c r="F325" s="177"/>
      <c r="G325" s="177"/>
      <c r="H325" s="177"/>
      <c r="I325" s="177"/>
      <c r="J325" s="178"/>
      <c r="K325" s="175"/>
      <c r="L325" s="179"/>
      <c r="M325" s="177"/>
      <c r="N325" s="175"/>
      <c r="O325" s="175">
        <v>324</v>
      </c>
    </row>
    <row r="326" spans="1:15">
      <c r="A326" s="175"/>
      <c r="B326" s="175" t="str">
        <f t="shared" si="5"/>
        <v>NotApplicable</v>
      </c>
      <c r="D326" s="175" t="e">
        <f>VLOOKUP(C:C,'QT Import for PTC'!B:D,3,0)</f>
        <v>#N/A</v>
      </c>
      <c r="E326" s="177"/>
      <c r="F326" s="177"/>
      <c r="G326" s="177"/>
      <c r="H326" s="177"/>
      <c r="I326" s="177"/>
      <c r="J326" s="178"/>
      <c r="K326" s="175"/>
      <c r="L326" s="179"/>
      <c r="M326" s="177"/>
      <c r="N326" s="175"/>
      <c r="O326" s="175">
        <v>325</v>
      </c>
    </row>
    <row r="327" spans="1:15">
      <c r="A327" s="175"/>
      <c r="B327" s="175" t="str">
        <f t="shared" si="5"/>
        <v>NotApplicable</v>
      </c>
      <c r="D327" s="175" t="e">
        <f>VLOOKUP(C:C,'QT Import for PTC'!B:D,3,0)</f>
        <v>#N/A</v>
      </c>
      <c r="E327" s="177"/>
      <c r="F327" s="177"/>
      <c r="G327" s="177"/>
      <c r="H327" s="177"/>
      <c r="I327" s="177"/>
      <c r="J327" s="178"/>
      <c r="K327" s="175"/>
      <c r="L327" s="179"/>
      <c r="M327" s="177"/>
      <c r="N327" s="175"/>
      <c r="O327" s="175">
        <v>326</v>
      </c>
    </row>
    <row r="328" spans="1:15">
      <c r="A328" s="175"/>
      <c r="B328" s="175" t="str">
        <f t="shared" si="5"/>
        <v>NotApplicable</v>
      </c>
      <c r="D328" s="175" t="e">
        <f>VLOOKUP(C:C,'QT Import for PTC'!B:D,3,0)</f>
        <v>#N/A</v>
      </c>
      <c r="E328" s="177"/>
      <c r="F328" s="177"/>
      <c r="G328" s="177"/>
      <c r="H328" s="177"/>
      <c r="I328" s="177"/>
      <c r="J328" s="178"/>
      <c r="K328" s="175"/>
      <c r="L328" s="179"/>
      <c r="M328" s="177"/>
      <c r="N328" s="175"/>
      <c r="O328" s="175">
        <v>327</v>
      </c>
    </row>
    <row r="329" spans="1:15">
      <c r="A329" s="175"/>
      <c r="B329" s="175" t="str">
        <f t="shared" si="5"/>
        <v>NotApplicable</v>
      </c>
      <c r="D329" s="175" t="e">
        <f>VLOOKUP(C:C,'QT Import for PTC'!B:D,3,0)</f>
        <v>#N/A</v>
      </c>
      <c r="E329" s="177"/>
      <c r="F329" s="177"/>
      <c r="G329" s="177"/>
      <c r="H329" s="177"/>
      <c r="I329" s="177"/>
      <c r="J329" s="178"/>
      <c r="K329" s="175"/>
      <c r="L329" s="179"/>
      <c r="M329" s="177"/>
      <c r="N329" s="175"/>
      <c r="O329" s="175">
        <v>328</v>
      </c>
    </row>
    <row r="330" spans="1:15">
      <c r="A330" s="175"/>
      <c r="B330" s="175" t="str">
        <f t="shared" si="5"/>
        <v>NotApplicable</v>
      </c>
      <c r="D330" s="175" t="e">
        <f>VLOOKUP(C:C,'QT Import for PTC'!B:D,3,0)</f>
        <v>#N/A</v>
      </c>
      <c r="E330" s="177"/>
      <c r="F330" s="177"/>
      <c r="G330" s="177"/>
      <c r="H330" s="177"/>
      <c r="I330" s="177"/>
      <c r="J330" s="178"/>
      <c r="K330" s="175"/>
      <c r="L330" s="179"/>
      <c r="M330" s="177"/>
      <c r="N330" s="175"/>
      <c r="O330" s="175">
        <v>329</v>
      </c>
    </row>
    <row r="331" spans="1:15">
      <c r="A331" s="175"/>
      <c r="B331" s="175" t="str">
        <f t="shared" si="5"/>
        <v>NotApplicable</v>
      </c>
      <c r="D331" s="175" t="e">
        <f>VLOOKUP(C:C,'QT Import for PTC'!B:D,3,0)</f>
        <v>#N/A</v>
      </c>
      <c r="E331" s="177"/>
      <c r="F331" s="177"/>
      <c r="G331" s="177"/>
      <c r="H331" s="177"/>
      <c r="I331" s="177"/>
      <c r="J331" s="178"/>
      <c r="K331" s="175"/>
      <c r="L331" s="179"/>
      <c r="M331" s="177"/>
      <c r="N331" s="175"/>
      <c r="O331" s="175">
        <v>330</v>
      </c>
    </row>
    <row r="332" spans="1:15">
      <c r="A332" s="175"/>
      <c r="B332" s="175" t="str">
        <f t="shared" si="5"/>
        <v>NotApplicable</v>
      </c>
      <c r="D332" s="175" t="e">
        <f>VLOOKUP(C:C,'QT Import for PTC'!B:D,3,0)</f>
        <v>#N/A</v>
      </c>
      <c r="E332" s="177"/>
      <c r="F332" s="177"/>
      <c r="G332" s="177"/>
      <c r="H332" s="177"/>
      <c r="I332" s="177"/>
      <c r="J332" s="178"/>
      <c r="K332" s="175"/>
      <c r="L332" s="179"/>
      <c r="M332" s="177"/>
      <c r="N332" s="175"/>
      <c r="O332" s="175">
        <v>331</v>
      </c>
    </row>
    <row r="333" spans="1:15">
      <c r="A333" s="175"/>
      <c r="B333" s="175" t="str">
        <f t="shared" si="5"/>
        <v>NotApplicable</v>
      </c>
      <c r="D333" s="175" t="e">
        <f>VLOOKUP(C:C,'QT Import for PTC'!B:D,3,0)</f>
        <v>#N/A</v>
      </c>
      <c r="E333" s="177"/>
      <c r="F333" s="177"/>
      <c r="G333" s="177"/>
      <c r="H333" s="177"/>
      <c r="I333" s="177"/>
      <c r="J333" s="178"/>
      <c r="K333" s="175"/>
      <c r="L333" s="179"/>
      <c r="M333" s="177"/>
      <c r="N333" s="175"/>
      <c r="O333" s="175">
        <v>332</v>
      </c>
    </row>
    <row r="334" spans="1:15">
      <c r="A334" s="175"/>
      <c r="B334" s="175" t="str">
        <f t="shared" si="5"/>
        <v>NotApplicable</v>
      </c>
      <c r="D334" s="175" t="e">
        <f>VLOOKUP(C:C,'QT Import for PTC'!B:D,3,0)</f>
        <v>#N/A</v>
      </c>
      <c r="E334" s="177"/>
      <c r="F334" s="177"/>
      <c r="G334" s="177"/>
      <c r="H334" s="177"/>
      <c r="I334" s="177"/>
      <c r="J334" s="178"/>
      <c r="K334" s="175"/>
      <c r="L334" s="179"/>
      <c r="M334" s="177"/>
      <c r="N334" s="175"/>
      <c r="O334" s="175">
        <v>333</v>
      </c>
    </row>
    <row r="335" spans="1:15">
      <c r="A335" s="175"/>
      <c r="B335" s="175" t="str">
        <f t="shared" si="5"/>
        <v>NotApplicable</v>
      </c>
      <c r="D335" s="175" t="e">
        <f>VLOOKUP(C:C,'QT Import for PTC'!B:D,3,0)</f>
        <v>#N/A</v>
      </c>
      <c r="E335" s="177"/>
      <c r="F335" s="177"/>
      <c r="G335" s="177"/>
      <c r="H335" s="177"/>
      <c r="I335" s="177"/>
      <c r="J335" s="178"/>
      <c r="K335" s="175"/>
      <c r="L335" s="179"/>
      <c r="M335" s="177"/>
      <c r="N335" s="175"/>
      <c r="O335" s="175">
        <v>334</v>
      </c>
    </row>
    <row r="336" spans="1:15">
      <c r="A336" s="175"/>
      <c r="B336" s="175" t="str">
        <f t="shared" si="5"/>
        <v>NotApplicable</v>
      </c>
      <c r="D336" s="175" t="e">
        <f>VLOOKUP(C:C,'QT Import for PTC'!B:D,3,0)</f>
        <v>#N/A</v>
      </c>
      <c r="E336" s="177"/>
      <c r="F336" s="177"/>
      <c r="G336" s="177"/>
      <c r="H336" s="177"/>
      <c r="I336" s="177"/>
      <c r="J336" s="178"/>
      <c r="K336" s="175"/>
      <c r="L336" s="179"/>
      <c r="M336" s="177"/>
      <c r="N336" s="175"/>
      <c r="O336" s="175">
        <v>335</v>
      </c>
    </row>
    <row r="337" spans="1:15">
      <c r="A337" s="175"/>
      <c r="B337" s="175" t="str">
        <f t="shared" si="5"/>
        <v>NotApplicable</v>
      </c>
      <c r="D337" s="175" t="e">
        <f>VLOOKUP(C:C,'QT Import for PTC'!B:D,3,0)</f>
        <v>#N/A</v>
      </c>
      <c r="E337" s="177"/>
      <c r="F337" s="177"/>
      <c r="G337" s="177"/>
      <c r="H337" s="177"/>
      <c r="I337" s="177"/>
      <c r="J337" s="178"/>
      <c r="K337" s="175"/>
      <c r="L337" s="179"/>
      <c r="M337" s="177"/>
      <c r="N337" s="175"/>
      <c r="O337" s="175">
        <v>336</v>
      </c>
    </row>
    <row r="338" spans="1:15">
      <c r="A338" s="175"/>
      <c r="B338" s="175" t="str">
        <f t="shared" si="5"/>
        <v>NotApplicable</v>
      </c>
      <c r="D338" s="175" t="e">
        <f>VLOOKUP(C:C,'QT Import for PTC'!B:D,3,0)</f>
        <v>#N/A</v>
      </c>
      <c r="E338" s="177"/>
      <c r="F338" s="177"/>
      <c r="G338" s="177"/>
      <c r="H338" s="177"/>
      <c r="I338" s="177"/>
      <c r="J338" s="178"/>
      <c r="K338" s="175"/>
      <c r="L338" s="179"/>
      <c r="M338" s="177"/>
      <c r="N338" s="175"/>
      <c r="O338" s="175">
        <v>337</v>
      </c>
    </row>
    <row r="339" spans="1:15">
      <c r="A339" s="175"/>
      <c r="B339" s="175" t="str">
        <f t="shared" si="5"/>
        <v>NotApplicable</v>
      </c>
      <c r="D339" s="175" t="e">
        <f>VLOOKUP(C:C,'QT Import for PTC'!B:D,3,0)</f>
        <v>#N/A</v>
      </c>
      <c r="E339" s="177"/>
      <c r="F339" s="177"/>
      <c r="G339" s="177"/>
      <c r="H339" s="177"/>
      <c r="I339" s="177"/>
      <c r="J339" s="178"/>
      <c r="K339" s="175"/>
      <c r="L339" s="179"/>
      <c r="M339" s="177"/>
      <c r="N339" s="175"/>
      <c r="O339" s="175">
        <v>338</v>
      </c>
    </row>
    <row r="340" spans="1:15">
      <c r="A340" s="175"/>
      <c r="B340" s="175" t="str">
        <f t="shared" si="5"/>
        <v>NotApplicable</v>
      </c>
      <c r="D340" s="175" t="e">
        <f>VLOOKUP(C:C,'QT Import for PTC'!B:D,3,0)</f>
        <v>#N/A</v>
      </c>
      <c r="E340" s="177"/>
      <c r="F340" s="177"/>
      <c r="G340" s="177"/>
      <c r="H340" s="177"/>
      <c r="I340" s="177"/>
      <c r="J340" s="178"/>
      <c r="K340" s="175"/>
      <c r="L340" s="179"/>
      <c r="M340" s="177"/>
      <c r="N340" s="175"/>
      <c r="O340" s="175">
        <v>339</v>
      </c>
    </row>
    <row r="341" spans="1:15">
      <c r="A341" s="175"/>
      <c r="B341" s="175" t="str">
        <f t="shared" si="5"/>
        <v>NotApplicable</v>
      </c>
      <c r="D341" s="175" t="e">
        <f>VLOOKUP(C:C,'QT Import for PTC'!B:D,3,0)</f>
        <v>#N/A</v>
      </c>
      <c r="E341" s="177"/>
      <c r="F341" s="177"/>
      <c r="G341" s="177"/>
      <c r="H341" s="177"/>
      <c r="I341" s="177"/>
      <c r="J341" s="178"/>
      <c r="K341" s="175"/>
      <c r="L341" s="179"/>
      <c r="M341" s="177"/>
      <c r="N341" s="175"/>
      <c r="O341" s="175">
        <v>340</v>
      </c>
    </row>
    <row r="342" spans="1:15">
      <c r="A342" s="175"/>
      <c r="B342" s="175" t="str">
        <f t="shared" si="5"/>
        <v>NotApplicable</v>
      </c>
      <c r="D342" s="175" t="e">
        <f>VLOOKUP(C:C,'QT Import for PTC'!B:D,3,0)</f>
        <v>#N/A</v>
      </c>
      <c r="E342" s="177"/>
      <c r="F342" s="177"/>
      <c r="G342" s="177"/>
      <c r="H342" s="177"/>
      <c r="I342" s="177"/>
      <c r="J342" s="178"/>
      <c r="K342" s="175"/>
      <c r="L342" s="179"/>
      <c r="M342" s="177"/>
      <c r="N342" s="175"/>
      <c r="O342" s="175">
        <v>341</v>
      </c>
    </row>
    <row r="343" spans="1:15">
      <c r="A343" s="175"/>
      <c r="B343" s="175" t="str">
        <f t="shared" si="5"/>
        <v>NotApplicable</v>
      </c>
      <c r="D343" s="175" t="e">
        <f>VLOOKUP(C:C,'QT Import for PTC'!B:D,3,0)</f>
        <v>#N/A</v>
      </c>
      <c r="E343" s="177"/>
      <c r="F343" s="177"/>
      <c r="G343" s="177"/>
      <c r="H343" s="177"/>
      <c r="I343" s="177"/>
      <c r="J343" s="178"/>
      <c r="K343" s="175"/>
      <c r="L343" s="179"/>
      <c r="M343" s="177"/>
      <c r="N343" s="175"/>
      <c r="O343" s="175">
        <v>342</v>
      </c>
    </row>
    <row r="344" spans="1:15">
      <c r="A344" s="175"/>
      <c r="B344" s="175" t="str">
        <f t="shared" si="5"/>
        <v>NotApplicable</v>
      </c>
      <c r="D344" s="175" t="e">
        <f>VLOOKUP(C:C,'QT Import for PTC'!B:D,3,0)</f>
        <v>#N/A</v>
      </c>
      <c r="E344" s="177"/>
      <c r="F344" s="177"/>
      <c r="G344" s="177"/>
      <c r="H344" s="177"/>
      <c r="I344" s="177"/>
      <c r="J344" s="178"/>
      <c r="K344" s="175"/>
      <c r="L344" s="179"/>
      <c r="M344" s="177"/>
      <c r="N344" s="175"/>
      <c r="O344" s="175">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733" priority="7">
      <formula>AND($M2="Fixed",$N2="Approved")</formula>
    </cfRule>
  </conditionalFormatting>
  <conditionalFormatting sqref="N2:N344">
    <cfRule type="expression" dxfId="1732" priority="6">
      <formula>$N2="Approved"</formula>
    </cfRule>
    <cfRule type="expression" dxfId="1731"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730" priority="8">
      <formula>$M2="Open"</formula>
    </cfRule>
    <cfRule type="expression" dxfId="1729" priority="9">
      <formula>$M2="Fixed"</formula>
    </cfRule>
    <cfRule type="expression" dxfId="1728" priority="10">
      <formula>$M2="Postponed"</formula>
    </cfRule>
    <cfRule type="expression" dxfId="1727"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26"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25" priority="2">
      <formula>$M4="Open"</formula>
    </cfRule>
    <cfRule type="expression" dxfId="1724" priority="3">
      <formula>$M4="Fixed"</formula>
    </cfRule>
    <cfRule type="expression" dxfId="1723" priority="4">
      <formula>$M4="Postponed"</formula>
    </cfRule>
    <cfRule type="expression" dxfId="1722"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workbookViewId="0"/>
  </sheetViews>
  <sheetFormatPr defaultColWidth="9.140625" defaultRowHeight="12.75"/>
  <cols>
    <col min="1" max="1" width="15.42578125" style="95" bestFit="1" customWidth="1"/>
    <col min="2" max="2" width="69" style="95" customWidth="1"/>
    <col min="3" max="3" width="53.42578125" style="95" bestFit="1" customWidth="1"/>
    <col min="4" max="4" width="19" style="95" customWidth="1"/>
    <col min="5" max="5" width="21.7109375" style="95" customWidth="1"/>
    <col min="6" max="6" width="9.140625" style="95"/>
    <col min="7" max="7" width="8.42578125" style="95" customWidth="1"/>
    <col min="8" max="8" width="34.28515625" style="95" bestFit="1" customWidth="1"/>
    <col min="9" max="12" width="34.28515625" style="95" customWidth="1"/>
    <col min="13" max="13" width="9.5703125" style="95" bestFit="1" customWidth="1"/>
    <col min="14" max="14" width="5.5703125" style="95" bestFit="1" customWidth="1"/>
    <col min="15" max="261" width="69" style="95" customWidth="1"/>
    <col min="262" max="16384" width="9.140625" style="95"/>
  </cols>
  <sheetData>
    <row r="1" spans="1:19" ht="15">
      <c r="A1" s="198" t="s">
        <v>531</v>
      </c>
      <c r="B1" s="198" t="s">
        <v>460</v>
      </c>
      <c r="C1" s="198" t="s">
        <v>461</v>
      </c>
      <c r="D1" s="198" t="s">
        <v>462</v>
      </c>
      <c r="E1" s="198"/>
      <c r="F1" s="198"/>
      <c r="G1" s="198" t="s">
        <v>463</v>
      </c>
      <c r="H1" s="198" t="s">
        <v>464</v>
      </c>
      <c r="I1" s="198" t="s">
        <v>465</v>
      </c>
      <c r="J1" s="198" t="s">
        <v>466</v>
      </c>
      <c r="K1" s="198" t="s">
        <v>467</v>
      </c>
      <c r="L1" s="198" t="s">
        <v>468</v>
      </c>
      <c r="M1" s="198" t="s">
        <v>469</v>
      </c>
      <c r="N1" s="198" t="s">
        <v>451</v>
      </c>
      <c r="O1" s="198" t="s">
        <v>470</v>
      </c>
      <c r="P1" s="198" t="s">
        <v>471</v>
      </c>
      <c r="Q1" s="198" t="s">
        <v>472</v>
      </c>
      <c r="R1" s="198" t="s">
        <v>473</v>
      </c>
      <c r="S1" s="198" t="s">
        <v>474</v>
      </c>
    </row>
    <row r="2" spans="1:19">
      <c r="A2" s="158" t="str">
        <f>IF(ISNA(N2),"Test not reviewed","OK")</f>
        <v>Test not reviewed</v>
      </c>
      <c r="B2" s="176"/>
      <c r="C2" s="176"/>
      <c r="D2" s="176"/>
      <c r="E2" s="176"/>
      <c r="F2" s="158"/>
      <c r="G2" s="176"/>
      <c r="H2" s="176"/>
      <c r="I2" s="176"/>
      <c r="J2" s="176"/>
      <c r="K2" s="176"/>
      <c r="L2" s="176"/>
      <c r="M2" s="176"/>
      <c r="N2" s="176" t="e">
        <f>VLOOKUP(B:B,'QT Second level review'!C:O,10,0)</f>
        <v>#N/A</v>
      </c>
      <c r="O2" s="158"/>
      <c r="P2" s="158"/>
      <c r="Q2" s="158"/>
      <c r="R2" s="158"/>
      <c r="S2" s="158"/>
    </row>
    <row r="3" spans="1:19">
      <c r="A3" s="158" t="str">
        <f t="shared" ref="A3:A66" si="0">IF(ISNA(N3),"Test not reviewed","OK")</f>
        <v>Test not reviewed</v>
      </c>
      <c r="B3" s="176"/>
      <c r="C3" s="176"/>
      <c r="D3" s="176"/>
      <c r="E3" s="176"/>
      <c r="F3" s="158"/>
      <c r="G3" s="176"/>
      <c r="H3" s="176"/>
      <c r="I3" s="176"/>
      <c r="J3" s="176"/>
      <c r="K3" s="176"/>
      <c r="L3" s="176"/>
      <c r="M3" s="176"/>
      <c r="N3" s="176" t="e">
        <f>VLOOKUP(B:B,'QT Second level review'!C:O,10,0)</f>
        <v>#N/A</v>
      </c>
      <c r="O3" s="158"/>
      <c r="P3" s="158"/>
      <c r="Q3" s="158"/>
      <c r="R3" s="158"/>
      <c r="S3" s="158"/>
    </row>
    <row r="4" spans="1:19">
      <c r="A4" s="158" t="str">
        <f t="shared" si="0"/>
        <v>Test not reviewed</v>
      </c>
      <c r="B4" s="176"/>
      <c r="C4" s="176"/>
      <c r="D4" s="176"/>
      <c r="E4" s="176"/>
      <c r="F4" s="158"/>
      <c r="G4" s="176"/>
      <c r="H4" s="176"/>
      <c r="I4" s="176"/>
      <c r="J4" s="176"/>
      <c r="K4" s="176"/>
      <c r="L4" s="176"/>
      <c r="M4" s="176"/>
      <c r="N4" s="176" t="e">
        <f>VLOOKUP(B:B,'QT Second level review'!C:O,10,0)</f>
        <v>#N/A</v>
      </c>
      <c r="O4" s="158"/>
      <c r="P4" s="158"/>
      <c r="Q4" s="158"/>
      <c r="R4" s="158"/>
      <c r="S4" s="158"/>
    </row>
    <row r="5" spans="1:19">
      <c r="A5" s="158" t="str">
        <f t="shared" si="0"/>
        <v>Test not reviewed</v>
      </c>
      <c r="B5" s="176"/>
      <c r="C5" s="176"/>
      <c r="D5" s="176"/>
      <c r="E5" s="176"/>
      <c r="F5" s="158"/>
      <c r="G5" s="176"/>
      <c r="H5" s="176"/>
      <c r="I5" s="176"/>
      <c r="J5" s="176"/>
      <c r="K5" s="176"/>
      <c r="L5" s="176"/>
      <c r="M5" s="176"/>
      <c r="N5" s="176" t="e">
        <f>VLOOKUP(B:B,'QT Second level review'!C:O,10,0)</f>
        <v>#N/A</v>
      </c>
      <c r="O5" s="158"/>
      <c r="P5" s="158"/>
      <c r="Q5" s="158"/>
      <c r="R5" s="158"/>
      <c r="S5" s="158"/>
    </row>
    <row r="6" spans="1:19">
      <c r="A6" s="158" t="str">
        <f t="shared" si="0"/>
        <v>Test not reviewed</v>
      </c>
      <c r="B6" s="176"/>
      <c r="C6" s="176"/>
      <c r="D6" s="176"/>
      <c r="E6" s="176"/>
      <c r="F6" s="158"/>
      <c r="G6" s="176"/>
      <c r="H6" s="176"/>
      <c r="I6" s="176"/>
      <c r="J6" s="176"/>
      <c r="K6" s="176"/>
      <c r="L6" s="176"/>
      <c r="M6" s="176"/>
      <c r="N6" s="176" t="e">
        <f>VLOOKUP(B:B,'QT Second level review'!C:O,10,0)</f>
        <v>#N/A</v>
      </c>
      <c r="O6" s="158"/>
      <c r="P6" s="158"/>
      <c r="Q6" s="158"/>
      <c r="R6" s="158"/>
      <c r="S6" s="158"/>
    </row>
    <row r="7" spans="1:19">
      <c r="A7" s="158" t="str">
        <f t="shared" si="0"/>
        <v>Test not reviewed</v>
      </c>
      <c r="B7" s="176"/>
      <c r="C7" s="176"/>
      <c r="D7" s="176"/>
      <c r="E7" s="176"/>
      <c r="F7" s="158"/>
      <c r="G7" s="176"/>
      <c r="H7" s="176"/>
      <c r="I7" s="176"/>
      <c r="J7" s="176"/>
      <c r="K7" s="176"/>
      <c r="L7" s="176"/>
      <c r="M7" s="176"/>
      <c r="N7" s="176" t="e">
        <f>VLOOKUP(B:B,'QT Second level review'!C:O,10,0)</f>
        <v>#N/A</v>
      </c>
      <c r="O7" s="158"/>
      <c r="P7" s="158"/>
      <c r="Q7" s="158"/>
      <c r="R7" s="158"/>
      <c r="S7" s="158"/>
    </row>
    <row r="8" spans="1:19">
      <c r="A8" s="158" t="str">
        <f t="shared" si="0"/>
        <v>Test not reviewed</v>
      </c>
      <c r="B8" s="176"/>
      <c r="C8" s="176"/>
      <c r="D8" s="176"/>
      <c r="E8" s="176"/>
      <c r="F8" s="158"/>
      <c r="G8" s="176"/>
      <c r="H8" s="176"/>
      <c r="I8" s="176"/>
      <c r="J8" s="176"/>
      <c r="K8" s="176"/>
      <c r="L8" s="176"/>
      <c r="M8" s="176"/>
      <c r="N8" s="176" t="e">
        <f>VLOOKUP(B:B,'QT Second level review'!C:O,10,0)</f>
        <v>#N/A</v>
      </c>
      <c r="O8" s="158"/>
      <c r="P8" s="158"/>
      <c r="Q8" s="158"/>
      <c r="R8" s="158"/>
      <c r="S8" s="158"/>
    </row>
    <row r="9" spans="1:19">
      <c r="A9" s="158" t="str">
        <f t="shared" si="0"/>
        <v>Test not reviewed</v>
      </c>
      <c r="B9" s="176"/>
      <c r="C9" s="176"/>
      <c r="D9" s="176"/>
      <c r="E9" s="176"/>
      <c r="F9" s="158"/>
      <c r="G9" s="176"/>
      <c r="H9" s="176"/>
      <c r="I9" s="176"/>
      <c r="J9" s="176"/>
      <c r="K9" s="176"/>
      <c r="L9" s="176"/>
      <c r="M9" s="176"/>
      <c r="N9" s="176" t="e">
        <f>VLOOKUP(B:B,'QT Second level review'!C:O,10,0)</f>
        <v>#N/A</v>
      </c>
      <c r="O9" s="158"/>
      <c r="P9" s="158"/>
      <c r="Q9" s="158"/>
      <c r="R9" s="158"/>
      <c r="S9" s="158"/>
    </row>
    <row r="10" spans="1:19">
      <c r="A10" s="158" t="str">
        <f t="shared" si="0"/>
        <v>Test not reviewed</v>
      </c>
      <c r="B10" s="176"/>
      <c r="C10" s="176"/>
      <c r="D10" s="176"/>
      <c r="E10" s="176"/>
      <c r="F10" s="158"/>
      <c r="G10" s="176"/>
      <c r="H10" s="176"/>
      <c r="I10" s="176"/>
      <c r="J10" s="176"/>
      <c r="K10" s="176"/>
      <c r="L10" s="176"/>
      <c r="M10" s="176"/>
      <c r="N10" s="176" t="e">
        <f>VLOOKUP(B:B,'QT Second level review'!C:O,10,0)</f>
        <v>#N/A</v>
      </c>
      <c r="O10" s="158"/>
      <c r="P10" s="158"/>
      <c r="Q10" s="158"/>
      <c r="R10" s="158"/>
      <c r="S10" s="158"/>
    </row>
    <row r="11" spans="1:19">
      <c r="A11" s="158" t="str">
        <f t="shared" si="0"/>
        <v>Test not reviewed</v>
      </c>
      <c r="B11" s="176"/>
      <c r="C11" s="176"/>
      <c r="D11" s="176"/>
      <c r="E11" s="176"/>
      <c r="F11" s="158"/>
      <c r="G11" s="176"/>
      <c r="H11" s="176"/>
      <c r="I11" s="176"/>
      <c r="J11" s="176"/>
      <c r="K11" s="176"/>
      <c r="L11" s="176"/>
      <c r="M11" s="176"/>
      <c r="N11" s="176" t="e">
        <f>VLOOKUP(B:B,'QT Second level review'!C:O,10,0)</f>
        <v>#N/A</v>
      </c>
      <c r="O11" s="158"/>
      <c r="P11" s="158"/>
      <c r="Q11" s="158"/>
      <c r="R11" s="158"/>
      <c r="S11" s="158"/>
    </row>
    <row r="12" spans="1:19">
      <c r="A12" s="158" t="str">
        <f t="shared" si="0"/>
        <v>Test not reviewed</v>
      </c>
      <c r="B12" s="176"/>
      <c r="C12" s="176"/>
      <c r="D12" s="176"/>
      <c r="E12" s="176"/>
      <c r="F12" s="158"/>
      <c r="G12" s="176"/>
      <c r="H12" s="176"/>
      <c r="I12" s="176"/>
      <c r="J12" s="176"/>
      <c r="K12" s="176"/>
      <c r="L12" s="176"/>
      <c r="M12" s="176"/>
      <c r="N12" s="176" t="e">
        <f>VLOOKUP(B:B,'QT Second level review'!C:O,10,0)</f>
        <v>#N/A</v>
      </c>
      <c r="O12" s="158"/>
      <c r="P12" s="158"/>
      <c r="Q12" s="158"/>
      <c r="R12" s="158"/>
      <c r="S12" s="158"/>
    </row>
    <row r="13" spans="1:19">
      <c r="A13" s="158" t="str">
        <f t="shared" si="0"/>
        <v>Test not reviewed</v>
      </c>
      <c r="B13" s="176"/>
      <c r="C13" s="176"/>
      <c r="D13" s="176"/>
      <c r="E13" s="176"/>
      <c r="F13" s="158"/>
      <c r="G13" s="176"/>
      <c r="H13" s="176"/>
      <c r="I13" s="176"/>
      <c r="J13" s="176"/>
      <c r="K13" s="176"/>
      <c r="L13" s="176"/>
      <c r="M13" s="176"/>
      <c r="N13" s="176" t="e">
        <f>VLOOKUP(B:B,'QT Second level review'!C:O,10,0)</f>
        <v>#N/A</v>
      </c>
      <c r="O13" s="158"/>
      <c r="P13" s="158"/>
      <c r="Q13" s="158"/>
      <c r="R13" s="158"/>
      <c r="S13" s="158"/>
    </row>
    <row r="14" spans="1:19">
      <c r="A14" s="158" t="str">
        <f t="shared" si="0"/>
        <v>Test not reviewed</v>
      </c>
      <c r="B14" s="176"/>
      <c r="C14" s="176"/>
      <c r="D14" s="176"/>
      <c r="E14" s="176"/>
      <c r="F14" s="158"/>
      <c r="G14" s="176"/>
      <c r="H14" s="176"/>
      <c r="I14" s="176"/>
      <c r="J14" s="176"/>
      <c r="K14" s="176"/>
      <c r="L14" s="176"/>
      <c r="M14" s="176"/>
      <c r="N14" s="176" t="e">
        <f>VLOOKUP(B:B,'QT Second level review'!C:O,10,0)</f>
        <v>#N/A</v>
      </c>
      <c r="O14" s="158"/>
      <c r="P14" s="158"/>
      <c r="Q14" s="158"/>
      <c r="R14" s="158"/>
      <c r="S14" s="158"/>
    </row>
    <row r="15" spans="1:19">
      <c r="A15" s="158" t="str">
        <f t="shared" si="0"/>
        <v>Test not reviewed</v>
      </c>
      <c r="B15" s="176"/>
      <c r="C15" s="176"/>
      <c r="D15" s="176"/>
      <c r="E15" s="176"/>
      <c r="F15" s="158"/>
      <c r="G15" s="176"/>
      <c r="H15" s="176"/>
      <c r="I15" s="176"/>
      <c r="J15" s="176"/>
      <c r="K15" s="176"/>
      <c r="L15" s="176"/>
      <c r="M15" s="176"/>
      <c r="N15" s="176" t="e">
        <f>VLOOKUP(B:B,'QT Second level review'!C:O,10,0)</f>
        <v>#N/A</v>
      </c>
      <c r="O15" s="158"/>
      <c r="P15" s="158"/>
      <c r="Q15" s="158"/>
      <c r="R15" s="158"/>
      <c r="S15" s="158"/>
    </row>
    <row r="16" spans="1:19">
      <c r="A16" s="158" t="str">
        <f t="shared" si="0"/>
        <v>Test not reviewed</v>
      </c>
      <c r="B16" s="176"/>
      <c r="C16" s="176"/>
      <c r="D16" s="176"/>
      <c r="E16" s="176"/>
      <c r="F16" s="158"/>
      <c r="G16" s="176"/>
      <c r="H16" s="176"/>
      <c r="I16" s="176"/>
      <c r="J16" s="176"/>
      <c r="K16" s="176"/>
      <c r="L16" s="176"/>
      <c r="M16" s="176"/>
      <c r="N16" s="176" t="e">
        <f>VLOOKUP(B:B,'QT Second level review'!C:O,10,0)</f>
        <v>#N/A</v>
      </c>
      <c r="O16" s="158"/>
      <c r="P16" s="158"/>
      <c r="Q16" s="158"/>
      <c r="R16" s="158"/>
      <c r="S16" s="158"/>
    </row>
    <row r="17" spans="1:19">
      <c r="A17" s="158" t="str">
        <f t="shared" si="0"/>
        <v>Test not reviewed</v>
      </c>
      <c r="B17" s="176"/>
      <c r="C17" s="176"/>
      <c r="D17" s="176"/>
      <c r="E17" s="176"/>
      <c r="F17" s="158"/>
      <c r="G17" s="176"/>
      <c r="H17" s="176"/>
      <c r="I17" s="176"/>
      <c r="J17" s="176"/>
      <c r="K17" s="176"/>
      <c r="L17" s="176"/>
      <c r="M17" s="176"/>
      <c r="N17" s="176" t="e">
        <f>VLOOKUP(B:B,'QT Second level review'!C:O,10,0)</f>
        <v>#N/A</v>
      </c>
      <c r="O17" s="158"/>
      <c r="P17" s="158"/>
      <c r="Q17" s="158"/>
      <c r="R17" s="158"/>
      <c r="S17" s="158"/>
    </row>
    <row r="18" spans="1:19">
      <c r="A18" s="158" t="str">
        <f t="shared" si="0"/>
        <v>Test not reviewed</v>
      </c>
      <c r="B18" s="176"/>
      <c r="C18" s="176"/>
      <c r="D18" s="176"/>
      <c r="E18" s="176"/>
      <c r="F18" s="158"/>
      <c r="G18" s="176"/>
      <c r="H18" s="176"/>
      <c r="I18" s="176"/>
      <c r="J18" s="176"/>
      <c r="K18" s="176"/>
      <c r="L18" s="176"/>
      <c r="M18" s="176"/>
      <c r="N18" s="176" t="e">
        <f>VLOOKUP(B:B,'QT Second level review'!C:O,10,0)</f>
        <v>#N/A</v>
      </c>
      <c r="O18" s="158"/>
      <c r="P18" s="158"/>
      <c r="Q18" s="158"/>
      <c r="R18" s="158"/>
      <c r="S18" s="158"/>
    </row>
    <row r="19" spans="1:19">
      <c r="A19" s="158" t="str">
        <f t="shared" si="0"/>
        <v>Test not reviewed</v>
      </c>
      <c r="B19" s="176"/>
      <c r="C19" s="176"/>
      <c r="D19" s="176"/>
      <c r="E19" s="176"/>
      <c r="F19" s="158"/>
      <c r="G19" s="176"/>
      <c r="H19" s="176"/>
      <c r="I19" s="176"/>
      <c r="J19" s="176"/>
      <c r="K19" s="176"/>
      <c r="L19" s="176"/>
      <c r="M19" s="176"/>
      <c r="N19" s="176" t="e">
        <f>VLOOKUP(B:B,'QT Second level review'!C:O,10,0)</f>
        <v>#N/A</v>
      </c>
      <c r="O19" s="158"/>
      <c r="P19" s="158"/>
      <c r="Q19" s="158"/>
      <c r="R19" s="158"/>
      <c r="S19" s="158"/>
    </row>
    <row r="20" spans="1:19">
      <c r="A20" s="158" t="str">
        <f t="shared" si="0"/>
        <v>Test not reviewed</v>
      </c>
      <c r="B20" s="176"/>
      <c r="C20" s="176"/>
      <c r="D20" s="176"/>
      <c r="E20" s="176"/>
      <c r="F20" s="158"/>
      <c r="G20" s="176"/>
      <c r="H20" s="176"/>
      <c r="I20" s="176"/>
      <c r="J20" s="176"/>
      <c r="K20" s="176"/>
      <c r="L20" s="176"/>
      <c r="M20" s="176"/>
      <c r="N20" s="176" t="e">
        <f>VLOOKUP(B:B,'QT Second level review'!C:O,10,0)</f>
        <v>#N/A</v>
      </c>
      <c r="O20" s="158"/>
      <c r="P20" s="158"/>
      <c r="Q20" s="158"/>
      <c r="R20" s="158"/>
      <c r="S20" s="158"/>
    </row>
    <row r="21" spans="1:19">
      <c r="A21" s="158" t="str">
        <f t="shared" si="0"/>
        <v>Test not reviewed</v>
      </c>
      <c r="B21" s="176"/>
      <c r="C21" s="176"/>
      <c r="D21" s="176"/>
      <c r="E21" s="176"/>
      <c r="F21" s="158"/>
      <c r="G21" s="176"/>
      <c r="H21" s="176"/>
      <c r="I21" s="176"/>
      <c r="J21" s="176"/>
      <c r="K21" s="176"/>
      <c r="L21" s="176"/>
      <c r="M21" s="176"/>
      <c r="N21" s="176" t="e">
        <f>VLOOKUP(B:B,'QT Second level review'!C:O,10,0)</f>
        <v>#N/A</v>
      </c>
      <c r="O21" s="158"/>
      <c r="P21" s="158"/>
      <c r="Q21" s="158"/>
      <c r="R21" s="158"/>
      <c r="S21" s="158"/>
    </row>
    <row r="22" spans="1:19">
      <c r="A22" s="158" t="str">
        <f t="shared" si="0"/>
        <v>Test not reviewed</v>
      </c>
      <c r="B22" s="176"/>
      <c r="C22" s="176"/>
      <c r="D22" s="176"/>
      <c r="E22" s="176"/>
      <c r="F22" s="158"/>
      <c r="G22" s="176"/>
      <c r="H22" s="176"/>
      <c r="I22" s="176"/>
      <c r="J22" s="176"/>
      <c r="K22" s="176"/>
      <c r="L22" s="176"/>
      <c r="M22" s="176"/>
      <c r="N22" s="176" t="e">
        <f>VLOOKUP(B:B,'QT Second level review'!C:O,10,0)</f>
        <v>#N/A</v>
      </c>
      <c r="O22" s="158"/>
      <c r="P22" s="158"/>
      <c r="Q22" s="158"/>
      <c r="R22" s="158"/>
      <c r="S22" s="158"/>
    </row>
    <row r="23" spans="1:19">
      <c r="A23" s="158" t="str">
        <f t="shared" si="0"/>
        <v>Test not reviewed</v>
      </c>
      <c r="B23" s="176"/>
      <c r="C23" s="176"/>
      <c r="D23" s="176"/>
      <c r="E23" s="176"/>
      <c r="F23" s="158"/>
      <c r="G23" s="176"/>
      <c r="H23" s="176"/>
      <c r="I23" s="176"/>
      <c r="J23" s="176"/>
      <c r="K23" s="176"/>
      <c r="L23" s="176"/>
      <c r="M23" s="176"/>
      <c r="N23" s="176" t="e">
        <f>VLOOKUP(B:B,'QT Second level review'!C:O,10,0)</f>
        <v>#N/A</v>
      </c>
      <c r="O23" s="158"/>
      <c r="P23" s="158"/>
      <c r="Q23" s="158"/>
      <c r="R23" s="158"/>
      <c r="S23" s="158"/>
    </row>
    <row r="24" spans="1:19">
      <c r="A24" s="158" t="str">
        <f t="shared" si="0"/>
        <v>Test not reviewed</v>
      </c>
      <c r="B24" s="176"/>
      <c r="C24" s="176"/>
      <c r="D24" s="176"/>
      <c r="E24" s="176"/>
      <c r="F24" s="158"/>
      <c r="G24" s="176"/>
      <c r="H24" s="176"/>
      <c r="I24" s="176"/>
      <c r="J24" s="176"/>
      <c r="K24" s="176"/>
      <c r="L24" s="176"/>
      <c r="M24" s="176"/>
      <c r="N24" s="176" t="e">
        <f>VLOOKUP(B:B,'QT Second level review'!C:O,10,0)</f>
        <v>#N/A</v>
      </c>
      <c r="O24" s="158"/>
      <c r="P24" s="158"/>
      <c r="Q24" s="158"/>
      <c r="R24" s="158"/>
      <c r="S24" s="158"/>
    </row>
    <row r="25" spans="1:19">
      <c r="A25" s="158" t="str">
        <f t="shared" si="0"/>
        <v>Test not reviewed</v>
      </c>
      <c r="B25" s="176"/>
      <c r="C25" s="176"/>
      <c r="D25" s="176"/>
      <c r="E25" s="176"/>
      <c r="F25" s="158"/>
      <c r="G25" s="176"/>
      <c r="H25" s="176"/>
      <c r="I25" s="176"/>
      <c r="J25" s="176"/>
      <c r="K25" s="176"/>
      <c r="L25" s="176"/>
      <c r="M25" s="176"/>
      <c r="N25" s="176" t="e">
        <f>VLOOKUP(B:B,'QT Second level review'!C:O,10,0)</f>
        <v>#N/A</v>
      </c>
      <c r="O25" s="158"/>
      <c r="P25" s="158"/>
      <c r="Q25" s="158"/>
      <c r="R25" s="158"/>
      <c r="S25" s="158"/>
    </row>
    <row r="26" spans="1:19">
      <c r="A26" s="158" t="str">
        <f t="shared" si="0"/>
        <v>Test not reviewed</v>
      </c>
      <c r="B26" s="176"/>
      <c r="C26" s="176"/>
      <c r="D26" s="176"/>
      <c r="E26" s="176"/>
      <c r="F26" s="158"/>
      <c r="G26" s="176"/>
      <c r="H26" s="176"/>
      <c r="I26" s="176"/>
      <c r="J26" s="176"/>
      <c r="K26" s="176"/>
      <c r="L26" s="176"/>
      <c r="M26" s="176"/>
      <c r="N26" s="176" t="e">
        <f>VLOOKUP(B:B,'QT Second level review'!C:O,10,0)</f>
        <v>#N/A</v>
      </c>
      <c r="O26" s="158"/>
      <c r="P26" s="158"/>
      <c r="Q26" s="158"/>
      <c r="R26" s="158"/>
      <c r="S26" s="158"/>
    </row>
    <row r="27" spans="1:19">
      <c r="A27" s="158" t="str">
        <f t="shared" si="0"/>
        <v>Test not reviewed</v>
      </c>
      <c r="B27" s="176"/>
      <c r="C27" s="176"/>
      <c r="D27" s="176"/>
      <c r="E27" s="176"/>
      <c r="F27" s="158"/>
      <c r="G27" s="176"/>
      <c r="H27" s="176"/>
      <c r="I27" s="176"/>
      <c r="J27" s="176"/>
      <c r="K27" s="176"/>
      <c r="L27" s="176"/>
      <c r="M27" s="176"/>
      <c r="N27" s="176" t="e">
        <f>VLOOKUP(B:B,'QT Second level review'!C:O,10,0)</f>
        <v>#N/A</v>
      </c>
      <c r="O27" s="158"/>
      <c r="P27" s="158"/>
      <c r="Q27" s="158"/>
      <c r="R27" s="158"/>
      <c r="S27" s="158"/>
    </row>
    <row r="28" spans="1:19">
      <c r="A28" s="158" t="str">
        <f t="shared" si="0"/>
        <v>Test not reviewed</v>
      </c>
      <c r="B28" s="176"/>
      <c r="C28" s="176"/>
      <c r="D28" s="176"/>
      <c r="E28" s="176"/>
      <c r="F28" s="158"/>
      <c r="G28" s="176"/>
      <c r="H28" s="176"/>
      <c r="I28" s="176"/>
      <c r="J28" s="176"/>
      <c r="K28" s="176"/>
      <c r="L28" s="176"/>
      <c r="M28" s="176"/>
      <c r="N28" s="176" t="e">
        <f>VLOOKUP(B:B,'QT Second level review'!C:O,10,0)</f>
        <v>#N/A</v>
      </c>
      <c r="O28" s="158"/>
      <c r="P28" s="158"/>
      <c r="Q28" s="158"/>
      <c r="R28" s="158"/>
      <c r="S28" s="158"/>
    </row>
    <row r="29" spans="1:19">
      <c r="A29" s="158" t="str">
        <f t="shared" si="0"/>
        <v>Test not reviewed</v>
      </c>
      <c r="B29" s="176"/>
      <c r="C29" s="176"/>
      <c r="D29" s="176"/>
      <c r="E29" s="176"/>
      <c r="F29" s="158"/>
      <c r="G29" s="176"/>
      <c r="H29" s="176"/>
      <c r="I29" s="176"/>
      <c r="J29" s="176"/>
      <c r="K29" s="176"/>
      <c r="L29" s="176"/>
      <c r="M29" s="176"/>
      <c r="N29" s="176" t="e">
        <f>VLOOKUP(B:B,'QT Second level review'!C:O,10,0)</f>
        <v>#N/A</v>
      </c>
      <c r="O29" s="158"/>
      <c r="P29" s="158"/>
      <c r="Q29" s="158"/>
      <c r="R29" s="158"/>
      <c r="S29" s="158"/>
    </row>
    <row r="30" spans="1:19">
      <c r="A30" s="158" t="str">
        <f t="shared" si="0"/>
        <v>Test not reviewed</v>
      </c>
      <c r="B30" s="176"/>
      <c r="C30" s="176"/>
      <c r="D30" s="176"/>
      <c r="E30" s="176"/>
      <c r="F30" s="158"/>
      <c r="G30" s="176"/>
      <c r="H30" s="176"/>
      <c r="I30" s="176"/>
      <c r="J30" s="176"/>
      <c r="K30" s="176"/>
      <c r="L30" s="176"/>
      <c r="M30" s="176"/>
      <c r="N30" s="176" t="e">
        <f>VLOOKUP(B:B,'QT Second level review'!C:O,10,0)</f>
        <v>#N/A</v>
      </c>
      <c r="O30" s="158"/>
      <c r="P30" s="158"/>
      <c r="Q30" s="158"/>
      <c r="R30" s="158"/>
      <c r="S30" s="158"/>
    </row>
    <row r="31" spans="1:19">
      <c r="A31" s="158" t="str">
        <f t="shared" si="0"/>
        <v>Test not reviewed</v>
      </c>
      <c r="B31" s="176"/>
      <c r="C31" s="176"/>
      <c r="D31" s="176"/>
      <c r="E31" s="176"/>
      <c r="F31" s="158"/>
      <c r="G31" s="176"/>
      <c r="H31" s="176"/>
      <c r="I31" s="176"/>
      <c r="J31" s="176"/>
      <c r="K31" s="176"/>
      <c r="L31" s="176"/>
      <c r="M31" s="176"/>
      <c r="N31" s="176" t="e">
        <f>VLOOKUP(B:B,'QT Second level review'!C:O,10,0)</f>
        <v>#N/A</v>
      </c>
      <c r="O31" s="158"/>
      <c r="P31" s="158"/>
      <c r="Q31" s="158"/>
      <c r="R31" s="158"/>
      <c r="S31" s="158"/>
    </row>
    <row r="32" spans="1:19">
      <c r="A32" s="158" t="str">
        <f t="shared" si="0"/>
        <v>Test not reviewed</v>
      </c>
      <c r="B32" s="176"/>
      <c r="C32" s="176"/>
      <c r="D32" s="176"/>
      <c r="E32" s="176"/>
      <c r="F32" s="158"/>
      <c r="G32" s="176"/>
      <c r="H32" s="176"/>
      <c r="I32" s="176"/>
      <c r="J32" s="176"/>
      <c r="K32" s="176"/>
      <c r="L32" s="176"/>
      <c r="M32" s="176"/>
      <c r="N32" s="176" t="e">
        <f>VLOOKUP(B:B,'QT Second level review'!C:O,10,0)</f>
        <v>#N/A</v>
      </c>
      <c r="O32" s="158"/>
      <c r="P32" s="158"/>
      <c r="Q32" s="158"/>
      <c r="R32" s="158"/>
      <c r="S32" s="158"/>
    </row>
    <row r="33" spans="1:19">
      <c r="A33" s="158" t="str">
        <f t="shared" si="0"/>
        <v>Test not reviewed</v>
      </c>
      <c r="B33" s="176"/>
      <c r="C33" s="176"/>
      <c r="D33" s="176"/>
      <c r="E33" s="176"/>
      <c r="F33" s="158"/>
      <c r="G33" s="176"/>
      <c r="H33" s="176"/>
      <c r="I33" s="176"/>
      <c r="J33" s="176"/>
      <c r="K33" s="176"/>
      <c r="L33" s="176"/>
      <c r="M33" s="176"/>
      <c r="N33" s="176" t="e">
        <f>VLOOKUP(B:B,'QT Second level review'!C:O,10,0)</f>
        <v>#N/A</v>
      </c>
      <c r="O33" s="158"/>
      <c r="P33" s="158"/>
      <c r="Q33" s="158"/>
      <c r="R33" s="158"/>
      <c r="S33" s="158"/>
    </row>
    <row r="34" spans="1:19">
      <c r="A34" s="158" t="str">
        <f t="shared" si="0"/>
        <v>Test not reviewed</v>
      </c>
      <c r="B34" s="176"/>
      <c r="C34" s="176"/>
      <c r="D34" s="176"/>
      <c r="E34" s="176"/>
      <c r="F34" s="158"/>
      <c r="G34" s="176"/>
      <c r="H34" s="176"/>
      <c r="I34" s="176"/>
      <c r="J34" s="176"/>
      <c r="K34" s="176"/>
      <c r="L34" s="176"/>
      <c r="M34" s="176"/>
      <c r="N34" s="176" t="e">
        <f>VLOOKUP(B:B,'QT Second level review'!C:O,10,0)</f>
        <v>#N/A</v>
      </c>
      <c r="O34" s="158"/>
      <c r="P34" s="158"/>
      <c r="Q34" s="158"/>
      <c r="R34" s="158"/>
      <c r="S34" s="158"/>
    </row>
    <row r="35" spans="1:19">
      <c r="A35" s="158" t="str">
        <f t="shared" si="0"/>
        <v>Test not reviewed</v>
      </c>
      <c r="B35" s="176"/>
      <c r="C35" s="176"/>
      <c r="D35" s="176"/>
      <c r="E35" s="176"/>
      <c r="F35" s="158"/>
      <c r="G35" s="176"/>
      <c r="H35" s="176"/>
      <c r="I35" s="176"/>
      <c r="J35" s="176"/>
      <c r="K35" s="176"/>
      <c r="L35" s="176"/>
      <c r="M35" s="176"/>
      <c r="N35" s="176" t="e">
        <f>VLOOKUP(B:B,'QT Second level review'!C:O,10,0)</f>
        <v>#N/A</v>
      </c>
      <c r="O35" s="158"/>
      <c r="P35" s="158"/>
      <c r="Q35" s="158"/>
      <c r="R35" s="158"/>
      <c r="S35" s="158"/>
    </row>
    <row r="36" spans="1:19">
      <c r="A36" s="158" t="str">
        <f t="shared" si="0"/>
        <v>Test not reviewed</v>
      </c>
      <c r="B36" s="176"/>
      <c r="C36" s="176"/>
      <c r="D36" s="176"/>
      <c r="E36" s="176"/>
      <c r="F36" s="158"/>
      <c r="G36" s="176"/>
      <c r="H36" s="176"/>
      <c r="I36" s="176"/>
      <c r="J36" s="176"/>
      <c r="K36" s="176"/>
      <c r="L36" s="176"/>
      <c r="M36" s="176"/>
      <c r="N36" s="176" t="e">
        <f>VLOOKUP(B:B,'QT Second level review'!C:O,10,0)</f>
        <v>#N/A</v>
      </c>
      <c r="O36" s="158"/>
      <c r="P36" s="158"/>
      <c r="Q36" s="158"/>
      <c r="R36" s="158"/>
      <c r="S36" s="158"/>
    </row>
    <row r="37" spans="1:19">
      <c r="A37" s="158" t="str">
        <f t="shared" si="0"/>
        <v>Test not reviewed</v>
      </c>
      <c r="B37" s="176"/>
      <c r="C37" s="176"/>
      <c r="D37" s="176"/>
      <c r="E37" s="176"/>
      <c r="F37" s="158"/>
      <c r="G37" s="176"/>
      <c r="H37" s="176"/>
      <c r="I37" s="176"/>
      <c r="J37" s="176"/>
      <c r="K37" s="176"/>
      <c r="L37" s="176"/>
      <c r="M37" s="176"/>
      <c r="N37" s="176" t="e">
        <f>VLOOKUP(B:B,'QT Second level review'!C:O,10,0)</f>
        <v>#N/A</v>
      </c>
      <c r="O37" s="158"/>
      <c r="P37" s="158"/>
      <c r="Q37" s="158"/>
      <c r="R37" s="158"/>
      <c r="S37" s="158"/>
    </row>
    <row r="38" spans="1:19">
      <c r="A38" s="158" t="str">
        <f t="shared" si="0"/>
        <v>Test not reviewed</v>
      </c>
      <c r="B38" s="176"/>
      <c r="C38" s="176"/>
      <c r="D38" s="176"/>
      <c r="E38" s="176"/>
      <c r="F38" s="158"/>
      <c r="G38" s="176"/>
      <c r="H38" s="176"/>
      <c r="I38" s="176"/>
      <c r="J38" s="176"/>
      <c r="K38" s="176"/>
      <c r="L38" s="176"/>
      <c r="M38" s="176"/>
      <c r="N38" s="176" t="e">
        <f>VLOOKUP(B:B,'QT Second level review'!C:O,10,0)</f>
        <v>#N/A</v>
      </c>
      <c r="O38" s="158"/>
      <c r="P38" s="158"/>
      <c r="Q38" s="158"/>
      <c r="R38" s="158"/>
      <c r="S38" s="158"/>
    </row>
    <row r="39" spans="1:19">
      <c r="A39" s="158" t="str">
        <f t="shared" si="0"/>
        <v>Test not reviewed</v>
      </c>
      <c r="B39" s="176"/>
      <c r="C39" s="176"/>
      <c r="D39" s="176"/>
      <c r="E39" s="176"/>
      <c r="F39" s="158"/>
      <c r="G39" s="176"/>
      <c r="H39" s="176"/>
      <c r="I39" s="176"/>
      <c r="J39" s="176"/>
      <c r="K39" s="176"/>
      <c r="L39" s="176"/>
      <c r="M39" s="176"/>
      <c r="N39" s="176" t="e">
        <f>VLOOKUP(B:B,'QT Second level review'!C:O,10,0)</f>
        <v>#N/A</v>
      </c>
      <c r="O39" s="158"/>
      <c r="P39" s="158"/>
      <c r="Q39" s="158"/>
      <c r="R39" s="158"/>
      <c r="S39" s="158"/>
    </row>
    <row r="40" spans="1:19">
      <c r="A40" s="158" t="str">
        <f t="shared" si="0"/>
        <v>Test not reviewed</v>
      </c>
      <c r="B40" s="176"/>
      <c r="C40" s="176"/>
      <c r="D40" s="176"/>
      <c r="E40" s="176"/>
      <c r="F40" s="158"/>
      <c r="G40" s="176"/>
      <c r="H40" s="176"/>
      <c r="I40" s="176"/>
      <c r="J40" s="176"/>
      <c r="K40" s="176"/>
      <c r="L40" s="176"/>
      <c r="M40" s="176"/>
      <c r="N40" s="176" t="e">
        <f>VLOOKUP(B:B,'QT Second level review'!C:O,10,0)</f>
        <v>#N/A</v>
      </c>
      <c r="O40" s="158"/>
      <c r="P40" s="158"/>
      <c r="Q40" s="158"/>
      <c r="R40" s="158"/>
      <c r="S40" s="158"/>
    </row>
    <row r="41" spans="1:19">
      <c r="A41" s="158" t="str">
        <f t="shared" si="0"/>
        <v>Test not reviewed</v>
      </c>
      <c r="B41" s="176"/>
      <c r="C41" s="176"/>
      <c r="D41" s="176"/>
      <c r="E41" s="176"/>
      <c r="F41" s="158"/>
      <c r="G41" s="176"/>
      <c r="H41" s="176"/>
      <c r="I41" s="176"/>
      <c r="J41" s="176"/>
      <c r="K41" s="176"/>
      <c r="L41" s="176"/>
      <c r="M41" s="176"/>
      <c r="N41" s="176" t="e">
        <f>VLOOKUP(B:B,'QT Second level review'!C:O,10,0)</f>
        <v>#N/A</v>
      </c>
      <c r="O41" s="158"/>
      <c r="P41" s="158"/>
      <c r="Q41" s="158"/>
      <c r="R41" s="158"/>
      <c r="S41" s="158"/>
    </row>
    <row r="42" spans="1:19">
      <c r="A42" s="158" t="str">
        <f t="shared" si="0"/>
        <v>Test not reviewed</v>
      </c>
      <c r="B42" s="176"/>
      <c r="C42" s="176"/>
      <c r="D42" s="176"/>
      <c r="E42" s="176"/>
      <c r="F42" s="158"/>
      <c r="G42" s="176"/>
      <c r="H42" s="176"/>
      <c r="I42" s="176"/>
      <c r="J42" s="176"/>
      <c r="K42" s="176"/>
      <c r="L42" s="176"/>
      <c r="M42" s="176"/>
      <c r="N42" s="176" t="e">
        <f>VLOOKUP(B:B,'QT Second level review'!C:O,10,0)</f>
        <v>#N/A</v>
      </c>
      <c r="O42" s="158"/>
      <c r="P42" s="158"/>
      <c r="Q42" s="158"/>
      <c r="R42" s="158"/>
      <c r="S42" s="158"/>
    </row>
    <row r="43" spans="1:19">
      <c r="A43" s="158" t="str">
        <f t="shared" si="0"/>
        <v>Test not reviewed</v>
      </c>
      <c r="B43" s="176"/>
      <c r="C43" s="176"/>
      <c r="D43" s="176"/>
      <c r="E43" s="176"/>
      <c r="F43" s="158"/>
      <c r="G43" s="176"/>
      <c r="H43" s="176"/>
      <c r="I43" s="176"/>
      <c r="J43" s="176"/>
      <c r="K43" s="176"/>
      <c r="L43" s="176"/>
      <c r="M43" s="176"/>
      <c r="N43" s="176" t="e">
        <f>VLOOKUP(B:B,'QT Second level review'!C:O,10,0)</f>
        <v>#N/A</v>
      </c>
      <c r="O43" s="158"/>
      <c r="P43" s="158"/>
      <c r="Q43" s="158"/>
      <c r="R43" s="158"/>
      <c r="S43" s="158"/>
    </row>
    <row r="44" spans="1:19">
      <c r="A44" s="158" t="str">
        <f t="shared" si="0"/>
        <v>Test not reviewed</v>
      </c>
      <c r="B44" s="176"/>
      <c r="C44" s="176"/>
      <c r="D44" s="176"/>
      <c r="E44" s="176"/>
      <c r="F44" s="158"/>
      <c r="G44" s="176"/>
      <c r="H44" s="176"/>
      <c r="I44" s="176"/>
      <c r="J44" s="176"/>
      <c r="K44" s="176"/>
      <c r="L44" s="176"/>
      <c r="M44" s="176"/>
      <c r="N44" s="176" t="e">
        <f>VLOOKUP(B:B,'QT Second level review'!C:O,10,0)</f>
        <v>#N/A</v>
      </c>
      <c r="O44" s="158"/>
      <c r="P44" s="158"/>
      <c r="Q44" s="158"/>
      <c r="R44" s="158"/>
      <c r="S44" s="158"/>
    </row>
    <row r="45" spans="1:19">
      <c r="A45" s="158" t="str">
        <f t="shared" si="0"/>
        <v>Test not reviewed</v>
      </c>
      <c r="B45" s="176"/>
      <c r="C45" s="176"/>
      <c r="D45" s="176"/>
      <c r="E45" s="176"/>
      <c r="F45" s="158"/>
      <c r="G45" s="176"/>
      <c r="H45" s="176"/>
      <c r="I45" s="176"/>
      <c r="J45" s="176"/>
      <c r="K45" s="176"/>
      <c r="L45" s="176"/>
      <c r="M45" s="176"/>
      <c r="N45" s="176" t="e">
        <f>VLOOKUP(B:B,'QT Second level review'!C:O,10,0)</f>
        <v>#N/A</v>
      </c>
      <c r="O45" s="158"/>
      <c r="P45" s="158"/>
      <c r="Q45" s="158"/>
      <c r="R45" s="158"/>
      <c r="S45" s="158"/>
    </row>
    <row r="46" spans="1:19">
      <c r="A46" s="158" t="str">
        <f t="shared" si="0"/>
        <v>Test not reviewed</v>
      </c>
      <c r="B46" s="176"/>
      <c r="C46" s="176"/>
      <c r="D46" s="176"/>
      <c r="E46" s="176"/>
      <c r="F46" s="158"/>
      <c r="G46" s="176"/>
      <c r="H46" s="176"/>
      <c r="I46" s="176"/>
      <c r="J46" s="176"/>
      <c r="K46" s="176"/>
      <c r="L46" s="176"/>
      <c r="M46" s="176"/>
      <c r="N46" s="176" t="e">
        <f>VLOOKUP(B:B,'QT Second level review'!C:O,10,0)</f>
        <v>#N/A</v>
      </c>
      <c r="O46" s="158"/>
      <c r="P46" s="158"/>
      <c r="Q46" s="158"/>
      <c r="R46" s="158"/>
      <c r="S46" s="158"/>
    </row>
    <row r="47" spans="1:19">
      <c r="A47" s="158" t="str">
        <f t="shared" si="0"/>
        <v>Test not reviewed</v>
      </c>
      <c r="B47" s="176"/>
      <c r="C47" s="176"/>
      <c r="D47" s="176"/>
      <c r="E47" s="176"/>
      <c r="F47" s="158"/>
      <c r="G47" s="176"/>
      <c r="H47" s="176"/>
      <c r="I47" s="176"/>
      <c r="J47" s="176"/>
      <c r="K47" s="176"/>
      <c r="L47" s="176"/>
      <c r="M47" s="176"/>
      <c r="N47" s="176" t="e">
        <f>VLOOKUP(B:B,'QT Second level review'!C:O,10,0)</f>
        <v>#N/A</v>
      </c>
      <c r="O47" s="158"/>
      <c r="P47" s="158"/>
      <c r="Q47" s="158"/>
      <c r="R47" s="158"/>
      <c r="S47" s="158"/>
    </row>
    <row r="48" spans="1:19">
      <c r="A48" s="158" t="str">
        <f t="shared" si="0"/>
        <v>Test not reviewed</v>
      </c>
      <c r="B48" s="176"/>
      <c r="C48" s="176"/>
      <c r="D48" s="176"/>
      <c r="E48" s="176"/>
      <c r="F48" s="158"/>
      <c r="G48" s="176"/>
      <c r="H48" s="176"/>
      <c r="I48" s="176"/>
      <c r="J48" s="176"/>
      <c r="K48" s="176"/>
      <c r="L48" s="176"/>
      <c r="M48" s="176"/>
      <c r="N48" s="176" t="e">
        <f>VLOOKUP(B:B,'QT Second level review'!C:O,10,0)</f>
        <v>#N/A</v>
      </c>
      <c r="O48" s="158"/>
      <c r="P48" s="158"/>
      <c r="Q48" s="158"/>
      <c r="R48" s="158"/>
      <c r="S48" s="158"/>
    </row>
    <row r="49" spans="1:19">
      <c r="A49" s="158" t="str">
        <f t="shared" si="0"/>
        <v>Test not reviewed</v>
      </c>
      <c r="B49" s="176"/>
      <c r="C49" s="176"/>
      <c r="D49" s="176"/>
      <c r="E49" s="176"/>
      <c r="F49" s="158"/>
      <c r="G49" s="176"/>
      <c r="H49" s="176"/>
      <c r="I49" s="176"/>
      <c r="J49" s="176"/>
      <c r="K49" s="176"/>
      <c r="L49" s="176"/>
      <c r="M49" s="176"/>
      <c r="N49" s="176" t="e">
        <f>VLOOKUP(B:B,'QT Second level review'!C:O,10,0)</f>
        <v>#N/A</v>
      </c>
      <c r="O49" s="158"/>
      <c r="P49" s="158"/>
      <c r="Q49" s="158"/>
      <c r="R49" s="158"/>
      <c r="S49" s="158"/>
    </row>
    <row r="50" spans="1:19">
      <c r="A50" s="158" t="str">
        <f t="shared" si="0"/>
        <v>Test not reviewed</v>
      </c>
      <c r="B50" s="176"/>
      <c r="C50" s="176"/>
      <c r="D50" s="176"/>
      <c r="E50" s="176"/>
      <c r="F50" s="158"/>
      <c r="G50" s="176"/>
      <c r="H50" s="176"/>
      <c r="I50" s="176"/>
      <c r="J50" s="176"/>
      <c r="K50" s="176"/>
      <c r="L50" s="176"/>
      <c r="M50" s="176"/>
      <c r="N50" s="176" t="e">
        <f>VLOOKUP(B:B,'QT Second level review'!C:O,10,0)</f>
        <v>#N/A</v>
      </c>
      <c r="O50" s="158"/>
      <c r="P50" s="158"/>
      <c r="Q50" s="158"/>
      <c r="R50" s="158"/>
      <c r="S50" s="158"/>
    </row>
    <row r="51" spans="1:19">
      <c r="A51" s="158" t="str">
        <f t="shared" si="0"/>
        <v>Test not reviewed</v>
      </c>
      <c r="B51" s="176"/>
      <c r="C51" s="176"/>
      <c r="D51" s="176"/>
      <c r="E51" s="176"/>
      <c r="F51" s="158"/>
      <c r="G51" s="176"/>
      <c r="H51" s="176"/>
      <c r="I51" s="176"/>
      <c r="J51" s="176"/>
      <c r="K51" s="176"/>
      <c r="L51" s="176"/>
      <c r="M51" s="176"/>
      <c r="N51" s="176" t="e">
        <f>VLOOKUP(B:B,'QT Second level review'!C:O,10,0)</f>
        <v>#N/A</v>
      </c>
      <c r="O51" s="158"/>
      <c r="P51" s="158"/>
      <c r="Q51" s="158"/>
      <c r="R51" s="158"/>
      <c r="S51" s="158"/>
    </row>
    <row r="52" spans="1:19">
      <c r="A52" s="158" t="str">
        <f t="shared" si="0"/>
        <v>Test not reviewed</v>
      </c>
      <c r="B52" s="176"/>
      <c r="C52" s="176"/>
      <c r="D52" s="176"/>
      <c r="E52" s="176"/>
      <c r="F52" s="158"/>
      <c r="G52" s="176"/>
      <c r="H52" s="176"/>
      <c r="I52" s="176"/>
      <c r="J52" s="176"/>
      <c r="K52" s="176"/>
      <c r="L52" s="176"/>
      <c r="M52" s="176"/>
      <c r="N52" s="176" t="e">
        <f>VLOOKUP(B:B,'QT Second level review'!C:O,10,0)</f>
        <v>#N/A</v>
      </c>
      <c r="O52" s="158"/>
      <c r="P52" s="158"/>
      <c r="Q52" s="158"/>
      <c r="R52" s="158"/>
      <c r="S52" s="158"/>
    </row>
    <row r="53" spans="1:19">
      <c r="A53" s="158" t="str">
        <f t="shared" si="0"/>
        <v>Test not reviewed</v>
      </c>
      <c r="B53" s="176"/>
      <c r="C53" s="176"/>
      <c r="D53" s="176"/>
      <c r="E53" s="176"/>
      <c r="F53" s="158"/>
      <c r="G53" s="176"/>
      <c r="H53" s="176"/>
      <c r="I53" s="176"/>
      <c r="J53" s="176"/>
      <c r="K53" s="176"/>
      <c r="L53" s="176"/>
      <c r="M53" s="176"/>
      <c r="N53" s="176" t="e">
        <f>VLOOKUP(B:B,'QT Second level review'!C:O,10,0)</f>
        <v>#N/A</v>
      </c>
      <c r="O53" s="158"/>
      <c r="P53" s="158"/>
      <c r="Q53" s="158"/>
      <c r="R53" s="158"/>
      <c r="S53" s="158"/>
    </row>
    <row r="54" spans="1:19">
      <c r="A54" s="158" t="str">
        <f t="shared" si="0"/>
        <v>Test not reviewed</v>
      </c>
      <c r="B54" s="176"/>
      <c r="C54" s="176"/>
      <c r="D54" s="176"/>
      <c r="E54" s="176"/>
      <c r="F54" s="158"/>
      <c r="G54" s="176"/>
      <c r="H54" s="176"/>
      <c r="I54" s="176"/>
      <c r="J54" s="176"/>
      <c r="K54" s="176"/>
      <c r="L54" s="176"/>
      <c r="M54" s="176"/>
      <c r="N54" s="176" t="e">
        <f>VLOOKUP(B:B,'QT Second level review'!C:O,10,0)</f>
        <v>#N/A</v>
      </c>
      <c r="O54" s="158"/>
      <c r="P54" s="158"/>
      <c r="Q54" s="158"/>
      <c r="R54" s="158"/>
      <c r="S54" s="158"/>
    </row>
    <row r="55" spans="1:19">
      <c r="A55" s="158" t="str">
        <f t="shared" si="0"/>
        <v>Test not reviewed</v>
      </c>
      <c r="B55" s="176"/>
      <c r="C55" s="176"/>
      <c r="D55" s="176"/>
      <c r="E55" s="176"/>
      <c r="F55" s="158"/>
      <c r="G55" s="176"/>
      <c r="H55" s="176"/>
      <c r="I55" s="176"/>
      <c r="J55" s="176"/>
      <c r="K55" s="176"/>
      <c r="L55" s="176"/>
      <c r="M55" s="176"/>
      <c r="N55" s="176" t="e">
        <f>VLOOKUP(B:B,'QT Second level review'!C:O,10,0)</f>
        <v>#N/A</v>
      </c>
      <c r="O55" s="158"/>
      <c r="P55" s="158"/>
      <c r="Q55" s="158"/>
      <c r="R55" s="158"/>
      <c r="S55" s="158"/>
    </row>
    <row r="56" spans="1:19">
      <c r="A56" s="158" t="str">
        <f t="shared" si="0"/>
        <v>Test not reviewed</v>
      </c>
      <c r="B56" s="176"/>
      <c r="C56" s="176"/>
      <c r="D56" s="176"/>
      <c r="E56" s="176"/>
      <c r="F56" s="158"/>
      <c r="G56" s="176"/>
      <c r="H56" s="176"/>
      <c r="I56" s="176"/>
      <c r="J56" s="176"/>
      <c r="K56" s="176"/>
      <c r="L56" s="176"/>
      <c r="M56" s="176"/>
      <c r="N56" s="176" t="e">
        <f>VLOOKUP(B:B,'QT Second level review'!C:O,10,0)</f>
        <v>#N/A</v>
      </c>
      <c r="O56" s="158"/>
      <c r="P56" s="158"/>
      <c r="Q56" s="158"/>
      <c r="R56" s="158"/>
      <c r="S56" s="158"/>
    </row>
    <row r="57" spans="1:19">
      <c r="A57" s="158" t="str">
        <f t="shared" si="0"/>
        <v>Test not reviewed</v>
      </c>
      <c r="B57" s="176"/>
      <c r="C57" s="176"/>
      <c r="D57" s="176"/>
      <c r="E57" s="176"/>
      <c r="F57" s="158"/>
      <c r="G57" s="176"/>
      <c r="H57" s="176"/>
      <c r="I57" s="176"/>
      <c r="J57" s="176"/>
      <c r="K57" s="176"/>
      <c r="L57" s="176"/>
      <c r="M57" s="176"/>
      <c r="N57" s="176" t="e">
        <f>VLOOKUP(B:B,'QT Second level review'!C:O,10,0)</f>
        <v>#N/A</v>
      </c>
      <c r="O57" s="158"/>
      <c r="P57" s="158"/>
      <c r="Q57" s="158"/>
      <c r="R57" s="158"/>
      <c r="S57" s="158"/>
    </row>
    <row r="58" spans="1:19">
      <c r="A58" s="158" t="str">
        <f t="shared" si="0"/>
        <v>Test not reviewed</v>
      </c>
      <c r="B58" s="176"/>
      <c r="C58" s="176"/>
      <c r="D58" s="176"/>
      <c r="E58" s="176"/>
      <c r="F58" s="158"/>
      <c r="G58" s="176"/>
      <c r="H58" s="176"/>
      <c r="I58" s="176"/>
      <c r="J58" s="176"/>
      <c r="K58" s="176"/>
      <c r="L58" s="176"/>
      <c r="M58" s="176"/>
      <c r="N58" s="176" t="e">
        <f>VLOOKUP(B:B,'QT Second level review'!C:O,10,0)</f>
        <v>#N/A</v>
      </c>
      <c r="O58" s="158"/>
      <c r="P58" s="158"/>
      <c r="Q58" s="158"/>
      <c r="R58" s="158"/>
      <c r="S58" s="158"/>
    </row>
    <row r="59" spans="1:19">
      <c r="A59" s="158" t="str">
        <f t="shared" si="0"/>
        <v>Test not reviewed</v>
      </c>
      <c r="B59" s="176"/>
      <c r="C59" s="176"/>
      <c r="D59" s="176"/>
      <c r="E59" s="176"/>
      <c r="F59" s="158"/>
      <c r="G59" s="176"/>
      <c r="H59" s="176"/>
      <c r="I59" s="176"/>
      <c r="J59" s="176"/>
      <c r="K59" s="176"/>
      <c r="L59" s="176"/>
      <c r="M59" s="176"/>
      <c r="N59" s="176" t="e">
        <f>VLOOKUP(B:B,'QT Second level review'!C:O,10,0)</f>
        <v>#N/A</v>
      </c>
      <c r="O59" s="158"/>
      <c r="P59" s="158"/>
      <c r="Q59" s="158"/>
      <c r="R59" s="158"/>
      <c r="S59" s="158"/>
    </row>
    <row r="60" spans="1:19">
      <c r="A60" s="158" t="str">
        <f t="shared" si="0"/>
        <v>Test not reviewed</v>
      </c>
      <c r="B60" s="176"/>
      <c r="C60" s="176"/>
      <c r="D60" s="176"/>
      <c r="E60" s="176"/>
      <c r="F60" s="158"/>
      <c r="G60" s="176"/>
      <c r="H60" s="176"/>
      <c r="I60" s="176"/>
      <c r="J60" s="176"/>
      <c r="K60" s="176"/>
      <c r="L60" s="176"/>
      <c r="M60" s="176"/>
      <c r="N60" s="176" t="e">
        <f>VLOOKUP(B:B,'QT Second level review'!C:O,10,0)</f>
        <v>#N/A</v>
      </c>
      <c r="O60" s="158"/>
      <c r="P60" s="158"/>
      <c r="Q60" s="158"/>
      <c r="R60" s="158"/>
      <c r="S60" s="158"/>
    </row>
    <row r="61" spans="1:19">
      <c r="A61" s="158" t="str">
        <f t="shared" si="0"/>
        <v>Test not reviewed</v>
      </c>
      <c r="B61" s="176"/>
      <c r="C61" s="176"/>
      <c r="D61" s="176"/>
      <c r="E61" s="176"/>
      <c r="F61" s="158"/>
      <c r="G61" s="176"/>
      <c r="H61" s="176"/>
      <c r="I61" s="176"/>
      <c r="J61" s="176"/>
      <c r="K61" s="176"/>
      <c r="L61" s="176"/>
      <c r="M61" s="176"/>
      <c r="N61" s="176" t="e">
        <f>VLOOKUP(B:B,'QT Second level review'!C:O,10,0)</f>
        <v>#N/A</v>
      </c>
      <c r="O61" s="158"/>
      <c r="P61" s="158"/>
      <c r="Q61" s="158"/>
      <c r="R61" s="158"/>
      <c r="S61" s="158"/>
    </row>
    <row r="62" spans="1:19">
      <c r="A62" s="158" t="str">
        <f t="shared" si="0"/>
        <v>Test not reviewed</v>
      </c>
      <c r="B62" s="176"/>
      <c r="C62" s="176"/>
      <c r="D62" s="176"/>
      <c r="E62" s="176"/>
      <c r="F62" s="158"/>
      <c r="G62" s="176"/>
      <c r="H62" s="176"/>
      <c r="I62" s="176"/>
      <c r="J62" s="176"/>
      <c r="K62" s="176"/>
      <c r="L62" s="176"/>
      <c r="M62" s="176"/>
      <c r="N62" s="176" t="e">
        <f>VLOOKUP(B:B,'QT Second level review'!C:O,10,0)</f>
        <v>#N/A</v>
      </c>
      <c r="O62" s="158"/>
      <c r="P62" s="158"/>
      <c r="Q62" s="158"/>
      <c r="R62" s="158"/>
      <c r="S62" s="158"/>
    </row>
    <row r="63" spans="1:19">
      <c r="A63" s="158" t="str">
        <f t="shared" si="0"/>
        <v>Test not reviewed</v>
      </c>
      <c r="B63" s="176"/>
      <c r="C63" s="176"/>
      <c r="D63" s="176"/>
      <c r="E63" s="176"/>
      <c r="F63" s="158"/>
      <c r="G63" s="176"/>
      <c r="H63" s="176"/>
      <c r="I63" s="176"/>
      <c r="J63" s="176"/>
      <c r="K63" s="176"/>
      <c r="L63" s="176"/>
      <c r="M63" s="176"/>
      <c r="N63" s="176" t="e">
        <f>VLOOKUP(B:B,'QT Second level review'!C:O,10,0)</f>
        <v>#N/A</v>
      </c>
      <c r="O63" s="158"/>
      <c r="P63" s="158"/>
      <c r="Q63" s="158"/>
      <c r="R63" s="158"/>
      <c r="S63" s="158"/>
    </row>
    <row r="64" spans="1:19">
      <c r="A64" s="158" t="str">
        <f t="shared" si="0"/>
        <v>Test not reviewed</v>
      </c>
      <c r="B64" s="176"/>
      <c r="C64" s="176"/>
      <c r="D64" s="176"/>
      <c r="E64" s="176"/>
      <c r="F64" s="158"/>
      <c r="G64" s="176"/>
      <c r="H64" s="176"/>
      <c r="I64" s="176"/>
      <c r="J64" s="176"/>
      <c r="K64" s="176"/>
      <c r="L64" s="176"/>
      <c r="M64" s="176"/>
      <c r="N64" s="176" t="e">
        <f>VLOOKUP(B:B,'QT Second level review'!C:O,10,0)</f>
        <v>#N/A</v>
      </c>
      <c r="O64" s="158"/>
      <c r="P64" s="158"/>
      <c r="Q64" s="158"/>
      <c r="R64" s="158"/>
      <c r="S64" s="158"/>
    </row>
    <row r="65" spans="1:19">
      <c r="A65" s="158" t="str">
        <f t="shared" si="0"/>
        <v>Test not reviewed</v>
      </c>
      <c r="B65" s="176"/>
      <c r="C65" s="176"/>
      <c r="D65" s="176"/>
      <c r="E65" s="176"/>
      <c r="F65" s="158"/>
      <c r="G65" s="176"/>
      <c r="H65" s="176"/>
      <c r="I65" s="176"/>
      <c r="J65" s="176"/>
      <c r="K65" s="176"/>
      <c r="L65" s="176"/>
      <c r="M65" s="176"/>
      <c r="N65" s="176" t="e">
        <f>VLOOKUP(B:B,'QT Second level review'!C:O,10,0)</f>
        <v>#N/A</v>
      </c>
      <c r="O65" s="158"/>
      <c r="P65" s="158"/>
      <c r="Q65" s="158"/>
      <c r="R65" s="158"/>
      <c r="S65" s="158"/>
    </row>
    <row r="66" spans="1:19">
      <c r="A66" s="158" t="str">
        <f t="shared" si="0"/>
        <v>Test not reviewed</v>
      </c>
      <c r="B66" s="176"/>
      <c r="C66" s="176"/>
      <c r="D66" s="176"/>
      <c r="E66" s="176"/>
      <c r="F66" s="158"/>
      <c r="G66" s="176"/>
      <c r="H66" s="176"/>
      <c r="I66" s="176"/>
      <c r="J66" s="176"/>
      <c r="K66" s="176"/>
      <c r="L66" s="176"/>
      <c r="M66" s="176"/>
      <c r="N66" s="176" t="e">
        <f>VLOOKUP(B:B,'QT Second level review'!C:O,10,0)</f>
        <v>#N/A</v>
      </c>
      <c r="O66" s="158"/>
      <c r="P66" s="158"/>
      <c r="Q66" s="158"/>
      <c r="R66" s="158"/>
      <c r="S66" s="158"/>
    </row>
    <row r="67" spans="1:19">
      <c r="A67" s="158" t="str">
        <f t="shared" ref="A67:A130" si="1">IF(ISNA(N67),"Test not reviewed","OK")</f>
        <v>Test not reviewed</v>
      </c>
      <c r="B67" s="176"/>
      <c r="C67" s="176"/>
      <c r="D67" s="176"/>
      <c r="E67" s="176"/>
      <c r="F67" s="158"/>
      <c r="G67" s="176"/>
      <c r="H67" s="176"/>
      <c r="I67" s="176"/>
      <c r="J67" s="176"/>
      <c r="K67" s="176"/>
      <c r="L67" s="176"/>
      <c r="M67" s="176"/>
      <c r="N67" s="176" t="e">
        <f>VLOOKUP(B:B,'QT Second level review'!C:O,10,0)</f>
        <v>#N/A</v>
      </c>
      <c r="O67" s="158"/>
      <c r="P67" s="158"/>
      <c r="Q67" s="158"/>
      <c r="R67" s="158"/>
      <c r="S67" s="158"/>
    </row>
    <row r="68" spans="1:19">
      <c r="A68" s="158" t="str">
        <f t="shared" si="1"/>
        <v>Test not reviewed</v>
      </c>
      <c r="B68" s="176"/>
      <c r="C68" s="176"/>
      <c r="D68" s="176"/>
      <c r="E68" s="176"/>
      <c r="F68" s="158"/>
      <c r="G68" s="176"/>
      <c r="H68" s="176"/>
      <c r="I68" s="176"/>
      <c r="J68" s="176"/>
      <c r="K68" s="176"/>
      <c r="L68" s="176"/>
      <c r="M68" s="176"/>
      <c r="N68" s="176" t="e">
        <f>VLOOKUP(B:B,'QT Second level review'!C:O,10,0)</f>
        <v>#N/A</v>
      </c>
      <c r="O68" s="158"/>
      <c r="P68" s="158"/>
      <c r="Q68" s="158"/>
      <c r="R68" s="158"/>
      <c r="S68" s="158"/>
    </row>
    <row r="69" spans="1:19">
      <c r="A69" s="158" t="str">
        <f t="shared" si="1"/>
        <v>Test not reviewed</v>
      </c>
      <c r="B69" s="176"/>
      <c r="C69" s="176"/>
      <c r="D69" s="176"/>
      <c r="E69" s="176"/>
      <c r="F69" s="158"/>
      <c r="G69" s="176"/>
      <c r="H69" s="176"/>
      <c r="I69" s="176"/>
      <c r="J69" s="176"/>
      <c r="K69" s="176"/>
      <c r="L69" s="176"/>
      <c r="M69" s="176"/>
      <c r="N69" s="176" t="e">
        <f>VLOOKUP(B:B,'QT Second level review'!C:O,10,0)</f>
        <v>#N/A</v>
      </c>
      <c r="O69" s="158"/>
      <c r="P69" s="158"/>
      <c r="Q69" s="158"/>
      <c r="R69" s="158"/>
      <c r="S69" s="158"/>
    </row>
    <row r="70" spans="1:19">
      <c r="A70" s="158" t="str">
        <f t="shared" si="1"/>
        <v>Test not reviewed</v>
      </c>
      <c r="B70" s="176"/>
      <c r="C70" s="176"/>
      <c r="D70" s="176"/>
      <c r="E70" s="176"/>
      <c r="F70" s="158"/>
      <c r="G70" s="176"/>
      <c r="H70" s="176"/>
      <c r="I70" s="176"/>
      <c r="J70" s="176"/>
      <c r="K70" s="176"/>
      <c r="L70" s="176"/>
      <c r="M70" s="176"/>
      <c r="N70" s="176" t="e">
        <f>VLOOKUP(B:B,'QT Second level review'!C:O,10,0)</f>
        <v>#N/A</v>
      </c>
      <c r="O70" s="158"/>
      <c r="P70" s="158"/>
      <c r="Q70" s="158"/>
      <c r="R70" s="158"/>
      <c r="S70" s="158"/>
    </row>
    <row r="71" spans="1:19">
      <c r="A71" s="158" t="str">
        <f t="shared" si="1"/>
        <v>Test not reviewed</v>
      </c>
      <c r="B71" s="176"/>
      <c r="C71" s="176"/>
      <c r="D71" s="176"/>
      <c r="E71" s="176"/>
      <c r="F71" s="158"/>
      <c r="G71" s="176"/>
      <c r="H71" s="176"/>
      <c r="I71" s="176"/>
      <c r="J71" s="176"/>
      <c r="K71" s="176"/>
      <c r="L71" s="176"/>
      <c r="M71" s="176"/>
      <c r="N71" s="176" t="e">
        <f>VLOOKUP(B:B,'QT Second level review'!C:O,10,0)</f>
        <v>#N/A</v>
      </c>
      <c r="O71" s="158"/>
      <c r="P71" s="158"/>
      <c r="Q71" s="158"/>
      <c r="R71" s="158"/>
      <c r="S71" s="158"/>
    </row>
    <row r="72" spans="1:19">
      <c r="A72" s="158" t="str">
        <f t="shared" si="1"/>
        <v>Test not reviewed</v>
      </c>
      <c r="B72" s="176"/>
      <c r="C72" s="176"/>
      <c r="D72" s="176"/>
      <c r="E72" s="176"/>
      <c r="F72" s="158"/>
      <c r="G72" s="176"/>
      <c r="H72" s="176"/>
      <c r="I72" s="176"/>
      <c r="J72" s="176"/>
      <c r="K72" s="176"/>
      <c r="L72" s="176"/>
      <c r="M72" s="176"/>
      <c r="N72" s="176" t="e">
        <f>VLOOKUP(B:B,'QT Second level review'!C:O,10,0)</f>
        <v>#N/A</v>
      </c>
      <c r="O72" s="158"/>
      <c r="P72" s="158"/>
      <c r="Q72" s="158"/>
      <c r="R72" s="158"/>
      <c r="S72" s="158"/>
    </row>
    <row r="73" spans="1:19">
      <c r="A73" s="158" t="str">
        <f t="shared" si="1"/>
        <v>Test not reviewed</v>
      </c>
      <c r="B73" s="176"/>
      <c r="C73" s="176"/>
      <c r="D73" s="176"/>
      <c r="E73" s="176"/>
      <c r="F73" s="158"/>
      <c r="G73" s="176"/>
      <c r="H73" s="176"/>
      <c r="I73" s="176"/>
      <c r="J73" s="176"/>
      <c r="K73" s="176"/>
      <c r="L73" s="176"/>
      <c r="M73" s="176"/>
      <c r="N73" s="176" t="e">
        <f>VLOOKUP(B:B,'QT Second level review'!C:O,10,0)</f>
        <v>#N/A</v>
      </c>
      <c r="O73" s="158"/>
      <c r="P73" s="158"/>
      <c r="Q73" s="158"/>
      <c r="R73" s="158"/>
      <c r="S73" s="158"/>
    </row>
    <row r="74" spans="1:19">
      <c r="A74" s="158" t="str">
        <f t="shared" si="1"/>
        <v>Test not reviewed</v>
      </c>
      <c r="B74" s="176"/>
      <c r="C74" s="176"/>
      <c r="D74" s="176"/>
      <c r="E74" s="176"/>
      <c r="F74" s="158"/>
      <c r="G74" s="176"/>
      <c r="H74" s="176"/>
      <c r="I74" s="176"/>
      <c r="J74" s="176"/>
      <c r="K74" s="176"/>
      <c r="L74" s="176"/>
      <c r="M74" s="176"/>
      <c r="N74" s="176" t="e">
        <f>VLOOKUP(B:B,'QT Second level review'!C:O,10,0)</f>
        <v>#N/A</v>
      </c>
      <c r="O74" s="158"/>
      <c r="P74" s="158"/>
      <c r="Q74" s="158"/>
      <c r="R74" s="158"/>
      <c r="S74" s="158"/>
    </row>
    <row r="75" spans="1:19">
      <c r="A75" s="158" t="str">
        <f t="shared" si="1"/>
        <v>Test not reviewed</v>
      </c>
      <c r="B75" s="176"/>
      <c r="C75" s="176"/>
      <c r="D75" s="176"/>
      <c r="E75" s="176"/>
      <c r="F75" s="158"/>
      <c r="G75" s="176"/>
      <c r="H75" s="176"/>
      <c r="I75" s="176"/>
      <c r="J75" s="176"/>
      <c r="K75" s="176"/>
      <c r="L75" s="176"/>
      <c r="M75" s="176"/>
      <c r="N75" s="176" t="e">
        <f>VLOOKUP(B:B,'QT Second level review'!C:O,10,0)</f>
        <v>#N/A</v>
      </c>
      <c r="O75" s="158"/>
      <c r="P75" s="158"/>
      <c r="Q75" s="158"/>
      <c r="R75" s="158"/>
      <c r="S75" s="158"/>
    </row>
    <row r="76" spans="1:19">
      <c r="A76" s="158" t="str">
        <f t="shared" si="1"/>
        <v>Test not reviewed</v>
      </c>
      <c r="B76" s="176"/>
      <c r="C76" s="176"/>
      <c r="D76" s="176"/>
      <c r="E76" s="176"/>
      <c r="F76" s="158"/>
      <c r="G76" s="176"/>
      <c r="H76" s="176"/>
      <c r="I76" s="176"/>
      <c r="J76" s="176"/>
      <c r="K76" s="176"/>
      <c r="L76" s="176"/>
      <c r="M76" s="176"/>
      <c r="N76" s="176" t="e">
        <f>VLOOKUP(B:B,'QT Second level review'!C:O,10,0)</f>
        <v>#N/A</v>
      </c>
      <c r="O76" s="158"/>
      <c r="P76" s="158"/>
      <c r="Q76" s="158"/>
      <c r="R76" s="158"/>
      <c r="S76" s="158"/>
    </row>
    <row r="77" spans="1:19">
      <c r="A77" s="158" t="str">
        <f t="shared" si="1"/>
        <v>Test not reviewed</v>
      </c>
      <c r="B77" s="176"/>
      <c r="C77" s="176"/>
      <c r="D77" s="176"/>
      <c r="E77" s="176"/>
      <c r="F77" s="158"/>
      <c r="G77" s="176"/>
      <c r="H77" s="176"/>
      <c r="I77" s="176"/>
      <c r="J77" s="176"/>
      <c r="K77" s="176"/>
      <c r="L77" s="176"/>
      <c r="M77" s="176"/>
      <c r="N77" s="176" t="e">
        <f>VLOOKUP(B:B,'QT Second level review'!C:O,10,0)</f>
        <v>#N/A</v>
      </c>
      <c r="O77" s="158"/>
      <c r="P77" s="158"/>
      <c r="Q77" s="158"/>
      <c r="R77" s="158"/>
      <c r="S77" s="158"/>
    </row>
    <row r="78" spans="1:19">
      <c r="A78" s="158" t="str">
        <f t="shared" si="1"/>
        <v>Test not reviewed</v>
      </c>
      <c r="B78" s="176"/>
      <c r="C78" s="176"/>
      <c r="D78" s="176"/>
      <c r="E78" s="176"/>
      <c r="F78" s="158"/>
      <c r="G78" s="176"/>
      <c r="H78" s="176"/>
      <c r="I78" s="176"/>
      <c r="J78" s="176"/>
      <c r="K78" s="176"/>
      <c r="L78" s="176"/>
      <c r="M78" s="176"/>
      <c r="N78" s="176" t="e">
        <f>VLOOKUP(B:B,'QT Second level review'!C:O,10,0)</f>
        <v>#N/A</v>
      </c>
      <c r="O78" s="158"/>
      <c r="P78" s="158"/>
      <c r="Q78" s="158"/>
      <c r="R78" s="158"/>
      <c r="S78" s="158"/>
    </row>
    <row r="79" spans="1:19">
      <c r="A79" s="158" t="str">
        <f t="shared" si="1"/>
        <v>Test not reviewed</v>
      </c>
      <c r="B79" s="176"/>
      <c r="C79" s="176"/>
      <c r="D79" s="176"/>
      <c r="E79" s="176"/>
      <c r="F79" s="158"/>
      <c r="G79" s="176"/>
      <c r="H79" s="176"/>
      <c r="I79" s="176"/>
      <c r="J79" s="176"/>
      <c r="K79" s="176"/>
      <c r="L79" s="176"/>
      <c r="M79" s="176"/>
      <c r="N79" s="176" t="e">
        <f>VLOOKUP(B:B,'QT Second level review'!C:O,10,0)</f>
        <v>#N/A</v>
      </c>
      <c r="O79" s="158"/>
      <c r="P79" s="158"/>
      <c r="Q79" s="158"/>
      <c r="R79" s="158"/>
      <c r="S79" s="158"/>
    </row>
    <row r="80" spans="1:19">
      <c r="A80" s="158" t="str">
        <f t="shared" si="1"/>
        <v>Test not reviewed</v>
      </c>
      <c r="B80" s="176"/>
      <c r="C80" s="176"/>
      <c r="D80" s="176"/>
      <c r="E80" s="176"/>
      <c r="F80" s="158"/>
      <c r="G80" s="176"/>
      <c r="H80" s="176"/>
      <c r="I80" s="176"/>
      <c r="J80" s="176"/>
      <c r="K80" s="176"/>
      <c r="L80" s="176"/>
      <c r="M80" s="176"/>
      <c r="N80" s="176" t="e">
        <f>VLOOKUP(B:B,'QT Second level review'!C:O,10,0)</f>
        <v>#N/A</v>
      </c>
      <c r="O80" s="158"/>
      <c r="P80" s="158"/>
      <c r="Q80" s="158"/>
      <c r="R80" s="158"/>
      <c r="S80" s="158"/>
    </row>
    <row r="81" spans="1:19">
      <c r="A81" s="158" t="str">
        <f t="shared" si="1"/>
        <v>Test not reviewed</v>
      </c>
      <c r="B81" s="176"/>
      <c r="C81" s="176"/>
      <c r="D81" s="176"/>
      <c r="E81" s="176"/>
      <c r="F81" s="158"/>
      <c r="G81" s="176"/>
      <c r="H81" s="176"/>
      <c r="I81" s="176"/>
      <c r="J81" s="176"/>
      <c r="K81" s="176"/>
      <c r="L81" s="176"/>
      <c r="M81" s="176"/>
      <c r="N81" s="176" t="e">
        <f>VLOOKUP(B:B,'QT Second level review'!C:O,10,0)</f>
        <v>#N/A</v>
      </c>
      <c r="O81" s="158"/>
      <c r="P81" s="158"/>
      <c r="Q81" s="158"/>
      <c r="R81" s="158"/>
      <c r="S81" s="158"/>
    </row>
    <row r="82" spans="1:19">
      <c r="A82" s="158" t="str">
        <f t="shared" si="1"/>
        <v>Test not reviewed</v>
      </c>
      <c r="B82" s="176"/>
      <c r="C82" s="176"/>
      <c r="D82" s="176"/>
      <c r="E82" s="176"/>
      <c r="F82" s="158"/>
      <c r="G82" s="176"/>
      <c r="H82" s="176"/>
      <c r="I82" s="176"/>
      <c r="J82" s="176"/>
      <c r="K82" s="176"/>
      <c r="L82" s="176"/>
      <c r="M82" s="176"/>
      <c r="N82" s="176" t="e">
        <f>VLOOKUP(B:B,'QT Second level review'!C:O,10,0)</f>
        <v>#N/A</v>
      </c>
      <c r="O82" s="158"/>
      <c r="P82" s="158"/>
      <c r="Q82" s="158"/>
      <c r="R82" s="158"/>
      <c r="S82" s="158"/>
    </row>
    <row r="83" spans="1:19">
      <c r="A83" s="158" t="str">
        <f t="shared" si="1"/>
        <v>Test not reviewed</v>
      </c>
      <c r="B83" s="176"/>
      <c r="C83" s="176"/>
      <c r="D83" s="176"/>
      <c r="E83" s="176"/>
      <c r="F83" s="158"/>
      <c r="G83" s="176"/>
      <c r="H83" s="176"/>
      <c r="I83" s="176"/>
      <c r="J83" s="176"/>
      <c r="K83" s="176"/>
      <c r="L83" s="176"/>
      <c r="M83" s="176"/>
      <c r="N83" s="176" t="e">
        <f>VLOOKUP(B:B,'QT Second level review'!C:O,10,0)</f>
        <v>#N/A</v>
      </c>
      <c r="O83" s="158"/>
      <c r="P83" s="158"/>
      <c r="Q83" s="158"/>
      <c r="R83" s="158"/>
      <c r="S83" s="158"/>
    </row>
    <row r="84" spans="1:19">
      <c r="A84" s="158" t="str">
        <f t="shared" si="1"/>
        <v>Test not reviewed</v>
      </c>
      <c r="B84" s="176"/>
      <c r="C84" s="176"/>
      <c r="D84" s="176"/>
      <c r="E84" s="176"/>
      <c r="F84" s="158"/>
      <c r="G84" s="176"/>
      <c r="H84" s="176"/>
      <c r="I84" s="176"/>
      <c r="J84" s="176"/>
      <c r="K84" s="176"/>
      <c r="L84" s="176"/>
      <c r="M84" s="176"/>
      <c r="N84" s="176" t="e">
        <f>VLOOKUP(B:B,'QT Second level review'!C:O,10,0)</f>
        <v>#N/A</v>
      </c>
      <c r="O84" s="158"/>
      <c r="P84" s="158"/>
      <c r="Q84" s="158"/>
      <c r="R84" s="158"/>
      <c r="S84" s="158"/>
    </row>
    <row r="85" spans="1:19">
      <c r="A85" s="158" t="str">
        <f t="shared" si="1"/>
        <v>Test not reviewed</v>
      </c>
      <c r="B85" s="176"/>
      <c r="C85" s="176"/>
      <c r="D85" s="176"/>
      <c r="E85" s="176"/>
      <c r="F85" s="158"/>
      <c r="G85" s="176"/>
      <c r="H85" s="176"/>
      <c r="I85" s="176"/>
      <c r="J85" s="176"/>
      <c r="K85" s="176"/>
      <c r="L85" s="176"/>
      <c r="M85" s="176"/>
      <c r="N85" s="176" t="e">
        <f>VLOOKUP(B:B,'QT Second level review'!C:O,10,0)</f>
        <v>#N/A</v>
      </c>
      <c r="O85" s="158"/>
      <c r="P85" s="158"/>
      <c r="Q85" s="158"/>
      <c r="R85" s="158"/>
      <c r="S85" s="158"/>
    </row>
    <row r="86" spans="1:19">
      <c r="A86" s="158" t="str">
        <f t="shared" si="1"/>
        <v>Test not reviewed</v>
      </c>
      <c r="B86" s="176"/>
      <c r="C86" s="176"/>
      <c r="D86" s="176"/>
      <c r="E86" s="176"/>
      <c r="F86" s="158"/>
      <c r="G86" s="176"/>
      <c r="H86" s="176"/>
      <c r="I86" s="176"/>
      <c r="J86" s="176"/>
      <c r="K86" s="176"/>
      <c r="L86" s="176"/>
      <c r="M86" s="176"/>
      <c r="N86" s="176" t="e">
        <f>VLOOKUP(B:B,'QT Second level review'!C:O,10,0)</f>
        <v>#N/A</v>
      </c>
      <c r="O86" s="158"/>
      <c r="P86" s="158"/>
      <c r="Q86" s="158"/>
      <c r="R86" s="158"/>
      <c r="S86" s="158"/>
    </row>
    <row r="87" spans="1:19">
      <c r="A87" s="158" t="str">
        <f t="shared" si="1"/>
        <v>Test not reviewed</v>
      </c>
      <c r="B87" s="176"/>
      <c r="C87" s="176"/>
      <c r="D87" s="176"/>
      <c r="E87" s="176"/>
      <c r="F87" s="158"/>
      <c r="G87" s="176"/>
      <c r="H87" s="176"/>
      <c r="I87" s="176"/>
      <c r="J87" s="176"/>
      <c r="K87" s="176"/>
      <c r="L87" s="176"/>
      <c r="M87" s="176"/>
      <c r="N87" s="176" t="e">
        <f>VLOOKUP(B:B,'QT Second level review'!C:O,10,0)</f>
        <v>#N/A</v>
      </c>
      <c r="O87" s="158"/>
      <c r="P87" s="158"/>
      <c r="Q87" s="158"/>
      <c r="R87" s="158"/>
      <c r="S87" s="158"/>
    </row>
    <row r="88" spans="1:19">
      <c r="A88" s="158" t="str">
        <f t="shared" si="1"/>
        <v>Test not reviewed</v>
      </c>
      <c r="B88" s="176"/>
      <c r="C88" s="176"/>
      <c r="D88" s="176"/>
      <c r="E88" s="176"/>
      <c r="F88" s="158"/>
      <c r="G88" s="176"/>
      <c r="H88" s="176"/>
      <c r="I88" s="176"/>
      <c r="J88" s="176"/>
      <c r="K88" s="176"/>
      <c r="L88" s="176"/>
      <c r="M88" s="176"/>
      <c r="N88" s="176" t="e">
        <f>VLOOKUP(B:B,'QT Second level review'!C:O,10,0)</f>
        <v>#N/A</v>
      </c>
      <c r="O88" s="158"/>
      <c r="P88" s="158"/>
      <c r="Q88" s="158"/>
      <c r="R88" s="158"/>
      <c r="S88" s="158"/>
    </row>
    <row r="89" spans="1:19">
      <c r="A89" s="158" t="str">
        <f t="shared" si="1"/>
        <v>Test not reviewed</v>
      </c>
      <c r="B89" s="176"/>
      <c r="C89" s="176"/>
      <c r="D89" s="176"/>
      <c r="E89" s="176"/>
      <c r="F89" s="158"/>
      <c r="G89" s="176"/>
      <c r="H89" s="176"/>
      <c r="I89" s="176"/>
      <c r="J89" s="176"/>
      <c r="K89" s="176"/>
      <c r="L89" s="176"/>
      <c r="M89" s="176"/>
      <c r="N89" s="176" t="e">
        <f>VLOOKUP(B:B,'QT Second level review'!C:O,10,0)</f>
        <v>#N/A</v>
      </c>
      <c r="O89" s="158"/>
      <c r="P89" s="158"/>
      <c r="Q89" s="158"/>
      <c r="R89" s="158"/>
      <c r="S89" s="158"/>
    </row>
    <row r="90" spans="1:19">
      <c r="A90" s="158" t="str">
        <f t="shared" si="1"/>
        <v>Test not reviewed</v>
      </c>
      <c r="B90" s="176"/>
      <c r="C90" s="176"/>
      <c r="D90" s="176"/>
      <c r="E90" s="176"/>
      <c r="F90" s="158"/>
      <c r="G90" s="176"/>
      <c r="H90" s="176"/>
      <c r="I90" s="176"/>
      <c r="J90" s="176"/>
      <c r="K90" s="176"/>
      <c r="L90" s="176"/>
      <c r="M90" s="176"/>
      <c r="N90" s="176" t="e">
        <f>VLOOKUP(B:B,'QT Second level review'!C:O,10,0)</f>
        <v>#N/A</v>
      </c>
      <c r="O90" s="158"/>
      <c r="P90" s="158"/>
      <c r="Q90" s="158"/>
      <c r="R90" s="158"/>
      <c r="S90" s="158"/>
    </row>
    <row r="91" spans="1:19">
      <c r="A91" s="158" t="str">
        <f t="shared" si="1"/>
        <v>Test not reviewed</v>
      </c>
      <c r="B91" s="176"/>
      <c r="C91" s="176"/>
      <c r="D91" s="176"/>
      <c r="E91" s="176"/>
      <c r="F91" s="158"/>
      <c r="G91" s="176"/>
      <c r="H91" s="176"/>
      <c r="I91" s="176"/>
      <c r="J91" s="176"/>
      <c r="K91" s="176"/>
      <c r="L91" s="176"/>
      <c r="M91" s="176"/>
      <c r="N91" s="176" t="e">
        <f>VLOOKUP(B:B,'QT Second level review'!C:O,10,0)</f>
        <v>#N/A</v>
      </c>
      <c r="O91" s="158"/>
      <c r="P91" s="158"/>
      <c r="Q91" s="158"/>
      <c r="R91" s="158"/>
      <c r="S91" s="158"/>
    </row>
    <row r="92" spans="1:19">
      <c r="A92" s="158" t="str">
        <f t="shared" si="1"/>
        <v>Test not reviewed</v>
      </c>
      <c r="B92" s="176"/>
      <c r="C92" s="176"/>
      <c r="D92" s="176"/>
      <c r="E92" s="176"/>
      <c r="F92" s="158"/>
      <c r="G92" s="176"/>
      <c r="H92" s="176"/>
      <c r="I92" s="176"/>
      <c r="J92" s="176"/>
      <c r="K92" s="176"/>
      <c r="L92" s="176"/>
      <c r="M92" s="176"/>
      <c r="N92" s="176" t="e">
        <f>VLOOKUP(B:B,'QT Second level review'!C:O,10,0)</f>
        <v>#N/A</v>
      </c>
      <c r="O92" s="158"/>
      <c r="P92" s="158"/>
      <c r="Q92" s="158"/>
      <c r="R92" s="158"/>
      <c r="S92" s="158"/>
    </row>
    <row r="93" spans="1:19">
      <c r="A93" s="158" t="str">
        <f t="shared" si="1"/>
        <v>Test not reviewed</v>
      </c>
      <c r="B93" s="176"/>
      <c r="C93" s="176"/>
      <c r="D93" s="176"/>
      <c r="E93" s="176"/>
      <c r="F93" s="158"/>
      <c r="G93" s="176"/>
      <c r="H93" s="176"/>
      <c r="I93" s="176"/>
      <c r="J93" s="176"/>
      <c r="K93" s="176"/>
      <c r="L93" s="176"/>
      <c r="M93" s="176"/>
      <c r="N93" s="176" t="e">
        <f>VLOOKUP(B:B,'QT Second level review'!C:O,10,0)</f>
        <v>#N/A</v>
      </c>
      <c r="O93" s="158"/>
      <c r="P93" s="158"/>
      <c r="Q93" s="158"/>
      <c r="R93" s="158"/>
      <c r="S93" s="158"/>
    </row>
    <row r="94" spans="1:19">
      <c r="A94" s="158" t="str">
        <f t="shared" si="1"/>
        <v>Test not reviewed</v>
      </c>
      <c r="B94" s="176"/>
      <c r="C94" s="176"/>
      <c r="D94" s="176"/>
      <c r="E94" s="176"/>
      <c r="F94" s="158"/>
      <c r="G94" s="176"/>
      <c r="H94" s="176"/>
      <c r="I94" s="176"/>
      <c r="J94" s="176"/>
      <c r="K94" s="176"/>
      <c r="L94" s="176"/>
      <c r="M94" s="176"/>
      <c r="N94" s="176" t="e">
        <f>VLOOKUP(B:B,'QT Second level review'!C:O,10,0)</f>
        <v>#N/A</v>
      </c>
      <c r="O94" s="158"/>
      <c r="P94" s="158"/>
      <c r="Q94" s="158"/>
      <c r="R94" s="158"/>
      <c r="S94" s="158"/>
    </row>
    <row r="95" spans="1:19">
      <c r="A95" s="158" t="str">
        <f t="shared" si="1"/>
        <v>Test not reviewed</v>
      </c>
      <c r="B95" s="176"/>
      <c r="C95" s="176"/>
      <c r="D95" s="176"/>
      <c r="E95" s="176"/>
      <c r="F95" s="158"/>
      <c r="G95" s="176"/>
      <c r="H95" s="176"/>
      <c r="I95" s="176"/>
      <c r="J95" s="176"/>
      <c r="K95" s="176"/>
      <c r="L95" s="176"/>
      <c r="M95" s="176"/>
      <c r="N95" s="176" t="e">
        <f>VLOOKUP(B:B,'QT Second level review'!C:O,10,0)</f>
        <v>#N/A</v>
      </c>
      <c r="O95" s="158"/>
      <c r="P95" s="158"/>
      <c r="Q95" s="158"/>
      <c r="R95" s="158"/>
      <c r="S95" s="158"/>
    </row>
    <row r="96" spans="1:19">
      <c r="A96" s="158" t="str">
        <f t="shared" si="1"/>
        <v>Test not reviewed</v>
      </c>
      <c r="B96" s="176"/>
      <c r="C96" s="176"/>
      <c r="D96" s="176"/>
      <c r="E96" s="176"/>
      <c r="F96" s="158"/>
      <c r="G96" s="176"/>
      <c r="H96" s="176"/>
      <c r="I96" s="176"/>
      <c r="J96" s="176"/>
      <c r="K96" s="176"/>
      <c r="L96" s="176"/>
      <c r="M96" s="176"/>
      <c r="N96" s="176" t="e">
        <f>VLOOKUP(B:B,'QT Second level review'!C:O,10,0)</f>
        <v>#N/A</v>
      </c>
      <c r="O96" s="158"/>
      <c r="P96" s="158"/>
      <c r="Q96" s="158"/>
      <c r="R96" s="158"/>
      <c r="S96" s="158"/>
    </row>
    <row r="97" spans="1:19">
      <c r="A97" s="158" t="str">
        <f t="shared" si="1"/>
        <v>Test not reviewed</v>
      </c>
      <c r="B97" s="176"/>
      <c r="C97" s="176"/>
      <c r="D97" s="176"/>
      <c r="E97" s="176"/>
      <c r="F97" s="158"/>
      <c r="G97" s="176"/>
      <c r="H97" s="176"/>
      <c r="I97" s="176"/>
      <c r="J97" s="176"/>
      <c r="K97" s="176"/>
      <c r="L97" s="176"/>
      <c r="M97" s="176"/>
      <c r="N97" s="176" t="e">
        <f>VLOOKUP(B:B,'QT Second level review'!C:O,10,0)</f>
        <v>#N/A</v>
      </c>
      <c r="O97" s="158"/>
      <c r="P97" s="158"/>
      <c r="Q97" s="158"/>
      <c r="R97" s="158"/>
      <c r="S97" s="158"/>
    </row>
    <row r="98" spans="1:19">
      <c r="A98" s="158" t="str">
        <f t="shared" si="1"/>
        <v>Test not reviewed</v>
      </c>
      <c r="B98" s="176"/>
      <c r="C98" s="176"/>
      <c r="D98" s="176"/>
      <c r="E98" s="176"/>
      <c r="F98" s="158"/>
      <c r="G98" s="176"/>
      <c r="H98" s="176"/>
      <c r="I98" s="176"/>
      <c r="J98" s="176"/>
      <c r="K98" s="176"/>
      <c r="L98" s="176"/>
      <c r="M98" s="176"/>
      <c r="N98" s="176" t="e">
        <f>VLOOKUP(B:B,'QT Second level review'!C:O,10,0)</f>
        <v>#N/A</v>
      </c>
      <c r="O98" s="158"/>
      <c r="P98" s="158"/>
      <c r="Q98" s="158"/>
      <c r="R98" s="158"/>
      <c r="S98" s="158"/>
    </row>
    <row r="99" spans="1:19">
      <c r="A99" s="158" t="str">
        <f t="shared" si="1"/>
        <v>Test not reviewed</v>
      </c>
      <c r="B99" s="176"/>
      <c r="C99" s="176"/>
      <c r="D99" s="176"/>
      <c r="E99" s="176"/>
      <c r="F99" s="158"/>
      <c r="G99" s="176"/>
      <c r="H99" s="176"/>
      <c r="I99" s="176"/>
      <c r="J99" s="176"/>
      <c r="K99" s="176"/>
      <c r="L99" s="176"/>
      <c r="M99" s="176"/>
      <c r="N99" s="176" t="e">
        <f>VLOOKUP(B:B,'QT Second level review'!C:O,10,0)</f>
        <v>#N/A</v>
      </c>
      <c r="O99" s="158"/>
      <c r="P99" s="158"/>
      <c r="Q99" s="158"/>
      <c r="R99" s="158"/>
      <c r="S99" s="158"/>
    </row>
    <row r="100" spans="1:19">
      <c r="A100" s="158" t="str">
        <f t="shared" si="1"/>
        <v>Test not reviewed</v>
      </c>
      <c r="B100" s="176"/>
      <c r="C100" s="176"/>
      <c r="D100" s="176"/>
      <c r="E100" s="176"/>
      <c r="F100" s="158"/>
      <c r="G100" s="176"/>
      <c r="H100" s="176"/>
      <c r="I100" s="176"/>
      <c r="J100" s="176"/>
      <c r="K100" s="176"/>
      <c r="L100" s="176"/>
      <c r="M100" s="176"/>
      <c r="N100" s="176" t="e">
        <f>VLOOKUP(B:B,'QT Second level review'!C:O,10,0)</f>
        <v>#N/A</v>
      </c>
      <c r="O100" s="158"/>
      <c r="P100" s="158"/>
      <c r="Q100" s="158"/>
      <c r="R100" s="158"/>
      <c r="S100" s="158"/>
    </row>
    <row r="101" spans="1:19">
      <c r="A101" s="158" t="str">
        <f t="shared" si="1"/>
        <v>Test not reviewed</v>
      </c>
      <c r="B101" s="176"/>
      <c r="C101" s="176"/>
      <c r="D101" s="176"/>
      <c r="E101" s="176"/>
      <c r="F101" s="158"/>
      <c r="G101" s="176"/>
      <c r="H101" s="176"/>
      <c r="I101" s="176"/>
      <c r="J101" s="176"/>
      <c r="K101" s="176"/>
      <c r="L101" s="176"/>
      <c r="M101" s="176"/>
      <c r="N101" s="176" t="e">
        <f>VLOOKUP(B:B,'QT Second level review'!C:O,10,0)</f>
        <v>#N/A</v>
      </c>
      <c r="O101" s="158"/>
      <c r="P101" s="158"/>
      <c r="Q101" s="158"/>
      <c r="R101" s="158"/>
      <c r="S101" s="158"/>
    </row>
    <row r="102" spans="1:19">
      <c r="A102" s="158" t="str">
        <f t="shared" si="1"/>
        <v>Test not reviewed</v>
      </c>
      <c r="B102" s="176"/>
      <c r="C102" s="176"/>
      <c r="D102" s="176"/>
      <c r="E102" s="176"/>
      <c r="F102" s="158"/>
      <c r="G102" s="176"/>
      <c r="H102" s="176"/>
      <c r="I102" s="176"/>
      <c r="J102" s="176"/>
      <c r="K102" s="176"/>
      <c r="L102" s="176"/>
      <c r="M102" s="176"/>
      <c r="N102" s="176" t="e">
        <f>VLOOKUP(B:B,'QT Second level review'!C:O,10,0)</f>
        <v>#N/A</v>
      </c>
      <c r="O102" s="158"/>
      <c r="P102" s="158"/>
      <c r="Q102" s="158"/>
      <c r="R102" s="158"/>
      <c r="S102" s="158"/>
    </row>
    <row r="103" spans="1:19">
      <c r="A103" s="158" t="str">
        <f t="shared" si="1"/>
        <v>Test not reviewed</v>
      </c>
      <c r="B103" s="176"/>
      <c r="C103" s="176"/>
      <c r="D103" s="176"/>
      <c r="E103" s="176"/>
      <c r="F103" s="158"/>
      <c r="G103" s="176"/>
      <c r="H103" s="176"/>
      <c r="I103" s="176"/>
      <c r="J103" s="176"/>
      <c r="K103" s="176"/>
      <c r="L103" s="176"/>
      <c r="M103" s="176"/>
      <c r="N103" s="176" t="e">
        <f>VLOOKUP(B:B,'QT Second level review'!C:O,10,0)</f>
        <v>#N/A</v>
      </c>
      <c r="O103" s="158"/>
      <c r="P103" s="158"/>
      <c r="Q103" s="158"/>
      <c r="R103" s="158"/>
      <c r="S103" s="158"/>
    </row>
    <row r="104" spans="1:19">
      <c r="A104" s="158" t="str">
        <f t="shared" si="1"/>
        <v>Test not reviewed</v>
      </c>
      <c r="B104" s="176"/>
      <c r="C104" s="176"/>
      <c r="D104" s="176"/>
      <c r="E104" s="176"/>
      <c r="F104" s="158"/>
      <c r="G104" s="176"/>
      <c r="H104" s="176"/>
      <c r="I104" s="176"/>
      <c r="J104" s="176"/>
      <c r="K104" s="176"/>
      <c r="L104" s="176"/>
      <c r="M104" s="176"/>
      <c r="N104" s="176" t="e">
        <f>VLOOKUP(B:B,'QT Second level review'!C:O,10,0)</f>
        <v>#N/A</v>
      </c>
      <c r="O104" s="158"/>
      <c r="P104" s="158"/>
      <c r="Q104" s="158"/>
      <c r="R104" s="158"/>
      <c r="S104" s="158"/>
    </row>
    <row r="105" spans="1:19">
      <c r="A105" s="158" t="str">
        <f t="shared" si="1"/>
        <v>Test not reviewed</v>
      </c>
      <c r="B105" s="176"/>
      <c r="C105" s="176"/>
      <c r="D105" s="176"/>
      <c r="E105" s="176"/>
      <c r="F105" s="158"/>
      <c r="G105" s="176"/>
      <c r="H105" s="176"/>
      <c r="I105" s="176"/>
      <c r="J105" s="176"/>
      <c r="K105" s="176"/>
      <c r="L105" s="176"/>
      <c r="M105" s="176"/>
      <c r="N105" s="176" t="e">
        <f>VLOOKUP(B:B,'QT Second level review'!C:O,10,0)</f>
        <v>#N/A</v>
      </c>
      <c r="O105" s="158"/>
      <c r="P105" s="158"/>
      <c r="Q105" s="158"/>
      <c r="R105" s="158"/>
      <c r="S105" s="158"/>
    </row>
    <row r="106" spans="1:19">
      <c r="A106" s="158" t="str">
        <f t="shared" si="1"/>
        <v>Test not reviewed</v>
      </c>
      <c r="B106" s="176"/>
      <c r="C106" s="176"/>
      <c r="D106" s="176"/>
      <c r="E106" s="176"/>
      <c r="F106" s="158"/>
      <c r="G106" s="176"/>
      <c r="H106" s="176"/>
      <c r="I106" s="176"/>
      <c r="J106" s="176"/>
      <c r="K106" s="176"/>
      <c r="L106" s="176"/>
      <c r="M106" s="176"/>
      <c r="N106" s="176" t="e">
        <f>VLOOKUP(B:B,'QT Second level review'!C:O,10,0)</f>
        <v>#N/A</v>
      </c>
      <c r="O106" s="158"/>
      <c r="P106" s="158"/>
      <c r="Q106" s="158"/>
      <c r="R106" s="158"/>
      <c r="S106" s="158"/>
    </row>
    <row r="107" spans="1:19">
      <c r="A107" s="158" t="str">
        <f t="shared" si="1"/>
        <v>Test not reviewed</v>
      </c>
      <c r="B107" s="176"/>
      <c r="C107" s="176"/>
      <c r="D107" s="176"/>
      <c r="E107" s="176"/>
      <c r="F107" s="158"/>
      <c r="G107" s="176"/>
      <c r="H107" s="176"/>
      <c r="I107" s="176"/>
      <c r="J107" s="176"/>
      <c r="K107" s="176"/>
      <c r="L107" s="176"/>
      <c r="M107" s="176"/>
      <c r="N107" s="176" t="e">
        <f>VLOOKUP(B:B,'QT Second level review'!C:O,10,0)</f>
        <v>#N/A</v>
      </c>
      <c r="O107" s="158"/>
      <c r="P107" s="158"/>
      <c r="Q107" s="158"/>
      <c r="R107" s="158"/>
      <c r="S107" s="158"/>
    </row>
    <row r="108" spans="1:19">
      <c r="A108" s="158" t="str">
        <f t="shared" si="1"/>
        <v>Test not reviewed</v>
      </c>
      <c r="B108" s="176"/>
      <c r="C108" s="176"/>
      <c r="D108" s="176"/>
      <c r="E108" s="176"/>
      <c r="F108" s="158"/>
      <c r="G108" s="176"/>
      <c r="H108" s="176"/>
      <c r="I108" s="176"/>
      <c r="J108" s="176"/>
      <c r="K108" s="176"/>
      <c r="L108" s="176"/>
      <c r="M108" s="176"/>
      <c r="N108" s="176" t="e">
        <f>VLOOKUP(B:B,'QT Second level review'!C:O,10,0)</f>
        <v>#N/A</v>
      </c>
      <c r="O108" s="158"/>
      <c r="P108" s="158"/>
      <c r="Q108" s="158"/>
      <c r="R108" s="158"/>
      <c r="S108" s="158"/>
    </row>
    <row r="109" spans="1:19">
      <c r="A109" s="158" t="str">
        <f t="shared" si="1"/>
        <v>Test not reviewed</v>
      </c>
      <c r="B109" s="176"/>
      <c r="C109" s="176"/>
      <c r="D109" s="176"/>
      <c r="E109" s="176"/>
      <c r="F109" s="158"/>
      <c r="G109" s="176"/>
      <c r="H109" s="176"/>
      <c r="I109" s="176"/>
      <c r="J109" s="176"/>
      <c r="K109" s="176"/>
      <c r="L109" s="176"/>
      <c r="M109" s="176"/>
      <c r="N109" s="176" t="e">
        <f>VLOOKUP(B:B,'QT Second level review'!C:O,10,0)</f>
        <v>#N/A</v>
      </c>
      <c r="O109" s="158"/>
      <c r="P109" s="158"/>
      <c r="Q109" s="158"/>
      <c r="R109" s="158"/>
      <c r="S109" s="158"/>
    </row>
    <row r="110" spans="1:19">
      <c r="A110" s="158" t="str">
        <f t="shared" si="1"/>
        <v>Test not reviewed</v>
      </c>
      <c r="B110" s="176"/>
      <c r="C110" s="176"/>
      <c r="D110" s="176"/>
      <c r="E110" s="176"/>
      <c r="F110" s="158"/>
      <c r="G110" s="176"/>
      <c r="H110" s="176"/>
      <c r="I110" s="176"/>
      <c r="J110" s="176"/>
      <c r="K110" s="176"/>
      <c r="L110" s="176"/>
      <c r="M110" s="176"/>
      <c r="N110" s="176" t="e">
        <f>VLOOKUP(B:B,'QT Second level review'!C:O,10,0)</f>
        <v>#N/A</v>
      </c>
      <c r="O110" s="158"/>
      <c r="P110" s="158"/>
      <c r="Q110" s="158"/>
      <c r="R110" s="158"/>
      <c r="S110" s="158"/>
    </row>
    <row r="111" spans="1:19">
      <c r="A111" s="158" t="str">
        <f t="shared" si="1"/>
        <v>Test not reviewed</v>
      </c>
      <c r="B111" s="176"/>
      <c r="C111" s="176"/>
      <c r="D111" s="176"/>
      <c r="E111" s="176"/>
      <c r="F111" s="158"/>
      <c r="G111" s="176"/>
      <c r="H111" s="176"/>
      <c r="I111" s="176"/>
      <c r="J111" s="176"/>
      <c r="K111" s="176"/>
      <c r="L111" s="176"/>
      <c r="M111" s="176"/>
      <c r="N111" s="176" t="e">
        <f>VLOOKUP(B:B,'QT Second level review'!C:O,10,0)</f>
        <v>#N/A</v>
      </c>
      <c r="O111" s="158"/>
      <c r="P111" s="158"/>
      <c r="Q111" s="158"/>
      <c r="R111" s="158"/>
      <c r="S111" s="158"/>
    </row>
    <row r="112" spans="1:19">
      <c r="A112" s="158" t="str">
        <f t="shared" si="1"/>
        <v>Test not reviewed</v>
      </c>
      <c r="B112" s="176"/>
      <c r="C112" s="176"/>
      <c r="D112" s="176"/>
      <c r="E112" s="176"/>
      <c r="F112" s="158"/>
      <c r="G112" s="176"/>
      <c r="H112" s="176"/>
      <c r="I112" s="176"/>
      <c r="J112" s="176"/>
      <c r="K112" s="176"/>
      <c r="L112" s="176"/>
      <c r="M112" s="176"/>
      <c r="N112" s="176" t="e">
        <f>VLOOKUP(B:B,'QT Second level review'!C:O,10,0)</f>
        <v>#N/A</v>
      </c>
      <c r="O112" s="158"/>
      <c r="P112" s="158"/>
      <c r="Q112" s="158"/>
      <c r="R112" s="158"/>
      <c r="S112" s="158"/>
    </row>
    <row r="113" spans="1:19">
      <c r="A113" s="158" t="str">
        <f t="shared" si="1"/>
        <v>Test not reviewed</v>
      </c>
      <c r="B113" s="176"/>
      <c r="C113" s="176"/>
      <c r="D113" s="176"/>
      <c r="E113" s="176"/>
      <c r="F113" s="158"/>
      <c r="G113" s="176"/>
      <c r="H113" s="176"/>
      <c r="I113" s="176"/>
      <c r="J113" s="176"/>
      <c r="K113" s="176"/>
      <c r="L113" s="176"/>
      <c r="M113" s="176"/>
      <c r="N113" s="176" t="e">
        <f>VLOOKUP(B:B,'QT Second level review'!C:O,10,0)</f>
        <v>#N/A</v>
      </c>
      <c r="O113" s="158"/>
      <c r="P113" s="158"/>
      <c r="Q113" s="158"/>
      <c r="R113" s="158"/>
      <c r="S113" s="158"/>
    </row>
    <row r="114" spans="1:19">
      <c r="A114" s="158" t="str">
        <f t="shared" si="1"/>
        <v>Test not reviewed</v>
      </c>
      <c r="B114" s="176"/>
      <c r="C114" s="176"/>
      <c r="D114" s="176"/>
      <c r="E114" s="176"/>
      <c r="F114" s="158"/>
      <c r="G114" s="176"/>
      <c r="H114" s="176"/>
      <c r="I114" s="176"/>
      <c r="J114" s="176"/>
      <c r="K114" s="176"/>
      <c r="L114" s="176"/>
      <c r="M114" s="176"/>
      <c r="N114" s="176" t="e">
        <f>VLOOKUP(B:B,'QT Second level review'!C:O,10,0)</f>
        <v>#N/A</v>
      </c>
      <c r="O114" s="158"/>
      <c r="P114" s="158"/>
      <c r="Q114" s="158"/>
      <c r="R114" s="158"/>
      <c r="S114" s="158"/>
    </row>
    <row r="115" spans="1:19">
      <c r="A115" s="158" t="str">
        <f t="shared" si="1"/>
        <v>Test not reviewed</v>
      </c>
      <c r="B115" s="176"/>
      <c r="C115" s="176"/>
      <c r="D115" s="176"/>
      <c r="E115" s="176"/>
      <c r="F115" s="158"/>
      <c r="G115" s="176"/>
      <c r="H115" s="176"/>
      <c r="I115" s="176"/>
      <c r="J115" s="176"/>
      <c r="K115" s="176"/>
      <c r="L115" s="176"/>
      <c r="M115" s="176"/>
      <c r="N115" s="176" t="e">
        <f>VLOOKUP(B:B,'QT Second level review'!C:O,10,0)</f>
        <v>#N/A</v>
      </c>
      <c r="O115" s="158"/>
      <c r="P115" s="158"/>
      <c r="Q115" s="158"/>
      <c r="R115" s="158"/>
      <c r="S115" s="158"/>
    </row>
    <row r="116" spans="1:19">
      <c r="A116" s="158" t="str">
        <f t="shared" si="1"/>
        <v>Test not reviewed</v>
      </c>
      <c r="B116" s="176"/>
      <c r="C116" s="176"/>
      <c r="D116" s="176"/>
      <c r="E116" s="176"/>
      <c r="F116" s="158"/>
      <c r="G116" s="176"/>
      <c r="H116" s="176"/>
      <c r="I116" s="176"/>
      <c r="J116" s="176"/>
      <c r="K116" s="176"/>
      <c r="L116" s="176"/>
      <c r="M116" s="176"/>
      <c r="N116" s="176" t="e">
        <f>VLOOKUP(B:B,'QT Second level review'!C:O,10,0)</f>
        <v>#N/A</v>
      </c>
      <c r="O116" s="158"/>
      <c r="P116" s="158"/>
      <c r="Q116" s="158"/>
      <c r="R116" s="158"/>
      <c r="S116" s="158"/>
    </row>
    <row r="117" spans="1:19">
      <c r="A117" s="158" t="str">
        <f t="shared" si="1"/>
        <v>Test not reviewed</v>
      </c>
      <c r="B117" s="176"/>
      <c r="C117" s="176"/>
      <c r="D117" s="176"/>
      <c r="E117" s="176"/>
      <c r="F117" s="158"/>
      <c r="G117" s="176"/>
      <c r="H117" s="176"/>
      <c r="I117" s="176"/>
      <c r="J117" s="176"/>
      <c r="K117" s="176"/>
      <c r="L117" s="176"/>
      <c r="M117" s="176"/>
      <c r="N117" s="176" t="e">
        <f>VLOOKUP(B:B,'QT Second level review'!C:O,10,0)</f>
        <v>#N/A</v>
      </c>
      <c r="O117" s="158"/>
      <c r="P117" s="158"/>
      <c r="Q117" s="158"/>
      <c r="R117" s="158"/>
      <c r="S117" s="158"/>
    </row>
    <row r="118" spans="1:19">
      <c r="A118" s="158" t="str">
        <f t="shared" si="1"/>
        <v>Test not reviewed</v>
      </c>
      <c r="B118" s="176"/>
      <c r="C118" s="176"/>
      <c r="D118" s="176"/>
      <c r="E118" s="176"/>
      <c r="F118" s="158"/>
      <c r="G118" s="176"/>
      <c r="H118" s="176"/>
      <c r="I118" s="176"/>
      <c r="J118" s="176"/>
      <c r="K118" s="176"/>
      <c r="L118" s="176"/>
      <c r="M118" s="176"/>
      <c r="N118" s="176" t="e">
        <f>VLOOKUP(B:B,'QT Second level review'!C:O,10,0)</f>
        <v>#N/A</v>
      </c>
      <c r="O118" s="158"/>
      <c r="P118" s="158"/>
      <c r="Q118" s="158"/>
      <c r="R118" s="158"/>
      <c r="S118" s="158"/>
    </row>
    <row r="119" spans="1:19">
      <c r="A119" s="158" t="str">
        <f t="shared" si="1"/>
        <v>Test not reviewed</v>
      </c>
      <c r="B119" s="176"/>
      <c r="C119" s="176"/>
      <c r="D119" s="176"/>
      <c r="E119" s="176"/>
      <c r="F119" s="158"/>
      <c r="G119" s="176"/>
      <c r="H119" s="176"/>
      <c r="I119" s="176"/>
      <c r="J119" s="176"/>
      <c r="K119" s="176"/>
      <c r="L119" s="176"/>
      <c r="M119" s="176"/>
      <c r="N119" s="176" t="e">
        <f>VLOOKUP(B:B,'QT Second level review'!C:O,10,0)</f>
        <v>#N/A</v>
      </c>
      <c r="O119" s="158"/>
      <c r="P119" s="158"/>
      <c r="Q119" s="158"/>
      <c r="R119" s="158"/>
      <c r="S119" s="158"/>
    </row>
    <row r="120" spans="1:19">
      <c r="A120" s="158" t="str">
        <f t="shared" si="1"/>
        <v>Test not reviewed</v>
      </c>
      <c r="B120" s="176"/>
      <c r="C120" s="176"/>
      <c r="D120" s="176"/>
      <c r="E120" s="176"/>
      <c r="F120" s="158"/>
      <c r="G120" s="176"/>
      <c r="H120" s="176"/>
      <c r="I120" s="176"/>
      <c r="J120" s="176"/>
      <c r="K120" s="176"/>
      <c r="L120" s="176"/>
      <c r="M120" s="176"/>
      <c r="N120" s="176" t="e">
        <f>VLOOKUP(B:B,'QT Second level review'!C:O,10,0)</f>
        <v>#N/A</v>
      </c>
      <c r="O120" s="158"/>
      <c r="P120" s="158"/>
      <c r="Q120" s="158"/>
      <c r="R120" s="158"/>
      <c r="S120" s="158"/>
    </row>
    <row r="121" spans="1:19">
      <c r="A121" s="158" t="str">
        <f t="shared" si="1"/>
        <v>Test not reviewed</v>
      </c>
      <c r="B121" s="176"/>
      <c r="C121" s="176"/>
      <c r="D121" s="176"/>
      <c r="E121" s="176"/>
      <c r="F121" s="158"/>
      <c r="G121" s="176"/>
      <c r="H121" s="176"/>
      <c r="I121" s="176"/>
      <c r="J121" s="176"/>
      <c r="K121" s="176"/>
      <c r="L121" s="176"/>
      <c r="M121" s="176"/>
      <c r="N121" s="176" t="e">
        <f>VLOOKUP(B:B,'QT Second level review'!C:O,10,0)</f>
        <v>#N/A</v>
      </c>
      <c r="O121" s="158"/>
      <c r="P121" s="158"/>
      <c r="Q121" s="158"/>
      <c r="R121" s="158"/>
      <c r="S121" s="158"/>
    </row>
    <row r="122" spans="1:19">
      <c r="A122" s="158" t="str">
        <f t="shared" si="1"/>
        <v>Test not reviewed</v>
      </c>
      <c r="B122" s="176"/>
      <c r="C122" s="176"/>
      <c r="D122" s="176"/>
      <c r="E122" s="176"/>
      <c r="F122" s="158"/>
      <c r="G122" s="176"/>
      <c r="H122" s="176"/>
      <c r="I122" s="176"/>
      <c r="J122" s="176"/>
      <c r="K122" s="176"/>
      <c r="L122" s="176"/>
      <c r="M122" s="176"/>
      <c r="N122" s="176" t="e">
        <f>VLOOKUP(B:B,'QT Second level review'!C:O,10,0)</f>
        <v>#N/A</v>
      </c>
      <c r="O122" s="158"/>
      <c r="P122" s="158"/>
      <c r="Q122" s="158"/>
      <c r="R122" s="158"/>
      <c r="S122" s="158"/>
    </row>
    <row r="123" spans="1:19">
      <c r="A123" s="158" t="str">
        <f t="shared" si="1"/>
        <v>Test not reviewed</v>
      </c>
      <c r="B123" s="176"/>
      <c r="C123" s="176"/>
      <c r="D123" s="176"/>
      <c r="E123" s="176"/>
      <c r="F123" s="158"/>
      <c r="G123" s="176"/>
      <c r="H123" s="176"/>
      <c r="I123" s="176"/>
      <c r="J123" s="176"/>
      <c r="K123" s="176"/>
      <c r="L123" s="176"/>
      <c r="M123" s="176"/>
      <c r="N123" s="176" t="e">
        <f>VLOOKUP(B:B,'QT Second level review'!C:O,10,0)</f>
        <v>#N/A</v>
      </c>
      <c r="O123" s="158"/>
      <c r="P123" s="158"/>
      <c r="Q123" s="158"/>
      <c r="R123" s="158"/>
      <c r="S123" s="158"/>
    </row>
    <row r="124" spans="1:19">
      <c r="A124" s="158" t="str">
        <f t="shared" si="1"/>
        <v>Test not reviewed</v>
      </c>
      <c r="B124" s="176"/>
      <c r="C124" s="176"/>
      <c r="D124" s="176"/>
      <c r="E124" s="176"/>
      <c r="F124" s="158"/>
      <c r="G124" s="176"/>
      <c r="H124" s="176"/>
      <c r="I124" s="176"/>
      <c r="J124" s="176"/>
      <c r="K124" s="176"/>
      <c r="L124" s="176"/>
      <c r="M124" s="176"/>
      <c r="N124" s="176" t="e">
        <f>VLOOKUP(B:B,'QT Second level review'!C:O,10,0)</f>
        <v>#N/A</v>
      </c>
      <c r="O124" s="158"/>
      <c r="P124" s="158"/>
      <c r="Q124" s="158"/>
      <c r="R124" s="158"/>
      <c r="S124" s="158"/>
    </row>
    <row r="125" spans="1:19">
      <c r="A125" s="158" t="str">
        <f t="shared" si="1"/>
        <v>Test not reviewed</v>
      </c>
      <c r="B125" s="176"/>
      <c r="C125" s="176"/>
      <c r="D125" s="176"/>
      <c r="E125" s="176"/>
      <c r="F125" s="158"/>
      <c r="G125" s="176"/>
      <c r="H125" s="176"/>
      <c r="I125" s="176"/>
      <c r="J125" s="176"/>
      <c r="K125" s="176"/>
      <c r="L125" s="176"/>
      <c r="M125" s="176"/>
      <c r="N125" s="176" t="e">
        <f>VLOOKUP(B:B,'QT Second level review'!C:O,10,0)</f>
        <v>#N/A</v>
      </c>
      <c r="O125" s="158"/>
      <c r="P125" s="158"/>
      <c r="Q125" s="158"/>
      <c r="R125" s="158"/>
      <c r="S125" s="158"/>
    </row>
    <row r="126" spans="1:19">
      <c r="A126" s="158" t="str">
        <f t="shared" si="1"/>
        <v>Test not reviewed</v>
      </c>
      <c r="B126" s="176"/>
      <c r="C126" s="176"/>
      <c r="D126" s="176"/>
      <c r="E126" s="176"/>
      <c r="F126" s="158"/>
      <c r="G126" s="176"/>
      <c r="H126" s="176"/>
      <c r="I126" s="176"/>
      <c r="J126" s="176"/>
      <c r="K126" s="176"/>
      <c r="L126" s="176"/>
      <c r="M126" s="176"/>
      <c r="N126" s="176" t="e">
        <f>VLOOKUP(B:B,'QT Second level review'!C:O,10,0)</f>
        <v>#N/A</v>
      </c>
      <c r="O126" s="158"/>
      <c r="P126" s="158"/>
      <c r="Q126" s="158"/>
      <c r="R126" s="158"/>
      <c r="S126" s="158"/>
    </row>
    <row r="127" spans="1:19">
      <c r="A127" s="158" t="str">
        <f t="shared" si="1"/>
        <v>Test not reviewed</v>
      </c>
      <c r="B127" s="176"/>
      <c r="C127" s="176"/>
      <c r="D127" s="176"/>
      <c r="E127" s="176"/>
      <c r="F127" s="158"/>
      <c r="G127" s="176"/>
      <c r="H127" s="176"/>
      <c r="I127" s="176"/>
      <c r="J127" s="176"/>
      <c r="K127" s="176"/>
      <c r="L127" s="176"/>
      <c r="M127" s="176"/>
      <c r="N127" s="176" t="e">
        <f>VLOOKUP(B:B,'QT Second level review'!C:O,10,0)</f>
        <v>#N/A</v>
      </c>
      <c r="O127" s="158"/>
      <c r="P127" s="158"/>
      <c r="Q127" s="158"/>
      <c r="R127" s="158"/>
      <c r="S127" s="158"/>
    </row>
    <row r="128" spans="1:19">
      <c r="A128" s="158" t="str">
        <f t="shared" si="1"/>
        <v>Test not reviewed</v>
      </c>
      <c r="B128" s="176"/>
      <c r="C128" s="176"/>
      <c r="D128" s="176"/>
      <c r="E128" s="176"/>
      <c r="F128" s="158"/>
      <c r="G128" s="176"/>
      <c r="H128" s="176"/>
      <c r="I128" s="176"/>
      <c r="J128" s="176"/>
      <c r="K128" s="176"/>
      <c r="L128" s="176"/>
      <c r="M128" s="176"/>
      <c r="N128" s="176" t="e">
        <f>VLOOKUP(B:B,'QT Second level review'!C:O,10,0)</f>
        <v>#N/A</v>
      </c>
      <c r="O128" s="158"/>
      <c r="P128" s="158"/>
      <c r="Q128" s="158"/>
      <c r="R128" s="158"/>
      <c r="S128" s="158"/>
    </row>
    <row r="129" spans="1:19">
      <c r="A129" s="158" t="str">
        <f t="shared" si="1"/>
        <v>Test not reviewed</v>
      </c>
      <c r="B129" s="176"/>
      <c r="C129" s="176"/>
      <c r="D129" s="176"/>
      <c r="E129" s="176"/>
      <c r="F129" s="158"/>
      <c r="G129" s="176"/>
      <c r="H129" s="176"/>
      <c r="I129" s="176"/>
      <c r="J129" s="176"/>
      <c r="K129" s="176"/>
      <c r="L129" s="176"/>
      <c r="M129" s="176"/>
      <c r="N129" s="176" t="e">
        <f>VLOOKUP(B:B,'QT Second level review'!C:O,10,0)</f>
        <v>#N/A</v>
      </c>
      <c r="O129" s="158"/>
      <c r="P129" s="158"/>
      <c r="Q129" s="158"/>
      <c r="R129" s="158"/>
      <c r="S129" s="158"/>
    </row>
    <row r="130" spans="1:19">
      <c r="A130" s="158" t="str">
        <f t="shared" si="1"/>
        <v>Test not reviewed</v>
      </c>
      <c r="B130" s="176"/>
      <c r="C130" s="176"/>
      <c r="D130" s="176"/>
      <c r="E130" s="176"/>
      <c r="F130" s="158"/>
      <c r="G130" s="176"/>
      <c r="H130" s="176"/>
      <c r="I130" s="176"/>
      <c r="J130" s="176"/>
      <c r="K130" s="176"/>
      <c r="L130" s="176"/>
      <c r="M130" s="176"/>
      <c r="N130" s="176" t="e">
        <f>VLOOKUP(B:B,'QT Second level review'!C:O,10,0)</f>
        <v>#N/A</v>
      </c>
      <c r="O130" s="158"/>
      <c r="P130" s="158"/>
      <c r="Q130" s="158"/>
      <c r="R130" s="158"/>
      <c r="S130" s="158"/>
    </row>
    <row r="131" spans="1:19">
      <c r="A131" s="158" t="str">
        <f t="shared" ref="A131:A194" si="2">IF(ISNA(N131),"Test not reviewed","OK")</f>
        <v>Test not reviewed</v>
      </c>
      <c r="B131" s="176"/>
      <c r="C131" s="176"/>
      <c r="D131" s="176"/>
      <c r="E131" s="176"/>
      <c r="F131" s="158"/>
      <c r="G131" s="176"/>
      <c r="H131" s="176"/>
      <c r="I131" s="176"/>
      <c r="J131" s="176"/>
      <c r="K131" s="176"/>
      <c r="L131" s="176"/>
      <c r="M131" s="176"/>
      <c r="N131" s="176" t="e">
        <f>VLOOKUP(B:B,'QT Second level review'!C:O,10,0)</f>
        <v>#N/A</v>
      </c>
      <c r="O131" s="158"/>
      <c r="P131" s="158"/>
      <c r="Q131" s="158"/>
      <c r="R131" s="158"/>
      <c r="S131" s="158"/>
    </row>
    <row r="132" spans="1:19">
      <c r="A132" s="158" t="str">
        <f t="shared" si="2"/>
        <v>Test not reviewed</v>
      </c>
      <c r="B132" s="176"/>
      <c r="C132" s="176"/>
      <c r="D132" s="176"/>
      <c r="E132" s="176"/>
      <c r="F132" s="158"/>
      <c r="G132" s="176"/>
      <c r="H132" s="176"/>
      <c r="I132" s="176"/>
      <c r="J132" s="176"/>
      <c r="K132" s="176"/>
      <c r="L132" s="176"/>
      <c r="M132" s="176"/>
      <c r="N132" s="176" t="e">
        <f>VLOOKUP(B:B,'QT Second level review'!C:O,10,0)</f>
        <v>#N/A</v>
      </c>
      <c r="O132" s="158"/>
      <c r="P132" s="158"/>
      <c r="Q132" s="158"/>
      <c r="R132" s="158"/>
      <c r="S132" s="158"/>
    </row>
    <row r="133" spans="1:19">
      <c r="A133" s="158" t="str">
        <f t="shared" si="2"/>
        <v>Test not reviewed</v>
      </c>
      <c r="B133" s="176"/>
      <c r="C133" s="176"/>
      <c r="D133" s="176"/>
      <c r="E133" s="176"/>
      <c r="F133" s="158"/>
      <c r="G133" s="176"/>
      <c r="H133" s="176"/>
      <c r="I133" s="176"/>
      <c r="J133" s="176"/>
      <c r="K133" s="176"/>
      <c r="L133" s="176"/>
      <c r="M133" s="176"/>
      <c r="N133" s="176" t="e">
        <f>VLOOKUP(B:B,'QT Second level review'!C:O,10,0)</f>
        <v>#N/A</v>
      </c>
      <c r="O133" s="158"/>
      <c r="P133" s="158"/>
      <c r="Q133" s="158"/>
      <c r="R133" s="158"/>
      <c r="S133" s="158"/>
    </row>
    <row r="134" spans="1:19">
      <c r="A134" s="158" t="str">
        <f t="shared" si="2"/>
        <v>Test not reviewed</v>
      </c>
      <c r="B134" s="176"/>
      <c r="C134" s="176"/>
      <c r="D134" s="176"/>
      <c r="E134" s="176"/>
      <c r="F134" s="158"/>
      <c r="G134" s="176"/>
      <c r="H134" s="176"/>
      <c r="I134" s="176"/>
      <c r="J134" s="176"/>
      <c r="K134" s="176"/>
      <c r="L134" s="176"/>
      <c r="M134" s="176"/>
      <c r="N134" s="176" t="e">
        <f>VLOOKUP(B:B,'QT Second level review'!C:O,10,0)</f>
        <v>#N/A</v>
      </c>
      <c r="O134" s="158"/>
      <c r="P134" s="158"/>
      <c r="Q134" s="158"/>
      <c r="R134" s="158"/>
      <c r="S134" s="158"/>
    </row>
    <row r="135" spans="1:19">
      <c r="A135" s="158" t="str">
        <f t="shared" si="2"/>
        <v>Test not reviewed</v>
      </c>
      <c r="B135" s="176"/>
      <c r="C135" s="176"/>
      <c r="D135" s="176"/>
      <c r="E135" s="176"/>
      <c r="F135" s="158"/>
      <c r="G135" s="176"/>
      <c r="H135" s="176"/>
      <c r="I135" s="176"/>
      <c r="J135" s="176"/>
      <c r="K135" s="176"/>
      <c r="L135" s="176"/>
      <c r="M135" s="176"/>
      <c r="N135" s="176" t="e">
        <f>VLOOKUP(B:B,'QT Second level review'!C:O,10,0)</f>
        <v>#N/A</v>
      </c>
      <c r="O135" s="158"/>
      <c r="P135" s="158"/>
      <c r="Q135" s="158"/>
      <c r="R135" s="158"/>
      <c r="S135" s="158"/>
    </row>
    <row r="136" spans="1:19">
      <c r="A136" s="158" t="str">
        <f t="shared" si="2"/>
        <v>Test not reviewed</v>
      </c>
      <c r="B136" s="176"/>
      <c r="C136" s="176"/>
      <c r="D136" s="176"/>
      <c r="E136" s="176"/>
      <c r="F136" s="158"/>
      <c r="G136" s="176"/>
      <c r="H136" s="176"/>
      <c r="I136" s="176"/>
      <c r="J136" s="176"/>
      <c r="K136" s="176"/>
      <c r="L136" s="176"/>
      <c r="M136" s="176"/>
      <c r="N136" s="176" t="e">
        <f>VLOOKUP(B:B,'QT Second level review'!C:O,10,0)</f>
        <v>#N/A</v>
      </c>
      <c r="O136" s="158"/>
      <c r="P136" s="158"/>
      <c r="Q136" s="158"/>
      <c r="R136" s="158"/>
      <c r="S136" s="158"/>
    </row>
    <row r="137" spans="1:19">
      <c r="A137" s="158" t="str">
        <f t="shared" si="2"/>
        <v>Test not reviewed</v>
      </c>
      <c r="B137" s="176"/>
      <c r="C137" s="176"/>
      <c r="D137" s="176"/>
      <c r="E137" s="176"/>
      <c r="F137" s="158"/>
      <c r="G137" s="176"/>
      <c r="H137" s="176"/>
      <c r="I137" s="176"/>
      <c r="J137" s="176"/>
      <c r="K137" s="176"/>
      <c r="L137" s="176"/>
      <c r="M137" s="176"/>
      <c r="N137" s="176" t="e">
        <f>VLOOKUP(B:B,'QT Second level review'!C:O,10,0)</f>
        <v>#N/A</v>
      </c>
      <c r="O137" s="158"/>
      <c r="P137" s="158"/>
      <c r="Q137" s="158"/>
      <c r="R137" s="158"/>
      <c r="S137" s="158"/>
    </row>
    <row r="138" spans="1:19">
      <c r="A138" s="158" t="str">
        <f t="shared" si="2"/>
        <v>Test not reviewed</v>
      </c>
      <c r="B138" s="176"/>
      <c r="C138" s="176"/>
      <c r="D138" s="176"/>
      <c r="E138" s="176"/>
      <c r="F138" s="158"/>
      <c r="G138" s="176"/>
      <c r="H138" s="176"/>
      <c r="I138" s="176"/>
      <c r="J138" s="176"/>
      <c r="K138" s="176"/>
      <c r="L138" s="176"/>
      <c r="M138" s="176"/>
      <c r="N138" s="176" t="e">
        <f>VLOOKUP(B:B,'QT Second level review'!C:O,10,0)</f>
        <v>#N/A</v>
      </c>
      <c r="O138" s="158"/>
      <c r="P138" s="158"/>
      <c r="Q138" s="158"/>
      <c r="R138" s="158"/>
      <c r="S138" s="158"/>
    </row>
    <row r="139" spans="1:19">
      <c r="A139" s="158" t="str">
        <f t="shared" si="2"/>
        <v>Test not reviewed</v>
      </c>
      <c r="B139" s="176"/>
      <c r="C139" s="176"/>
      <c r="D139" s="176"/>
      <c r="E139" s="176"/>
      <c r="F139" s="158"/>
      <c r="G139" s="176"/>
      <c r="H139" s="176"/>
      <c r="I139" s="176"/>
      <c r="J139" s="176"/>
      <c r="K139" s="176"/>
      <c r="L139" s="176"/>
      <c r="M139" s="176"/>
      <c r="N139" s="176" t="e">
        <f>VLOOKUP(B:B,'QT Second level review'!C:O,10,0)</f>
        <v>#N/A</v>
      </c>
      <c r="O139" s="158"/>
      <c r="P139" s="158"/>
      <c r="Q139" s="158"/>
      <c r="R139" s="158"/>
      <c r="S139" s="158"/>
    </row>
    <row r="140" spans="1:19">
      <c r="A140" s="158" t="str">
        <f t="shared" si="2"/>
        <v>Test not reviewed</v>
      </c>
      <c r="B140" s="176"/>
      <c r="C140" s="176"/>
      <c r="D140" s="176"/>
      <c r="E140" s="176"/>
      <c r="F140" s="158"/>
      <c r="G140" s="176"/>
      <c r="H140" s="176"/>
      <c r="I140" s="176"/>
      <c r="J140" s="176"/>
      <c r="K140" s="176"/>
      <c r="L140" s="176"/>
      <c r="M140" s="176"/>
      <c r="N140" s="176" t="e">
        <f>VLOOKUP(B:B,'QT Second level review'!C:O,10,0)</f>
        <v>#N/A</v>
      </c>
      <c r="O140" s="158"/>
      <c r="P140" s="158"/>
      <c r="Q140" s="158"/>
      <c r="R140" s="158"/>
      <c r="S140" s="158"/>
    </row>
    <row r="141" spans="1:19">
      <c r="A141" s="158" t="str">
        <f t="shared" si="2"/>
        <v>Test not reviewed</v>
      </c>
      <c r="B141" s="176"/>
      <c r="C141" s="176"/>
      <c r="D141" s="176"/>
      <c r="E141" s="176"/>
      <c r="F141" s="158"/>
      <c r="G141" s="176"/>
      <c r="H141" s="176"/>
      <c r="I141" s="176"/>
      <c r="J141" s="176"/>
      <c r="K141" s="176"/>
      <c r="L141" s="176"/>
      <c r="M141" s="176"/>
      <c r="N141" s="176" t="e">
        <f>VLOOKUP(B:B,'QT Second level review'!C:O,10,0)</f>
        <v>#N/A</v>
      </c>
      <c r="O141" s="158"/>
      <c r="P141" s="158"/>
      <c r="Q141" s="158"/>
      <c r="R141" s="158"/>
      <c r="S141" s="158"/>
    </row>
    <row r="142" spans="1:19">
      <c r="A142" s="158" t="str">
        <f t="shared" si="2"/>
        <v>Test not reviewed</v>
      </c>
      <c r="B142" s="176"/>
      <c r="C142" s="176"/>
      <c r="D142" s="176"/>
      <c r="E142" s="176"/>
      <c r="F142" s="158"/>
      <c r="G142" s="176"/>
      <c r="H142" s="176"/>
      <c r="I142" s="176"/>
      <c r="J142" s="176"/>
      <c r="K142" s="176"/>
      <c r="L142" s="176"/>
      <c r="M142" s="176"/>
      <c r="N142" s="176" t="e">
        <f>VLOOKUP(B:B,'QT Second level review'!C:O,10,0)</f>
        <v>#N/A</v>
      </c>
      <c r="O142" s="158"/>
      <c r="P142" s="158"/>
      <c r="Q142" s="158"/>
      <c r="R142" s="158"/>
      <c r="S142" s="158"/>
    </row>
    <row r="143" spans="1:19">
      <c r="A143" s="158" t="str">
        <f t="shared" si="2"/>
        <v>Test not reviewed</v>
      </c>
      <c r="B143" s="176"/>
      <c r="C143" s="176"/>
      <c r="D143" s="176"/>
      <c r="E143" s="176"/>
      <c r="F143" s="158"/>
      <c r="G143" s="176"/>
      <c r="H143" s="176"/>
      <c r="I143" s="176"/>
      <c r="J143" s="176"/>
      <c r="K143" s="176"/>
      <c r="L143" s="176"/>
      <c r="M143" s="176"/>
      <c r="N143" s="176" t="e">
        <f>VLOOKUP(B:B,'QT Second level review'!C:O,10,0)</f>
        <v>#N/A</v>
      </c>
      <c r="O143" s="158"/>
      <c r="P143" s="158"/>
      <c r="Q143" s="158"/>
      <c r="R143" s="158"/>
      <c r="S143" s="158"/>
    </row>
    <row r="144" spans="1:19">
      <c r="A144" s="158" t="str">
        <f t="shared" si="2"/>
        <v>Test not reviewed</v>
      </c>
      <c r="B144" s="176"/>
      <c r="C144" s="176"/>
      <c r="D144" s="176"/>
      <c r="E144" s="176"/>
      <c r="F144" s="158"/>
      <c r="G144" s="176"/>
      <c r="H144" s="176"/>
      <c r="I144" s="176"/>
      <c r="J144" s="176"/>
      <c r="K144" s="176"/>
      <c r="L144" s="176"/>
      <c r="M144" s="176"/>
      <c r="N144" s="176" t="e">
        <f>VLOOKUP(B:B,'QT Second level review'!C:O,10,0)</f>
        <v>#N/A</v>
      </c>
      <c r="O144" s="158"/>
      <c r="P144" s="158"/>
      <c r="Q144" s="158"/>
      <c r="R144" s="158"/>
      <c r="S144" s="158"/>
    </row>
    <row r="145" spans="1:19">
      <c r="A145" s="158" t="str">
        <f t="shared" si="2"/>
        <v>Test not reviewed</v>
      </c>
      <c r="B145" s="176"/>
      <c r="C145" s="176"/>
      <c r="D145" s="176"/>
      <c r="E145" s="176"/>
      <c r="F145" s="158"/>
      <c r="G145" s="176"/>
      <c r="H145" s="176"/>
      <c r="I145" s="176"/>
      <c r="J145" s="176"/>
      <c r="K145" s="176"/>
      <c r="L145" s="176"/>
      <c r="M145" s="176"/>
      <c r="N145" s="176" t="e">
        <f>VLOOKUP(B:B,'QT Second level review'!C:O,10,0)</f>
        <v>#N/A</v>
      </c>
      <c r="O145" s="158"/>
      <c r="P145" s="158"/>
      <c r="Q145" s="158"/>
      <c r="R145" s="158"/>
      <c r="S145" s="158"/>
    </row>
    <row r="146" spans="1:19">
      <c r="A146" s="158" t="str">
        <f t="shared" si="2"/>
        <v>Test not reviewed</v>
      </c>
      <c r="B146" s="176"/>
      <c r="C146" s="176"/>
      <c r="D146" s="176"/>
      <c r="E146" s="176"/>
      <c r="F146" s="158"/>
      <c r="G146" s="176"/>
      <c r="H146" s="176"/>
      <c r="I146" s="176"/>
      <c r="J146" s="176"/>
      <c r="K146" s="176"/>
      <c r="L146" s="176"/>
      <c r="M146" s="176"/>
      <c r="N146" s="176" t="e">
        <f>VLOOKUP(B:B,'QT Second level review'!C:O,10,0)</f>
        <v>#N/A</v>
      </c>
      <c r="O146" s="158"/>
      <c r="P146" s="158"/>
      <c r="Q146" s="158"/>
      <c r="R146" s="158"/>
      <c r="S146" s="158"/>
    </row>
    <row r="147" spans="1:19">
      <c r="A147" s="158" t="str">
        <f t="shared" si="2"/>
        <v>Test not reviewed</v>
      </c>
      <c r="B147" s="176"/>
      <c r="C147" s="176"/>
      <c r="D147" s="176"/>
      <c r="E147" s="176"/>
      <c r="F147" s="158"/>
      <c r="G147" s="176"/>
      <c r="H147" s="176"/>
      <c r="I147" s="176"/>
      <c r="J147" s="176"/>
      <c r="K147" s="176"/>
      <c r="L147" s="176"/>
      <c r="M147" s="176"/>
      <c r="N147" s="176" t="e">
        <f>VLOOKUP(B:B,'QT Second level review'!C:O,10,0)</f>
        <v>#N/A</v>
      </c>
      <c r="O147" s="158"/>
      <c r="P147" s="158"/>
      <c r="Q147" s="158"/>
      <c r="R147" s="158"/>
      <c r="S147" s="158"/>
    </row>
    <row r="148" spans="1:19">
      <c r="A148" s="158" t="str">
        <f t="shared" si="2"/>
        <v>Test not reviewed</v>
      </c>
      <c r="B148" s="176"/>
      <c r="C148" s="176"/>
      <c r="D148" s="176"/>
      <c r="E148" s="176"/>
      <c r="F148" s="158"/>
      <c r="G148" s="176"/>
      <c r="H148" s="176"/>
      <c r="I148" s="176"/>
      <c r="J148" s="176"/>
      <c r="K148" s="176"/>
      <c r="L148" s="176"/>
      <c r="M148" s="176"/>
      <c r="N148" s="176" t="e">
        <f>VLOOKUP(B:B,'QT Second level review'!C:O,10,0)</f>
        <v>#N/A</v>
      </c>
      <c r="O148" s="158"/>
      <c r="P148" s="158"/>
      <c r="Q148" s="158"/>
      <c r="R148" s="158"/>
      <c r="S148" s="158"/>
    </row>
    <row r="149" spans="1:19">
      <c r="A149" s="158" t="str">
        <f t="shared" si="2"/>
        <v>Test not reviewed</v>
      </c>
      <c r="B149" s="176"/>
      <c r="C149" s="176"/>
      <c r="D149" s="176"/>
      <c r="E149" s="176"/>
      <c r="F149" s="158"/>
      <c r="G149" s="176"/>
      <c r="H149" s="176"/>
      <c r="I149" s="176"/>
      <c r="J149" s="176"/>
      <c r="K149" s="176"/>
      <c r="L149" s="176"/>
      <c r="M149" s="176"/>
      <c r="N149" s="176" t="e">
        <f>VLOOKUP(B:B,'QT Second level review'!C:O,10,0)</f>
        <v>#N/A</v>
      </c>
      <c r="O149" s="158"/>
      <c r="P149" s="158"/>
      <c r="Q149" s="158"/>
      <c r="R149" s="158"/>
      <c r="S149" s="158"/>
    </row>
    <row r="150" spans="1:19">
      <c r="A150" s="158" t="str">
        <f t="shared" si="2"/>
        <v>Test not reviewed</v>
      </c>
      <c r="B150" s="176"/>
      <c r="C150" s="176"/>
      <c r="D150" s="176"/>
      <c r="E150" s="176"/>
      <c r="F150" s="158"/>
      <c r="G150" s="176"/>
      <c r="H150" s="176"/>
      <c r="I150" s="176"/>
      <c r="J150" s="176"/>
      <c r="K150" s="176"/>
      <c r="L150" s="176"/>
      <c r="M150" s="176"/>
      <c r="N150" s="176" t="e">
        <f>VLOOKUP(B:B,'QT Second level review'!C:O,10,0)</f>
        <v>#N/A</v>
      </c>
      <c r="O150" s="158"/>
      <c r="P150" s="158"/>
      <c r="Q150" s="158"/>
      <c r="R150" s="158"/>
      <c r="S150" s="158"/>
    </row>
    <row r="151" spans="1:19">
      <c r="A151" s="158" t="str">
        <f t="shared" si="2"/>
        <v>Test not reviewed</v>
      </c>
      <c r="B151" s="176"/>
      <c r="C151" s="176"/>
      <c r="D151" s="176"/>
      <c r="E151" s="176"/>
      <c r="F151" s="158"/>
      <c r="G151" s="176"/>
      <c r="H151" s="176"/>
      <c r="I151" s="176"/>
      <c r="J151" s="176"/>
      <c r="K151" s="176"/>
      <c r="L151" s="176"/>
      <c r="M151" s="176"/>
      <c r="N151" s="176" t="e">
        <f>VLOOKUP(B:B,'QT Second level review'!C:O,10,0)</f>
        <v>#N/A</v>
      </c>
      <c r="O151" s="158"/>
      <c r="P151" s="158"/>
      <c r="Q151" s="158"/>
      <c r="R151" s="158"/>
      <c r="S151" s="158"/>
    </row>
    <row r="152" spans="1:19">
      <c r="A152" s="158" t="str">
        <f t="shared" si="2"/>
        <v>Test not reviewed</v>
      </c>
      <c r="B152" s="176"/>
      <c r="C152" s="176"/>
      <c r="D152" s="176"/>
      <c r="E152" s="176"/>
      <c r="F152" s="158"/>
      <c r="G152" s="176"/>
      <c r="H152" s="176"/>
      <c r="I152" s="176"/>
      <c r="J152" s="176"/>
      <c r="K152" s="176"/>
      <c r="L152" s="176"/>
      <c r="M152" s="176"/>
      <c r="N152" s="176" t="e">
        <f>VLOOKUP(B:B,'QT Second level review'!C:O,10,0)</f>
        <v>#N/A</v>
      </c>
      <c r="O152" s="158"/>
      <c r="P152" s="158"/>
      <c r="Q152" s="158"/>
      <c r="R152" s="158"/>
      <c r="S152" s="158"/>
    </row>
    <row r="153" spans="1:19">
      <c r="A153" s="158" t="str">
        <f t="shared" si="2"/>
        <v>Test not reviewed</v>
      </c>
      <c r="B153" s="176"/>
      <c r="C153" s="176"/>
      <c r="D153" s="176"/>
      <c r="E153" s="176"/>
      <c r="F153" s="158"/>
      <c r="G153" s="176"/>
      <c r="H153" s="176"/>
      <c r="I153" s="176"/>
      <c r="J153" s="176"/>
      <c r="K153" s="176"/>
      <c r="L153" s="176"/>
      <c r="M153" s="176"/>
      <c r="N153" s="176" t="e">
        <f>VLOOKUP(B:B,'QT Second level review'!C:O,10,0)</f>
        <v>#N/A</v>
      </c>
      <c r="O153" s="158"/>
      <c r="P153" s="158"/>
      <c r="Q153" s="158"/>
      <c r="R153" s="158"/>
      <c r="S153" s="158"/>
    </row>
    <row r="154" spans="1:19">
      <c r="A154" s="158" t="str">
        <f t="shared" si="2"/>
        <v>Test not reviewed</v>
      </c>
      <c r="B154" s="176"/>
      <c r="C154" s="176"/>
      <c r="D154" s="176"/>
      <c r="E154" s="176"/>
      <c r="F154" s="158"/>
      <c r="G154" s="176"/>
      <c r="H154" s="176"/>
      <c r="I154" s="176"/>
      <c r="J154" s="176"/>
      <c r="K154" s="176"/>
      <c r="L154" s="176"/>
      <c r="M154" s="176"/>
      <c r="N154" s="176" t="e">
        <f>VLOOKUP(B:B,'QT Second level review'!C:O,10,0)</f>
        <v>#N/A</v>
      </c>
      <c r="O154" s="158"/>
      <c r="P154" s="158"/>
      <c r="Q154" s="158"/>
      <c r="R154" s="158"/>
      <c r="S154" s="158"/>
    </row>
    <row r="155" spans="1:19">
      <c r="A155" s="158" t="str">
        <f t="shared" si="2"/>
        <v>Test not reviewed</v>
      </c>
      <c r="B155" s="176"/>
      <c r="C155" s="176"/>
      <c r="D155" s="176"/>
      <c r="E155" s="176"/>
      <c r="F155" s="158"/>
      <c r="G155" s="176"/>
      <c r="H155" s="176"/>
      <c r="I155" s="176"/>
      <c r="J155" s="176"/>
      <c r="K155" s="176"/>
      <c r="L155" s="176"/>
      <c r="M155" s="176"/>
      <c r="N155" s="176" t="e">
        <f>VLOOKUP(B:B,'QT Second level review'!C:O,10,0)</f>
        <v>#N/A</v>
      </c>
      <c r="O155" s="158"/>
      <c r="P155" s="158"/>
      <c r="Q155" s="158"/>
      <c r="R155" s="158"/>
      <c r="S155" s="158"/>
    </row>
    <row r="156" spans="1:19">
      <c r="A156" s="158" t="str">
        <f t="shared" si="2"/>
        <v>Test not reviewed</v>
      </c>
      <c r="B156" s="176"/>
      <c r="C156" s="176"/>
      <c r="D156" s="176"/>
      <c r="E156" s="176"/>
      <c r="F156" s="158"/>
      <c r="G156" s="176"/>
      <c r="H156" s="176"/>
      <c r="I156" s="176"/>
      <c r="J156" s="176"/>
      <c r="K156" s="176"/>
      <c r="L156" s="176"/>
      <c r="M156" s="176"/>
      <c r="N156" s="176" t="e">
        <f>VLOOKUP(B:B,'QT Second level review'!C:O,10,0)</f>
        <v>#N/A</v>
      </c>
      <c r="O156" s="158"/>
      <c r="P156" s="158"/>
      <c r="Q156" s="158"/>
      <c r="R156" s="158"/>
      <c r="S156" s="158"/>
    </row>
    <row r="157" spans="1:19">
      <c r="A157" s="158" t="str">
        <f t="shared" si="2"/>
        <v>Test not reviewed</v>
      </c>
      <c r="B157" s="176"/>
      <c r="C157" s="176"/>
      <c r="D157" s="176"/>
      <c r="E157" s="176"/>
      <c r="F157" s="158"/>
      <c r="G157" s="176"/>
      <c r="H157" s="176"/>
      <c r="I157" s="176"/>
      <c r="J157" s="176"/>
      <c r="K157" s="176"/>
      <c r="L157" s="176"/>
      <c r="M157" s="176"/>
      <c r="N157" s="176" t="e">
        <f>VLOOKUP(B:B,'QT Second level review'!C:O,10,0)</f>
        <v>#N/A</v>
      </c>
      <c r="O157" s="158"/>
      <c r="P157" s="158"/>
      <c r="Q157" s="158"/>
      <c r="R157" s="158"/>
      <c r="S157" s="158"/>
    </row>
    <row r="158" spans="1:19">
      <c r="A158" s="158" t="str">
        <f t="shared" si="2"/>
        <v>Test not reviewed</v>
      </c>
      <c r="B158" s="176"/>
      <c r="C158" s="176"/>
      <c r="D158" s="176"/>
      <c r="E158" s="176"/>
      <c r="F158" s="158"/>
      <c r="G158" s="176"/>
      <c r="H158" s="176"/>
      <c r="I158" s="176"/>
      <c r="J158" s="176"/>
      <c r="K158" s="176"/>
      <c r="L158" s="176"/>
      <c r="M158" s="176"/>
      <c r="N158" s="176" t="e">
        <f>VLOOKUP(B:B,'QT Second level review'!C:O,10,0)</f>
        <v>#N/A</v>
      </c>
      <c r="O158" s="158"/>
      <c r="P158" s="158"/>
      <c r="Q158" s="158"/>
      <c r="R158" s="158"/>
      <c r="S158" s="158"/>
    </row>
    <row r="159" spans="1:19">
      <c r="A159" s="158" t="str">
        <f t="shared" si="2"/>
        <v>Test not reviewed</v>
      </c>
      <c r="B159" s="176"/>
      <c r="C159" s="176"/>
      <c r="D159" s="176"/>
      <c r="E159" s="176"/>
      <c r="F159" s="158"/>
      <c r="G159" s="176"/>
      <c r="H159" s="176"/>
      <c r="I159" s="176"/>
      <c r="J159" s="176"/>
      <c r="K159" s="176"/>
      <c r="L159" s="176"/>
      <c r="M159" s="176"/>
      <c r="N159" s="176" t="e">
        <f>VLOOKUP(B:B,'QT Second level review'!C:O,10,0)</f>
        <v>#N/A</v>
      </c>
      <c r="O159" s="158"/>
      <c r="P159" s="158"/>
      <c r="Q159" s="158"/>
      <c r="R159" s="158"/>
      <c r="S159" s="158"/>
    </row>
    <row r="160" spans="1:19">
      <c r="A160" s="158" t="str">
        <f t="shared" si="2"/>
        <v>Test not reviewed</v>
      </c>
      <c r="B160" s="176"/>
      <c r="C160" s="176"/>
      <c r="D160" s="176"/>
      <c r="E160" s="176"/>
      <c r="F160" s="158"/>
      <c r="G160" s="176"/>
      <c r="H160" s="176"/>
      <c r="I160" s="176"/>
      <c r="J160" s="176"/>
      <c r="K160" s="176"/>
      <c r="L160" s="176"/>
      <c r="M160" s="176"/>
      <c r="N160" s="176" t="e">
        <f>VLOOKUP(B:B,'QT Second level review'!C:O,10,0)</f>
        <v>#N/A</v>
      </c>
      <c r="O160" s="158"/>
      <c r="P160" s="158"/>
      <c r="Q160" s="158"/>
      <c r="R160" s="158"/>
      <c r="S160" s="158"/>
    </row>
    <row r="161" spans="1:19">
      <c r="A161" s="158" t="str">
        <f t="shared" si="2"/>
        <v>Test not reviewed</v>
      </c>
      <c r="B161" s="176"/>
      <c r="C161" s="176"/>
      <c r="D161" s="176"/>
      <c r="E161" s="176"/>
      <c r="F161" s="158"/>
      <c r="G161" s="176"/>
      <c r="H161" s="176"/>
      <c r="I161" s="176"/>
      <c r="J161" s="176"/>
      <c r="K161" s="176"/>
      <c r="L161" s="176"/>
      <c r="M161" s="176"/>
      <c r="N161" s="176" t="e">
        <f>VLOOKUP(B:B,'QT Second level review'!C:O,10,0)</f>
        <v>#N/A</v>
      </c>
      <c r="O161" s="158"/>
      <c r="P161" s="158"/>
      <c r="Q161" s="158"/>
      <c r="R161" s="158"/>
      <c r="S161" s="158"/>
    </row>
    <row r="162" spans="1:19">
      <c r="A162" s="158" t="str">
        <f t="shared" si="2"/>
        <v>Test not reviewed</v>
      </c>
      <c r="B162" s="176"/>
      <c r="C162" s="176"/>
      <c r="D162" s="176"/>
      <c r="E162" s="176"/>
      <c r="F162" s="158"/>
      <c r="G162" s="176"/>
      <c r="H162" s="176"/>
      <c r="I162" s="176"/>
      <c r="J162" s="176"/>
      <c r="K162" s="176"/>
      <c r="L162" s="176"/>
      <c r="M162" s="176"/>
      <c r="N162" s="176" t="e">
        <f>VLOOKUP(B:B,'QT Second level review'!C:O,10,0)</f>
        <v>#N/A</v>
      </c>
      <c r="O162" s="158"/>
      <c r="P162" s="158"/>
      <c r="Q162" s="158"/>
      <c r="R162" s="158"/>
      <c r="S162" s="158"/>
    </row>
    <row r="163" spans="1:19">
      <c r="A163" s="158" t="str">
        <f t="shared" si="2"/>
        <v>Test not reviewed</v>
      </c>
      <c r="B163" s="176"/>
      <c r="C163" s="176"/>
      <c r="D163" s="176"/>
      <c r="E163" s="176"/>
      <c r="F163" s="158"/>
      <c r="G163" s="176"/>
      <c r="H163" s="176"/>
      <c r="I163" s="176"/>
      <c r="J163" s="176"/>
      <c r="K163" s="176"/>
      <c r="L163" s="176"/>
      <c r="M163" s="176"/>
      <c r="N163" s="176" t="e">
        <f>VLOOKUP(B:B,'QT Second level review'!C:O,10,0)</f>
        <v>#N/A</v>
      </c>
      <c r="O163" s="158"/>
      <c r="P163" s="158"/>
      <c r="Q163" s="158"/>
      <c r="R163" s="158"/>
      <c r="S163" s="158"/>
    </row>
    <row r="164" spans="1:19">
      <c r="A164" s="158" t="str">
        <f t="shared" si="2"/>
        <v>Test not reviewed</v>
      </c>
      <c r="B164" s="176"/>
      <c r="C164" s="176"/>
      <c r="D164" s="176"/>
      <c r="E164" s="176"/>
      <c r="F164" s="158"/>
      <c r="G164" s="176"/>
      <c r="H164" s="176"/>
      <c r="I164" s="176"/>
      <c r="J164" s="176"/>
      <c r="K164" s="176"/>
      <c r="L164" s="176"/>
      <c r="M164" s="176"/>
      <c r="N164" s="176" t="e">
        <f>VLOOKUP(B:B,'QT Second level review'!C:O,10,0)</f>
        <v>#N/A</v>
      </c>
      <c r="O164" s="158"/>
      <c r="P164" s="158"/>
      <c r="Q164" s="158"/>
      <c r="R164" s="158"/>
      <c r="S164" s="158"/>
    </row>
    <row r="165" spans="1:19">
      <c r="A165" s="158" t="str">
        <f t="shared" si="2"/>
        <v>Test not reviewed</v>
      </c>
      <c r="B165" s="176"/>
      <c r="C165" s="176"/>
      <c r="D165" s="176"/>
      <c r="E165" s="176"/>
      <c r="F165" s="158"/>
      <c r="G165" s="176"/>
      <c r="H165" s="176"/>
      <c r="I165" s="176"/>
      <c r="J165" s="176"/>
      <c r="K165" s="176"/>
      <c r="L165" s="176"/>
      <c r="M165" s="176"/>
      <c r="N165" s="176" t="e">
        <f>VLOOKUP(B:B,'QT Second level review'!C:O,10,0)</f>
        <v>#N/A</v>
      </c>
      <c r="O165" s="158"/>
      <c r="P165" s="158"/>
      <c r="Q165" s="158"/>
      <c r="R165" s="158"/>
      <c r="S165" s="158"/>
    </row>
    <row r="166" spans="1:19">
      <c r="A166" s="158" t="str">
        <f t="shared" si="2"/>
        <v>Test not reviewed</v>
      </c>
      <c r="B166" s="176"/>
      <c r="C166" s="176"/>
      <c r="D166" s="176"/>
      <c r="E166" s="176"/>
      <c r="F166" s="158"/>
      <c r="G166" s="176"/>
      <c r="H166" s="176"/>
      <c r="I166" s="176"/>
      <c r="J166" s="176"/>
      <c r="K166" s="176"/>
      <c r="L166" s="176"/>
      <c r="M166" s="176"/>
      <c r="N166" s="176" t="e">
        <f>VLOOKUP(B:B,'QT Second level review'!C:O,10,0)</f>
        <v>#N/A</v>
      </c>
      <c r="O166" s="158"/>
      <c r="P166" s="158"/>
      <c r="Q166" s="158"/>
      <c r="R166" s="158"/>
      <c r="S166" s="158"/>
    </row>
    <row r="167" spans="1:19">
      <c r="A167" s="158" t="str">
        <f t="shared" si="2"/>
        <v>Test not reviewed</v>
      </c>
      <c r="B167" s="176"/>
      <c r="C167" s="176"/>
      <c r="D167" s="176"/>
      <c r="E167" s="176"/>
      <c r="F167" s="158"/>
      <c r="G167" s="176"/>
      <c r="H167" s="176"/>
      <c r="I167" s="176"/>
      <c r="J167" s="176"/>
      <c r="K167" s="176"/>
      <c r="L167" s="176"/>
      <c r="M167" s="176"/>
      <c r="N167" s="176" t="e">
        <f>VLOOKUP(B:B,'QT Second level review'!C:O,10,0)</f>
        <v>#N/A</v>
      </c>
      <c r="O167" s="158"/>
      <c r="P167" s="158"/>
      <c r="Q167" s="158"/>
      <c r="R167" s="158"/>
      <c r="S167" s="158"/>
    </row>
    <row r="168" spans="1:19">
      <c r="A168" s="158" t="str">
        <f t="shared" si="2"/>
        <v>Test not reviewed</v>
      </c>
      <c r="B168" s="176"/>
      <c r="C168" s="176"/>
      <c r="D168" s="176"/>
      <c r="E168" s="176"/>
      <c r="F168" s="158"/>
      <c r="G168" s="176"/>
      <c r="H168" s="176"/>
      <c r="I168" s="176"/>
      <c r="J168" s="176"/>
      <c r="K168" s="176"/>
      <c r="L168" s="176"/>
      <c r="M168" s="176"/>
      <c r="N168" s="176" t="e">
        <f>VLOOKUP(B:B,'QT Second level review'!C:O,10,0)</f>
        <v>#N/A</v>
      </c>
      <c r="O168" s="158"/>
      <c r="P168" s="158"/>
      <c r="Q168" s="158"/>
      <c r="R168" s="158"/>
      <c r="S168" s="158"/>
    </row>
    <row r="169" spans="1:19">
      <c r="A169" s="158" t="str">
        <f t="shared" si="2"/>
        <v>Test not reviewed</v>
      </c>
      <c r="B169" s="176"/>
      <c r="C169" s="176"/>
      <c r="D169" s="176"/>
      <c r="E169" s="176"/>
      <c r="F169" s="158"/>
      <c r="G169" s="176"/>
      <c r="H169" s="176"/>
      <c r="I169" s="176"/>
      <c r="J169" s="176"/>
      <c r="K169" s="176"/>
      <c r="L169" s="176"/>
      <c r="M169" s="176"/>
      <c r="N169" s="176" t="e">
        <f>VLOOKUP(B:B,'QT Second level review'!C:O,10,0)</f>
        <v>#N/A</v>
      </c>
      <c r="O169" s="158"/>
      <c r="P169" s="158"/>
      <c r="Q169" s="158"/>
      <c r="R169" s="158"/>
      <c r="S169" s="158"/>
    </row>
    <row r="170" spans="1:19">
      <c r="A170" s="158" t="str">
        <f t="shared" si="2"/>
        <v>Test not reviewed</v>
      </c>
      <c r="B170" s="176"/>
      <c r="C170" s="176"/>
      <c r="D170" s="176"/>
      <c r="E170" s="176"/>
      <c r="F170" s="158"/>
      <c r="G170" s="176"/>
      <c r="H170" s="176"/>
      <c r="I170" s="176"/>
      <c r="J170" s="176"/>
      <c r="K170" s="176"/>
      <c r="L170" s="176"/>
      <c r="M170" s="176"/>
      <c r="N170" s="176" t="e">
        <f>VLOOKUP(B:B,'QT Second level review'!C:O,10,0)</f>
        <v>#N/A</v>
      </c>
      <c r="O170" s="158"/>
      <c r="P170" s="158"/>
      <c r="Q170" s="158"/>
      <c r="R170" s="158"/>
      <c r="S170" s="158"/>
    </row>
    <row r="171" spans="1:19">
      <c r="A171" s="158" t="str">
        <f t="shared" si="2"/>
        <v>Test not reviewed</v>
      </c>
      <c r="B171" s="176"/>
      <c r="C171" s="176"/>
      <c r="D171" s="176"/>
      <c r="E171" s="176"/>
      <c r="F171" s="158"/>
      <c r="G171" s="176"/>
      <c r="H171" s="176"/>
      <c r="I171" s="176"/>
      <c r="J171" s="176"/>
      <c r="K171" s="176"/>
      <c r="L171" s="176"/>
      <c r="M171" s="176"/>
      <c r="N171" s="176" t="e">
        <f>VLOOKUP(B:B,'QT Second level review'!C:O,10,0)</f>
        <v>#N/A</v>
      </c>
      <c r="O171" s="158"/>
      <c r="P171" s="158"/>
      <c r="Q171" s="158"/>
      <c r="R171" s="158"/>
      <c r="S171" s="158"/>
    </row>
    <row r="172" spans="1:19">
      <c r="A172" s="158" t="str">
        <f t="shared" si="2"/>
        <v>Test not reviewed</v>
      </c>
      <c r="B172" s="176"/>
      <c r="C172" s="176"/>
      <c r="D172" s="176"/>
      <c r="E172" s="176"/>
      <c r="F172" s="158"/>
      <c r="G172" s="176"/>
      <c r="H172" s="176"/>
      <c r="I172" s="176"/>
      <c r="J172" s="176"/>
      <c r="K172" s="176"/>
      <c r="L172" s="176"/>
      <c r="M172" s="176"/>
      <c r="N172" s="176" t="e">
        <f>VLOOKUP(B:B,'QT Second level review'!C:O,10,0)</f>
        <v>#N/A</v>
      </c>
      <c r="O172" s="158"/>
      <c r="P172" s="158"/>
      <c r="Q172" s="158"/>
      <c r="R172" s="158"/>
      <c r="S172" s="158"/>
    </row>
    <row r="173" spans="1:19">
      <c r="A173" s="158" t="str">
        <f t="shared" si="2"/>
        <v>Test not reviewed</v>
      </c>
      <c r="B173" s="176"/>
      <c r="C173" s="176"/>
      <c r="D173" s="176"/>
      <c r="E173" s="176"/>
      <c r="F173" s="158"/>
      <c r="G173" s="176"/>
      <c r="H173" s="176"/>
      <c r="I173" s="176"/>
      <c r="J173" s="176"/>
      <c r="K173" s="176"/>
      <c r="L173" s="176"/>
      <c r="M173" s="176"/>
      <c r="N173" s="176" t="e">
        <f>VLOOKUP(B:B,'QT Second level review'!C:O,10,0)</f>
        <v>#N/A</v>
      </c>
      <c r="O173" s="158"/>
      <c r="P173" s="158"/>
      <c r="Q173" s="158"/>
      <c r="R173" s="158"/>
      <c r="S173" s="158"/>
    </row>
    <row r="174" spans="1:19">
      <c r="A174" s="158" t="str">
        <f t="shared" si="2"/>
        <v>Test not reviewed</v>
      </c>
      <c r="B174" s="176"/>
      <c r="C174" s="176"/>
      <c r="D174" s="176"/>
      <c r="E174" s="176"/>
      <c r="F174" s="158"/>
      <c r="G174" s="176"/>
      <c r="H174" s="176"/>
      <c r="I174" s="176"/>
      <c r="J174" s="176"/>
      <c r="K174" s="176"/>
      <c r="L174" s="176"/>
      <c r="M174" s="176"/>
      <c r="N174" s="176" t="e">
        <f>VLOOKUP(B:B,'QT Second level review'!C:O,10,0)</f>
        <v>#N/A</v>
      </c>
      <c r="O174" s="158"/>
      <c r="P174" s="158"/>
      <c r="Q174" s="158"/>
      <c r="R174" s="158"/>
      <c r="S174" s="158"/>
    </row>
    <row r="175" spans="1:19">
      <c r="A175" s="158" t="str">
        <f t="shared" si="2"/>
        <v>Test not reviewed</v>
      </c>
      <c r="B175" s="176"/>
      <c r="C175" s="176"/>
      <c r="D175" s="176"/>
      <c r="E175" s="176"/>
      <c r="F175" s="158"/>
      <c r="G175" s="176"/>
      <c r="H175" s="176"/>
      <c r="I175" s="176"/>
      <c r="J175" s="176"/>
      <c r="K175" s="176"/>
      <c r="L175" s="176"/>
      <c r="M175" s="176"/>
      <c r="N175" s="176" t="e">
        <f>VLOOKUP(B:B,'QT Second level review'!C:O,10,0)</f>
        <v>#N/A</v>
      </c>
      <c r="O175" s="158"/>
      <c r="P175" s="158"/>
      <c r="Q175" s="158"/>
      <c r="R175" s="158"/>
      <c r="S175" s="158"/>
    </row>
    <row r="176" spans="1:19">
      <c r="A176" s="158" t="str">
        <f t="shared" si="2"/>
        <v>Test not reviewed</v>
      </c>
      <c r="B176" s="176"/>
      <c r="C176" s="176"/>
      <c r="D176" s="176"/>
      <c r="E176" s="176"/>
      <c r="F176" s="158"/>
      <c r="G176" s="176"/>
      <c r="H176" s="176"/>
      <c r="I176" s="176"/>
      <c r="J176" s="176"/>
      <c r="K176" s="176"/>
      <c r="L176" s="176"/>
      <c r="M176" s="176"/>
      <c r="N176" s="176" t="e">
        <f>VLOOKUP(B:B,'QT Second level review'!C:O,10,0)</f>
        <v>#N/A</v>
      </c>
      <c r="O176" s="158"/>
      <c r="P176" s="158"/>
      <c r="Q176" s="158"/>
      <c r="R176" s="158"/>
      <c r="S176" s="158"/>
    </row>
    <row r="177" spans="1:19">
      <c r="A177" s="158" t="str">
        <f t="shared" si="2"/>
        <v>Test not reviewed</v>
      </c>
      <c r="B177" s="176"/>
      <c r="C177" s="176"/>
      <c r="D177" s="176"/>
      <c r="E177" s="176"/>
      <c r="F177" s="158"/>
      <c r="G177" s="176"/>
      <c r="H177" s="176"/>
      <c r="I177" s="176"/>
      <c r="J177" s="176"/>
      <c r="K177" s="176"/>
      <c r="L177" s="176"/>
      <c r="M177" s="176"/>
      <c r="N177" s="176" t="e">
        <f>VLOOKUP(B:B,'QT Second level review'!C:O,10,0)</f>
        <v>#N/A</v>
      </c>
      <c r="O177" s="158"/>
      <c r="P177" s="158"/>
      <c r="Q177" s="158"/>
      <c r="R177" s="158"/>
      <c r="S177" s="158"/>
    </row>
    <row r="178" spans="1:19">
      <c r="A178" s="158" t="str">
        <f t="shared" si="2"/>
        <v>Test not reviewed</v>
      </c>
      <c r="B178" s="176"/>
      <c r="C178" s="176"/>
      <c r="D178" s="176"/>
      <c r="E178" s="176"/>
      <c r="F178" s="158"/>
      <c r="G178" s="176"/>
      <c r="H178" s="176"/>
      <c r="I178" s="176"/>
      <c r="J178" s="176"/>
      <c r="K178" s="176"/>
      <c r="L178" s="176"/>
      <c r="M178" s="176"/>
      <c r="N178" s="176" t="e">
        <f>VLOOKUP(B:B,'QT Second level review'!C:O,10,0)</f>
        <v>#N/A</v>
      </c>
      <c r="O178" s="158"/>
      <c r="P178" s="158"/>
      <c r="Q178" s="158"/>
      <c r="R178" s="158"/>
      <c r="S178" s="158"/>
    </row>
    <row r="179" spans="1:19">
      <c r="A179" s="158" t="str">
        <f t="shared" si="2"/>
        <v>Test not reviewed</v>
      </c>
      <c r="B179" s="176"/>
      <c r="C179" s="176"/>
      <c r="D179" s="176"/>
      <c r="E179" s="176"/>
      <c r="F179" s="158"/>
      <c r="G179" s="176"/>
      <c r="H179" s="176"/>
      <c r="I179" s="176"/>
      <c r="J179" s="176"/>
      <c r="K179" s="176"/>
      <c r="L179" s="176"/>
      <c r="M179" s="176"/>
      <c r="N179" s="176" t="e">
        <f>VLOOKUP(B:B,'QT Second level review'!C:O,10,0)</f>
        <v>#N/A</v>
      </c>
      <c r="O179" s="158"/>
      <c r="P179" s="158"/>
      <c r="Q179" s="158"/>
      <c r="R179" s="158"/>
      <c r="S179" s="158"/>
    </row>
    <row r="180" spans="1:19">
      <c r="A180" s="158" t="str">
        <f t="shared" si="2"/>
        <v>Test not reviewed</v>
      </c>
      <c r="B180" s="176"/>
      <c r="C180" s="176"/>
      <c r="D180" s="176"/>
      <c r="E180" s="176"/>
      <c r="F180" s="158"/>
      <c r="G180" s="176"/>
      <c r="H180" s="176"/>
      <c r="I180" s="176"/>
      <c r="J180" s="176"/>
      <c r="K180" s="176"/>
      <c r="L180" s="176"/>
      <c r="M180" s="176"/>
      <c r="N180" s="176" t="e">
        <f>VLOOKUP(B:B,'QT Second level review'!C:O,10,0)</f>
        <v>#N/A</v>
      </c>
      <c r="O180" s="158"/>
      <c r="P180" s="158"/>
      <c r="Q180" s="158"/>
      <c r="R180" s="158"/>
      <c r="S180" s="158"/>
    </row>
    <row r="181" spans="1:19">
      <c r="A181" s="158" t="str">
        <f t="shared" si="2"/>
        <v>Test not reviewed</v>
      </c>
      <c r="B181" s="176"/>
      <c r="C181" s="176"/>
      <c r="D181" s="176"/>
      <c r="E181" s="176"/>
      <c r="F181" s="158"/>
      <c r="G181" s="176"/>
      <c r="H181" s="176"/>
      <c r="I181" s="176"/>
      <c r="J181" s="176"/>
      <c r="K181" s="176"/>
      <c r="L181" s="176"/>
      <c r="M181" s="176"/>
      <c r="N181" s="176" t="e">
        <f>VLOOKUP(B:B,'QT Second level review'!C:O,10,0)</f>
        <v>#N/A</v>
      </c>
      <c r="O181" s="158"/>
      <c r="P181" s="158"/>
      <c r="Q181" s="158"/>
      <c r="R181" s="158"/>
      <c r="S181" s="158"/>
    </row>
    <row r="182" spans="1:19">
      <c r="A182" s="158" t="str">
        <f t="shared" si="2"/>
        <v>Test not reviewed</v>
      </c>
      <c r="B182" s="176"/>
      <c r="C182" s="176"/>
      <c r="D182" s="176"/>
      <c r="E182" s="176"/>
      <c r="F182" s="158"/>
      <c r="G182" s="176"/>
      <c r="H182" s="176"/>
      <c r="I182" s="176"/>
      <c r="J182" s="176"/>
      <c r="K182" s="176"/>
      <c r="L182" s="176"/>
      <c r="M182" s="176"/>
      <c r="N182" s="176" t="e">
        <f>VLOOKUP(B:B,'QT Second level review'!C:O,10,0)</f>
        <v>#N/A</v>
      </c>
      <c r="O182" s="158"/>
      <c r="P182" s="158"/>
      <c r="Q182" s="158"/>
      <c r="R182" s="158"/>
      <c r="S182" s="158"/>
    </row>
    <row r="183" spans="1:19">
      <c r="A183" s="158" t="str">
        <f t="shared" si="2"/>
        <v>Test not reviewed</v>
      </c>
      <c r="B183" s="176"/>
      <c r="C183" s="176"/>
      <c r="D183" s="176"/>
      <c r="E183" s="176"/>
      <c r="F183" s="158"/>
      <c r="G183" s="176"/>
      <c r="H183" s="176"/>
      <c r="I183" s="176"/>
      <c r="J183" s="176"/>
      <c r="K183" s="176"/>
      <c r="L183" s="176"/>
      <c r="M183" s="176"/>
      <c r="N183" s="176" t="e">
        <f>VLOOKUP(B:B,'QT Second level review'!C:O,10,0)</f>
        <v>#N/A</v>
      </c>
      <c r="O183" s="158"/>
      <c r="P183" s="158"/>
      <c r="Q183" s="158"/>
      <c r="R183" s="158"/>
      <c r="S183" s="158"/>
    </row>
    <row r="184" spans="1:19">
      <c r="A184" s="158" t="str">
        <f t="shared" si="2"/>
        <v>Test not reviewed</v>
      </c>
      <c r="B184" s="176"/>
      <c r="C184" s="176"/>
      <c r="D184" s="176"/>
      <c r="E184" s="176"/>
      <c r="F184" s="158"/>
      <c r="G184" s="176"/>
      <c r="H184" s="176"/>
      <c r="I184" s="176"/>
      <c r="J184" s="176"/>
      <c r="K184" s="176"/>
      <c r="L184" s="176"/>
      <c r="M184" s="176"/>
      <c r="N184" s="176" t="e">
        <f>VLOOKUP(B:B,'QT Second level review'!C:O,10,0)</f>
        <v>#N/A</v>
      </c>
      <c r="O184" s="158"/>
      <c r="P184" s="158"/>
      <c r="Q184" s="158"/>
      <c r="R184" s="158"/>
      <c r="S184" s="158"/>
    </row>
    <row r="185" spans="1:19">
      <c r="A185" s="158" t="str">
        <f t="shared" si="2"/>
        <v>Test not reviewed</v>
      </c>
      <c r="B185" s="176"/>
      <c r="C185" s="176"/>
      <c r="D185" s="176"/>
      <c r="E185" s="176"/>
      <c r="F185" s="158"/>
      <c r="G185" s="176"/>
      <c r="H185" s="176"/>
      <c r="I185" s="176"/>
      <c r="J185" s="176"/>
      <c r="K185" s="176"/>
      <c r="L185" s="176"/>
      <c r="M185" s="176"/>
      <c r="N185" s="176" t="e">
        <f>VLOOKUP(B:B,'QT Second level review'!C:O,10,0)</f>
        <v>#N/A</v>
      </c>
      <c r="O185" s="158"/>
      <c r="P185" s="158"/>
      <c r="Q185" s="158"/>
      <c r="R185" s="158"/>
      <c r="S185" s="158"/>
    </row>
    <row r="186" spans="1:19">
      <c r="A186" s="158" t="str">
        <f t="shared" si="2"/>
        <v>Test not reviewed</v>
      </c>
      <c r="B186" s="176"/>
      <c r="C186" s="176"/>
      <c r="D186" s="176"/>
      <c r="E186" s="176"/>
      <c r="F186" s="158"/>
      <c r="G186" s="176"/>
      <c r="H186" s="176"/>
      <c r="I186" s="176"/>
      <c r="J186" s="176"/>
      <c r="K186" s="176"/>
      <c r="L186" s="176"/>
      <c r="M186" s="176"/>
      <c r="N186" s="176" t="e">
        <f>VLOOKUP(B:B,'QT Second level review'!C:O,10,0)</f>
        <v>#N/A</v>
      </c>
      <c r="O186" s="158"/>
      <c r="P186" s="158"/>
      <c r="Q186" s="158"/>
      <c r="R186" s="158"/>
      <c r="S186" s="158"/>
    </row>
    <row r="187" spans="1:19">
      <c r="A187" s="158" t="str">
        <f t="shared" si="2"/>
        <v>Test not reviewed</v>
      </c>
      <c r="B187" s="176"/>
      <c r="C187" s="176"/>
      <c r="D187" s="176"/>
      <c r="E187" s="176"/>
      <c r="F187" s="158"/>
      <c r="G187" s="176"/>
      <c r="H187" s="176"/>
      <c r="I187" s="176"/>
      <c r="J187" s="176"/>
      <c r="K187" s="176"/>
      <c r="L187" s="176"/>
      <c r="M187" s="176"/>
      <c r="N187" s="176" t="e">
        <f>VLOOKUP(B:B,'QT Second level review'!C:O,10,0)</f>
        <v>#N/A</v>
      </c>
      <c r="O187" s="158"/>
      <c r="P187" s="158"/>
      <c r="Q187" s="158"/>
      <c r="R187" s="158"/>
      <c r="S187" s="158"/>
    </row>
    <row r="188" spans="1:19">
      <c r="A188" s="158" t="str">
        <f t="shared" si="2"/>
        <v>Test not reviewed</v>
      </c>
      <c r="B188" s="176"/>
      <c r="C188" s="176"/>
      <c r="D188" s="176"/>
      <c r="E188" s="176"/>
      <c r="F188" s="158"/>
      <c r="G188" s="176"/>
      <c r="H188" s="176"/>
      <c r="I188" s="176"/>
      <c r="J188" s="176"/>
      <c r="K188" s="176"/>
      <c r="L188" s="176"/>
      <c r="M188" s="176"/>
      <c r="N188" s="176" t="e">
        <f>VLOOKUP(B:B,'QT Second level review'!C:O,10,0)</f>
        <v>#N/A</v>
      </c>
      <c r="O188" s="158"/>
      <c r="P188" s="158"/>
      <c r="Q188" s="158"/>
      <c r="R188" s="158"/>
      <c r="S188" s="158"/>
    </row>
    <row r="189" spans="1:19">
      <c r="A189" s="158" t="str">
        <f t="shared" si="2"/>
        <v>Test not reviewed</v>
      </c>
      <c r="B189" s="176"/>
      <c r="C189" s="176"/>
      <c r="D189" s="176"/>
      <c r="E189" s="176"/>
      <c r="F189" s="158"/>
      <c r="G189" s="176"/>
      <c r="H189" s="176"/>
      <c r="I189" s="176"/>
      <c r="J189" s="176"/>
      <c r="K189" s="176"/>
      <c r="L189" s="176"/>
      <c r="M189" s="176"/>
      <c r="N189" s="176" t="e">
        <f>VLOOKUP(B:B,'QT Second level review'!C:O,10,0)</f>
        <v>#N/A</v>
      </c>
      <c r="O189" s="158"/>
      <c r="P189" s="158"/>
      <c r="Q189" s="158"/>
      <c r="R189" s="158"/>
      <c r="S189" s="158"/>
    </row>
    <row r="190" spans="1:19">
      <c r="A190" s="158" t="str">
        <f t="shared" si="2"/>
        <v>Test not reviewed</v>
      </c>
      <c r="B190" s="176"/>
      <c r="C190" s="176"/>
      <c r="D190" s="176"/>
      <c r="E190" s="176"/>
      <c r="F190" s="158"/>
      <c r="G190" s="176"/>
      <c r="H190" s="176"/>
      <c r="I190" s="176"/>
      <c r="J190" s="176"/>
      <c r="K190" s="176"/>
      <c r="L190" s="176"/>
      <c r="M190" s="176"/>
      <c r="N190" s="176" t="e">
        <f>VLOOKUP(B:B,'QT Second level review'!C:O,10,0)</f>
        <v>#N/A</v>
      </c>
      <c r="O190" s="158"/>
      <c r="P190" s="158"/>
      <c r="Q190" s="158"/>
      <c r="R190" s="158"/>
      <c r="S190" s="158"/>
    </row>
    <row r="191" spans="1:19">
      <c r="A191" s="158" t="str">
        <f t="shared" si="2"/>
        <v>Test not reviewed</v>
      </c>
      <c r="B191" s="176"/>
      <c r="C191" s="176"/>
      <c r="D191" s="176"/>
      <c r="E191" s="176"/>
      <c r="F191" s="158"/>
      <c r="G191" s="176"/>
      <c r="H191" s="176"/>
      <c r="I191" s="176"/>
      <c r="J191" s="176"/>
      <c r="K191" s="176"/>
      <c r="L191" s="176"/>
      <c r="M191" s="176"/>
      <c r="N191" s="176" t="e">
        <f>VLOOKUP(B:B,'QT Second level review'!C:O,10,0)</f>
        <v>#N/A</v>
      </c>
      <c r="O191" s="158"/>
      <c r="P191" s="158"/>
      <c r="Q191" s="158"/>
      <c r="R191" s="158"/>
      <c r="S191" s="158"/>
    </row>
    <row r="192" spans="1:19">
      <c r="A192" s="158" t="str">
        <f t="shared" si="2"/>
        <v>Test not reviewed</v>
      </c>
      <c r="B192" s="176"/>
      <c r="C192" s="176"/>
      <c r="D192" s="176"/>
      <c r="E192" s="176"/>
      <c r="F192" s="158"/>
      <c r="G192" s="176"/>
      <c r="H192" s="176"/>
      <c r="I192" s="176"/>
      <c r="J192" s="176"/>
      <c r="K192" s="176"/>
      <c r="L192" s="176"/>
      <c r="M192" s="176"/>
      <c r="N192" s="176" t="e">
        <f>VLOOKUP(B:B,'QT Second level review'!C:O,10,0)</f>
        <v>#N/A</v>
      </c>
      <c r="O192" s="158"/>
      <c r="P192" s="158"/>
      <c r="Q192" s="158"/>
      <c r="R192" s="158"/>
      <c r="S192" s="158"/>
    </row>
    <row r="193" spans="1:19">
      <c r="A193" s="158" t="str">
        <f t="shared" si="2"/>
        <v>Test not reviewed</v>
      </c>
      <c r="B193" s="176"/>
      <c r="C193" s="176"/>
      <c r="D193" s="176"/>
      <c r="E193" s="176"/>
      <c r="F193" s="158"/>
      <c r="G193" s="176"/>
      <c r="H193" s="176"/>
      <c r="I193" s="176"/>
      <c r="J193" s="176"/>
      <c r="K193" s="176"/>
      <c r="L193" s="176"/>
      <c r="M193" s="176"/>
      <c r="N193" s="176" t="e">
        <f>VLOOKUP(B:B,'QT Second level review'!C:O,10,0)</f>
        <v>#N/A</v>
      </c>
      <c r="O193" s="158"/>
      <c r="P193" s="158"/>
      <c r="Q193" s="158"/>
      <c r="R193" s="158"/>
      <c r="S193" s="158"/>
    </row>
    <row r="194" spans="1:19">
      <c r="A194" s="158" t="str">
        <f t="shared" si="2"/>
        <v>Test not reviewed</v>
      </c>
      <c r="B194" s="176"/>
      <c r="C194" s="176"/>
      <c r="D194" s="176"/>
      <c r="E194" s="176"/>
      <c r="F194" s="158"/>
      <c r="G194" s="176"/>
      <c r="H194" s="176"/>
      <c r="I194" s="176"/>
      <c r="J194" s="176"/>
      <c r="K194" s="176"/>
      <c r="L194" s="176"/>
      <c r="M194" s="176"/>
      <c r="N194" s="176" t="e">
        <f>VLOOKUP(B:B,'QT Second level review'!C:O,10,0)</f>
        <v>#N/A</v>
      </c>
      <c r="O194" s="158"/>
      <c r="P194" s="158"/>
      <c r="Q194" s="158"/>
      <c r="R194" s="158"/>
      <c r="S194" s="158"/>
    </row>
    <row r="195" spans="1:19">
      <c r="A195" s="158" t="str">
        <f t="shared" ref="A195:A258" si="3">IF(ISNA(N195),"Test not reviewed","OK")</f>
        <v>Test not reviewed</v>
      </c>
      <c r="B195" s="176"/>
      <c r="C195" s="176"/>
      <c r="D195" s="176"/>
      <c r="E195" s="176"/>
      <c r="F195" s="158"/>
      <c r="G195" s="176"/>
      <c r="H195" s="176"/>
      <c r="I195" s="176"/>
      <c r="J195" s="176"/>
      <c r="K195" s="176"/>
      <c r="L195" s="176"/>
      <c r="M195" s="176"/>
      <c r="N195" s="176" t="e">
        <f>VLOOKUP(B:B,'QT Second level review'!C:O,10,0)</f>
        <v>#N/A</v>
      </c>
      <c r="O195" s="158"/>
      <c r="P195" s="158"/>
      <c r="Q195" s="158"/>
      <c r="R195" s="158"/>
      <c r="S195" s="158"/>
    </row>
    <row r="196" spans="1:19">
      <c r="A196" s="158" t="str">
        <f t="shared" si="3"/>
        <v>Test not reviewed</v>
      </c>
      <c r="B196" s="176"/>
      <c r="C196" s="176"/>
      <c r="D196" s="176"/>
      <c r="E196" s="176"/>
      <c r="F196" s="158"/>
      <c r="G196" s="176"/>
      <c r="H196" s="176"/>
      <c r="I196" s="176"/>
      <c r="J196" s="176"/>
      <c r="K196" s="176"/>
      <c r="L196" s="176"/>
      <c r="M196" s="176"/>
      <c r="N196" s="176" t="e">
        <f>VLOOKUP(B:B,'QT Second level review'!C:O,10,0)</f>
        <v>#N/A</v>
      </c>
      <c r="O196" s="158"/>
      <c r="P196" s="158"/>
      <c r="Q196" s="158"/>
      <c r="R196" s="158"/>
      <c r="S196" s="158"/>
    </row>
    <row r="197" spans="1:19">
      <c r="A197" s="158" t="str">
        <f t="shared" si="3"/>
        <v>Test not reviewed</v>
      </c>
      <c r="B197" s="176"/>
      <c r="C197" s="176"/>
      <c r="D197" s="176"/>
      <c r="E197" s="176"/>
      <c r="F197" s="158"/>
      <c r="G197" s="176"/>
      <c r="H197" s="176"/>
      <c r="I197" s="176"/>
      <c r="J197" s="176"/>
      <c r="K197" s="176"/>
      <c r="L197" s="176"/>
      <c r="M197" s="176"/>
      <c r="N197" s="176" t="e">
        <f>VLOOKUP(B:B,'QT Second level review'!C:O,10,0)</f>
        <v>#N/A</v>
      </c>
      <c r="O197" s="158"/>
      <c r="P197" s="158"/>
      <c r="Q197" s="158"/>
      <c r="R197" s="158"/>
      <c r="S197" s="158"/>
    </row>
    <row r="198" spans="1:19">
      <c r="A198" s="158" t="str">
        <f t="shared" si="3"/>
        <v>Test not reviewed</v>
      </c>
      <c r="B198" s="176"/>
      <c r="C198" s="176"/>
      <c r="D198" s="176"/>
      <c r="E198" s="176"/>
      <c r="F198" s="158"/>
      <c r="G198" s="176"/>
      <c r="H198" s="176"/>
      <c r="I198" s="176"/>
      <c r="J198" s="176"/>
      <c r="K198" s="176"/>
      <c r="L198" s="176"/>
      <c r="M198" s="176"/>
      <c r="N198" s="176" t="e">
        <f>VLOOKUP(B:B,'QT Second level review'!C:O,10,0)</f>
        <v>#N/A</v>
      </c>
      <c r="O198" s="158"/>
      <c r="P198" s="158"/>
      <c r="Q198" s="158"/>
      <c r="R198" s="158"/>
      <c r="S198" s="158"/>
    </row>
    <row r="199" spans="1:19">
      <c r="A199" s="158" t="str">
        <f t="shared" si="3"/>
        <v>Test not reviewed</v>
      </c>
      <c r="B199" s="176"/>
      <c r="C199" s="176"/>
      <c r="D199" s="176"/>
      <c r="E199" s="176"/>
      <c r="F199" s="158"/>
      <c r="G199" s="176"/>
      <c r="H199" s="176"/>
      <c r="I199" s="176"/>
      <c r="J199" s="176"/>
      <c r="K199" s="176"/>
      <c r="L199" s="176"/>
      <c r="M199" s="176"/>
      <c r="N199" s="176" t="e">
        <f>VLOOKUP(B:B,'QT Second level review'!C:O,10,0)</f>
        <v>#N/A</v>
      </c>
      <c r="O199" s="158"/>
      <c r="P199" s="158"/>
      <c r="Q199" s="158"/>
      <c r="R199" s="158"/>
      <c r="S199" s="158"/>
    </row>
    <row r="200" spans="1:19">
      <c r="A200" s="158" t="str">
        <f t="shared" si="3"/>
        <v>Test not reviewed</v>
      </c>
      <c r="B200" s="176"/>
      <c r="C200" s="176"/>
      <c r="D200" s="176"/>
      <c r="E200" s="176"/>
      <c r="F200" s="158"/>
      <c r="G200" s="176"/>
      <c r="H200" s="176"/>
      <c r="I200" s="176"/>
      <c r="J200" s="176"/>
      <c r="K200" s="176"/>
      <c r="L200" s="176"/>
      <c r="M200" s="176"/>
      <c r="N200" s="176" t="e">
        <f>VLOOKUP(B:B,'QT Second level review'!C:O,10,0)</f>
        <v>#N/A</v>
      </c>
      <c r="O200" s="158"/>
      <c r="P200" s="158"/>
      <c r="Q200" s="158"/>
      <c r="R200" s="158"/>
      <c r="S200" s="158"/>
    </row>
    <row r="201" spans="1:19">
      <c r="A201" s="158" t="str">
        <f t="shared" si="3"/>
        <v>Test not reviewed</v>
      </c>
      <c r="B201" s="176"/>
      <c r="C201" s="176"/>
      <c r="D201" s="176"/>
      <c r="E201" s="176"/>
      <c r="F201" s="158"/>
      <c r="G201" s="176"/>
      <c r="H201" s="176"/>
      <c r="I201" s="176"/>
      <c r="J201" s="176"/>
      <c r="K201" s="176"/>
      <c r="L201" s="176"/>
      <c r="M201" s="176"/>
      <c r="N201" s="176" t="e">
        <f>VLOOKUP(B:B,'QT Second level review'!C:O,10,0)</f>
        <v>#N/A</v>
      </c>
      <c r="O201" s="158"/>
      <c r="P201" s="158"/>
      <c r="Q201" s="158"/>
      <c r="R201" s="158"/>
      <c r="S201" s="158"/>
    </row>
    <row r="202" spans="1:19">
      <c r="A202" s="158" t="str">
        <f t="shared" si="3"/>
        <v>Test not reviewed</v>
      </c>
      <c r="B202" s="176"/>
      <c r="C202" s="176"/>
      <c r="D202" s="176"/>
      <c r="E202" s="176"/>
      <c r="F202" s="158"/>
      <c r="G202" s="176"/>
      <c r="H202" s="176"/>
      <c r="I202" s="176"/>
      <c r="J202" s="176"/>
      <c r="K202" s="176"/>
      <c r="L202" s="176"/>
      <c r="M202" s="176"/>
      <c r="N202" s="176" t="e">
        <f>VLOOKUP(B:B,'QT Second level review'!C:O,10,0)</f>
        <v>#N/A</v>
      </c>
      <c r="O202" s="158"/>
      <c r="P202" s="158"/>
      <c r="Q202" s="158"/>
      <c r="R202" s="158"/>
      <c r="S202" s="158"/>
    </row>
    <row r="203" spans="1:19">
      <c r="A203" s="158" t="str">
        <f t="shared" si="3"/>
        <v>Test not reviewed</v>
      </c>
      <c r="B203" s="176"/>
      <c r="C203" s="176"/>
      <c r="D203" s="176"/>
      <c r="E203" s="176"/>
      <c r="F203" s="158"/>
      <c r="G203" s="176"/>
      <c r="H203" s="176"/>
      <c r="I203" s="176"/>
      <c r="J203" s="176"/>
      <c r="K203" s="176"/>
      <c r="L203" s="176"/>
      <c r="M203" s="176"/>
      <c r="N203" s="176" t="e">
        <f>VLOOKUP(B:B,'QT Second level review'!C:O,10,0)</f>
        <v>#N/A</v>
      </c>
      <c r="O203" s="158"/>
      <c r="P203" s="158"/>
      <c r="Q203" s="158"/>
      <c r="R203" s="158"/>
      <c r="S203" s="158"/>
    </row>
    <row r="204" spans="1:19">
      <c r="A204" s="158" t="str">
        <f t="shared" si="3"/>
        <v>Test not reviewed</v>
      </c>
      <c r="B204" s="176"/>
      <c r="C204" s="176"/>
      <c r="D204" s="176"/>
      <c r="E204" s="176"/>
      <c r="F204" s="158"/>
      <c r="G204" s="176"/>
      <c r="H204" s="176"/>
      <c r="I204" s="176"/>
      <c r="J204" s="176"/>
      <c r="K204" s="176"/>
      <c r="L204" s="176"/>
      <c r="M204" s="176"/>
      <c r="N204" s="176" t="e">
        <f>VLOOKUP(B:B,'QT Second level review'!C:O,10,0)</f>
        <v>#N/A</v>
      </c>
      <c r="O204" s="158"/>
      <c r="P204" s="158"/>
      <c r="Q204" s="158"/>
      <c r="R204" s="158"/>
      <c r="S204" s="158"/>
    </row>
    <row r="205" spans="1:19">
      <c r="A205" s="158" t="str">
        <f t="shared" si="3"/>
        <v>Test not reviewed</v>
      </c>
      <c r="B205" s="176"/>
      <c r="C205" s="176"/>
      <c r="D205" s="176"/>
      <c r="E205" s="176"/>
      <c r="F205" s="158"/>
      <c r="G205" s="176"/>
      <c r="H205" s="176"/>
      <c r="I205" s="176"/>
      <c r="J205" s="176"/>
      <c r="K205" s="176"/>
      <c r="L205" s="176"/>
      <c r="M205" s="176"/>
      <c r="N205" s="176" t="e">
        <f>VLOOKUP(B:B,'QT Second level review'!C:O,10,0)</f>
        <v>#N/A</v>
      </c>
      <c r="O205" s="158"/>
      <c r="P205" s="158"/>
      <c r="Q205" s="158"/>
      <c r="R205" s="158"/>
      <c r="S205" s="158"/>
    </row>
    <row r="206" spans="1:19">
      <c r="A206" s="158" t="str">
        <f t="shared" si="3"/>
        <v>Test not reviewed</v>
      </c>
      <c r="B206" s="176"/>
      <c r="C206" s="176"/>
      <c r="D206" s="176"/>
      <c r="E206" s="176"/>
      <c r="F206" s="158"/>
      <c r="G206" s="176"/>
      <c r="H206" s="176"/>
      <c r="I206" s="176"/>
      <c r="J206" s="176"/>
      <c r="K206" s="176"/>
      <c r="L206" s="176"/>
      <c r="M206" s="176"/>
      <c r="N206" s="176" t="e">
        <f>VLOOKUP(B:B,'QT Second level review'!C:O,10,0)</f>
        <v>#N/A</v>
      </c>
      <c r="O206" s="158"/>
      <c r="P206" s="158"/>
      <c r="Q206" s="158"/>
      <c r="R206" s="158"/>
      <c r="S206" s="158"/>
    </row>
    <row r="207" spans="1:19">
      <c r="A207" s="158" t="str">
        <f t="shared" si="3"/>
        <v>Test not reviewed</v>
      </c>
      <c r="B207" s="176"/>
      <c r="C207" s="176"/>
      <c r="D207" s="176"/>
      <c r="E207" s="176"/>
      <c r="F207" s="158"/>
      <c r="G207" s="176"/>
      <c r="H207" s="176"/>
      <c r="I207" s="176"/>
      <c r="J207" s="176"/>
      <c r="K207" s="176"/>
      <c r="L207" s="176"/>
      <c r="M207" s="176"/>
      <c r="N207" s="176" t="e">
        <f>VLOOKUP(B:B,'QT Second level review'!C:O,10,0)</f>
        <v>#N/A</v>
      </c>
      <c r="O207" s="158"/>
      <c r="P207" s="158"/>
      <c r="Q207" s="158"/>
      <c r="R207" s="158"/>
      <c r="S207" s="158"/>
    </row>
    <row r="208" spans="1:19">
      <c r="A208" s="158" t="str">
        <f t="shared" si="3"/>
        <v>Test not reviewed</v>
      </c>
      <c r="B208" s="176"/>
      <c r="C208" s="176"/>
      <c r="D208" s="176"/>
      <c r="E208" s="176"/>
      <c r="F208" s="158"/>
      <c r="G208" s="176"/>
      <c r="H208" s="176"/>
      <c r="I208" s="176"/>
      <c r="J208" s="176"/>
      <c r="K208" s="176"/>
      <c r="L208" s="176"/>
      <c r="M208" s="176"/>
      <c r="N208" s="176" t="e">
        <f>VLOOKUP(B:B,'QT Second level review'!C:O,10,0)</f>
        <v>#N/A</v>
      </c>
      <c r="O208" s="158"/>
      <c r="P208" s="158"/>
      <c r="Q208" s="158"/>
      <c r="R208" s="158"/>
      <c r="S208" s="158"/>
    </row>
    <row r="209" spans="1:19">
      <c r="A209" s="158" t="str">
        <f t="shared" si="3"/>
        <v>Test not reviewed</v>
      </c>
      <c r="B209" s="176"/>
      <c r="C209" s="176"/>
      <c r="D209" s="176"/>
      <c r="E209" s="176"/>
      <c r="F209" s="158"/>
      <c r="G209" s="176"/>
      <c r="H209" s="176"/>
      <c r="I209" s="176"/>
      <c r="J209" s="176"/>
      <c r="K209" s="176"/>
      <c r="L209" s="176"/>
      <c r="M209" s="176"/>
      <c r="N209" s="176" t="e">
        <f>VLOOKUP(B:B,'QT Second level review'!C:O,10,0)</f>
        <v>#N/A</v>
      </c>
      <c r="O209" s="158"/>
      <c r="P209" s="158"/>
      <c r="Q209" s="158"/>
      <c r="R209" s="158"/>
      <c r="S209" s="158"/>
    </row>
    <row r="210" spans="1:19">
      <c r="A210" s="158" t="str">
        <f t="shared" si="3"/>
        <v>Test not reviewed</v>
      </c>
      <c r="B210" s="176"/>
      <c r="C210" s="176"/>
      <c r="D210" s="176"/>
      <c r="E210" s="176"/>
      <c r="F210" s="158"/>
      <c r="G210" s="176"/>
      <c r="H210" s="176"/>
      <c r="I210" s="176"/>
      <c r="J210" s="176"/>
      <c r="K210" s="176"/>
      <c r="L210" s="176"/>
      <c r="M210" s="176"/>
      <c r="N210" s="176" t="e">
        <f>VLOOKUP(B:B,'QT Second level review'!C:O,10,0)</f>
        <v>#N/A</v>
      </c>
      <c r="O210" s="158"/>
      <c r="P210" s="158"/>
      <c r="Q210" s="158"/>
      <c r="R210" s="158"/>
      <c r="S210" s="158"/>
    </row>
    <row r="211" spans="1:19">
      <c r="A211" s="158" t="str">
        <f t="shared" si="3"/>
        <v>Test not reviewed</v>
      </c>
      <c r="B211" s="176"/>
      <c r="C211" s="176"/>
      <c r="D211" s="176"/>
      <c r="E211" s="176"/>
      <c r="F211" s="158"/>
      <c r="G211" s="176"/>
      <c r="H211" s="176"/>
      <c r="I211" s="176"/>
      <c r="J211" s="176"/>
      <c r="K211" s="176"/>
      <c r="L211" s="176"/>
      <c r="M211" s="176"/>
      <c r="N211" s="176" t="e">
        <f>VLOOKUP(B:B,'QT Second level review'!C:O,10,0)</f>
        <v>#N/A</v>
      </c>
      <c r="O211" s="158"/>
      <c r="P211" s="158"/>
      <c r="Q211" s="158"/>
      <c r="R211" s="158"/>
      <c r="S211" s="158"/>
    </row>
    <row r="212" spans="1:19">
      <c r="A212" s="158" t="str">
        <f t="shared" si="3"/>
        <v>Test not reviewed</v>
      </c>
      <c r="B212" s="176"/>
      <c r="C212" s="176"/>
      <c r="D212" s="176"/>
      <c r="E212" s="176"/>
      <c r="F212" s="158"/>
      <c r="G212" s="176"/>
      <c r="H212" s="176"/>
      <c r="I212" s="176"/>
      <c r="J212" s="176"/>
      <c r="K212" s="176"/>
      <c r="L212" s="176"/>
      <c r="M212" s="176"/>
      <c r="N212" s="176" t="e">
        <f>VLOOKUP(B:B,'QT Second level review'!C:O,10,0)</f>
        <v>#N/A</v>
      </c>
      <c r="O212" s="158"/>
      <c r="P212" s="158"/>
      <c r="Q212" s="158"/>
      <c r="R212" s="158"/>
      <c r="S212" s="158"/>
    </row>
    <row r="213" spans="1:19">
      <c r="A213" s="158" t="str">
        <f t="shared" si="3"/>
        <v>Test not reviewed</v>
      </c>
      <c r="B213" s="176"/>
      <c r="C213" s="176"/>
      <c r="D213" s="176"/>
      <c r="E213" s="176"/>
      <c r="F213" s="158"/>
      <c r="G213" s="176"/>
      <c r="H213" s="176"/>
      <c r="I213" s="176"/>
      <c r="J213" s="176"/>
      <c r="K213" s="176"/>
      <c r="L213" s="176"/>
      <c r="M213" s="176"/>
      <c r="N213" s="176" t="e">
        <f>VLOOKUP(B:B,'QT Second level review'!C:O,10,0)</f>
        <v>#N/A</v>
      </c>
      <c r="O213" s="158"/>
      <c r="P213" s="158"/>
      <c r="Q213" s="158"/>
      <c r="R213" s="158"/>
      <c r="S213" s="158"/>
    </row>
    <row r="214" spans="1:19">
      <c r="A214" s="158" t="str">
        <f t="shared" si="3"/>
        <v>Test not reviewed</v>
      </c>
      <c r="B214" s="176"/>
      <c r="C214" s="176"/>
      <c r="D214" s="176"/>
      <c r="E214" s="176"/>
      <c r="F214" s="158"/>
      <c r="G214" s="176"/>
      <c r="H214" s="176"/>
      <c r="I214" s="176"/>
      <c r="J214" s="176"/>
      <c r="K214" s="176"/>
      <c r="L214" s="176"/>
      <c r="M214" s="176"/>
      <c r="N214" s="176" t="e">
        <f>VLOOKUP(B:B,'QT Second level review'!C:O,10,0)</f>
        <v>#N/A</v>
      </c>
      <c r="O214" s="158"/>
      <c r="P214" s="158"/>
      <c r="Q214" s="158"/>
      <c r="R214" s="158"/>
      <c r="S214" s="158"/>
    </row>
    <row r="215" spans="1:19">
      <c r="A215" s="158" t="str">
        <f t="shared" si="3"/>
        <v>Test not reviewed</v>
      </c>
      <c r="B215" s="176"/>
      <c r="C215" s="176"/>
      <c r="D215" s="176"/>
      <c r="E215" s="176"/>
      <c r="F215" s="158"/>
      <c r="G215" s="176"/>
      <c r="H215" s="176"/>
      <c r="I215" s="176"/>
      <c r="J215" s="176"/>
      <c r="K215" s="176"/>
      <c r="L215" s="176"/>
      <c r="M215" s="176"/>
      <c r="N215" s="176" t="e">
        <f>VLOOKUP(B:B,'QT Second level review'!C:O,10,0)</f>
        <v>#N/A</v>
      </c>
      <c r="O215" s="158"/>
      <c r="P215" s="158"/>
      <c r="Q215" s="158"/>
      <c r="R215" s="158"/>
      <c r="S215" s="158"/>
    </row>
    <row r="216" spans="1:19">
      <c r="A216" s="158" t="str">
        <f t="shared" si="3"/>
        <v>Test not reviewed</v>
      </c>
      <c r="B216" s="176"/>
      <c r="C216" s="176"/>
      <c r="D216" s="176"/>
      <c r="E216" s="176"/>
      <c r="F216" s="158"/>
      <c r="G216" s="176"/>
      <c r="H216" s="176"/>
      <c r="I216" s="176"/>
      <c r="J216" s="176"/>
      <c r="K216" s="176"/>
      <c r="L216" s="176"/>
      <c r="M216" s="176"/>
      <c r="N216" s="176" t="e">
        <f>VLOOKUP(B:B,'QT Second level review'!C:O,10,0)</f>
        <v>#N/A</v>
      </c>
      <c r="O216" s="158"/>
      <c r="P216" s="158"/>
      <c r="Q216" s="158"/>
      <c r="R216" s="158"/>
      <c r="S216" s="158"/>
    </row>
    <row r="217" spans="1:19">
      <c r="A217" s="158" t="str">
        <f t="shared" si="3"/>
        <v>Test not reviewed</v>
      </c>
      <c r="B217" s="176"/>
      <c r="C217" s="176"/>
      <c r="D217" s="176"/>
      <c r="E217" s="176"/>
      <c r="F217" s="158"/>
      <c r="G217" s="176"/>
      <c r="H217" s="176"/>
      <c r="I217" s="176"/>
      <c r="J217" s="176"/>
      <c r="K217" s="176"/>
      <c r="L217" s="176"/>
      <c r="M217" s="176"/>
      <c r="N217" s="176" t="e">
        <f>VLOOKUP(B:B,'QT Second level review'!C:O,10,0)</f>
        <v>#N/A</v>
      </c>
      <c r="O217" s="158"/>
      <c r="P217" s="158"/>
      <c r="Q217" s="158"/>
      <c r="R217" s="158"/>
      <c r="S217" s="158"/>
    </row>
    <row r="218" spans="1:19">
      <c r="A218" s="158" t="str">
        <f t="shared" si="3"/>
        <v>Test not reviewed</v>
      </c>
      <c r="B218" s="176"/>
      <c r="C218" s="176"/>
      <c r="D218" s="176"/>
      <c r="E218" s="176"/>
      <c r="F218" s="158"/>
      <c r="G218" s="176"/>
      <c r="H218" s="176"/>
      <c r="I218" s="176"/>
      <c r="J218" s="176"/>
      <c r="K218" s="176"/>
      <c r="L218" s="176"/>
      <c r="M218" s="176"/>
      <c r="N218" s="176" t="e">
        <f>VLOOKUP(B:B,'QT Second level review'!C:O,10,0)</f>
        <v>#N/A</v>
      </c>
      <c r="O218" s="158"/>
      <c r="P218" s="158"/>
      <c r="Q218" s="158"/>
      <c r="R218" s="158"/>
      <c r="S218" s="158"/>
    </row>
    <row r="219" spans="1:19">
      <c r="A219" s="158" t="str">
        <f t="shared" si="3"/>
        <v>Test not reviewed</v>
      </c>
      <c r="B219" s="176"/>
      <c r="C219" s="176"/>
      <c r="D219" s="176"/>
      <c r="E219" s="176"/>
      <c r="F219" s="158"/>
      <c r="G219" s="176"/>
      <c r="H219" s="176"/>
      <c r="I219" s="176"/>
      <c r="J219" s="176"/>
      <c r="K219" s="176"/>
      <c r="L219" s="176"/>
      <c r="M219" s="176"/>
      <c r="N219" s="176" t="e">
        <f>VLOOKUP(B:B,'QT Second level review'!C:O,10,0)</f>
        <v>#N/A</v>
      </c>
      <c r="O219" s="158"/>
      <c r="P219" s="158"/>
      <c r="Q219" s="158"/>
      <c r="R219" s="158"/>
      <c r="S219" s="158"/>
    </row>
    <row r="220" spans="1:19">
      <c r="A220" s="158" t="str">
        <f t="shared" si="3"/>
        <v>Test not reviewed</v>
      </c>
      <c r="B220" s="176"/>
      <c r="C220" s="176"/>
      <c r="D220" s="176"/>
      <c r="E220" s="176"/>
      <c r="F220" s="158"/>
      <c r="G220" s="176"/>
      <c r="H220" s="176"/>
      <c r="I220" s="176"/>
      <c r="J220" s="176"/>
      <c r="K220" s="176"/>
      <c r="L220" s="176"/>
      <c r="M220" s="176"/>
      <c r="N220" s="176" t="e">
        <f>VLOOKUP(B:B,'QT Second level review'!C:O,10,0)</f>
        <v>#N/A</v>
      </c>
      <c r="O220" s="158"/>
      <c r="P220" s="158"/>
      <c r="Q220" s="158"/>
      <c r="R220" s="158"/>
      <c r="S220" s="158"/>
    </row>
    <row r="221" spans="1:19">
      <c r="A221" s="158" t="str">
        <f t="shared" si="3"/>
        <v>Test not reviewed</v>
      </c>
      <c r="B221" s="176"/>
      <c r="C221" s="176"/>
      <c r="D221" s="176"/>
      <c r="E221" s="176"/>
      <c r="F221" s="158"/>
      <c r="G221" s="176"/>
      <c r="H221" s="176"/>
      <c r="I221" s="176"/>
      <c r="J221" s="176"/>
      <c r="K221" s="176"/>
      <c r="L221" s="176"/>
      <c r="M221" s="176"/>
      <c r="N221" s="176" t="e">
        <f>VLOOKUP(B:B,'QT Second level review'!C:O,10,0)</f>
        <v>#N/A</v>
      </c>
      <c r="O221" s="158"/>
      <c r="P221" s="158"/>
      <c r="Q221" s="158"/>
      <c r="R221" s="158"/>
      <c r="S221" s="158"/>
    </row>
    <row r="222" spans="1:19">
      <c r="A222" s="158" t="str">
        <f t="shared" si="3"/>
        <v>Test not reviewed</v>
      </c>
      <c r="B222" s="176"/>
      <c r="C222" s="176"/>
      <c r="D222" s="176"/>
      <c r="E222" s="176"/>
      <c r="F222" s="158"/>
      <c r="G222" s="176"/>
      <c r="H222" s="176"/>
      <c r="I222" s="176"/>
      <c r="J222" s="176"/>
      <c r="K222" s="176"/>
      <c r="L222" s="176"/>
      <c r="M222" s="176"/>
      <c r="N222" s="176" t="e">
        <f>VLOOKUP(B:B,'QT Second level review'!C:O,10,0)</f>
        <v>#N/A</v>
      </c>
      <c r="O222" s="158"/>
      <c r="P222" s="158"/>
      <c r="Q222" s="158"/>
      <c r="R222" s="158"/>
      <c r="S222" s="158"/>
    </row>
    <row r="223" spans="1:19">
      <c r="A223" s="158" t="str">
        <f t="shared" si="3"/>
        <v>Test not reviewed</v>
      </c>
      <c r="B223" s="176"/>
      <c r="C223" s="176"/>
      <c r="D223" s="176"/>
      <c r="E223" s="176"/>
      <c r="F223" s="158"/>
      <c r="G223" s="176"/>
      <c r="H223" s="176"/>
      <c r="I223" s="176"/>
      <c r="J223" s="176"/>
      <c r="K223" s="176"/>
      <c r="L223" s="176"/>
      <c r="M223" s="176"/>
      <c r="N223" s="176" t="e">
        <f>VLOOKUP(B:B,'QT Second level review'!C:O,10,0)</f>
        <v>#N/A</v>
      </c>
      <c r="O223" s="158"/>
      <c r="P223" s="158"/>
      <c r="Q223" s="158"/>
      <c r="R223" s="158"/>
      <c r="S223" s="158"/>
    </row>
    <row r="224" spans="1:19">
      <c r="A224" s="158" t="str">
        <f t="shared" si="3"/>
        <v>Test not reviewed</v>
      </c>
      <c r="B224" s="176"/>
      <c r="C224" s="176"/>
      <c r="D224" s="176"/>
      <c r="E224" s="176"/>
      <c r="F224" s="158"/>
      <c r="G224" s="176"/>
      <c r="H224" s="176"/>
      <c r="I224" s="176"/>
      <c r="J224" s="176"/>
      <c r="K224" s="176"/>
      <c r="L224" s="176"/>
      <c r="M224" s="176"/>
      <c r="N224" s="176" t="e">
        <f>VLOOKUP(B:B,'QT Second level review'!C:O,10,0)</f>
        <v>#N/A</v>
      </c>
      <c r="O224" s="158"/>
      <c r="P224" s="158"/>
      <c r="Q224" s="158"/>
      <c r="R224" s="158"/>
      <c r="S224" s="158"/>
    </row>
    <row r="225" spans="1:19">
      <c r="A225" s="158" t="str">
        <f t="shared" si="3"/>
        <v>Test not reviewed</v>
      </c>
      <c r="B225" s="176"/>
      <c r="C225" s="176"/>
      <c r="D225" s="176"/>
      <c r="E225" s="176"/>
      <c r="F225" s="158"/>
      <c r="G225" s="176"/>
      <c r="H225" s="176"/>
      <c r="I225" s="176"/>
      <c r="J225" s="176"/>
      <c r="K225" s="176"/>
      <c r="L225" s="176"/>
      <c r="M225" s="176"/>
      <c r="N225" s="176" t="e">
        <f>VLOOKUP(B:B,'QT Second level review'!C:O,10,0)</f>
        <v>#N/A</v>
      </c>
      <c r="O225" s="158"/>
      <c r="P225" s="158"/>
      <c r="Q225" s="158"/>
      <c r="R225" s="158"/>
      <c r="S225" s="158"/>
    </row>
    <row r="226" spans="1:19">
      <c r="A226" s="158" t="str">
        <f t="shared" si="3"/>
        <v>Test not reviewed</v>
      </c>
      <c r="B226" s="176"/>
      <c r="C226" s="176"/>
      <c r="D226" s="176"/>
      <c r="E226" s="176"/>
      <c r="F226" s="158"/>
      <c r="G226" s="176"/>
      <c r="H226" s="176"/>
      <c r="I226" s="176"/>
      <c r="J226" s="176"/>
      <c r="K226" s="176"/>
      <c r="L226" s="176"/>
      <c r="M226" s="176"/>
      <c r="N226" s="176" t="e">
        <f>VLOOKUP(B:B,'QT Second level review'!C:O,10,0)</f>
        <v>#N/A</v>
      </c>
      <c r="O226" s="158"/>
      <c r="P226" s="158"/>
      <c r="Q226" s="158"/>
      <c r="R226" s="158"/>
      <c r="S226" s="158"/>
    </row>
    <row r="227" spans="1:19">
      <c r="A227" s="158" t="str">
        <f t="shared" si="3"/>
        <v>Test not reviewed</v>
      </c>
      <c r="B227" s="176"/>
      <c r="C227" s="176"/>
      <c r="D227" s="176"/>
      <c r="E227" s="176"/>
      <c r="F227" s="158"/>
      <c r="G227" s="176"/>
      <c r="H227" s="176"/>
      <c r="I227" s="176"/>
      <c r="J227" s="176"/>
      <c r="K227" s="176"/>
      <c r="L227" s="176"/>
      <c r="M227" s="176"/>
      <c r="N227" s="176" t="e">
        <f>VLOOKUP(B:B,'QT Second level review'!C:O,10,0)</f>
        <v>#N/A</v>
      </c>
      <c r="O227" s="158"/>
      <c r="P227" s="158"/>
      <c r="Q227" s="158"/>
      <c r="R227" s="158"/>
      <c r="S227" s="158"/>
    </row>
    <row r="228" spans="1:19">
      <c r="A228" s="158" t="str">
        <f t="shared" si="3"/>
        <v>Test not reviewed</v>
      </c>
      <c r="B228" s="176"/>
      <c r="C228" s="176"/>
      <c r="D228" s="176"/>
      <c r="E228" s="176"/>
      <c r="F228" s="158"/>
      <c r="G228" s="176"/>
      <c r="H228" s="176"/>
      <c r="I228" s="176"/>
      <c r="J228" s="176"/>
      <c r="K228" s="176"/>
      <c r="L228" s="176"/>
      <c r="M228" s="176"/>
      <c r="N228" s="176" t="e">
        <f>VLOOKUP(B:B,'QT Second level review'!C:O,10,0)</f>
        <v>#N/A</v>
      </c>
      <c r="O228" s="158"/>
      <c r="P228" s="158"/>
      <c r="Q228" s="158"/>
      <c r="R228" s="158"/>
      <c r="S228" s="158"/>
    </row>
    <row r="229" spans="1:19">
      <c r="A229" s="158" t="str">
        <f t="shared" si="3"/>
        <v>Test not reviewed</v>
      </c>
      <c r="B229" s="176"/>
      <c r="C229" s="176"/>
      <c r="D229" s="176"/>
      <c r="E229" s="176"/>
      <c r="F229" s="158"/>
      <c r="G229" s="176"/>
      <c r="H229" s="176"/>
      <c r="I229" s="176"/>
      <c r="J229" s="176"/>
      <c r="K229" s="176"/>
      <c r="L229" s="176"/>
      <c r="M229" s="176"/>
      <c r="N229" s="176" t="e">
        <f>VLOOKUP(B:B,'QT Second level review'!C:O,10,0)</f>
        <v>#N/A</v>
      </c>
      <c r="O229" s="158"/>
      <c r="P229" s="158"/>
      <c r="Q229" s="158"/>
      <c r="R229" s="158"/>
      <c r="S229" s="158"/>
    </row>
    <row r="230" spans="1:19">
      <c r="A230" s="158" t="str">
        <f t="shared" si="3"/>
        <v>Test not reviewed</v>
      </c>
      <c r="B230" s="176"/>
      <c r="C230" s="176"/>
      <c r="D230" s="176"/>
      <c r="E230" s="176"/>
      <c r="F230" s="158"/>
      <c r="G230" s="176"/>
      <c r="H230" s="176"/>
      <c r="I230" s="176"/>
      <c r="J230" s="176"/>
      <c r="K230" s="176"/>
      <c r="L230" s="176"/>
      <c r="M230" s="176"/>
      <c r="N230" s="176" t="e">
        <f>VLOOKUP(B:B,'QT Second level review'!C:O,10,0)</f>
        <v>#N/A</v>
      </c>
      <c r="O230" s="158"/>
      <c r="P230" s="158"/>
      <c r="Q230" s="158"/>
      <c r="R230" s="158"/>
      <c r="S230" s="158"/>
    </row>
    <row r="231" spans="1:19">
      <c r="A231" s="158" t="str">
        <f t="shared" si="3"/>
        <v>Test not reviewed</v>
      </c>
      <c r="B231" s="176"/>
      <c r="C231" s="176"/>
      <c r="D231" s="176"/>
      <c r="E231" s="176"/>
      <c r="F231" s="158"/>
      <c r="G231" s="176"/>
      <c r="H231" s="176"/>
      <c r="I231" s="176"/>
      <c r="J231" s="176"/>
      <c r="K231" s="176"/>
      <c r="L231" s="176"/>
      <c r="M231" s="176"/>
      <c r="N231" s="176" t="e">
        <f>VLOOKUP(B:B,'QT Second level review'!C:O,10,0)</f>
        <v>#N/A</v>
      </c>
      <c r="O231" s="158"/>
      <c r="P231" s="158"/>
      <c r="Q231" s="158"/>
      <c r="R231" s="158"/>
      <c r="S231" s="158"/>
    </row>
    <row r="232" spans="1:19">
      <c r="A232" s="158" t="str">
        <f t="shared" si="3"/>
        <v>Test not reviewed</v>
      </c>
      <c r="B232" s="176"/>
      <c r="C232" s="176"/>
      <c r="D232" s="176"/>
      <c r="E232" s="176"/>
      <c r="F232" s="158"/>
      <c r="G232" s="176"/>
      <c r="H232" s="176"/>
      <c r="I232" s="176"/>
      <c r="J232" s="176"/>
      <c r="K232" s="176"/>
      <c r="L232" s="176"/>
      <c r="M232" s="176"/>
      <c r="N232" s="176" t="e">
        <f>VLOOKUP(B:B,'QT Second level review'!C:O,10,0)</f>
        <v>#N/A</v>
      </c>
      <c r="O232" s="158"/>
      <c r="P232" s="158"/>
      <c r="Q232" s="158"/>
      <c r="R232" s="158"/>
      <c r="S232" s="158"/>
    </row>
    <row r="233" spans="1:19">
      <c r="A233" s="158" t="str">
        <f t="shared" si="3"/>
        <v>Test not reviewed</v>
      </c>
      <c r="B233" s="176"/>
      <c r="C233" s="176"/>
      <c r="D233" s="176"/>
      <c r="E233" s="176"/>
      <c r="F233" s="158"/>
      <c r="G233" s="176"/>
      <c r="H233" s="176"/>
      <c r="I233" s="176"/>
      <c r="J233" s="176"/>
      <c r="K233" s="176"/>
      <c r="L233" s="176"/>
      <c r="M233" s="176"/>
      <c r="N233" s="176" t="e">
        <f>VLOOKUP(B:B,'QT Second level review'!C:O,10,0)</f>
        <v>#N/A</v>
      </c>
      <c r="O233" s="158"/>
      <c r="P233" s="158"/>
      <c r="Q233" s="158"/>
      <c r="R233" s="158"/>
      <c r="S233" s="158"/>
    </row>
    <row r="234" spans="1:19">
      <c r="A234" s="158" t="str">
        <f t="shared" si="3"/>
        <v>Test not reviewed</v>
      </c>
      <c r="B234" s="176"/>
      <c r="C234" s="176"/>
      <c r="D234" s="176"/>
      <c r="E234" s="176"/>
      <c r="F234" s="158"/>
      <c r="G234" s="176"/>
      <c r="H234" s="176"/>
      <c r="I234" s="176"/>
      <c r="J234" s="176"/>
      <c r="K234" s="176"/>
      <c r="L234" s="176"/>
      <c r="M234" s="176"/>
      <c r="N234" s="176" t="e">
        <f>VLOOKUP(B:B,'QT Second level review'!C:O,10,0)</f>
        <v>#N/A</v>
      </c>
      <c r="O234" s="158"/>
      <c r="P234" s="158"/>
      <c r="Q234" s="158"/>
      <c r="R234" s="158"/>
      <c r="S234" s="158"/>
    </row>
    <row r="235" spans="1:19">
      <c r="A235" s="158" t="str">
        <f t="shared" si="3"/>
        <v>Test not reviewed</v>
      </c>
      <c r="B235" s="176"/>
      <c r="C235" s="176"/>
      <c r="D235" s="176"/>
      <c r="E235" s="176"/>
      <c r="F235" s="158"/>
      <c r="G235" s="176"/>
      <c r="H235" s="176"/>
      <c r="I235" s="176"/>
      <c r="J235" s="176"/>
      <c r="K235" s="176"/>
      <c r="L235" s="176"/>
      <c r="M235" s="176"/>
      <c r="N235" s="176" t="e">
        <f>VLOOKUP(B:B,'QT Second level review'!C:O,10,0)</f>
        <v>#N/A</v>
      </c>
      <c r="O235" s="158"/>
      <c r="P235" s="158"/>
      <c r="Q235" s="158"/>
      <c r="R235" s="158"/>
      <c r="S235" s="158"/>
    </row>
    <row r="236" spans="1:19">
      <c r="A236" s="158" t="str">
        <f t="shared" si="3"/>
        <v>Test not reviewed</v>
      </c>
      <c r="B236" s="176"/>
      <c r="C236" s="176"/>
      <c r="D236" s="176"/>
      <c r="E236" s="176"/>
      <c r="F236" s="158"/>
      <c r="G236" s="176"/>
      <c r="H236" s="176"/>
      <c r="I236" s="176"/>
      <c r="J236" s="176"/>
      <c r="K236" s="176"/>
      <c r="L236" s="176"/>
      <c r="M236" s="176"/>
      <c r="N236" s="176" t="e">
        <f>VLOOKUP(B:B,'QT Second level review'!C:O,10,0)</f>
        <v>#N/A</v>
      </c>
      <c r="O236" s="158"/>
      <c r="P236" s="158"/>
      <c r="Q236" s="158"/>
      <c r="R236" s="158"/>
      <c r="S236" s="158"/>
    </row>
    <row r="237" spans="1:19">
      <c r="A237" s="158" t="str">
        <f t="shared" si="3"/>
        <v>Test not reviewed</v>
      </c>
      <c r="B237" s="176"/>
      <c r="C237" s="176"/>
      <c r="D237" s="176"/>
      <c r="E237" s="176"/>
      <c r="F237" s="158"/>
      <c r="G237" s="176"/>
      <c r="H237" s="176"/>
      <c r="I237" s="176"/>
      <c r="J237" s="176"/>
      <c r="K237" s="176"/>
      <c r="L237" s="176"/>
      <c r="M237" s="176"/>
      <c r="N237" s="176" t="e">
        <f>VLOOKUP(B:B,'QT Second level review'!C:O,10,0)</f>
        <v>#N/A</v>
      </c>
      <c r="O237" s="158"/>
      <c r="P237" s="158"/>
      <c r="Q237" s="158"/>
      <c r="R237" s="158"/>
      <c r="S237" s="158"/>
    </row>
    <row r="238" spans="1:19">
      <c r="A238" s="158" t="str">
        <f t="shared" si="3"/>
        <v>Test not reviewed</v>
      </c>
      <c r="B238" s="176"/>
      <c r="C238" s="176"/>
      <c r="D238" s="176"/>
      <c r="E238" s="176"/>
      <c r="F238" s="158"/>
      <c r="G238" s="176"/>
      <c r="H238" s="176"/>
      <c r="I238" s="176"/>
      <c r="J238" s="176"/>
      <c r="K238" s="176"/>
      <c r="L238" s="176"/>
      <c r="M238" s="176"/>
      <c r="N238" s="176" t="e">
        <f>VLOOKUP(B:B,'QT Second level review'!C:O,10,0)</f>
        <v>#N/A</v>
      </c>
      <c r="O238" s="158"/>
      <c r="P238" s="158"/>
      <c r="Q238" s="158"/>
      <c r="R238" s="158"/>
      <c r="S238" s="158"/>
    </row>
    <row r="239" spans="1:19">
      <c r="A239" s="158" t="str">
        <f t="shared" si="3"/>
        <v>Test not reviewed</v>
      </c>
      <c r="B239" s="176"/>
      <c r="C239" s="176"/>
      <c r="D239" s="176"/>
      <c r="E239" s="176"/>
      <c r="F239" s="158"/>
      <c r="G239" s="176"/>
      <c r="H239" s="176"/>
      <c r="I239" s="176"/>
      <c r="J239" s="176"/>
      <c r="K239" s="176"/>
      <c r="L239" s="176"/>
      <c r="M239" s="176"/>
      <c r="N239" s="176" t="e">
        <f>VLOOKUP(B:B,'QT Second level review'!C:O,10,0)</f>
        <v>#N/A</v>
      </c>
      <c r="O239" s="158"/>
      <c r="P239" s="158"/>
      <c r="Q239" s="158"/>
      <c r="R239" s="158"/>
      <c r="S239" s="158"/>
    </row>
    <row r="240" spans="1:19">
      <c r="A240" s="158" t="str">
        <f t="shared" si="3"/>
        <v>Test not reviewed</v>
      </c>
      <c r="B240" s="176"/>
      <c r="C240" s="176"/>
      <c r="D240" s="176"/>
      <c r="E240" s="176"/>
      <c r="F240" s="158"/>
      <c r="G240" s="176"/>
      <c r="H240" s="176"/>
      <c r="I240" s="176"/>
      <c r="J240" s="176"/>
      <c r="K240" s="176"/>
      <c r="L240" s="176"/>
      <c r="M240" s="176"/>
      <c r="N240" s="176" t="e">
        <f>VLOOKUP(B:B,'QT Second level review'!C:O,10,0)</f>
        <v>#N/A</v>
      </c>
      <c r="O240" s="158"/>
      <c r="P240" s="158"/>
      <c r="Q240" s="158"/>
      <c r="R240" s="158"/>
      <c r="S240" s="158"/>
    </row>
    <row r="241" spans="1:19">
      <c r="A241" s="158" t="str">
        <f t="shared" si="3"/>
        <v>Test not reviewed</v>
      </c>
      <c r="B241" s="176"/>
      <c r="C241" s="176"/>
      <c r="D241" s="176"/>
      <c r="E241" s="176"/>
      <c r="F241" s="158"/>
      <c r="G241" s="176"/>
      <c r="H241" s="176"/>
      <c r="I241" s="176"/>
      <c r="J241" s="176"/>
      <c r="K241" s="176"/>
      <c r="L241" s="176"/>
      <c r="M241" s="176"/>
      <c r="N241" s="176" t="e">
        <f>VLOOKUP(B:B,'QT Second level review'!C:O,10,0)</f>
        <v>#N/A</v>
      </c>
      <c r="O241" s="158"/>
      <c r="P241" s="158"/>
      <c r="Q241" s="158"/>
      <c r="R241" s="158"/>
      <c r="S241" s="158"/>
    </row>
    <row r="242" spans="1:19">
      <c r="A242" s="158" t="str">
        <f t="shared" si="3"/>
        <v>Test not reviewed</v>
      </c>
      <c r="B242" s="176"/>
      <c r="C242" s="176"/>
      <c r="D242" s="176"/>
      <c r="E242" s="176"/>
      <c r="F242" s="158"/>
      <c r="G242" s="176"/>
      <c r="H242" s="176"/>
      <c r="I242" s="176"/>
      <c r="J242" s="176"/>
      <c r="K242" s="176"/>
      <c r="L242" s="176"/>
      <c r="M242" s="176"/>
      <c r="N242" s="176" t="e">
        <f>VLOOKUP(B:B,'QT Second level review'!C:O,10,0)</f>
        <v>#N/A</v>
      </c>
      <c r="O242" s="158"/>
      <c r="P242" s="158"/>
      <c r="Q242" s="158"/>
      <c r="R242" s="158"/>
      <c r="S242" s="158"/>
    </row>
    <row r="243" spans="1:19">
      <c r="A243" s="158" t="str">
        <f t="shared" si="3"/>
        <v>Test not reviewed</v>
      </c>
      <c r="B243" s="176"/>
      <c r="C243" s="176"/>
      <c r="D243" s="176"/>
      <c r="E243" s="176"/>
      <c r="F243" s="158"/>
      <c r="G243" s="176"/>
      <c r="H243" s="176"/>
      <c r="I243" s="176"/>
      <c r="J243" s="176"/>
      <c r="K243" s="176"/>
      <c r="L243" s="176"/>
      <c r="M243" s="176"/>
      <c r="N243" s="176" t="e">
        <f>VLOOKUP(B:B,'QT Second level review'!C:O,10,0)</f>
        <v>#N/A</v>
      </c>
      <c r="O243" s="158"/>
      <c r="P243" s="158"/>
      <c r="Q243" s="158"/>
      <c r="R243" s="158"/>
      <c r="S243" s="158"/>
    </row>
    <row r="244" spans="1:19">
      <c r="A244" s="158" t="str">
        <f t="shared" si="3"/>
        <v>Test not reviewed</v>
      </c>
      <c r="B244" s="176"/>
      <c r="C244" s="176"/>
      <c r="D244" s="176"/>
      <c r="E244" s="176"/>
      <c r="F244" s="158"/>
      <c r="G244" s="176"/>
      <c r="H244" s="176"/>
      <c r="I244" s="176"/>
      <c r="J244" s="176"/>
      <c r="K244" s="176"/>
      <c r="L244" s="176"/>
      <c r="M244" s="176"/>
      <c r="N244" s="176" t="e">
        <f>VLOOKUP(B:B,'QT Second level review'!C:O,10,0)</f>
        <v>#N/A</v>
      </c>
      <c r="O244" s="158"/>
      <c r="P244" s="158"/>
      <c r="Q244" s="158"/>
      <c r="R244" s="158"/>
      <c r="S244" s="158"/>
    </row>
    <row r="245" spans="1:19">
      <c r="A245" s="158" t="str">
        <f t="shared" si="3"/>
        <v>Test not reviewed</v>
      </c>
      <c r="B245" s="176"/>
      <c r="C245" s="176"/>
      <c r="D245" s="176"/>
      <c r="E245" s="176"/>
      <c r="F245" s="158"/>
      <c r="G245" s="176"/>
      <c r="H245" s="176"/>
      <c r="I245" s="176"/>
      <c r="J245" s="176"/>
      <c r="K245" s="176"/>
      <c r="L245" s="176"/>
      <c r="M245" s="176"/>
      <c r="N245" s="176" t="e">
        <f>VLOOKUP(B:B,'QT Second level review'!C:O,10,0)</f>
        <v>#N/A</v>
      </c>
      <c r="O245" s="158"/>
      <c r="P245" s="158"/>
      <c r="Q245" s="158"/>
      <c r="R245" s="158"/>
      <c r="S245" s="158"/>
    </row>
    <row r="246" spans="1:19">
      <c r="A246" s="158" t="str">
        <f t="shared" si="3"/>
        <v>Test not reviewed</v>
      </c>
      <c r="B246" s="176"/>
      <c r="C246" s="176"/>
      <c r="D246" s="176"/>
      <c r="E246" s="176"/>
      <c r="F246" s="158"/>
      <c r="G246" s="176"/>
      <c r="H246" s="176"/>
      <c r="I246" s="176"/>
      <c r="J246" s="176"/>
      <c r="K246" s="176"/>
      <c r="L246" s="176"/>
      <c r="M246" s="176"/>
      <c r="N246" s="176" t="e">
        <f>VLOOKUP(B:B,'QT Second level review'!C:O,10,0)</f>
        <v>#N/A</v>
      </c>
      <c r="O246" s="158"/>
      <c r="P246" s="158"/>
      <c r="Q246" s="158"/>
      <c r="R246" s="158"/>
      <c r="S246" s="158"/>
    </row>
    <row r="247" spans="1:19">
      <c r="A247" s="158" t="str">
        <f t="shared" si="3"/>
        <v>Test not reviewed</v>
      </c>
      <c r="B247" s="176"/>
      <c r="C247" s="176"/>
      <c r="D247" s="176"/>
      <c r="E247" s="176"/>
      <c r="F247" s="158"/>
      <c r="G247" s="176"/>
      <c r="H247" s="176"/>
      <c r="I247" s="176"/>
      <c r="J247" s="176"/>
      <c r="K247" s="176"/>
      <c r="L247" s="176"/>
      <c r="M247" s="176"/>
      <c r="N247" s="176" t="e">
        <f>VLOOKUP(B:B,'QT Second level review'!C:O,10,0)</f>
        <v>#N/A</v>
      </c>
      <c r="O247" s="158"/>
      <c r="P247" s="158"/>
      <c r="Q247" s="158"/>
      <c r="R247" s="158"/>
      <c r="S247" s="158"/>
    </row>
    <row r="248" spans="1:19">
      <c r="A248" s="158" t="str">
        <f t="shared" si="3"/>
        <v>Test not reviewed</v>
      </c>
      <c r="B248" s="176"/>
      <c r="C248" s="176"/>
      <c r="D248" s="176"/>
      <c r="E248" s="176"/>
      <c r="F248" s="158"/>
      <c r="G248" s="176"/>
      <c r="H248" s="176"/>
      <c r="I248" s="176"/>
      <c r="J248" s="176"/>
      <c r="K248" s="176"/>
      <c r="L248" s="176"/>
      <c r="M248" s="176"/>
      <c r="N248" s="176" t="e">
        <f>VLOOKUP(B:B,'QT Second level review'!C:O,10,0)</f>
        <v>#N/A</v>
      </c>
      <c r="O248" s="158"/>
      <c r="P248" s="158"/>
      <c r="Q248" s="158"/>
      <c r="R248" s="158"/>
      <c r="S248" s="158"/>
    </row>
    <row r="249" spans="1:19">
      <c r="A249" s="158" t="str">
        <f t="shared" si="3"/>
        <v>Test not reviewed</v>
      </c>
      <c r="B249" s="176"/>
      <c r="C249" s="176"/>
      <c r="D249" s="176"/>
      <c r="E249" s="176"/>
      <c r="F249" s="158"/>
      <c r="G249" s="176"/>
      <c r="H249" s="176"/>
      <c r="I249" s="176"/>
      <c r="J249" s="176"/>
      <c r="K249" s="176"/>
      <c r="L249" s="176"/>
      <c r="M249" s="176"/>
      <c r="N249" s="176" t="e">
        <f>VLOOKUP(B:B,'QT Second level review'!C:O,10,0)</f>
        <v>#N/A</v>
      </c>
      <c r="O249" s="158"/>
      <c r="P249" s="158"/>
      <c r="Q249" s="158"/>
      <c r="R249" s="158"/>
      <c r="S249" s="158"/>
    </row>
    <row r="250" spans="1:19">
      <c r="A250" s="158" t="str">
        <f t="shared" si="3"/>
        <v>Test not reviewed</v>
      </c>
      <c r="B250" s="176"/>
      <c r="C250" s="176"/>
      <c r="D250" s="176"/>
      <c r="E250" s="176"/>
      <c r="F250" s="158"/>
      <c r="G250" s="176"/>
      <c r="H250" s="176"/>
      <c r="I250" s="176"/>
      <c r="J250" s="176"/>
      <c r="K250" s="176"/>
      <c r="L250" s="176"/>
      <c r="M250" s="176"/>
      <c r="N250" s="176" t="e">
        <f>VLOOKUP(B:B,'QT Second level review'!C:O,10,0)</f>
        <v>#N/A</v>
      </c>
      <c r="O250" s="158"/>
      <c r="P250" s="158"/>
      <c r="Q250" s="158"/>
      <c r="R250" s="158"/>
      <c r="S250" s="158"/>
    </row>
    <row r="251" spans="1:19">
      <c r="A251" s="158" t="str">
        <f t="shared" si="3"/>
        <v>Test not reviewed</v>
      </c>
      <c r="B251" s="176"/>
      <c r="C251" s="176"/>
      <c r="D251" s="176"/>
      <c r="E251" s="176"/>
      <c r="F251" s="158"/>
      <c r="G251" s="176"/>
      <c r="H251" s="176"/>
      <c r="I251" s="176"/>
      <c r="J251" s="176"/>
      <c r="K251" s="176"/>
      <c r="L251" s="176"/>
      <c r="M251" s="176"/>
      <c r="N251" s="176" t="e">
        <f>VLOOKUP(B:B,'QT Second level review'!C:O,10,0)</f>
        <v>#N/A</v>
      </c>
      <c r="O251" s="158"/>
      <c r="P251" s="158"/>
      <c r="Q251" s="158"/>
      <c r="R251" s="158"/>
      <c r="S251" s="158"/>
    </row>
    <row r="252" spans="1:19">
      <c r="A252" s="158" t="str">
        <f t="shared" si="3"/>
        <v>Test not reviewed</v>
      </c>
      <c r="B252" s="176"/>
      <c r="C252" s="176"/>
      <c r="D252" s="176"/>
      <c r="E252" s="176"/>
      <c r="F252" s="158"/>
      <c r="G252" s="176"/>
      <c r="H252" s="176"/>
      <c r="I252" s="176"/>
      <c r="J252" s="176"/>
      <c r="K252" s="176"/>
      <c r="L252" s="176"/>
      <c r="M252" s="176"/>
      <c r="N252" s="176" t="e">
        <f>VLOOKUP(B:B,'QT Second level review'!C:O,10,0)</f>
        <v>#N/A</v>
      </c>
      <c r="O252" s="158"/>
      <c r="P252" s="158"/>
      <c r="Q252" s="158"/>
      <c r="R252" s="158"/>
      <c r="S252" s="158"/>
    </row>
    <row r="253" spans="1:19">
      <c r="A253" s="158" t="str">
        <f t="shared" si="3"/>
        <v>Test not reviewed</v>
      </c>
      <c r="B253" s="176"/>
      <c r="C253" s="176"/>
      <c r="D253" s="176"/>
      <c r="E253" s="176"/>
      <c r="F253" s="158"/>
      <c r="G253" s="176"/>
      <c r="H253" s="176"/>
      <c r="I253" s="176"/>
      <c r="J253" s="176"/>
      <c r="K253" s="176"/>
      <c r="L253" s="176"/>
      <c r="M253" s="176"/>
      <c r="N253" s="176" t="e">
        <f>VLOOKUP(B:B,'QT Second level review'!C:O,10,0)</f>
        <v>#N/A</v>
      </c>
      <c r="O253" s="158"/>
      <c r="P253" s="158"/>
      <c r="Q253" s="158"/>
      <c r="R253" s="158"/>
      <c r="S253" s="158"/>
    </row>
    <row r="254" spans="1:19">
      <c r="A254" s="158" t="str">
        <f t="shared" si="3"/>
        <v>Test not reviewed</v>
      </c>
      <c r="B254" s="176"/>
      <c r="C254" s="176"/>
      <c r="D254" s="176"/>
      <c r="E254" s="176"/>
      <c r="F254" s="158"/>
      <c r="G254" s="176"/>
      <c r="H254" s="176"/>
      <c r="I254" s="176"/>
      <c r="J254" s="176"/>
      <c r="K254" s="176"/>
      <c r="L254" s="176"/>
      <c r="M254" s="176"/>
      <c r="N254" s="176" t="e">
        <f>VLOOKUP(B:B,'QT Second level review'!C:O,10,0)</f>
        <v>#N/A</v>
      </c>
      <c r="O254" s="158"/>
      <c r="P254" s="158"/>
      <c r="Q254" s="158"/>
      <c r="R254" s="158"/>
      <c r="S254" s="158"/>
    </row>
    <row r="255" spans="1:19">
      <c r="A255" s="158" t="str">
        <f t="shared" si="3"/>
        <v>Test not reviewed</v>
      </c>
      <c r="B255" s="176"/>
      <c r="C255" s="176"/>
      <c r="D255" s="176"/>
      <c r="E255" s="176"/>
      <c r="F255" s="158"/>
      <c r="G255" s="176"/>
      <c r="H255" s="176"/>
      <c r="I255" s="176"/>
      <c r="J255" s="176"/>
      <c r="K255" s="176"/>
      <c r="L255" s="176"/>
      <c r="M255" s="176"/>
      <c r="N255" s="176" t="e">
        <f>VLOOKUP(B:B,'QT Second level review'!C:O,10,0)</f>
        <v>#N/A</v>
      </c>
      <c r="O255" s="158"/>
      <c r="P255" s="158"/>
      <c r="Q255" s="158"/>
      <c r="R255" s="158"/>
      <c r="S255" s="158"/>
    </row>
    <row r="256" spans="1:19">
      <c r="A256" s="158" t="str">
        <f t="shared" si="3"/>
        <v>Test not reviewed</v>
      </c>
      <c r="B256" s="176"/>
      <c r="C256" s="176"/>
      <c r="D256" s="176"/>
      <c r="E256" s="176"/>
      <c r="F256" s="158"/>
      <c r="G256" s="176"/>
      <c r="H256" s="176"/>
      <c r="I256" s="176"/>
      <c r="J256" s="176"/>
      <c r="K256" s="176"/>
      <c r="L256" s="176"/>
      <c r="M256" s="176"/>
      <c r="N256" s="176" t="e">
        <f>VLOOKUP(B:B,'QT Second level review'!C:O,10,0)</f>
        <v>#N/A</v>
      </c>
      <c r="O256" s="158"/>
      <c r="P256" s="158"/>
      <c r="Q256" s="158"/>
      <c r="R256" s="158"/>
      <c r="S256" s="158"/>
    </row>
    <row r="257" spans="1:19">
      <c r="A257" s="158" t="str">
        <f t="shared" si="3"/>
        <v>Test not reviewed</v>
      </c>
      <c r="B257" s="176"/>
      <c r="C257" s="176"/>
      <c r="D257" s="176"/>
      <c r="E257" s="176"/>
      <c r="F257" s="158"/>
      <c r="G257" s="176"/>
      <c r="H257" s="176"/>
      <c r="I257" s="176"/>
      <c r="J257" s="176"/>
      <c r="K257" s="176"/>
      <c r="L257" s="176"/>
      <c r="M257" s="176"/>
      <c r="N257" s="176" t="e">
        <f>VLOOKUP(B:B,'QT Second level review'!C:O,10,0)</f>
        <v>#N/A</v>
      </c>
      <c r="O257" s="158"/>
      <c r="P257" s="158"/>
      <c r="Q257" s="158"/>
      <c r="R257" s="158"/>
      <c r="S257" s="158"/>
    </row>
    <row r="258" spans="1:19">
      <c r="A258" s="158" t="str">
        <f t="shared" si="3"/>
        <v>Test not reviewed</v>
      </c>
      <c r="B258" s="176"/>
      <c r="C258" s="176"/>
      <c r="D258" s="176"/>
      <c r="E258" s="176"/>
      <c r="F258" s="158"/>
      <c r="G258" s="176"/>
      <c r="H258" s="176"/>
      <c r="I258" s="176"/>
      <c r="J258" s="176"/>
      <c r="K258" s="176"/>
      <c r="L258" s="176"/>
      <c r="M258" s="176"/>
      <c r="N258" s="176" t="e">
        <f>VLOOKUP(B:B,'QT Second level review'!C:O,10,0)</f>
        <v>#N/A</v>
      </c>
      <c r="O258" s="158"/>
      <c r="P258" s="158"/>
      <c r="Q258" s="158"/>
      <c r="R258" s="158"/>
      <c r="S258" s="158"/>
    </row>
    <row r="259" spans="1:19">
      <c r="A259" s="158" t="str">
        <f t="shared" ref="A259:A284" si="4">IF(ISNA(N259),"Test not reviewed","OK")</f>
        <v>Test not reviewed</v>
      </c>
      <c r="B259" s="176"/>
      <c r="C259" s="176"/>
      <c r="D259" s="176"/>
      <c r="E259" s="176"/>
      <c r="F259" s="158"/>
      <c r="G259" s="176"/>
      <c r="H259" s="176"/>
      <c r="I259" s="176"/>
      <c r="J259" s="176"/>
      <c r="K259" s="176"/>
      <c r="L259" s="176"/>
      <c r="M259" s="176"/>
      <c r="N259" s="176" t="e">
        <f>VLOOKUP(B:B,'QT Second level review'!C:O,10,0)</f>
        <v>#N/A</v>
      </c>
      <c r="O259" s="158"/>
      <c r="P259" s="158"/>
      <c r="Q259" s="158"/>
      <c r="R259" s="158"/>
      <c r="S259" s="158"/>
    </row>
    <row r="260" spans="1:19">
      <c r="A260" s="158" t="str">
        <f t="shared" si="4"/>
        <v>Test not reviewed</v>
      </c>
      <c r="B260" s="176"/>
      <c r="C260" s="176"/>
      <c r="D260" s="176"/>
      <c r="E260" s="176"/>
      <c r="F260" s="158"/>
      <c r="G260" s="176"/>
      <c r="H260" s="176"/>
      <c r="I260" s="176"/>
      <c r="J260" s="176"/>
      <c r="K260" s="176"/>
      <c r="L260" s="176"/>
      <c r="M260" s="176"/>
      <c r="N260" s="176" t="e">
        <f>VLOOKUP(B:B,'QT Second level review'!C:O,10,0)</f>
        <v>#N/A</v>
      </c>
      <c r="O260" s="158"/>
      <c r="P260" s="158"/>
      <c r="Q260" s="158"/>
      <c r="R260" s="158"/>
      <c r="S260" s="158"/>
    </row>
    <row r="261" spans="1:19">
      <c r="A261" s="158" t="str">
        <f t="shared" si="4"/>
        <v>Test not reviewed</v>
      </c>
      <c r="B261" s="176"/>
      <c r="C261" s="176"/>
      <c r="D261" s="176"/>
      <c r="E261" s="176"/>
      <c r="F261" s="158"/>
      <c r="G261" s="176"/>
      <c r="H261" s="176"/>
      <c r="I261" s="176"/>
      <c r="J261" s="176"/>
      <c r="K261" s="176"/>
      <c r="L261" s="176"/>
      <c r="M261" s="176"/>
      <c r="N261" s="176" t="e">
        <f>VLOOKUP(B:B,'QT Second level review'!C:O,10,0)</f>
        <v>#N/A</v>
      </c>
      <c r="O261" s="158"/>
      <c r="P261" s="158"/>
      <c r="Q261" s="158"/>
      <c r="R261" s="158"/>
      <c r="S261" s="158"/>
    </row>
    <row r="262" spans="1:19">
      <c r="A262" s="158" t="str">
        <f t="shared" si="4"/>
        <v>Test not reviewed</v>
      </c>
      <c r="B262" s="176"/>
      <c r="C262" s="176"/>
      <c r="D262" s="176"/>
      <c r="E262" s="176"/>
      <c r="F262" s="158"/>
      <c r="G262" s="176"/>
      <c r="H262" s="176"/>
      <c r="I262" s="176"/>
      <c r="J262" s="176"/>
      <c r="K262" s="176"/>
      <c r="L262" s="176"/>
      <c r="M262" s="176"/>
      <c r="N262" s="176" t="e">
        <f>VLOOKUP(B:B,'QT Second level review'!C:O,10,0)</f>
        <v>#N/A</v>
      </c>
      <c r="O262" s="158"/>
      <c r="P262" s="158"/>
      <c r="Q262" s="158"/>
      <c r="R262" s="158"/>
      <c r="S262" s="158"/>
    </row>
    <row r="263" spans="1:19">
      <c r="A263" s="158" t="str">
        <f t="shared" si="4"/>
        <v>Test not reviewed</v>
      </c>
      <c r="B263" s="176"/>
      <c r="C263" s="176"/>
      <c r="D263" s="176"/>
      <c r="E263" s="176"/>
      <c r="F263" s="158"/>
      <c r="G263" s="176"/>
      <c r="H263" s="176"/>
      <c r="I263" s="176"/>
      <c r="J263" s="176"/>
      <c r="K263" s="176"/>
      <c r="L263" s="176"/>
      <c r="M263" s="176"/>
      <c r="N263" s="176" t="e">
        <f>VLOOKUP(B:B,'QT Second level review'!C:O,10,0)</f>
        <v>#N/A</v>
      </c>
      <c r="O263" s="158"/>
      <c r="P263" s="158"/>
      <c r="Q263" s="158"/>
      <c r="R263" s="158"/>
      <c r="S263" s="158"/>
    </row>
    <row r="264" spans="1:19">
      <c r="A264" s="158" t="str">
        <f t="shared" si="4"/>
        <v>Test not reviewed</v>
      </c>
      <c r="B264" s="176"/>
      <c r="C264" s="176"/>
      <c r="D264" s="176"/>
      <c r="E264" s="176"/>
      <c r="F264" s="158"/>
      <c r="G264" s="176"/>
      <c r="H264" s="176"/>
      <c r="I264" s="176"/>
      <c r="J264" s="176"/>
      <c r="K264" s="176"/>
      <c r="L264" s="176"/>
      <c r="M264" s="176"/>
      <c r="N264" s="176" t="e">
        <f>VLOOKUP(B:B,'QT Second level review'!C:O,10,0)</f>
        <v>#N/A</v>
      </c>
      <c r="O264" s="158"/>
      <c r="P264" s="158"/>
      <c r="Q264" s="158"/>
      <c r="R264" s="158"/>
      <c r="S264" s="158"/>
    </row>
    <row r="265" spans="1:19">
      <c r="A265" s="158" t="str">
        <f t="shared" si="4"/>
        <v>Test not reviewed</v>
      </c>
      <c r="B265" s="176"/>
      <c r="C265" s="176"/>
      <c r="D265" s="176"/>
      <c r="E265" s="176"/>
      <c r="F265" s="158"/>
      <c r="G265" s="176"/>
      <c r="H265" s="176"/>
      <c r="I265" s="176"/>
      <c r="J265" s="176"/>
      <c r="K265" s="176"/>
      <c r="L265" s="176"/>
      <c r="M265" s="176"/>
      <c r="N265" s="176" t="e">
        <f>VLOOKUP(B:B,'QT Second level review'!C:O,10,0)</f>
        <v>#N/A</v>
      </c>
      <c r="O265" s="158"/>
      <c r="P265" s="158"/>
      <c r="Q265" s="158"/>
      <c r="R265" s="158"/>
      <c r="S265" s="158"/>
    </row>
    <row r="266" spans="1:19">
      <c r="A266" s="158" t="str">
        <f t="shared" si="4"/>
        <v>Test not reviewed</v>
      </c>
      <c r="B266" s="176"/>
      <c r="C266" s="176"/>
      <c r="D266" s="176"/>
      <c r="E266" s="176"/>
      <c r="F266" s="158"/>
      <c r="G266" s="176"/>
      <c r="H266" s="176"/>
      <c r="I266" s="176"/>
      <c r="J266" s="176"/>
      <c r="K266" s="176"/>
      <c r="L266" s="176"/>
      <c r="M266" s="176"/>
      <c r="N266" s="176" t="e">
        <f>VLOOKUP(B:B,'QT Second level review'!C:O,10,0)</f>
        <v>#N/A</v>
      </c>
      <c r="O266" s="158"/>
      <c r="P266" s="158"/>
      <c r="Q266" s="158"/>
      <c r="R266" s="158"/>
      <c r="S266" s="158"/>
    </row>
    <row r="267" spans="1:19">
      <c r="A267" s="158" t="str">
        <f t="shared" si="4"/>
        <v>Test not reviewed</v>
      </c>
      <c r="B267" s="176"/>
      <c r="C267" s="176"/>
      <c r="D267" s="176"/>
      <c r="E267" s="176"/>
      <c r="F267" s="158"/>
      <c r="G267" s="176"/>
      <c r="H267" s="176"/>
      <c r="I267" s="176"/>
      <c r="J267" s="176"/>
      <c r="K267" s="176"/>
      <c r="L267" s="176"/>
      <c r="M267" s="176"/>
      <c r="N267" s="176" t="e">
        <f>VLOOKUP(B:B,'QT Second level review'!C:O,10,0)</f>
        <v>#N/A</v>
      </c>
      <c r="O267" s="158"/>
      <c r="P267" s="158"/>
      <c r="Q267" s="158"/>
      <c r="R267" s="158"/>
      <c r="S267" s="158"/>
    </row>
    <row r="268" spans="1:19">
      <c r="A268" s="158" t="str">
        <f t="shared" si="4"/>
        <v>Test not reviewed</v>
      </c>
      <c r="B268" s="176"/>
      <c r="C268" s="176"/>
      <c r="D268" s="176"/>
      <c r="E268" s="176"/>
      <c r="F268" s="158"/>
      <c r="G268" s="176"/>
      <c r="H268" s="176"/>
      <c r="I268" s="176"/>
      <c r="J268" s="176"/>
      <c r="K268" s="176"/>
      <c r="L268" s="176"/>
      <c r="M268" s="176"/>
      <c r="N268" s="176" t="e">
        <f>VLOOKUP(B:B,'QT Second level review'!C:O,10,0)</f>
        <v>#N/A</v>
      </c>
      <c r="O268" s="158"/>
      <c r="P268" s="158"/>
      <c r="Q268" s="158"/>
      <c r="R268" s="158"/>
      <c r="S268" s="158"/>
    </row>
    <row r="269" spans="1:19">
      <c r="A269" s="158" t="str">
        <f t="shared" si="4"/>
        <v>Test not reviewed</v>
      </c>
      <c r="B269" s="176"/>
      <c r="C269" s="176"/>
      <c r="D269" s="176"/>
      <c r="E269" s="176"/>
      <c r="F269" s="158"/>
      <c r="G269" s="176"/>
      <c r="H269" s="176"/>
      <c r="I269" s="176"/>
      <c r="J269" s="176"/>
      <c r="K269" s="176"/>
      <c r="L269" s="176"/>
      <c r="M269" s="176"/>
      <c r="N269" s="176" t="e">
        <f>VLOOKUP(B:B,'QT Second level review'!C:O,10,0)</f>
        <v>#N/A</v>
      </c>
      <c r="O269" s="158"/>
      <c r="P269" s="158"/>
      <c r="Q269" s="158"/>
      <c r="R269" s="158"/>
      <c r="S269" s="158"/>
    </row>
    <row r="270" spans="1:19">
      <c r="A270" s="158" t="str">
        <f t="shared" si="4"/>
        <v>Test not reviewed</v>
      </c>
      <c r="B270" s="176"/>
      <c r="C270" s="176"/>
      <c r="D270" s="176"/>
      <c r="E270" s="176"/>
      <c r="F270" s="158"/>
      <c r="G270" s="176"/>
      <c r="H270" s="176"/>
      <c r="I270" s="176"/>
      <c r="J270" s="176"/>
      <c r="K270" s="176"/>
      <c r="L270" s="176"/>
      <c r="M270" s="176"/>
      <c r="N270" s="176" t="e">
        <f>VLOOKUP(B:B,'QT Second level review'!C:O,10,0)</f>
        <v>#N/A</v>
      </c>
      <c r="O270" s="158"/>
      <c r="P270" s="158"/>
      <c r="Q270" s="158"/>
      <c r="R270" s="158"/>
      <c r="S270" s="158"/>
    </row>
    <row r="271" spans="1:19">
      <c r="A271" s="158" t="str">
        <f t="shared" si="4"/>
        <v>Test not reviewed</v>
      </c>
      <c r="B271" s="176"/>
      <c r="C271" s="176"/>
      <c r="D271" s="176"/>
      <c r="E271" s="176"/>
      <c r="F271" s="158"/>
      <c r="G271" s="176"/>
      <c r="H271" s="176"/>
      <c r="I271" s="176"/>
      <c r="J271" s="176"/>
      <c r="K271" s="176"/>
      <c r="L271" s="176"/>
      <c r="M271" s="176"/>
      <c r="N271" s="176" t="e">
        <f>VLOOKUP(B:B,'QT Second level review'!C:O,10,0)</f>
        <v>#N/A</v>
      </c>
      <c r="O271" s="158"/>
      <c r="P271" s="158"/>
      <c r="Q271" s="158"/>
      <c r="R271" s="158"/>
      <c r="S271" s="158"/>
    </row>
    <row r="272" spans="1:19">
      <c r="A272" s="158" t="str">
        <f t="shared" si="4"/>
        <v>Test not reviewed</v>
      </c>
      <c r="B272" s="176"/>
      <c r="C272" s="176"/>
      <c r="D272" s="176"/>
      <c r="E272" s="176"/>
      <c r="F272" s="158"/>
      <c r="G272" s="176"/>
      <c r="H272" s="176"/>
      <c r="I272" s="176"/>
      <c r="J272" s="176"/>
      <c r="K272" s="176"/>
      <c r="L272" s="176"/>
      <c r="M272" s="176"/>
      <c r="N272" s="176" t="e">
        <f>VLOOKUP(B:B,'QT Second level review'!C:O,10,0)</f>
        <v>#N/A</v>
      </c>
      <c r="O272" s="158"/>
      <c r="P272" s="158"/>
      <c r="Q272" s="158"/>
      <c r="R272" s="158"/>
      <c r="S272" s="158"/>
    </row>
    <row r="273" spans="1:19">
      <c r="A273" s="158" t="str">
        <f t="shared" si="4"/>
        <v>Test not reviewed</v>
      </c>
      <c r="B273" s="176"/>
      <c r="C273" s="176"/>
      <c r="D273" s="176"/>
      <c r="E273" s="176"/>
      <c r="F273" s="158"/>
      <c r="G273" s="176"/>
      <c r="H273" s="176"/>
      <c r="I273" s="176"/>
      <c r="J273" s="176"/>
      <c r="K273" s="176"/>
      <c r="L273" s="176"/>
      <c r="M273" s="176"/>
      <c r="N273" s="176" t="e">
        <f>VLOOKUP(B:B,'QT Second level review'!C:O,10,0)</f>
        <v>#N/A</v>
      </c>
      <c r="O273" s="158"/>
      <c r="P273" s="158"/>
      <c r="Q273" s="158"/>
      <c r="R273" s="158"/>
      <c r="S273" s="158"/>
    </row>
    <row r="274" spans="1:19">
      <c r="A274" s="158" t="str">
        <f t="shared" si="4"/>
        <v>Test not reviewed</v>
      </c>
      <c r="B274" s="176"/>
      <c r="C274" s="176"/>
      <c r="D274" s="176"/>
      <c r="E274" s="176"/>
      <c r="F274" s="158"/>
      <c r="G274" s="176"/>
      <c r="H274" s="176"/>
      <c r="I274" s="176"/>
      <c r="J274" s="176"/>
      <c r="K274" s="176"/>
      <c r="L274" s="176"/>
      <c r="M274" s="176"/>
      <c r="N274" s="176" t="e">
        <f>VLOOKUP(B:B,'QT Second level review'!C:O,10,0)</f>
        <v>#N/A</v>
      </c>
      <c r="O274" s="158"/>
      <c r="P274" s="158"/>
      <c r="Q274" s="158"/>
      <c r="R274" s="158"/>
      <c r="S274" s="158"/>
    </row>
    <row r="275" spans="1:19">
      <c r="A275" s="158" t="str">
        <f t="shared" si="4"/>
        <v>Test not reviewed</v>
      </c>
      <c r="B275" s="176"/>
      <c r="C275" s="176"/>
      <c r="D275" s="176"/>
      <c r="E275" s="176"/>
      <c r="F275" s="158"/>
      <c r="G275" s="176"/>
      <c r="H275" s="176"/>
      <c r="I275" s="176"/>
      <c r="J275" s="176"/>
      <c r="K275" s="176"/>
      <c r="L275" s="176"/>
      <c r="M275" s="176"/>
      <c r="N275" s="176" t="e">
        <f>VLOOKUP(B:B,'QT Second level review'!C:O,10,0)</f>
        <v>#N/A</v>
      </c>
      <c r="O275" s="158"/>
      <c r="P275" s="158"/>
      <c r="Q275" s="158"/>
      <c r="R275" s="158"/>
      <c r="S275" s="158"/>
    </row>
    <row r="276" spans="1:19">
      <c r="A276" s="158" t="str">
        <f t="shared" si="4"/>
        <v>Test not reviewed</v>
      </c>
      <c r="B276" s="176"/>
      <c r="C276" s="176"/>
      <c r="D276" s="176"/>
      <c r="E276" s="176"/>
      <c r="F276" s="158"/>
      <c r="G276" s="176"/>
      <c r="H276" s="176"/>
      <c r="I276" s="176"/>
      <c r="J276" s="176"/>
      <c r="K276" s="176"/>
      <c r="L276" s="176"/>
      <c r="M276" s="176"/>
      <c r="N276" s="176" t="e">
        <f>VLOOKUP(B:B,'QT Second level review'!C:O,10,0)</f>
        <v>#N/A</v>
      </c>
      <c r="O276" s="158"/>
      <c r="P276" s="158"/>
      <c r="Q276" s="158"/>
      <c r="R276" s="158"/>
      <c r="S276" s="158"/>
    </row>
    <row r="277" spans="1:19">
      <c r="A277" s="158" t="str">
        <f t="shared" si="4"/>
        <v>Test not reviewed</v>
      </c>
      <c r="B277" s="176"/>
      <c r="C277" s="176"/>
      <c r="D277" s="176"/>
      <c r="E277" s="176"/>
      <c r="F277" s="158"/>
      <c r="G277" s="176"/>
      <c r="H277" s="176"/>
      <c r="I277" s="176"/>
      <c r="J277" s="176"/>
      <c r="K277" s="176"/>
      <c r="L277" s="176"/>
      <c r="M277" s="176"/>
      <c r="N277" s="176" t="e">
        <f>VLOOKUP(B:B,'QT Second level review'!C:O,10,0)</f>
        <v>#N/A</v>
      </c>
      <c r="O277" s="158"/>
      <c r="P277" s="158"/>
      <c r="Q277" s="158"/>
      <c r="R277" s="158"/>
      <c r="S277" s="158"/>
    </row>
    <row r="278" spans="1:19">
      <c r="A278" s="158" t="str">
        <f t="shared" si="4"/>
        <v>Test not reviewed</v>
      </c>
      <c r="B278" s="176"/>
      <c r="C278" s="176"/>
      <c r="D278" s="176"/>
      <c r="E278" s="176"/>
      <c r="F278" s="158"/>
      <c r="G278" s="176"/>
      <c r="H278" s="176"/>
      <c r="I278" s="176"/>
      <c r="J278" s="176"/>
      <c r="K278" s="176"/>
      <c r="L278" s="176"/>
      <c r="M278" s="176"/>
      <c r="N278" s="176" t="e">
        <f>VLOOKUP(B:B,'QT Second level review'!C:O,10,0)</f>
        <v>#N/A</v>
      </c>
      <c r="O278" s="158"/>
      <c r="P278" s="158"/>
      <c r="Q278" s="158"/>
      <c r="R278" s="158"/>
      <c r="S278" s="158"/>
    </row>
    <row r="279" spans="1:19">
      <c r="A279" s="158" t="str">
        <f t="shared" si="4"/>
        <v>Test not reviewed</v>
      </c>
      <c r="B279" s="176"/>
      <c r="C279" s="176"/>
      <c r="D279" s="176"/>
      <c r="E279" s="176"/>
      <c r="F279" s="158"/>
      <c r="G279" s="176"/>
      <c r="H279" s="176"/>
      <c r="I279" s="176"/>
      <c r="J279" s="176"/>
      <c r="K279" s="176"/>
      <c r="L279" s="176"/>
      <c r="M279" s="176"/>
      <c r="N279" s="176" t="e">
        <f>VLOOKUP(B:B,'QT Second level review'!C:O,10,0)</f>
        <v>#N/A</v>
      </c>
      <c r="O279" s="158"/>
      <c r="P279" s="158"/>
      <c r="Q279" s="158"/>
      <c r="R279" s="158"/>
      <c r="S279" s="158"/>
    </row>
    <row r="280" spans="1:19">
      <c r="A280" s="158" t="str">
        <f t="shared" si="4"/>
        <v>Test not reviewed</v>
      </c>
      <c r="B280" s="176"/>
      <c r="C280" s="176"/>
      <c r="D280" s="176"/>
      <c r="E280" s="176"/>
      <c r="F280" s="158"/>
      <c r="G280" s="176"/>
      <c r="H280" s="176"/>
      <c r="I280" s="176"/>
      <c r="J280" s="176"/>
      <c r="K280" s="176"/>
      <c r="L280" s="176"/>
      <c r="M280" s="176"/>
      <c r="N280" s="176" t="e">
        <f>VLOOKUP(B:B,'QT Second level review'!C:O,10,0)</f>
        <v>#N/A</v>
      </c>
      <c r="O280" s="158"/>
      <c r="P280" s="158"/>
      <c r="Q280" s="158"/>
      <c r="R280" s="158"/>
      <c r="S280" s="158"/>
    </row>
    <row r="281" spans="1:19">
      <c r="A281" s="158" t="str">
        <f t="shared" si="4"/>
        <v>Test not reviewed</v>
      </c>
      <c r="B281" s="176"/>
      <c r="C281" s="176"/>
      <c r="D281" s="176"/>
      <c r="E281" s="176"/>
      <c r="F281" s="158"/>
      <c r="G281" s="176"/>
      <c r="H281" s="176"/>
      <c r="I281" s="176"/>
      <c r="J281" s="176"/>
      <c r="K281" s="176"/>
      <c r="L281" s="176"/>
      <c r="M281" s="176"/>
      <c r="N281" s="176" t="e">
        <f>VLOOKUP(B:B,'QT Second level review'!C:O,10,0)</f>
        <v>#N/A</v>
      </c>
      <c r="O281" s="158"/>
      <c r="P281" s="158"/>
      <c r="Q281" s="158"/>
      <c r="R281" s="158"/>
      <c r="S281" s="158"/>
    </row>
    <row r="282" spans="1:19">
      <c r="A282" s="158" t="str">
        <f t="shared" si="4"/>
        <v>Test not reviewed</v>
      </c>
      <c r="B282" s="176"/>
      <c r="C282" s="176"/>
      <c r="D282" s="176"/>
      <c r="E282" s="176"/>
      <c r="F282" s="158"/>
      <c r="G282" s="176"/>
      <c r="H282" s="176"/>
      <c r="I282" s="176"/>
      <c r="J282" s="176"/>
      <c r="K282" s="176"/>
      <c r="L282" s="176"/>
      <c r="M282" s="176"/>
      <c r="N282" s="176" t="e">
        <f>VLOOKUP(B:B,'QT Second level review'!C:O,10,0)</f>
        <v>#N/A</v>
      </c>
      <c r="O282" s="158"/>
      <c r="P282" s="158"/>
      <c r="Q282" s="158"/>
      <c r="R282" s="158"/>
      <c r="S282" s="158"/>
    </row>
    <row r="283" spans="1:19">
      <c r="A283" s="158" t="str">
        <f t="shared" si="4"/>
        <v>Test not reviewed</v>
      </c>
      <c r="B283" s="176"/>
      <c r="C283" s="176"/>
      <c r="D283" s="176"/>
      <c r="E283" s="176"/>
      <c r="F283" s="158"/>
      <c r="G283" s="176"/>
      <c r="H283" s="176"/>
      <c r="I283" s="176"/>
      <c r="J283" s="176"/>
      <c r="K283" s="176"/>
      <c r="L283" s="176"/>
      <c r="M283" s="176"/>
      <c r="N283" s="176" t="e">
        <f>VLOOKUP(B:B,'QT Second level review'!C:O,10,0)</f>
        <v>#N/A</v>
      </c>
      <c r="O283" s="158"/>
      <c r="P283" s="158"/>
      <c r="Q283" s="158"/>
      <c r="R283" s="158"/>
      <c r="S283" s="158"/>
    </row>
    <row r="284" spans="1:19">
      <c r="A284" s="158" t="str">
        <f t="shared" si="4"/>
        <v>Test not reviewed</v>
      </c>
      <c r="B284" s="176"/>
      <c r="C284" s="176"/>
      <c r="D284" s="176"/>
      <c r="E284" s="176"/>
      <c r="F284" s="158"/>
      <c r="G284" s="176"/>
      <c r="H284" s="176"/>
      <c r="I284" s="176"/>
      <c r="J284" s="176"/>
      <c r="K284" s="176"/>
      <c r="L284" s="176"/>
      <c r="M284" s="176"/>
      <c r="N284" s="176" t="e">
        <f>VLOOKUP(B:B,'QT Second level review'!C:O,10,0)</f>
        <v>#N/A</v>
      </c>
      <c r="O284" s="158"/>
      <c r="P284" s="158"/>
      <c r="Q284" s="158"/>
      <c r="R284" s="158"/>
      <c r="S284" s="158"/>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335</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18.75">
      <c r="A9" s="160"/>
      <c r="B9" s="169" t="s">
        <v>291</v>
      </c>
      <c r="C9" s="161"/>
      <c r="D9" s="161"/>
      <c r="E9" s="228"/>
      <c r="F9" s="228"/>
    </row>
    <row r="10" spans="1:7" ht="51">
      <c r="A10" s="163" t="s">
        <v>623</v>
      </c>
      <c r="B10" s="172" t="s">
        <v>336</v>
      </c>
      <c r="C10" s="222"/>
      <c r="D10" s="223"/>
      <c r="E10" s="162"/>
      <c r="F10" s="162"/>
    </row>
    <row r="11" spans="1:7" ht="51">
      <c r="A11" s="163" t="s">
        <v>624</v>
      </c>
      <c r="B11" s="172" t="s">
        <v>225</v>
      </c>
      <c r="C11" s="222"/>
      <c r="D11" s="223"/>
      <c r="E11" s="164" t="s">
        <v>385</v>
      </c>
      <c r="F11" s="162"/>
    </row>
    <row r="12" spans="1:7" ht="38.25">
      <c r="A12" s="163" t="s">
        <v>625</v>
      </c>
      <c r="B12" s="172" t="s">
        <v>227</v>
      </c>
      <c r="C12" s="222"/>
      <c r="D12" s="223"/>
      <c r="E12" s="162"/>
      <c r="F12" s="162"/>
    </row>
    <row r="13" spans="1:7" ht="38.25">
      <c r="A13" s="163" t="s">
        <v>626</v>
      </c>
      <c r="B13" s="172" t="s">
        <v>224</v>
      </c>
      <c r="C13" s="222"/>
      <c r="D13" s="223"/>
      <c r="E13" s="162" t="s">
        <v>386</v>
      </c>
      <c r="F13" s="162"/>
    </row>
    <row r="14" spans="1:7" ht="25.5">
      <c r="A14" s="163" t="s">
        <v>627</v>
      </c>
      <c r="B14" s="172" t="s">
        <v>211</v>
      </c>
      <c r="C14" s="222"/>
      <c r="D14" s="223"/>
      <c r="E14" s="162"/>
      <c r="F14" s="162"/>
    </row>
    <row r="15" spans="1:7" ht="63.75">
      <c r="A15" s="163" t="s">
        <v>628</v>
      </c>
      <c r="B15" s="172" t="s">
        <v>292</v>
      </c>
      <c r="C15" s="222"/>
      <c r="D15" s="223"/>
      <c r="E15" s="162"/>
      <c r="F15" s="162"/>
    </row>
    <row r="16" spans="1:7" ht="38.25">
      <c r="A16" s="163" t="s">
        <v>629</v>
      </c>
      <c r="B16" s="172" t="s">
        <v>387</v>
      </c>
      <c r="C16" s="222"/>
      <c r="D16" s="223"/>
      <c r="E16" s="162"/>
      <c r="F16" s="162"/>
    </row>
    <row r="17" spans="1:6" ht="38.25">
      <c r="A17" s="163" t="s">
        <v>630</v>
      </c>
      <c r="B17" s="172" t="s">
        <v>388</v>
      </c>
      <c r="C17" s="222"/>
      <c r="D17" s="223"/>
      <c r="E17" s="162"/>
      <c r="F17" s="162"/>
    </row>
    <row r="18" spans="1:6" ht="25.5">
      <c r="A18" s="163" t="s">
        <v>631</v>
      </c>
      <c r="B18" s="172" t="s">
        <v>389</v>
      </c>
      <c r="C18" s="222"/>
      <c r="D18" s="223"/>
      <c r="E18" s="162"/>
      <c r="F18" s="162"/>
    </row>
    <row r="19" spans="1:6" ht="25.5">
      <c r="A19" s="163" t="s">
        <v>632</v>
      </c>
      <c r="B19" s="172" t="s">
        <v>390</v>
      </c>
      <c r="C19" s="222"/>
      <c r="D19" s="223"/>
      <c r="E19" s="162"/>
      <c r="F19" s="162"/>
    </row>
    <row r="20" spans="1:6" ht="25.5">
      <c r="A20" s="163" t="s">
        <v>633</v>
      </c>
      <c r="B20" s="172" t="s">
        <v>293</v>
      </c>
      <c r="C20" s="222"/>
      <c r="D20" s="223"/>
      <c r="E20" s="162"/>
      <c r="F20" s="162"/>
    </row>
    <row r="21" spans="1:6" ht="63.75">
      <c r="A21" s="163" t="s">
        <v>634</v>
      </c>
      <c r="B21" s="172" t="s">
        <v>391</v>
      </c>
      <c r="C21" s="222"/>
      <c r="D21" s="223"/>
      <c r="E21" s="164" t="s">
        <v>392</v>
      </c>
      <c r="F21" s="162"/>
    </row>
    <row r="22" spans="1:6" ht="18.75">
      <c r="A22" s="160"/>
      <c r="B22" s="169" t="s">
        <v>205</v>
      </c>
      <c r="C22" s="161"/>
      <c r="D22" s="161"/>
      <c r="E22" s="228"/>
      <c r="F22" s="228"/>
    </row>
    <row r="23" spans="1:6" ht="25.5">
      <c r="A23" s="163" t="s">
        <v>635</v>
      </c>
      <c r="B23" s="172" t="s">
        <v>206</v>
      </c>
      <c r="C23" s="222"/>
      <c r="D23" s="223"/>
      <c r="E23" s="162"/>
      <c r="F23" s="162"/>
    </row>
    <row r="24" spans="1:6" ht="18.75">
      <c r="A24" s="160"/>
      <c r="B24" s="169" t="s">
        <v>207</v>
      </c>
      <c r="C24" s="161"/>
      <c r="D24" s="161"/>
      <c r="E24" s="228"/>
      <c r="F24" s="228"/>
    </row>
    <row r="25" spans="1:6" ht="76.5">
      <c r="A25" s="163" t="s">
        <v>636</v>
      </c>
      <c r="B25" s="172" t="s">
        <v>208</v>
      </c>
      <c r="C25" s="222"/>
      <c r="D25" s="223"/>
      <c r="E25" s="162"/>
      <c r="F25" s="162"/>
    </row>
    <row r="26" spans="1:6" ht="18.75">
      <c r="A26" s="160"/>
      <c r="B26" s="169" t="s">
        <v>209</v>
      </c>
      <c r="C26" s="161"/>
      <c r="D26" s="161"/>
      <c r="E26" s="228"/>
      <c r="F26" s="228"/>
    </row>
    <row r="27" spans="1:6" ht="38.25">
      <c r="A27" s="163" t="s">
        <v>637</v>
      </c>
      <c r="B27" s="172" t="s">
        <v>210</v>
      </c>
      <c r="C27" s="222"/>
      <c r="D27" s="223"/>
      <c r="E27" s="162"/>
      <c r="F27" s="162"/>
    </row>
    <row r="28" spans="1:6" ht="25.5">
      <c r="A28" s="163" t="s">
        <v>638</v>
      </c>
      <c r="B28" s="172" t="s">
        <v>393</v>
      </c>
      <c r="C28" s="222"/>
      <c r="D28" s="223"/>
      <c r="E28" s="162"/>
      <c r="F28" s="162"/>
    </row>
    <row r="29" spans="1:6" ht="25.5">
      <c r="A29" s="163" t="s">
        <v>639</v>
      </c>
      <c r="B29" s="172" t="s">
        <v>226</v>
      </c>
      <c r="C29" s="222"/>
      <c r="D29" s="223"/>
      <c r="E29" s="162"/>
      <c r="F29" s="162"/>
    </row>
    <row r="30" spans="1:6" ht="18.75">
      <c r="A30" s="160"/>
      <c r="B30" s="169" t="s">
        <v>212</v>
      </c>
      <c r="C30" s="161"/>
      <c r="D30" s="161"/>
      <c r="E30" s="228"/>
      <c r="F30" s="228"/>
    </row>
    <row r="31" spans="1:6" ht="25.5">
      <c r="A31" s="163" t="s">
        <v>640</v>
      </c>
      <c r="B31" s="172" t="s">
        <v>228</v>
      </c>
      <c r="C31" s="222"/>
      <c r="D31" s="223"/>
      <c r="E31" s="162"/>
      <c r="F31" s="162"/>
    </row>
    <row r="32" spans="1:6" ht="38.25">
      <c r="A32" s="163" t="s">
        <v>641</v>
      </c>
      <c r="B32" s="172" t="s">
        <v>394</v>
      </c>
      <c r="C32" s="222"/>
      <c r="D32" s="223"/>
      <c r="E32" s="162"/>
      <c r="F32" s="162"/>
    </row>
    <row r="33" spans="1:6" ht="18.75">
      <c r="A33" s="160"/>
      <c r="B33" s="169" t="s">
        <v>337</v>
      </c>
      <c r="C33" s="161"/>
      <c r="D33" s="161"/>
      <c r="E33" s="228"/>
      <c r="F33" s="228"/>
    </row>
    <row r="34" spans="1:6" ht="38.25">
      <c r="A34" s="163" t="s">
        <v>642</v>
      </c>
      <c r="B34" s="172" t="s">
        <v>395</v>
      </c>
      <c r="C34" s="222"/>
      <c r="D34" s="223"/>
      <c r="E34" s="162"/>
      <c r="F34" s="162"/>
    </row>
    <row r="35" spans="1:6" ht="18.75">
      <c r="A35" s="160"/>
      <c r="B35" s="169" t="s">
        <v>266</v>
      </c>
      <c r="C35" s="161"/>
      <c r="D35" s="161"/>
      <c r="E35" s="228"/>
      <c r="F35" s="228"/>
    </row>
    <row r="36" spans="1:6" ht="38.25">
      <c r="A36" s="163" t="s">
        <v>594</v>
      </c>
      <c r="B36" s="172" t="s">
        <v>215</v>
      </c>
      <c r="C36" s="222"/>
      <c r="D36" s="223"/>
      <c r="E36" s="162"/>
      <c r="F36" s="162"/>
    </row>
    <row r="37" spans="1:6" ht="25.5">
      <c r="A37" s="163" t="s">
        <v>595</v>
      </c>
      <c r="B37" s="172" t="s">
        <v>216</v>
      </c>
      <c r="C37" s="222"/>
      <c r="D37" s="223"/>
      <c r="E37" s="162"/>
      <c r="F37" s="162"/>
    </row>
    <row r="38" spans="1:6" ht="38.25">
      <c r="A38" s="163" t="s">
        <v>596</v>
      </c>
      <c r="B38" s="172" t="s">
        <v>217</v>
      </c>
      <c r="C38" s="222"/>
      <c r="D38" s="223"/>
      <c r="E38" s="162"/>
      <c r="F38" s="162"/>
    </row>
    <row r="39" spans="1:6" ht="38.25">
      <c r="A39" s="163" t="s">
        <v>597</v>
      </c>
      <c r="B39" s="172" t="s">
        <v>218</v>
      </c>
      <c r="C39" s="222"/>
      <c r="D39" s="223"/>
      <c r="E39" s="162"/>
      <c r="F39" s="162"/>
    </row>
    <row r="40" spans="1:6" ht="18.75">
      <c r="A40" s="160"/>
      <c r="B40" s="169" t="s">
        <v>267</v>
      </c>
      <c r="C40" s="161"/>
      <c r="D40" s="161"/>
      <c r="E40" s="228"/>
      <c r="F40" s="228"/>
    </row>
    <row r="41" spans="1:6" ht="38.25">
      <c r="A41" s="163" t="s">
        <v>598</v>
      </c>
      <c r="B41" s="172" t="s">
        <v>219</v>
      </c>
      <c r="C41" s="222"/>
      <c r="D41" s="223"/>
      <c r="E41" s="162"/>
      <c r="F41" s="162"/>
    </row>
    <row r="42" spans="1:6" ht="38.25">
      <c r="A42" s="163" t="s">
        <v>599</v>
      </c>
      <c r="B42" s="172" t="s">
        <v>220</v>
      </c>
      <c r="C42" s="222"/>
      <c r="D42" s="223"/>
      <c r="E42" s="162"/>
      <c r="F42" s="162"/>
    </row>
    <row r="43" spans="1:6" ht="18.75">
      <c r="A43" s="160"/>
      <c r="B43" s="169" t="s">
        <v>213</v>
      </c>
      <c r="C43" s="161"/>
      <c r="D43" s="161"/>
      <c r="E43" s="228"/>
      <c r="F43" s="228"/>
    </row>
    <row r="44" spans="1:6" ht="51">
      <c r="A44" s="163" t="s">
        <v>600</v>
      </c>
      <c r="B44" s="172" t="s">
        <v>214</v>
      </c>
      <c r="C44" s="222"/>
      <c r="D44" s="223"/>
      <c r="E44" s="162"/>
      <c r="F44" s="162"/>
    </row>
    <row r="45" spans="1:6" ht="18">
      <c r="A45" s="224"/>
      <c r="B45" s="225" t="s">
        <v>286</v>
      </c>
      <c r="C45" s="224"/>
      <c r="D45" s="224"/>
      <c r="E45" s="224"/>
      <c r="F45" s="224"/>
    </row>
    <row r="46" spans="1:6">
      <c r="A46" s="163"/>
      <c r="B46" s="172"/>
    </row>
    <row r="47" spans="1:6" ht="15">
      <c r="A47" s="226"/>
      <c r="B47" s="227" t="s">
        <v>619</v>
      </c>
      <c r="C47" s="226"/>
      <c r="D47" s="226"/>
      <c r="E47" s="226"/>
      <c r="F47" s="226"/>
    </row>
  </sheetData>
  <mergeCells count="1">
    <mergeCell ref="E2:F2"/>
  </mergeCells>
  <conditionalFormatting sqref="C6">
    <cfRule type="cellIs" dxfId="1721" priority="1378" operator="equal">
      <formula>"No"</formula>
    </cfRule>
    <cfRule type="cellIs" dxfId="1720" priority="1379" operator="equal">
      <formula>"NA"</formula>
    </cfRule>
    <cfRule type="cellIs" dxfId="1719" priority="1380" operator="equal">
      <formula>"Yes"</formula>
    </cfRule>
  </conditionalFormatting>
  <conditionalFormatting sqref="C7">
    <cfRule type="cellIs" dxfId="1718" priority="1332" operator="equal">
      <formula>"No"</formula>
    </cfRule>
    <cfRule type="cellIs" dxfId="1717" priority="1333" operator="equal">
      <formula>"NA"</formula>
    </cfRule>
    <cfRule type="cellIs" dxfId="1716" priority="1334" operator="equal">
      <formula>"Yes"</formula>
    </cfRule>
  </conditionalFormatting>
  <conditionalFormatting sqref="C8">
    <cfRule type="cellIs" dxfId="1715" priority="1286" operator="equal">
      <formula>"No"</formula>
    </cfRule>
    <cfRule type="cellIs" dxfId="1714" priority="1287" operator="equal">
      <formula>"NA"</formula>
    </cfRule>
    <cfRule type="cellIs" dxfId="1713" priority="1288" operator="equal">
      <formula>"Yes"</formula>
    </cfRule>
  </conditionalFormatting>
  <conditionalFormatting sqref="C10">
    <cfRule type="cellIs" dxfId="1712" priority="1240" operator="equal">
      <formula>"No"</formula>
    </cfRule>
    <cfRule type="cellIs" dxfId="1711" priority="1241" operator="equal">
      <formula>"NA"</formula>
    </cfRule>
    <cfRule type="cellIs" dxfId="1710" priority="1242" operator="equal">
      <formula>"Yes"</formula>
    </cfRule>
  </conditionalFormatting>
  <conditionalFormatting sqref="C11">
    <cfRule type="cellIs" dxfId="1709" priority="1194" operator="equal">
      <formula>"No"</formula>
    </cfRule>
    <cfRule type="cellIs" dxfId="1708" priority="1195" operator="equal">
      <formula>"NA"</formula>
    </cfRule>
    <cfRule type="cellIs" dxfId="1707" priority="1196" operator="equal">
      <formula>"Yes"</formula>
    </cfRule>
  </conditionalFormatting>
  <conditionalFormatting sqref="C12">
    <cfRule type="cellIs" dxfId="1706" priority="1148" operator="equal">
      <formula>"No"</formula>
    </cfRule>
    <cfRule type="cellIs" dxfId="1705" priority="1149" operator="equal">
      <formula>"NA"</formula>
    </cfRule>
    <cfRule type="cellIs" dxfId="1704" priority="1150" operator="equal">
      <formula>"Yes"</formula>
    </cfRule>
  </conditionalFormatting>
  <conditionalFormatting sqref="C13">
    <cfRule type="cellIs" dxfId="1703" priority="1102" operator="equal">
      <formula>"No"</formula>
    </cfRule>
    <cfRule type="cellIs" dxfId="1702" priority="1103" operator="equal">
      <formula>"NA"</formula>
    </cfRule>
    <cfRule type="cellIs" dxfId="1701" priority="1104" operator="equal">
      <formula>"Yes"</formula>
    </cfRule>
  </conditionalFormatting>
  <conditionalFormatting sqref="C14">
    <cfRule type="cellIs" dxfId="1700" priority="1056" operator="equal">
      <formula>"No"</formula>
    </cfRule>
    <cfRule type="cellIs" dxfId="1699" priority="1057" operator="equal">
      <formula>"NA"</formula>
    </cfRule>
    <cfRule type="cellIs" dxfId="1698" priority="1058" operator="equal">
      <formula>"Yes"</formula>
    </cfRule>
  </conditionalFormatting>
  <conditionalFormatting sqref="C15">
    <cfRule type="cellIs" dxfId="1697" priority="1010" operator="equal">
      <formula>"No"</formula>
    </cfRule>
    <cfRule type="cellIs" dxfId="1696" priority="1011" operator="equal">
      <formula>"NA"</formula>
    </cfRule>
    <cfRule type="cellIs" dxfId="1695" priority="1012" operator="equal">
      <formula>"Yes"</formula>
    </cfRule>
  </conditionalFormatting>
  <conditionalFormatting sqref="C16">
    <cfRule type="cellIs" dxfId="1694" priority="964" operator="equal">
      <formula>"No"</formula>
    </cfRule>
    <cfRule type="cellIs" dxfId="1693" priority="965" operator="equal">
      <formula>"NA"</formula>
    </cfRule>
    <cfRule type="cellIs" dxfId="1692" priority="966" operator="equal">
      <formula>"Yes"</formula>
    </cfRule>
  </conditionalFormatting>
  <conditionalFormatting sqref="C17">
    <cfRule type="cellIs" dxfId="1691" priority="918" operator="equal">
      <formula>"No"</formula>
    </cfRule>
    <cfRule type="cellIs" dxfId="1690" priority="919" operator="equal">
      <formula>"NA"</formula>
    </cfRule>
    <cfRule type="cellIs" dxfId="1689" priority="920" operator="equal">
      <formula>"Yes"</formula>
    </cfRule>
  </conditionalFormatting>
  <conditionalFormatting sqref="C18">
    <cfRule type="cellIs" dxfId="1688" priority="872" operator="equal">
      <formula>"No"</formula>
    </cfRule>
    <cfRule type="cellIs" dxfId="1687" priority="873" operator="equal">
      <formula>"NA"</formula>
    </cfRule>
    <cfRule type="cellIs" dxfId="1686" priority="874" operator="equal">
      <formula>"Yes"</formula>
    </cfRule>
  </conditionalFormatting>
  <conditionalFormatting sqref="C19">
    <cfRule type="cellIs" dxfId="1685" priority="826" operator="equal">
      <formula>"No"</formula>
    </cfRule>
    <cfRule type="cellIs" dxfId="1684" priority="827" operator="equal">
      <formula>"NA"</formula>
    </cfRule>
    <cfRule type="cellIs" dxfId="1683" priority="828" operator="equal">
      <formula>"Yes"</formula>
    </cfRule>
  </conditionalFormatting>
  <conditionalFormatting sqref="C20">
    <cfRule type="cellIs" dxfId="1682" priority="780" operator="equal">
      <formula>"No"</formula>
    </cfRule>
    <cfRule type="cellIs" dxfId="1681" priority="781" operator="equal">
      <formula>"NA"</formula>
    </cfRule>
    <cfRule type="cellIs" dxfId="1680" priority="782" operator="equal">
      <formula>"Yes"</formula>
    </cfRule>
  </conditionalFormatting>
  <conditionalFormatting sqref="C21">
    <cfRule type="cellIs" dxfId="1679" priority="734" operator="equal">
      <formula>"No"</formula>
    </cfRule>
    <cfRule type="cellIs" dxfId="1678" priority="735" operator="equal">
      <formula>"NA"</formula>
    </cfRule>
    <cfRule type="cellIs" dxfId="1677" priority="736" operator="equal">
      <formula>"Yes"</formula>
    </cfRule>
  </conditionalFormatting>
  <conditionalFormatting sqref="C23">
    <cfRule type="cellIs" dxfId="1676" priority="688" operator="equal">
      <formula>"No"</formula>
    </cfRule>
    <cfRule type="cellIs" dxfId="1675" priority="689" operator="equal">
      <formula>"NA"</formula>
    </cfRule>
    <cfRule type="cellIs" dxfId="1674" priority="690" operator="equal">
      <formula>"Yes"</formula>
    </cfRule>
  </conditionalFormatting>
  <conditionalFormatting sqref="C25">
    <cfRule type="cellIs" dxfId="1673" priority="642" operator="equal">
      <formula>"No"</formula>
    </cfRule>
    <cfRule type="cellIs" dxfId="1672" priority="643" operator="equal">
      <formula>"NA"</formula>
    </cfRule>
    <cfRule type="cellIs" dxfId="1671" priority="644" operator="equal">
      <formula>"Yes"</formula>
    </cfRule>
  </conditionalFormatting>
  <conditionalFormatting sqref="C27">
    <cfRule type="cellIs" dxfId="1670" priority="596" operator="equal">
      <formula>"No"</formula>
    </cfRule>
    <cfRule type="cellIs" dxfId="1669" priority="597" operator="equal">
      <formula>"NA"</formula>
    </cfRule>
    <cfRule type="cellIs" dxfId="1668" priority="598" operator="equal">
      <formula>"Yes"</formula>
    </cfRule>
  </conditionalFormatting>
  <conditionalFormatting sqref="C28">
    <cfRule type="cellIs" dxfId="1667" priority="550" operator="equal">
      <formula>"No"</formula>
    </cfRule>
    <cfRule type="cellIs" dxfId="1666" priority="551" operator="equal">
      <formula>"NA"</formula>
    </cfRule>
    <cfRule type="cellIs" dxfId="1665" priority="552" operator="equal">
      <formula>"Yes"</formula>
    </cfRule>
  </conditionalFormatting>
  <conditionalFormatting sqref="C29">
    <cfRule type="cellIs" dxfId="1664" priority="504" operator="equal">
      <formula>"No"</formula>
    </cfRule>
    <cfRule type="cellIs" dxfId="1663" priority="505" operator="equal">
      <formula>"NA"</formula>
    </cfRule>
    <cfRule type="cellIs" dxfId="1662" priority="506" operator="equal">
      <formula>"Yes"</formula>
    </cfRule>
  </conditionalFormatting>
  <conditionalFormatting sqref="C31">
    <cfRule type="cellIs" dxfId="1661" priority="458" operator="equal">
      <formula>"No"</formula>
    </cfRule>
    <cfRule type="cellIs" dxfId="1660" priority="459" operator="equal">
      <formula>"NA"</formula>
    </cfRule>
    <cfRule type="cellIs" dxfId="1659" priority="460" operator="equal">
      <formula>"Yes"</formula>
    </cfRule>
  </conditionalFormatting>
  <conditionalFormatting sqref="C32">
    <cfRule type="cellIs" dxfId="1658" priority="412" operator="equal">
      <formula>"No"</formula>
    </cfRule>
    <cfRule type="cellIs" dxfId="1657" priority="413" operator="equal">
      <formula>"NA"</formula>
    </cfRule>
    <cfRule type="cellIs" dxfId="1656" priority="414" operator="equal">
      <formula>"Yes"</formula>
    </cfRule>
  </conditionalFormatting>
  <conditionalFormatting sqref="C34">
    <cfRule type="cellIs" dxfId="1655" priority="366" operator="equal">
      <formula>"No"</formula>
    </cfRule>
    <cfRule type="cellIs" dxfId="1654" priority="367" operator="equal">
      <formula>"NA"</formula>
    </cfRule>
    <cfRule type="cellIs" dxfId="1653" priority="368" operator="equal">
      <formula>"Yes"</formula>
    </cfRule>
  </conditionalFormatting>
  <conditionalFormatting sqref="C36">
    <cfRule type="cellIs" dxfId="1652" priority="320" operator="equal">
      <formula>"No"</formula>
    </cfRule>
    <cfRule type="cellIs" dxfId="1651" priority="321" operator="equal">
      <formula>"NA"</formula>
    </cfRule>
    <cfRule type="cellIs" dxfId="1650" priority="322" operator="equal">
      <formula>"Yes"</formula>
    </cfRule>
  </conditionalFormatting>
  <conditionalFormatting sqref="C37">
    <cfRule type="cellIs" dxfId="1649" priority="274" operator="equal">
      <formula>"No"</formula>
    </cfRule>
    <cfRule type="cellIs" dxfId="1648" priority="275" operator="equal">
      <formula>"NA"</formula>
    </cfRule>
    <cfRule type="cellIs" dxfId="1647" priority="276" operator="equal">
      <formula>"Yes"</formula>
    </cfRule>
  </conditionalFormatting>
  <conditionalFormatting sqref="C38">
    <cfRule type="cellIs" dxfId="1646" priority="228" operator="equal">
      <formula>"No"</formula>
    </cfRule>
    <cfRule type="cellIs" dxfId="1645" priority="229" operator="equal">
      <formula>"NA"</formula>
    </cfRule>
    <cfRule type="cellIs" dxfId="1644" priority="230" operator="equal">
      <formula>"Yes"</formula>
    </cfRule>
  </conditionalFormatting>
  <conditionalFormatting sqref="C39">
    <cfRule type="cellIs" dxfId="1643" priority="182" operator="equal">
      <formula>"No"</formula>
    </cfRule>
    <cfRule type="cellIs" dxfId="1642" priority="183" operator="equal">
      <formula>"NA"</formula>
    </cfRule>
    <cfRule type="cellIs" dxfId="1641" priority="184" operator="equal">
      <formula>"Yes"</formula>
    </cfRule>
  </conditionalFormatting>
  <conditionalFormatting sqref="C41">
    <cfRule type="cellIs" dxfId="1640" priority="136" operator="equal">
      <formula>"No"</formula>
    </cfRule>
    <cfRule type="cellIs" dxfId="1639" priority="137" operator="equal">
      <formula>"NA"</formula>
    </cfRule>
    <cfRule type="cellIs" dxfId="1638" priority="138" operator="equal">
      <formula>"Yes"</formula>
    </cfRule>
  </conditionalFormatting>
  <conditionalFormatting sqref="C42">
    <cfRule type="cellIs" dxfId="1637" priority="90" operator="equal">
      <formula>"No"</formula>
    </cfRule>
    <cfRule type="cellIs" dxfId="1636" priority="91" operator="equal">
      <formula>"NA"</formula>
    </cfRule>
    <cfRule type="cellIs" dxfId="1635" priority="92" operator="equal">
      <formula>"Yes"</formula>
    </cfRule>
  </conditionalFormatting>
  <conditionalFormatting sqref="C44">
    <cfRule type="cellIs" dxfId="1634" priority="44" operator="equal">
      <formula>"No"</formula>
    </cfRule>
    <cfRule type="cellIs" dxfId="1633" priority="45" operator="equal">
      <formula>"NA"</formula>
    </cfRule>
    <cfRule type="cellIs" dxfId="1632"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367</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18.75">
      <c r="A9" s="160"/>
      <c r="B9" s="169" t="s">
        <v>291</v>
      </c>
      <c r="C9" s="161"/>
      <c r="D9" s="161"/>
      <c r="E9" s="228"/>
      <c r="F9" s="228"/>
    </row>
    <row r="10" spans="1:7" ht="51">
      <c r="A10" s="163" t="s">
        <v>844</v>
      </c>
      <c r="B10" s="172" t="s">
        <v>845</v>
      </c>
      <c r="C10" s="222"/>
      <c r="D10" s="223"/>
      <c r="E10" s="164" t="s">
        <v>846</v>
      </c>
      <c r="F10" s="162"/>
    </row>
    <row r="11" spans="1:7" ht="51">
      <c r="A11" s="163" t="s">
        <v>623</v>
      </c>
      <c r="B11" s="172" t="s">
        <v>336</v>
      </c>
      <c r="C11" s="222"/>
      <c r="D11" s="223"/>
      <c r="E11" s="162"/>
      <c r="F11" s="162"/>
    </row>
    <row r="12" spans="1:7" ht="51">
      <c r="A12" s="163" t="s">
        <v>624</v>
      </c>
      <c r="B12" s="172" t="s">
        <v>225</v>
      </c>
      <c r="C12" s="222"/>
      <c r="D12" s="223"/>
      <c r="E12" s="164" t="s">
        <v>385</v>
      </c>
      <c r="F12" s="162"/>
    </row>
    <row r="13" spans="1:7" ht="38.25">
      <c r="A13" s="163" t="s">
        <v>625</v>
      </c>
      <c r="B13" s="172" t="s">
        <v>227</v>
      </c>
      <c r="C13" s="222"/>
      <c r="D13" s="223"/>
      <c r="E13" s="162"/>
      <c r="F13" s="162"/>
    </row>
    <row r="14" spans="1:7" ht="38.25">
      <c r="A14" s="163" t="s">
        <v>626</v>
      </c>
      <c r="B14" s="172" t="s">
        <v>224</v>
      </c>
      <c r="C14" s="222"/>
      <c r="D14" s="223"/>
      <c r="E14" s="162" t="s">
        <v>386</v>
      </c>
      <c r="F14" s="162"/>
    </row>
    <row r="15" spans="1:7" ht="25.5">
      <c r="A15" s="163" t="s">
        <v>627</v>
      </c>
      <c r="B15" s="172" t="s">
        <v>211</v>
      </c>
      <c r="C15" s="222"/>
      <c r="D15" s="223"/>
      <c r="E15" s="162"/>
      <c r="F15" s="162"/>
    </row>
    <row r="16" spans="1:7" ht="38.25">
      <c r="A16" s="163" t="s">
        <v>629</v>
      </c>
      <c r="B16" s="172" t="s">
        <v>387</v>
      </c>
      <c r="C16" s="222"/>
      <c r="D16" s="223"/>
      <c r="E16" s="162"/>
      <c r="F16" s="162"/>
    </row>
    <row r="17" spans="1:6" ht="38.25">
      <c r="A17" s="163" t="s">
        <v>630</v>
      </c>
      <c r="B17" s="172" t="s">
        <v>388</v>
      </c>
      <c r="C17" s="222"/>
      <c r="D17" s="223"/>
      <c r="E17" s="162"/>
      <c r="F17" s="162"/>
    </row>
    <row r="18" spans="1:6" ht="25.5">
      <c r="A18" s="163" t="s">
        <v>632</v>
      </c>
      <c r="B18" s="172" t="s">
        <v>390</v>
      </c>
      <c r="C18" s="222"/>
      <c r="D18" s="223"/>
      <c r="E18" s="162"/>
      <c r="F18" s="162"/>
    </row>
    <row r="19" spans="1:6" ht="25.5">
      <c r="A19" s="163" t="s">
        <v>633</v>
      </c>
      <c r="B19" s="172" t="s">
        <v>293</v>
      </c>
      <c r="C19" s="222"/>
      <c r="D19" s="223"/>
      <c r="E19" s="162"/>
      <c r="F19" s="162"/>
    </row>
    <row r="20" spans="1:6" ht="18.75">
      <c r="A20" s="160"/>
      <c r="B20" s="169" t="s">
        <v>212</v>
      </c>
      <c r="C20" s="161"/>
      <c r="D20" s="161"/>
      <c r="E20" s="228"/>
      <c r="F20" s="228"/>
    </row>
    <row r="21" spans="1:6" ht="25.5">
      <c r="A21" s="163" t="s">
        <v>847</v>
      </c>
      <c r="B21" s="172" t="s">
        <v>848</v>
      </c>
      <c r="C21" s="222"/>
      <c r="D21" s="223"/>
      <c r="E21" s="162"/>
      <c r="F21" s="162"/>
    </row>
    <row r="22" spans="1:6" ht="38.25">
      <c r="A22" s="163" t="s">
        <v>641</v>
      </c>
      <c r="B22" s="172" t="s">
        <v>394</v>
      </c>
      <c r="C22" s="222"/>
      <c r="D22" s="223"/>
      <c r="E22" s="162"/>
      <c r="F22" s="162"/>
    </row>
    <row r="23" spans="1:6" ht="18.75">
      <c r="A23" s="160"/>
      <c r="B23" s="169" t="s">
        <v>849</v>
      </c>
      <c r="C23" s="161"/>
      <c r="D23" s="161"/>
      <c r="E23" s="228"/>
      <c r="F23" s="228"/>
    </row>
    <row r="24" spans="1:6" ht="38.25">
      <c r="A24" s="163" t="s">
        <v>850</v>
      </c>
      <c r="B24" s="172" t="s">
        <v>851</v>
      </c>
      <c r="C24" s="222"/>
      <c r="D24" s="223"/>
      <c r="E24" s="162"/>
      <c r="F24" s="162"/>
    </row>
    <row r="25" spans="1:6" ht="51">
      <c r="A25" s="163" t="s">
        <v>852</v>
      </c>
      <c r="B25" s="172" t="s">
        <v>853</v>
      </c>
      <c r="C25" s="222"/>
      <c r="D25" s="223"/>
      <c r="E25" s="162"/>
      <c r="F25" s="162"/>
    </row>
    <row r="26" spans="1:6" ht="25.5">
      <c r="A26" s="163" t="s">
        <v>854</v>
      </c>
      <c r="B26" s="172" t="s">
        <v>855</v>
      </c>
      <c r="C26" s="222"/>
      <c r="D26" s="223"/>
      <c r="E26" s="162"/>
      <c r="F26" s="162"/>
    </row>
    <row r="27" spans="1:6" ht="51">
      <c r="A27" s="163" t="s">
        <v>856</v>
      </c>
      <c r="B27" s="172" t="s">
        <v>857</v>
      </c>
      <c r="C27" s="222"/>
      <c r="D27" s="223"/>
      <c r="E27" s="162"/>
      <c r="F27" s="162"/>
    </row>
    <row r="28" spans="1:6" ht="18.75">
      <c r="A28" s="160"/>
      <c r="B28" s="169" t="s">
        <v>266</v>
      </c>
      <c r="C28" s="161"/>
      <c r="D28" s="161"/>
      <c r="E28" s="228"/>
      <c r="F28" s="228"/>
    </row>
    <row r="29" spans="1:6" ht="38.25">
      <c r="A29" s="163" t="s">
        <v>594</v>
      </c>
      <c r="B29" s="172" t="s">
        <v>215</v>
      </c>
      <c r="C29" s="222"/>
      <c r="D29" s="223"/>
      <c r="E29" s="162"/>
      <c r="F29" s="162"/>
    </row>
    <row r="30" spans="1:6" ht="25.5">
      <c r="A30" s="163" t="s">
        <v>595</v>
      </c>
      <c r="B30" s="172" t="s">
        <v>216</v>
      </c>
      <c r="C30" s="222"/>
      <c r="D30" s="223"/>
      <c r="E30" s="162"/>
      <c r="F30" s="162"/>
    </row>
    <row r="31" spans="1:6" ht="38.25">
      <c r="A31" s="163" t="s">
        <v>596</v>
      </c>
      <c r="B31" s="172" t="s">
        <v>217</v>
      </c>
      <c r="C31" s="222"/>
      <c r="D31" s="223"/>
      <c r="E31" s="162"/>
      <c r="F31" s="162"/>
    </row>
    <row r="32" spans="1:6" ht="38.25">
      <c r="A32" s="163" t="s">
        <v>597</v>
      </c>
      <c r="B32" s="172" t="s">
        <v>218</v>
      </c>
      <c r="C32" s="222"/>
      <c r="D32" s="223"/>
      <c r="E32" s="162"/>
      <c r="F32" s="162"/>
    </row>
    <row r="33" spans="1:6" ht="18.75">
      <c r="A33" s="160"/>
      <c r="B33" s="169" t="s">
        <v>267</v>
      </c>
      <c r="C33" s="161"/>
      <c r="D33" s="161"/>
      <c r="E33" s="228"/>
      <c r="F33" s="228"/>
    </row>
    <row r="34" spans="1:6" ht="38.25">
      <c r="A34" s="163" t="s">
        <v>598</v>
      </c>
      <c r="B34" s="172" t="s">
        <v>219</v>
      </c>
      <c r="C34" s="222"/>
      <c r="D34" s="223"/>
      <c r="E34" s="162"/>
      <c r="F34" s="162"/>
    </row>
    <row r="35" spans="1:6" ht="38.25">
      <c r="A35" s="163" t="s">
        <v>599</v>
      </c>
      <c r="B35" s="172" t="s">
        <v>220</v>
      </c>
      <c r="C35" s="222"/>
      <c r="D35" s="223"/>
      <c r="E35" s="162"/>
      <c r="F35" s="162"/>
    </row>
    <row r="36" spans="1:6" ht="18.75">
      <c r="A36" s="160"/>
      <c r="B36" s="169" t="s">
        <v>213</v>
      </c>
      <c r="C36" s="161"/>
      <c r="D36" s="161"/>
      <c r="E36" s="228"/>
      <c r="F36" s="228"/>
    </row>
    <row r="37" spans="1:6" ht="51">
      <c r="A37" s="163" t="s">
        <v>600</v>
      </c>
      <c r="B37" s="172" t="s">
        <v>214</v>
      </c>
      <c r="C37" s="222"/>
      <c r="D37" s="223"/>
      <c r="E37" s="162"/>
      <c r="F37" s="162"/>
    </row>
    <row r="38" spans="1:6" ht="18">
      <c r="A38" s="224"/>
      <c r="B38" s="225" t="s">
        <v>286</v>
      </c>
      <c r="C38" s="224"/>
      <c r="D38" s="224"/>
      <c r="E38" s="224"/>
      <c r="F38" s="224"/>
    </row>
    <row r="39" spans="1:6">
      <c r="A39" s="163"/>
      <c r="B39" s="172"/>
    </row>
    <row r="40" spans="1:6" ht="15">
      <c r="A40" s="226"/>
      <c r="B40" s="227" t="s">
        <v>619</v>
      </c>
      <c r="C40" s="226"/>
      <c r="D40" s="226"/>
      <c r="E40" s="226"/>
      <c r="F40" s="226"/>
    </row>
  </sheetData>
  <mergeCells count="1">
    <mergeCell ref="E2:F2"/>
  </mergeCells>
  <conditionalFormatting sqref="C6">
    <cfRule type="cellIs" dxfId="1631" priority="1194" operator="equal">
      <formula>"No"</formula>
    </cfRule>
    <cfRule type="cellIs" dxfId="1630" priority="1195" operator="equal">
      <formula>"NA"</formula>
    </cfRule>
    <cfRule type="cellIs" dxfId="1629" priority="1196" operator="equal">
      <formula>"Yes"</formula>
    </cfRule>
  </conditionalFormatting>
  <conditionalFormatting sqref="C7">
    <cfRule type="cellIs" dxfId="1628" priority="1148" operator="equal">
      <formula>"No"</formula>
    </cfRule>
    <cfRule type="cellIs" dxfId="1627" priority="1149" operator="equal">
      <formula>"NA"</formula>
    </cfRule>
    <cfRule type="cellIs" dxfId="1626" priority="1150" operator="equal">
      <formula>"Yes"</formula>
    </cfRule>
  </conditionalFormatting>
  <conditionalFormatting sqref="C8">
    <cfRule type="cellIs" dxfId="1625" priority="1102" operator="equal">
      <formula>"No"</formula>
    </cfRule>
    <cfRule type="cellIs" dxfId="1624" priority="1103" operator="equal">
      <formula>"NA"</formula>
    </cfRule>
    <cfRule type="cellIs" dxfId="1623" priority="1104" operator="equal">
      <formula>"Yes"</formula>
    </cfRule>
  </conditionalFormatting>
  <conditionalFormatting sqref="C10">
    <cfRule type="cellIs" dxfId="1622" priority="1056" operator="equal">
      <formula>"No"</formula>
    </cfRule>
    <cfRule type="cellIs" dxfId="1621" priority="1057" operator="equal">
      <formula>"NA"</formula>
    </cfRule>
    <cfRule type="cellIs" dxfId="1620" priority="1058" operator="equal">
      <formula>"Yes"</formula>
    </cfRule>
  </conditionalFormatting>
  <conditionalFormatting sqref="C11">
    <cfRule type="cellIs" dxfId="1619" priority="1010" operator="equal">
      <formula>"No"</formula>
    </cfRule>
    <cfRule type="cellIs" dxfId="1618" priority="1011" operator="equal">
      <formula>"NA"</formula>
    </cfRule>
    <cfRule type="cellIs" dxfId="1617" priority="1012" operator="equal">
      <formula>"Yes"</formula>
    </cfRule>
  </conditionalFormatting>
  <conditionalFormatting sqref="C12">
    <cfRule type="cellIs" dxfId="1616" priority="964" operator="equal">
      <formula>"No"</formula>
    </cfRule>
    <cfRule type="cellIs" dxfId="1615" priority="965" operator="equal">
      <formula>"NA"</formula>
    </cfRule>
    <cfRule type="cellIs" dxfId="1614" priority="966" operator="equal">
      <formula>"Yes"</formula>
    </cfRule>
  </conditionalFormatting>
  <conditionalFormatting sqref="C13">
    <cfRule type="cellIs" dxfId="1613" priority="918" operator="equal">
      <formula>"No"</formula>
    </cfRule>
    <cfRule type="cellIs" dxfId="1612" priority="919" operator="equal">
      <formula>"NA"</formula>
    </cfRule>
    <cfRule type="cellIs" dxfId="1611" priority="920" operator="equal">
      <formula>"Yes"</formula>
    </cfRule>
  </conditionalFormatting>
  <conditionalFormatting sqref="C14">
    <cfRule type="cellIs" dxfId="1610" priority="872" operator="equal">
      <formula>"No"</formula>
    </cfRule>
    <cfRule type="cellIs" dxfId="1609" priority="873" operator="equal">
      <formula>"NA"</formula>
    </cfRule>
    <cfRule type="cellIs" dxfId="1608" priority="874" operator="equal">
      <formula>"Yes"</formula>
    </cfRule>
  </conditionalFormatting>
  <conditionalFormatting sqref="C15">
    <cfRule type="cellIs" dxfId="1607" priority="826" operator="equal">
      <formula>"No"</formula>
    </cfRule>
    <cfRule type="cellIs" dxfId="1606" priority="827" operator="equal">
      <formula>"NA"</formula>
    </cfRule>
    <cfRule type="cellIs" dxfId="1605" priority="828" operator="equal">
      <formula>"Yes"</formula>
    </cfRule>
  </conditionalFormatting>
  <conditionalFormatting sqref="C16">
    <cfRule type="cellIs" dxfId="1604" priority="780" operator="equal">
      <formula>"No"</formula>
    </cfRule>
    <cfRule type="cellIs" dxfId="1603" priority="781" operator="equal">
      <formula>"NA"</formula>
    </cfRule>
    <cfRule type="cellIs" dxfId="1602" priority="782" operator="equal">
      <formula>"Yes"</formula>
    </cfRule>
  </conditionalFormatting>
  <conditionalFormatting sqref="C17">
    <cfRule type="cellIs" dxfId="1601" priority="734" operator="equal">
      <formula>"No"</formula>
    </cfRule>
    <cfRule type="cellIs" dxfId="1600" priority="735" operator="equal">
      <formula>"NA"</formula>
    </cfRule>
    <cfRule type="cellIs" dxfId="1599" priority="736" operator="equal">
      <formula>"Yes"</formula>
    </cfRule>
  </conditionalFormatting>
  <conditionalFormatting sqref="C18">
    <cfRule type="cellIs" dxfId="1598" priority="688" operator="equal">
      <formula>"No"</formula>
    </cfRule>
    <cfRule type="cellIs" dxfId="1597" priority="689" operator="equal">
      <formula>"NA"</formula>
    </cfRule>
    <cfRule type="cellIs" dxfId="1596" priority="690" operator="equal">
      <formula>"Yes"</formula>
    </cfRule>
  </conditionalFormatting>
  <conditionalFormatting sqref="C19">
    <cfRule type="cellIs" dxfId="1595" priority="642" operator="equal">
      <formula>"No"</formula>
    </cfRule>
    <cfRule type="cellIs" dxfId="1594" priority="643" operator="equal">
      <formula>"NA"</formula>
    </cfRule>
    <cfRule type="cellIs" dxfId="1593" priority="644" operator="equal">
      <formula>"Yes"</formula>
    </cfRule>
  </conditionalFormatting>
  <conditionalFormatting sqref="C21">
    <cfRule type="cellIs" dxfId="1592" priority="596" operator="equal">
      <formula>"No"</formula>
    </cfRule>
    <cfRule type="cellIs" dxfId="1591" priority="597" operator="equal">
      <formula>"NA"</formula>
    </cfRule>
    <cfRule type="cellIs" dxfId="1590" priority="598" operator="equal">
      <formula>"Yes"</formula>
    </cfRule>
  </conditionalFormatting>
  <conditionalFormatting sqref="C22">
    <cfRule type="cellIs" dxfId="1589" priority="550" operator="equal">
      <formula>"No"</formula>
    </cfRule>
    <cfRule type="cellIs" dxfId="1588" priority="551" operator="equal">
      <formula>"NA"</formula>
    </cfRule>
    <cfRule type="cellIs" dxfId="1587" priority="552" operator="equal">
      <formula>"Yes"</formula>
    </cfRule>
  </conditionalFormatting>
  <conditionalFormatting sqref="C24">
    <cfRule type="cellIs" dxfId="1586" priority="504" operator="equal">
      <formula>"No"</formula>
    </cfRule>
    <cfRule type="cellIs" dxfId="1585" priority="505" operator="equal">
      <formula>"NA"</formula>
    </cfRule>
    <cfRule type="cellIs" dxfId="1584" priority="506" operator="equal">
      <formula>"Yes"</formula>
    </cfRule>
  </conditionalFormatting>
  <conditionalFormatting sqref="C25">
    <cfRule type="cellIs" dxfId="1583" priority="458" operator="equal">
      <formula>"No"</formula>
    </cfRule>
    <cfRule type="cellIs" dxfId="1582" priority="459" operator="equal">
      <formula>"NA"</formula>
    </cfRule>
    <cfRule type="cellIs" dxfId="1581" priority="460" operator="equal">
      <formula>"Yes"</formula>
    </cfRule>
  </conditionalFormatting>
  <conditionalFormatting sqref="C26">
    <cfRule type="cellIs" dxfId="1580" priority="412" operator="equal">
      <formula>"No"</formula>
    </cfRule>
    <cfRule type="cellIs" dxfId="1579" priority="413" operator="equal">
      <formula>"NA"</formula>
    </cfRule>
    <cfRule type="cellIs" dxfId="1578" priority="414" operator="equal">
      <formula>"Yes"</formula>
    </cfRule>
  </conditionalFormatting>
  <conditionalFormatting sqref="C27">
    <cfRule type="cellIs" dxfId="1577" priority="366" operator="equal">
      <formula>"No"</formula>
    </cfRule>
    <cfRule type="cellIs" dxfId="1576" priority="367" operator="equal">
      <formula>"NA"</formula>
    </cfRule>
    <cfRule type="cellIs" dxfId="1575" priority="368" operator="equal">
      <formula>"Yes"</formula>
    </cfRule>
  </conditionalFormatting>
  <conditionalFormatting sqref="C29">
    <cfRule type="cellIs" dxfId="1574" priority="320" operator="equal">
      <formula>"No"</formula>
    </cfRule>
    <cfRule type="cellIs" dxfId="1573" priority="321" operator="equal">
      <formula>"NA"</formula>
    </cfRule>
    <cfRule type="cellIs" dxfId="1572" priority="322" operator="equal">
      <formula>"Yes"</formula>
    </cfRule>
  </conditionalFormatting>
  <conditionalFormatting sqref="C30">
    <cfRule type="cellIs" dxfId="1571" priority="274" operator="equal">
      <formula>"No"</formula>
    </cfRule>
    <cfRule type="cellIs" dxfId="1570" priority="275" operator="equal">
      <formula>"NA"</formula>
    </cfRule>
    <cfRule type="cellIs" dxfId="1569" priority="276" operator="equal">
      <formula>"Yes"</formula>
    </cfRule>
  </conditionalFormatting>
  <conditionalFormatting sqref="C31">
    <cfRule type="cellIs" dxfId="1568" priority="228" operator="equal">
      <formula>"No"</formula>
    </cfRule>
    <cfRule type="cellIs" dxfId="1567" priority="229" operator="equal">
      <formula>"NA"</formula>
    </cfRule>
    <cfRule type="cellIs" dxfId="1566" priority="230" operator="equal">
      <formula>"Yes"</formula>
    </cfRule>
  </conditionalFormatting>
  <conditionalFormatting sqref="C32">
    <cfRule type="cellIs" dxfId="1565" priority="182" operator="equal">
      <formula>"No"</formula>
    </cfRule>
    <cfRule type="cellIs" dxfId="1564" priority="183" operator="equal">
      <formula>"NA"</formula>
    </cfRule>
    <cfRule type="cellIs" dxfId="1563" priority="184" operator="equal">
      <formula>"Yes"</formula>
    </cfRule>
  </conditionalFormatting>
  <conditionalFormatting sqref="C34">
    <cfRule type="cellIs" dxfId="1562" priority="136" operator="equal">
      <formula>"No"</formula>
    </cfRule>
    <cfRule type="cellIs" dxfId="1561" priority="137" operator="equal">
      <formula>"NA"</formula>
    </cfRule>
    <cfRule type="cellIs" dxfId="1560" priority="138" operator="equal">
      <formula>"Yes"</formula>
    </cfRule>
  </conditionalFormatting>
  <conditionalFormatting sqref="C35">
    <cfRule type="cellIs" dxfId="1559" priority="90" operator="equal">
      <formula>"No"</formula>
    </cfRule>
    <cfRule type="cellIs" dxfId="1558" priority="91" operator="equal">
      <formula>"NA"</formula>
    </cfRule>
    <cfRule type="cellIs" dxfId="1557" priority="92" operator="equal">
      <formula>"Yes"</formula>
    </cfRule>
  </conditionalFormatting>
  <conditionalFormatting sqref="C37">
    <cfRule type="cellIs" dxfId="1556" priority="44" operator="equal">
      <formula>"No"</formula>
    </cfRule>
    <cfRule type="cellIs" dxfId="1555" priority="45" operator="equal">
      <formula>"NA"</formula>
    </cfRule>
    <cfRule type="cellIs" dxfId="1554"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366</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38.25">
      <c r="A9" s="163" t="s">
        <v>643</v>
      </c>
      <c r="B9" s="172" t="s">
        <v>396</v>
      </c>
      <c r="C9" s="222"/>
      <c r="D9" s="223"/>
      <c r="E9" s="162"/>
      <c r="F9" s="162"/>
    </row>
    <row r="10" spans="1:7" ht="18.75">
      <c r="A10" s="160"/>
      <c r="B10" s="169" t="s">
        <v>291</v>
      </c>
      <c r="C10" s="161"/>
      <c r="D10" s="161"/>
      <c r="E10" s="228"/>
      <c r="F10" s="228"/>
    </row>
    <row r="11" spans="1:7" ht="51">
      <c r="A11" s="163" t="s">
        <v>623</v>
      </c>
      <c r="B11" s="172" t="s">
        <v>336</v>
      </c>
      <c r="C11" s="222"/>
      <c r="D11" s="223"/>
      <c r="E11" s="162"/>
      <c r="F11" s="162"/>
    </row>
    <row r="12" spans="1:7" ht="51">
      <c r="A12" s="163" t="s">
        <v>624</v>
      </c>
      <c r="B12" s="172" t="s">
        <v>225</v>
      </c>
      <c r="C12" s="222"/>
      <c r="D12" s="223"/>
      <c r="E12" s="164" t="s">
        <v>385</v>
      </c>
      <c r="F12" s="162"/>
    </row>
    <row r="13" spans="1:7" ht="38.25">
      <c r="A13" s="163" t="s">
        <v>625</v>
      </c>
      <c r="B13" s="172" t="s">
        <v>227</v>
      </c>
      <c r="C13" s="222"/>
      <c r="D13" s="223"/>
      <c r="E13" s="162"/>
      <c r="F13" s="162"/>
    </row>
    <row r="14" spans="1:7" ht="38.25">
      <c r="A14" s="163" t="s">
        <v>626</v>
      </c>
      <c r="B14" s="172" t="s">
        <v>224</v>
      </c>
      <c r="C14" s="222"/>
      <c r="D14" s="223"/>
      <c r="E14" s="162" t="s">
        <v>386</v>
      </c>
      <c r="F14" s="162"/>
    </row>
    <row r="15" spans="1:7" ht="25.5">
      <c r="A15" s="163" t="s">
        <v>627</v>
      </c>
      <c r="B15" s="172" t="s">
        <v>211</v>
      </c>
      <c r="C15" s="222"/>
      <c r="D15" s="223"/>
      <c r="E15" s="162"/>
      <c r="F15" s="162"/>
    </row>
    <row r="16" spans="1:7" ht="63.75">
      <c r="A16" s="163" t="s">
        <v>628</v>
      </c>
      <c r="B16" s="172" t="s">
        <v>292</v>
      </c>
      <c r="C16" s="222"/>
      <c r="D16" s="223"/>
      <c r="E16" s="162"/>
      <c r="F16" s="162"/>
    </row>
    <row r="17" spans="1:6" ht="38.25">
      <c r="A17" s="163" t="s">
        <v>629</v>
      </c>
      <c r="B17" s="172" t="s">
        <v>387</v>
      </c>
      <c r="C17" s="222"/>
      <c r="D17" s="223"/>
      <c r="E17" s="162"/>
      <c r="F17" s="162"/>
    </row>
    <row r="18" spans="1:6" ht="38.25">
      <c r="A18" s="163" t="s">
        <v>630</v>
      </c>
      <c r="B18" s="172" t="s">
        <v>388</v>
      </c>
      <c r="C18" s="222"/>
      <c r="D18" s="223"/>
      <c r="E18" s="162"/>
      <c r="F18" s="162"/>
    </row>
    <row r="19" spans="1:6" ht="25.5">
      <c r="A19" s="163" t="s">
        <v>631</v>
      </c>
      <c r="B19" s="172" t="s">
        <v>389</v>
      </c>
      <c r="C19" s="222"/>
      <c r="D19" s="223"/>
      <c r="E19" s="162"/>
      <c r="F19" s="162"/>
    </row>
    <row r="20" spans="1:6" ht="25.5">
      <c r="A20" s="163" t="s">
        <v>632</v>
      </c>
      <c r="B20" s="172" t="s">
        <v>390</v>
      </c>
      <c r="C20" s="222"/>
      <c r="D20" s="223"/>
      <c r="E20" s="162"/>
      <c r="F20" s="162"/>
    </row>
    <row r="21" spans="1:6" ht="18.75">
      <c r="A21" s="160"/>
      <c r="B21" s="169" t="s">
        <v>207</v>
      </c>
      <c r="C21" s="161"/>
      <c r="D21" s="161"/>
      <c r="E21" s="228"/>
      <c r="F21" s="228"/>
    </row>
    <row r="22" spans="1:6" ht="76.5">
      <c r="A22" s="163" t="s">
        <v>636</v>
      </c>
      <c r="B22" s="172" t="s">
        <v>208</v>
      </c>
      <c r="C22" s="222"/>
      <c r="D22" s="223"/>
      <c r="E22" s="162"/>
      <c r="F22" s="162"/>
    </row>
    <row r="23" spans="1:6" ht="18.75">
      <c r="A23" s="160"/>
      <c r="B23" s="169" t="s">
        <v>212</v>
      </c>
      <c r="C23" s="161"/>
      <c r="D23" s="161"/>
      <c r="E23" s="228"/>
      <c r="F23" s="228"/>
    </row>
    <row r="24" spans="1:6" ht="38.25">
      <c r="A24" s="163" t="s">
        <v>641</v>
      </c>
      <c r="B24" s="172" t="s">
        <v>394</v>
      </c>
      <c r="C24" s="222"/>
      <c r="D24" s="223"/>
      <c r="E24" s="162"/>
      <c r="F24" s="162"/>
    </row>
    <row r="25" spans="1:6" ht="18.75">
      <c r="A25" s="160"/>
      <c r="B25" s="169" t="s">
        <v>337</v>
      </c>
      <c r="C25" s="161"/>
      <c r="D25" s="161"/>
      <c r="E25" s="228"/>
      <c r="F25" s="228"/>
    </row>
    <row r="26" spans="1:6" ht="38.25">
      <c r="A26" s="163" t="s">
        <v>642</v>
      </c>
      <c r="B26" s="172" t="s">
        <v>395</v>
      </c>
      <c r="C26" s="222"/>
      <c r="D26" s="223"/>
      <c r="E26" s="162"/>
      <c r="F26" s="162"/>
    </row>
    <row r="27" spans="1:6" ht="18.75">
      <c r="A27" s="160"/>
      <c r="B27" s="169" t="s">
        <v>266</v>
      </c>
      <c r="C27" s="161"/>
      <c r="D27" s="161"/>
      <c r="E27" s="228"/>
      <c r="F27" s="228"/>
    </row>
    <row r="28" spans="1:6" ht="38.25">
      <c r="A28" s="163" t="s">
        <v>594</v>
      </c>
      <c r="B28" s="172" t="s">
        <v>215</v>
      </c>
      <c r="C28" s="222"/>
      <c r="D28" s="223"/>
      <c r="E28" s="162"/>
      <c r="F28" s="162"/>
    </row>
    <row r="29" spans="1:6" ht="25.5">
      <c r="A29" s="163" t="s">
        <v>595</v>
      </c>
      <c r="B29" s="172" t="s">
        <v>216</v>
      </c>
      <c r="C29" s="222"/>
      <c r="D29" s="223"/>
      <c r="E29" s="162"/>
      <c r="F29" s="162"/>
    </row>
    <row r="30" spans="1:6" ht="38.25">
      <c r="A30" s="163" t="s">
        <v>596</v>
      </c>
      <c r="B30" s="172" t="s">
        <v>217</v>
      </c>
      <c r="C30" s="222"/>
      <c r="D30" s="223"/>
      <c r="E30" s="162"/>
      <c r="F30" s="162"/>
    </row>
    <row r="31" spans="1:6" ht="38.25">
      <c r="A31" s="163" t="s">
        <v>597</v>
      </c>
      <c r="B31" s="172" t="s">
        <v>218</v>
      </c>
      <c r="C31" s="222"/>
      <c r="D31" s="223"/>
      <c r="E31" s="162"/>
      <c r="F31" s="162"/>
    </row>
    <row r="32" spans="1:6" ht="18.75">
      <c r="A32" s="160"/>
      <c r="B32" s="169" t="s">
        <v>267</v>
      </c>
      <c r="C32" s="161"/>
      <c r="D32" s="161"/>
      <c r="E32" s="228"/>
      <c r="F32" s="228"/>
    </row>
    <row r="33" spans="1:6" ht="38.25">
      <c r="A33" s="163" t="s">
        <v>598</v>
      </c>
      <c r="B33" s="172" t="s">
        <v>219</v>
      </c>
      <c r="C33" s="222"/>
      <c r="D33" s="223"/>
      <c r="E33" s="162"/>
      <c r="F33" s="162"/>
    </row>
    <row r="34" spans="1:6" ht="38.25">
      <c r="A34" s="163" t="s">
        <v>599</v>
      </c>
      <c r="B34" s="172" t="s">
        <v>220</v>
      </c>
      <c r="C34" s="222"/>
      <c r="D34" s="223"/>
      <c r="E34" s="162"/>
      <c r="F34" s="162"/>
    </row>
    <row r="35" spans="1:6" ht="18.75">
      <c r="A35" s="160"/>
      <c r="B35" s="169" t="s">
        <v>213</v>
      </c>
      <c r="C35" s="161"/>
      <c r="D35" s="161"/>
      <c r="E35" s="228"/>
      <c r="F35" s="228"/>
    </row>
    <row r="36" spans="1:6" ht="51">
      <c r="A36" s="163" t="s">
        <v>600</v>
      </c>
      <c r="B36" s="172" t="s">
        <v>214</v>
      </c>
      <c r="C36" s="222"/>
      <c r="D36" s="223"/>
      <c r="E36" s="162"/>
      <c r="F36" s="162"/>
    </row>
    <row r="37" spans="1:6" ht="18">
      <c r="A37" s="224"/>
      <c r="B37" s="225" t="s">
        <v>286</v>
      </c>
      <c r="C37" s="224"/>
      <c r="D37" s="224"/>
      <c r="E37" s="224"/>
      <c r="F37" s="224"/>
    </row>
    <row r="38" spans="1:6">
      <c r="A38" s="163"/>
      <c r="B38" s="172"/>
    </row>
    <row r="39" spans="1:6" ht="15">
      <c r="A39" s="226"/>
      <c r="B39" s="227" t="s">
        <v>619</v>
      </c>
      <c r="C39" s="226"/>
      <c r="D39" s="226"/>
      <c r="E39" s="226"/>
      <c r="F39" s="226"/>
    </row>
  </sheetData>
  <mergeCells count="1">
    <mergeCell ref="E2:F2"/>
  </mergeCells>
  <conditionalFormatting sqref="C6">
    <cfRule type="cellIs" dxfId="1553" priority="1102" operator="equal">
      <formula>"No"</formula>
    </cfRule>
    <cfRule type="cellIs" dxfId="1552" priority="1103" operator="equal">
      <formula>"NA"</formula>
    </cfRule>
    <cfRule type="cellIs" dxfId="1551" priority="1104" operator="equal">
      <formula>"Yes"</formula>
    </cfRule>
  </conditionalFormatting>
  <conditionalFormatting sqref="C7">
    <cfRule type="cellIs" dxfId="1550" priority="1056" operator="equal">
      <formula>"No"</formula>
    </cfRule>
    <cfRule type="cellIs" dxfId="1549" priority="1057" operator="equal">
      <formula>"NA"</formula>
    </cfRule>
    <cfRule type="cellIs" dxfId="1548" priority="1058" operator="equal">
      <formula>"Yes"</formula>
    </cfRule>
  </conditionalFormatting>
  <conditionalFormatting sqref="C8">
    <cfRule type="cellIs" dxfId="1547" priority="1010" operator="equal">
      <formula>"No"</formula>
    </cfRule>
    <cfRule type="cellIs" dxfId="1546" priority="1011" operator="equal">
      <formula>"NA"</formula>
    </cfRule>
    <cfRule type="cellIs" dxfId="1545" priority="1012" operator="equal">
      <formula>"Yes"</formula>
    </cfRule>
  </conditionalFormatting>
  <conditionalFormatting sqref="C9">
    <cfRule type="cellIs" dxfId="1544" priority="964" operator="equal">
      <formula>"No"</formula>
    </cfRule>
    <cfRule type="cellIs" dxfId="1543" priority="965" operator="equal">
      <formula>"NA"</formula>
    </cfRule>
    <cfRule type="cellIs" dxfId="1542" priority="966" operator="equal">
      <formula>"Yes"</formula>
    </cfRule>
  </conditionalFormatting>
  <conditionalFormatting sqref="C11">
    <cfRule type="cellIs" dxfId="1541" priority="918" operator="equal">
      <formula>"No"</formula>
    </cfRule>
    <cfRule type="cellIs" dxfId="1540" priority="919" operator="equal">
      <formula>"NA"</formula>
    </cfRule>
    <cfRule type="cellIs" dxfId="1539" priority="920" operator="equal">
      <formula>"Yes"</formula>
    </cfRule>
  </conditionalFormatting>
  <conditionalFormatting sqref="C12">
    <cfRule type="cellIs" dxfId="1538" priority="872" operator="equal">
      <formula>"No"</formula>
    </cfRule>
    <cfRule type="cellIs" dxfId="1537" priority="873" operator="equal">
      <formula>"NA"</formula>
    </cfRule>
    <cfRule type="cellIs" dxfId="1536" priority="874" operator="equal">
      <formula>"Yes"</formula>
    </cfRule>
  </conditionalFormatting>
  <conditionalFormatting sqref="C13">
    <cfRule type="cellIs" dxfId="1535" priority="826" operator="equal">
      <formula>"No"</formula>
    </cfRule>
    <cfRule type="cellIs" dxfId="1534" priority="827" operator="equal">
      <formula>"NA"</formula>
    </cfRule>
    <cfRule type="cellIs" dxfId="1533" priority="828" operator="equal">
      <formula>"Yes"</formula>
    </cfRule>
  </conditionalFormatting>
  <conditionalFormatting sqref="C14">
    <cfRule type="cellIs" dxfId="1532" priority="780" operator="equal">
      <formula>"No"</formula>
    </cfRule>
    <cfRule type="cellIs" dxfId="1531" priority="781" operator="equal">
      <formula>"NA"</formula>
    </cfRule>
    <cfRule type="cellIs" dxfId="1530" priority="782" operator="equal">
      <formula>"Yes"</formula>
    </cfRule>
  </conditionalFormatting>
  <conditionalFormatting sqref="C15">
    <cfRule type="cellIs" dxfId="1529" priority="734" operator="equal">
      <formula>"No"</formula>
    </cfRule>
    <cfRule type="cellIs" dxfId="1528" priority="735" operator="equal">
      <formula>"NA"</formula>
    </cfRule>
    <cfRule type="cellIs" dxfId="1527" priority="736" operator="equal">
      <formula>"Yes"</formula>
    </cfRule>
  </conditionalFormatting>
  <conditionalFormatting sqref="C16">
    <cfRule type="cellIs" dxfId="1526" priority="688" operator="equal">
      <formula>"No"</formula>
    </cfRule>
    <cfRule type="cellIs" dxfId="1525" priority="689" operator="equal">
      <formula>"NA"</formula>
    </cfRule>
    <cfRule type="cellIs" dxfId="1524" priority="690" operator="equal">
      <formula>"Yes"</formula>
    </cfRule>
  </conditionalFormatting>
  <conditionalFormatting sqref="C17">
    <cfRule type="cellIs" dxfId="1523" priority="642" operator="equal">
      <formula>"No"</formula>
    </cfRule>
    <cfRule type="cellIs" dxfId="1522" priority="643" operator="equal">
      <formula>"NA"</formula>
    </cfRule>
    <cfRule type="cellIs" dxfId="1521" priority="644" operator="equal">
      <formula>"Yes"</formula>
    </cfRule>
  </conditionalFormatting>
  <conditionalFormatting sqref="C18">
    <cfRule type="cellIs" dxfId="1520" priority="596" operator="equal">
      <formula>"No"</formula>
    </cfRule>
    <cfRule type="cellIs" dxfId="1519" priority="597" operator="equal">
      <formula>"NA"</formula>
    </cfRule>
    <cfRule type="cellIs" dxfId="1518" priority="598" operator="equal">
      <formula>"Yes"</formula>
    </cfRule>
  </conditionalFormatting>
  <conditionalFormatting sqref="C19">
    <cfRule type="cellIs" dxfId="1517" priority="550" operator="equal">
      <formula>"No"</formula>
    </cfRule>
    <cfRule type="cellIs" dxfId="1516" priority="551" operator="equal">
      <formula>"NA"</formula>
    </cfRule>
    <cfRule type="cellIs" dxfId="1515" priority="552" operator="equal">
      <formula>"Yes"</formula>
    </cfRule>
  </conditionalFormatting>
  <conditionalFormatting sqref="C20">
    <cfRule type="cellIs" dxfId="1514" priority="504" operator="equal">
      <formula>"No"</formula>
    </cfRule>
    <cfRule type="cellIs" dxfId="1513" priority="505" operator="equal">
      <formula>"NA"</formula>
    </cfRule>
    <cfRule type="cellIs" dxfId="1512" priority="506" operator="equal">
      <formula>"Yes"</formula>
    </cfRule>
  </conditionalFormatting>
  <conditionalFormatting sqref="C22">
    <cfRule type="cellIs" dxfId="1511" priority="458" operator="equal">
      <formula>"No"</formula>
    </cfRule>
    <cfRule type="cellIs" dxfId="1510" priority="459" operator="equal">
      <formula>"NA"</formula>
    </cfRule>
    <cfRule type="cellIs" dxfId="1509" priority="460" operator="equal">
      <formula>"Yes"</formula>
    </cfRule>
  </conditionalFormatting>
  <conditionalFormatting sqref="C24">
    <cfRule type="cellIs" dxfId="1508" priority="412" operator="equal">
      <formula>"No"</formula>
    </cfRule>
    <cfRule type="cellIs" dxfId="1507" priority="413" operator="equal">
      <formula>"NA"</formula>
    </cfRule>
    <cfRule type="cellIs" dxfId="1506" priority="414" operator="equal">
      <formula>"Yes"</formula>
    </cfRule>
  </conditionalFormatting>
  <conditionalFormatting sqref="C26">
    <cfRule type="cellIs" dxfId="1505" priority="366" operator="equal">
      <formula>"No"</formula>
    </cfRule>
    <cfRule type="cellIs" dxfId="1504" priority="367" operator="equal">
      <formula>"NA"</formula>
    </cfRule>
    <cfRule type="cellIs" dxfId="1503" priority="368" operator="equal">
      <formula>"Yes"</formula>
    </cfRule>
  </conditionalFormatting>
  <conditionalFormatting sqref="C28">
    <cfRule type="cellIs" dxfId="1502" priority="320" operator="equal">
      <formula>"No"</formula>
    </cfRule>
    <cfRule type="cellIs" dxfId="1501" priority="321" operator="equal">
      <formula>"NA"</formula>
    </cfRule>
    <cfRule type="cellIs" dxfId="1500" priority="322" operator="equal">
      <formula>"Yes"</formula>
    </cfRule>
  </conditionalFormatting>
  <conditionalFormatting sqref="C29">
    <cfRule type="cellIs" dxfId="1499" priority="274" operator="equal">
      <formula>"No"</formula>
    </cfRule>
    <cfRule type="cellIs" dxfId="1498" priority="275" operator="equal">
      <formula>"NA"</formula>
    </cfRule>
    <cfRule type="cellIs" dxfId="1497" priority="276" operator="equal">
      <formula>"Yes"</formula>
    </cfRule>
  </conditionalFormatting>
  <conditionalFormatting sqref="C30">
    <cfRule type="cellIs" dxfId="1496" priority="228" operator="equal">
      <formula>"No"</formula>
    </cfRule>
    <cfRule type="cellIs" dxfId="1495" priority="229" operator="equal">
      <formula>"NA"</formula>
    </cfRule>
    <cfRule type="cellIs" dxfId="1494" priority="230" operator="equal">
      <formula>"Yes"</formula>
    </cfRule>
  </conditionalFormatting>
  <conditionalFormatting sqref="C31">
    <cfRule type="cellIs" dxfId="1493" priority="182" operator="equal">
      <formula>"No"</formula>
    </cfRule>
    <cfRule type="cellIs" dxfId="1492" priority="183" operator="equal">
      <formula>"NA"</formula>
    </cfRule>
    <cfRule type="cellIs" dxfId="1491" priority="184" operator="equal">
      <formula>"Yes"</formula>
    </cfRule>
  </conditionalFormatting>
  <conditionalFormatting sqref="C33">
    <cfRule type="cellIs" dxfId="1490" priority="136" operator="equal">
      <formula>"No"</formula>
    </cfRule>
    <cfRule type="cellIs" dxfId="1489" priority="137" operator="equal">
      <formula>"NA"</formula>
    </cfRule>
    <cfRule type="cellIs" dxfId="1488" priority="138" operator="equal">
      <formula>"Yes"</formula>
    </cfRule>
  </conditionalFormatting>
  <conditionalFormatting sqref="C34">
    <cfRule type="cellIs" dxfId="1487" priority="90" operator="equal">
      <formula>"No"</formula>
    </cfRule>
    <cfRule type="cellIs" dxfId="1486" priority="91" operator="equal">
      <formula>"NA"</formula>
    </cfRule>
    <cfRule type="cellIs" dxfId="1485" priority="92" operator="equal">
      <formula>"Yes"</formula>
    </cfRule>
  </conditionalFormatting>
  <conditionalFormatting sqref="C36">
    <cfRule type="cellIs" dxfId="1484" priority="44" operator="equal">
      <formula>"No"</formula>
    </cfRule>
    <cfRule type="cellIs" dxfId="1483" priority="45" operator="equal">
      <formula>"NA"</formula>
    </cfRule>
    <cfRule type="cellIs" dxfId="1482"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338</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291</v>
      </c>
      <c r="C5" s="161"/>
      <c r="D5" s="161"/>
      <c r="E5" s="228"/>
      <c r="F5" s="228"/>
    </row>
    <row r="6" spans="1:7" ht="51">
      <c r="A6" s="163" t="s">
        <v>623</v>
      </c>
      <c r="B6" s="172" t="s">
        <v>336</v>
      </c>
      <c r="C6" s="222"/>
      <c r="D6" s="223"/>
      <c r="E6" s="162"/>
      <c r="F6" s="162"/>
    </row>
    <row r="7" spans="1:7" ht="51">
      <c r="A7" s="163" t="s">
        <v>624</v>
      </c>
      <c r="B7" s="172" t="s">
        <v>225</v>
      </c>
      <c r="C7" s="222"/>
      <c r="D7" s="223"/>
      <c r="E7" s="164" t="s">
        <v>385</v>
      </c>
      <c r="F7" s="162"/>
    </row>
    <row r="8" spans="1:7" ht="38.25">
      <c r="A8" s="163" t="s">
        <v>626</v>
      </c>
      <c r="B8" s="172" t="s">
        <v>224</v>
      </c>
      <c r="C8" s="222"/>
      <c r="D8" s="223"/>
      <c r="E8" s="162" t="s">
        <v>386</v>
      </c>
      <c r="F8" s="162"/>
    </row>
    <row r="9" spans="1:7" ht="25.5">
      <c r="A9" s="163" t="s">
        <v>627</v>
      </c>
      <c r="B9" s="172" t="s">
        <v>211</v>
      </c>
      <c r="C9" s="222"/>
      <c r="D9" s="223"/>
      <c r="E9" s="162"/>
      <c r="F9" s="162"/>
    </row>
    <row r="10" spans="1:7" ht="38.25">
      <c r="A10" s="163" t="s">
        <v>629</v>
      </c>
      <c r="B10" s="172" t="s">
        <v>387</v>
      </c>
      <c r="C10" s="222"/>
      <c r="D10" s="223"/>
      <c r="E10" s="162"/>
      <c r="F10" s="162"/>
    </row>
    <row r="11" spans="1:7" ht="38.25">
      <c r="A11" s="163" t="s">
        <v>630</v>
      </c>
      <c r="B11" s="172" t="s">
        <v>388</v>
      </c>
      <c r="C11" s="222"/>
      <c r="D11" s="223"/>
      <c r="E11" s="162"/>
      <c r="F11" s="162"/>
    </row>
    <row r="12" spans="1:7" ht="18.75">
      <c r="A12" s="160"/>
      <c r="B12" s="169" t="s">
        <v>222</v>
      </c>
      <c r="C12" s="161"/>
      <c r="D12" s="161"/>
      <c r="E12" s="228"/>
      <c r="F12" s="228"/>
    </row>
    <row r="13" spans="1:7" ht="38.25">
      <c r="A13" s="163" t="s">
        <v>621</v>
      </c>
      <c r="B13" s="172" t="s">
        <v>382</v>
      </c>
      <c r="C13" s="222"/>
      <c r="D13" s="223"/>
      <c r="E13" s="162"/>
      <c r="F13" s="162"/>
    </row>
    <row r="14" spans="1:7" ht="25.5">
      <c r="A14" s="163" t="s">
        <v>644</v>
      </c>
      <c r="B14" s="172" t="s">
        <v>230</v>
      </c>
      <c r="C14" s="222"/>
      <c r="D14" s="223"/>
      <c r="E14" s="162"/>
      <c r="F14" s="162"/>
    </row>
    <row r="15" spans="1:7" ht="38.25">
      <c r="A15" s="163" t="s">
        <v>645</v>
      </c>
      <c r="B15" s="172" t="s">
        <v>231</v>
      </c>
      <c r="C15" s="222"/>
      <c r="D15" s="223"/>
      <c r="E15" s="162"/>
      <c r="F15" s="162"/>
    </row>
    <row r="16" spans="1:7" ht="25.5">
      <c r="A16" s="163" t="s">
        <v>646</v>
      </c>
      <c r="B16" s="172" t="s">
        <v>232</v>
      </c>
      <c r="C16" s="222"/>
      <c r="D16" s="223"/>
      <c r="E16" s="162"/>
      <c r="F16" s="162"/>
    </row>
    <row r="17" spans="1:6" ht="25.5">
      <c r="A17" s="163" t="s">
        <v>647</v>
      </c>
      <c r="B17" s="172" t="s">
        <v>233</v>
      </c>
      <c r="C17" s="222"/>
      <c r="D17" s="223"/>
      <c r="E17" s="162"/>
      <c r="F17" s="162"/>
    </row>
    <row r="18" spans="1:6" ht="25.5">
      <c r="A18" s="163" t="s">
        <v>648</v>
      </c>
      <c r="B18" s="172" t="s">
        <v>234</v>
      </c>
      <c r="C18" s="222"/>
      <c r="D18" s="223"/>
      <c r="E18" s="162"/>
      <c r="F18" s="162"/>
    </row>
    <row r="19" spans="1:6" ht="25.5">
      <c r="A19" s="163" t="s">
        <v>649</v>
      </c>
      <c r="B19" s="172" t="s">
        <v>397</v>
      </c>
      <c r="C19" s="222"/>
      <c r="D19" s="223"/>
      <c r="E19" s="162"/>
      <c r="F19" s="162"/>
    </row>
    <row r="20" spans="1:6" ht="38.25">
      <c r="A20" s="163" t="s">
        <v>650</v>
      </c>
      <c r="B20" s="172" t="s">
        <v>235</v>
      </c>
      <c r="C20" s="222"/>
      <c r="D20" s="223"/>
      <c r="E20" s="162"/>
      <c r="F20" s="162"/>
    </row>
    <row r="21" spans="1:6" ht="38.25">
      <c r="A21" s="163" t="s">
        <v>651</v>
      </c>
      <c r="B21" s="172" t="s">
        <v>236</v>
      </c>
      <c r="C21" s="222"/>
      <c r="D21" s="223"/>
      <c r="E21" s="162"/>
      <c r="F21" s="162"/>
    </row>
    <row r="22" spans="1:6" ht="18.75">
      <c r="A22" s="160"/>
      <c r="B22" s="169" t="s">
        <v>266</v>
      </c>
      <c r="C22" s="161"/>
      <c r="D22" s="161"/>
      <c r="E22" s="228"/>
      <c r="F22" s="228"/>
    </row>
    <row r="23" spans="1:6" ht="38.25">
      <c r="A23" s="163" t="s">
        <v>594</v>
      </c>
      <c r="B23" s="172" t="s">
        <v>215</v>
      </c>
      <c r="C23" s="222"/>
      <c r="D23" s="223"/>
      <c r="E23" s="162"/>
      <c r="F23" s="162"/>
    </row>
    <row r="24" spans="1:6" ht="25.5">
      <c r="A24" s="163" t="s">
        <v>595</v>
      </c>
      <c r="B24" s="172" t="s">
        <v>216</v>
      </c>
      <c r="C24" s="222"/>
      <c r="D24" s="223"/>
      <c r="E24" s="162"/>
      <c r="F24" s="162"/>
    </row>
    <row r="25" spans="1:6" ht="38.25">
      <c r="A25" s="163" t="s">
        <v>596</v>
      </c>
      <c r="B25" s="172" t="s">
        <v>217</v>
      </c>
      <c r="C25" s="222"/>
      <c r="D25" s="223"/>
      <c r="E25" s="162"/>
      <c r="F25" s="162"/>
    </row>
    <row r="26" spans="1:6" ht="38.25">
      <c r="A26" s="163" t="s">
        <v>597</v>
      </c>
      <c r="B26" s="172" t="s">
        <v>218</v>
      </c>
      <c r="C26" s="222"/>
      <c r="D26" s="223"/>
      <c r="E26" s="162"/>
      <c r="F26" s="162"/>
    </row>
    <row r="27" spans="1:6" ht="18.75">
      <c r="A27" s="160"/>
      <c r="B27" s="169" t="s">
        <v>267</v>
      </c>
      <c r="C27" s="161"/>
      <c r="D27" s="161"/>
      <c r="E27" s="228"/>
      <c r="F27" s="228"/>
    </row>
    <row r="28" spans="1:6" ht="38.25">
      <c r="A28" s="163" t="s">
        <v>598</v>
      </c>
      <c r="B28" s="172" t="s">
        <v>219</v>
      </c>
      <c r="C28" s="222"/>
      <c r="D28" s="223"/>
      <c r="E28" s="162"/>
      <c r="F28" s="162"/>
    </row>
    <row r="29" spans="1:6" ht="38.25">
      <c r="A29" s="163" t="s">
        <v>599</v>
      </c>
      <c r="B29" s="172" t="s">
        <v>220</v>
      </c>
      <c r="C29" s="222"/>
      <c r="D29" s="223"/>
      <c r="E29" s="162"/>
      <c r="F29" s="162"/>
    </row>
    <row r="30" spans="1:6" ht="18.75">
      <c r="A30" s="160"/>
      <c r="B30" s="169" t="s">
        <v>213</v>
      </c>
      <c r="C30" s="161"/>
      <c r="D30" s="161"/>
      <c r="E30" s="228"/>
      <c r="F30" s="228"/>
    </row>
    <row r="31" spans="1:6" ht="51">
      <c r="A31" s="163" t="s">
        <v>600</v>
      </c>
      <c r="B31" s="172" t="s">
        <v>214</v>
      </c>
      <c r="C31" s="222"/>
      <c r="D31" s="223"/>
      <c r="E31" s="162"/>
      <c r="F31" s="162"/>
    </row>
    <row r="32" spans="1:6" ht="18">
      <c r="A32" s="224"/>
      <c r="B32" s="225" t="s">
        <v>286</v>
      </c>
      <c r="C32" s="224"/>
      <c r="D32" s="224"/>
      <c r="E32" s="224"/>
      <c r="F32" s="224"/>
    </row>
    <row r="33" spans="1:6">
      <c r="A33" s="163"/>
      <c r="B33" s="172"/>
    </row>
    <row r="34" spans="1:6" ht="15">
      <c r="A34" s="226"/>
      <c r="B34" s="227" t="s">
        <v>619</v>
      </c>
      <c r="C34" s="226"/>
      <c r="D34" s="226"/>
      <c r="E34" s="226"/>
      <c r="F34" s="226"/>
    </row>
  </sheetData>
  <mergeCells count="1">
    <mergeCell ref="E2:F2"/>
  </mergeCells>
  <conditionalFormatting sqref="C6">
    <cfRule type="cellIs" dxfId="1481" priority="1010" operator="equal">
      <formula>"No"</formula>
    </cfRule>
    <cfRule type="cellIs" dxfId="1480" priority="1011" operator="equal">
      <formula>"NA"</formula>
    </cfRule>
    <cfRule type="cellIs" dxfId="1479" priority="1012" operator="equal">
      <formula>"Yes"</formula>
    </cfRule>
  </conditionalFormatting>
  <conditionalFormatting sqref="C7">
    <cfRule type="cellIs" dxfId="1478" priority="964" operator="equal">
      <formula>"No"</formula>
    </cfRule>
    <cfRule type="cellIs" dxfId="1477" priority="965" operator="equal">
      <formula>"NA"</formula>
    </cfRule>
    <cfRule type="cellIs" dxfId="1476" priority="966" operator="equal">
      <formula>"Yes"</formula>
    </cfRule>
  </conditionalFormatting>
  <conditionalFormatting sqref="C8">
    <cfRule type="cellIs" dxfId="1475" priority="918" operator="equal">
      <formula>"No"</formula>
    </cfRule>
    <cfRule type="cellIs" dxfId="1474" priority="919" operator="equal">
      <formula>"NA"</formula>
    </cfRule>
    <cfRule type="cellIs" dxfId="1473" priority="920" operator="equal">
      <formula>"Yes"</formula>
    </cfRule>
  </conditionalFormatting>
  <conditionalFormatting sqref="C9">
    <cfRule type="cellIs" dxfId="1472" priority="872" operator="equal">
      <formula>"No"</formula>
    </cfRule>
    <cfRule type="cellIs" dxfId="1471" priority="873" operator="equal">
      <formula>"NA"</formula>
    </cfRule>
    <cfRule type="cellIs" dxfId="1470" priority="874" operator="equal">
      <formula>"Yes"</formula>
    </cfRule>
  </conditionalFormatting>
  <conditionalFormatting sqref="C10">
    <cfRule type="cellIs" dxfId="1469" priority="826" operator="equal">
      <formula>"No"</formula>
    </cfRule>
    <cfRule type="cellIs" dxfId="1468" priority="827" operator="equal">
      <formula>"NA"</formula>
    </cfRule>
    <cfRule type="cellIs" dxfId="1467" priority="828" operator="equal">
      <formula>"Yes"</formula>
    </cfRule>
  </conditionalFormatting>
  <conditionalFormatting sqref="C11">
    <cfRule type="cellIs" dxfId="1466" priority="780" operator="equal">
      <formula>"No"</formula>
    </cfRule>
    <cfRule type="cellIs" dxfId="1465" priority="781" operator="equal">
      <formula>"NA"</formula>
    </cfRule>
    <cfRule type="cellIs" dxfId="1464" priority="782" operator="equal">
      <formula>"Yes"</formula>
    </cfRule>
  </conditionalFormatting>
  <conditionalFormatting sqref="C13">
    <cfRule type="cellIs" dxfId="1463" priority="734" operator="equal">
      <formula>"No"</formula>
    </cfRule>
    <cfRule type="cellIs" dxfId="1462" priority="735" operator="equal">
      <formula>"NA"</formula>
    </cfRule>
    <cfRule type="cellIs" dxfId="1461" priority="736" operator="equal">
      <formula>"Yes"</formula>
    </cfRule>
  </conditionalFormatting>
  <conditionalFormatting sqref="C14">
    <cfRule type="cellIs" dxfId="1460" priority="688" operator="equal">
      <formula>"No"</formula>
    </cfRule>
    <cfRule type="cellIs" dxfId="1459" priority="689" operator="equal">
      <formula>"NA"</formula>
    </cfRule>
    <cfRule type="cellIs" dxfId="1458" priority="690" operator="equal">
      <formula>"Yes"</formula>
    </cfRule>
  </conditionalFormatting>
  <conditionalFormatting sqref="C15">
    <cfRule type="cellIs" dxfId="1457" priority="642" operator="equal">
      <formula>"No"</formula>
    </cfRule>
    <cfRule type="cellIs" dxfId="1456" priority="643" operator="equal">
      <formula>"NA"</formula>
    </cfRule>
    <cfRule type="cellIs" dxfId="1455" priority="644" operator="equal">
      <formula>"Yes"</formula>
    </cfRule>
  </conditionalFormatting>
  <conditionalFormatting sqref="C16">
    <cfRule type="cellIs" dxfId="1454" priority="596" operator="equal">
      <formula>"No"</formula>
    </cfRule>
    <cfRule type="cellIs" dxfId="1453" priority="597" operator="equal">
      <formula>"NA"</formula>
    </cfRule>
    <cfRule type="cellIs" dxfId="1452" priority="598" operator="equal">
      <formula>"Yes"</formula>
    </cfRule>
  </conditionalFormatting>
  <conditionalFormatting sqref="C17">
    <cfRule type="cellIs" dxfId="1451" priority="550" operator="equal">
      <formula>"No"</formula>
    </cfRule>
    <cfRule type="cellIs" dxfId="1450" priority="551" operator="equal">
      <formula>"NA"</formula>
    </cfRule>
    <cfRule type="cellIs" dxfId="1449" priority="552" operator="equal">
      <formula>"Yes"</formula>
    </cfRule>
  </conditionalFormatting>
  <conditionalFormatting sqref="C18">
    <cfRule type="cellIs" dxfId="1448" priority="504" operator="equal">
      <formula>"No"</formula>
    </cfRule>
    <cfRule type="cellIs" dxfId="1447" priority="505" operator="equal">
      <formula>"NA"</formula>
    </cfRule>
    <cfRule type="cellIs" dxfId="1446" priority="506" operator="equal">
      <formula>"Yes"</formula>
    </cfRule>
  </conditionalFormatting>
  <conditionalFormatting sqref="C19">
    <cfRule type="cellIs" dxfId="1445" priority="458" operator="equal">
      <formula>"No"</formula>
    </cfRule>
    <cfRule type="cellIs" dxfId="1444" priority="459" operator="equal">
      <formula>"NA"</formula>
    </cfRule>
    <cfRule type="cellIs" dxfId="1443" priority="460" operator="equal">
      <formula>"Yes"</formula>
    </cfRule>
  </conditionalFormatting>
  <conditionalFormatting sqref="C20">
    <cfRule type="cellIs" dxfId="1442" priority="412" operator="equal">
      <formula>"No"</formula>
    </cfRule>
    <cfRule type="cellIs" dxfId="1441" priority="413" operator="equal">
      <formula>"NA"</formula>
    </cfRule>
    <cfRule type="cellIs" dxfId="1440" priority="414" operator="equal">
      <formula>"Yes"</formula>
    </cfRule>
  </conditionalFormatting>
  <conditionalFormatting sqref="C21">
    <cfRule type="cellIs" dxfId="1439" priority="366" operator="equal">
      <formula>"No"</formula>
    </cfRule>
    <cfRule type="cellIs" dxfId="1438" priority="367" operator="equal">
      <formula>"NA"</formula>
    </cfRule>
    <cfRule type="cellIs" dxfId="1437" priority="368" operator="equal">
      <formula>"Yes"</formula>
    </cfRule>
  </conditionalFormatting>
  <conditionalFormatting sqref="C23">
    <cfRule type="cellIs" dxfId="1436" priority="320" operator="equal">
      <formula>"No"</formula>
    </cfRule>
    <cfRule type="cellIs" dxfId="1435" priority="321" operator="equal">
      <formula>"NA"</formula>
    </cfRule>
    <cfRule type="cellIs" dxfId="1434" priority="322" operator="equal">
      <formula>"Yes"</formula>
    </cfRule>
  </conditionalFormatting>
  <conditionalFormatting sqref="C24">
    <cfRule type="cellIs" dxfId="1433" priority="274" operator="equal">
      <formula>"No"</formula>
    </cfRule>
    <cfRule type="cellIs" dxfId="1432" priority="275" operator="equal">
      <formula>"NA"</formula>
    </cfRule>
    <cfRule type="cellIs" dxfId="1431" priority="276" operator="equal">
      <formula>"Yes"</formula>
    </cfRule>
  </conditionalFormatting>
  <conditionalFormatting sqref="C25">
    <cfRule type="cellIs" dxfId="1430" priority="228" operator="equal">
      <formula>"No"</formula>
    </cfRule>
    <cfRule type="cellIs" dxfId="1429" priority="229" operator="equal">
      <formula>"NA"</formula>
    </cfRule>
    <cfRule type="cellIs" dxfId="1428" priority="230" operator="equal">
      <formula>"Yes"</formula>
    </cfRule>
  </conditionalFormatting>
  <conditionalFormatting sqref="C26">
    <cfRule type="cellIs" dxfId="1427" priority="182" operator="equal">
      <formula>"No"</formula>
    </cfRule>
    <cfRule type="cellIs" dxfId="1426" priority="183" operator="equal">
      <formula>"NA"</formula>
    </cfRule>
    <cfRule type="cellIs" dxfId="1425" priority="184" operator="equal">
      <formula>"Yes"</formula>
    </cfRule>
  </conditionalFormatting>
  <conditionalFormatting sqref="C28">
    <cfRule type="cellIs" dxfId="1424" priority="136" operator="equal">
      <formula>"No"</formula>
    </cfRule>
    <cfRule type="cellIs" dxfId="1423" priority="137" operator="equal">
      <formula>"NA"</formula>
    </cfRule>
    <cfRule type="cellIs" dxfId="1422" priority="138" operator="equal">
      <formula>"Yes"</formula>
    </cfRule>
  </conditionalFormatting>
  <conditionalFormatting sqref="C29">
    <cfRule type="cellIs" dxfId="1421" priority="90" operator="equal">
      <formula>"No"</formula>
    </cfRule>
    <cfRule type="cellIs" dxfId="1420" priority="91" operator="equal">
      <formula>"NA"</formula>
    </cfRule>
    <cfRule type="cellIs" dxfId="1419" priority="92" operator="equal">
      <formula>"Yes"</formula>
    </cfRule>
  </conditionalFormatting>
  <conditionalFormatting sqref="C31">
    <cfRule type="cellIs" dxfId="1418" priority="44" operator="equal">
      <formula>"No"</formula>
    </cfRule>
    <cfRule type="cellIs" dxfId="1417" priority="45" operator="equal">
      <formula>"NA"</formula>
    </cfRule>
    <cfRule type="cellIs" dxfId="1416"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339</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291</v>
      </c>
      <c r="C5" s="161"/>
      <c r="D5" s="161"/>
      <c r="E5" s="228"/>
      <c r="F5" s="228"/>
    </row>
    <row r="6" spans="1:7" ht="51">
      <c r="A6" s="163" t="s">
        <v>623</v>
      </c>
      <c r="B6" s="172" t="s">
        <v>336</v>
      </c>
      <c r="C6" s="222"/>
      <c r="D6" s="223"/>
      <c r="E6" s="162"/>
      <c r="F6" s="162"/>
    </row>
    <row r="7" spans="1:7" ht="38.25">
      <c r="A7" s="163" t="s">
        <v>625</v>
      </c>
      <c r="B7" s="172" t="s">
        <v>227</v>
      </c>
      <c r="C7" s="222"/>
      <c r="D7" s="223"/>
      <c r="E7" s="162"/>
      <c r="F7" s="162"/>
    </row>
    <row r="8" spans="1:7" ht="38.25">
      <c r="A8" s="163" t="s">
        <v>626</v>
      </c>
      <c r="B8" s="172" t="s">
        <v>224</v>
      </c>
      <c r="C8" s="222"/>
      <c r="D8" s="223"/>
      <c r="E8" s="162" t="s">
        <v>386</v>
      </c>
      <c r="F8" s="162"/>
    </row>
    <row r="9" spans="1:7" ht="63.75">
      <c r="A9" s="163" t="s">
        <v>628</v>
      </c>
      <c r="B9" s="172" t="s">
        <v>292</v>
      </c>
      <c r="C9" s="222"/>
      <c r="D9" s="223"/>
      <c r="E9" s="162"/>
      <c r="F9" s="162"/>
    </row>
    <row r="10" spans="1:7" ht="38.25">
      <c r="A10" s="163" t="s">
        <v>629</v>
      </c>
      <c r="B10" s="172" t="s">
        <v>387</v>
      </c>
      <c r="C10" s="222"/>
      <c r="D10" s="223"/>
      <c r="E10" s="162"/>
      <c r="F10" s="162"/>
    </row>
    <row r="11" spans="1:7" ht="38.25">
      <c r="A11" s="163" t="s">
        <v>630</v>
      </c>
      <c r="B11" s="172" t="s">
        <v>388</v>
      </c>
      <c r="C11" s="222"/>
      <c r="D11" s="223"/>
      <c r="E11" s="162"/>
      <c r="F11" s="162"/>
    </row>
    <row r="12" spans="1:7" ht="25.5">
      <c r="A12" s="163" t="s">
        <v>632</v>
      </c>
      <c r="B12" s="172" t="s">
        <v>390</v>
      </c>
      <c r="C12" s="222"/>
      <c r="D12" s="223"/>
      <c r="E12" s="162"/>
      <c r="F12" s="162"/>
    </row>
    <row r="13" spans="1:7" ht="25.5">
      <c r="A13" s="163" t="s">
        <v>633</v>
      </c>
      <c r="B13" s="172" t="s">
        <v>293</v>
      </c>
      <c r="C13" s="222"/>
      <c r="D13" s="223"/>
      <c r="E13" s="162"/>
      <c r="F13" s="162"/>
    </row>
    <row r="14" spans="1:7" ht="63.75">
      <c r="A14" s="163" t="s">
        <v>634</v>
      </c>
      <c r="B14" s="172" t="s">
        <v>391</v>
      </c>
      <c r="C14" s="222"/>
      <c r="D14" s="223"/>
      <c r="E14" s="164" t="s">
        <v>392</v>
      </c>
      <c r="F14" s="162"/>
    </row>
    <row r="15" spans="1:7" ht="18.75">
      <c r="A15" s="160"/>
      <c r="B15" s="169" t="s">
        <v>266</v>
      </c>
      <c r="C15" s="161"/>
      <c r="D15" s="161"/>
      <c r="E15" s="228"/>
      <c r="F15" s="228"/>
    </row>
    <row r="16" spans="1:7" ht="38.25">
      <c r="A16" s="163" t="s">
        <v>594</v>
      </c>
      <c r="B16" s="172" t="s">
        <v>215</v>
      </c>
      <c r="C16" s="222"/>
      <c r="D16" s="223"/>
      <c r="E16" s="162"/>
      <c r="F16" s="162"/>
    </row>
    <row r="17" spans="1:6" ht="25.5">
      <c r="A17" s="163" t="s">
        <v>595</v>
      </c>
      <c r="B17" s="172" t="s">
        <v>216</v>
      </c>
      <c r="C17" s="222"/>
      <c r="D17" s="223"/>
      <c r="E17" s="162"/>
      <c r="F17" s="162"/>
    </row>
    <row r="18" spans="1:6" ht="38.25">
      <c r="A18" s="163" t="s">
        <v>596</v>
      </c>
      <c r="B18" s="172" t="s">
        <v>217</v>
      </c>
      <c r="C18" s="222"/>
      <c r="D18" s="223"/>
      <c r="E18" s="162"/>
      <c r="F18" s="162"/>
    </row>
    <row r="19" spans="1:6" ht="38.25">
      <c r="A19" s="163" t="s">
        <v>597</v>
      </c>
      <c r="B19" s="172" t="s">
        <v>218</v>
      </c>
      <c r="C19" s="222"/>
      <c r="D19" s="223"/>
      <c r="E19" s="162"/>
      <c r="F19" s="162"/>
    </row>
    <row r="20" spans="1:6" ht="18.75">
      <c r="A20" s="160"/>
      <c r="B20" s="169" t="s">
        <v>267</v>
      </c>
      <c r="C20" s="161"/>
      <c r="D20" s="161"/>
      <c r="E20" s="228"/>
      <c r="F20" s="228"/>
    </row>
    <row r="21" spans="1:6" ht="38.25">
      <c r="A21" s="163" t="s">
        <v>598</v>
      </c>
      <c r="B21" s="172" t="s">
        <v>219</v>
      </c>
      <c r="C21" s="222"/>
      <c r="D21" s="223"/>
      <c r="E21" s="162"/>
      <c r="F21" s="162"/>
    </row>
    <row r="22" spans="1:6" ht="38.25">
      <c r="A22" s="163" t="s">
        <v>599</v>
      </c>
      <c r="B22" s="172" t="s">
        <v>220</v>
      </c>
      <c r="C22" s="222"/>
      <c r="D22" s="223"/>
      <c r="E22" s="162"/>
      <c r="F22" s="162"/>
    </row>
    <row r="23" spans="1:6" ht="18.75">
      <c r="A23" s="160"/>
      <c r="B23" s="169" t="s">
        <v>213</v>
      </c>
      <c r="C23" s="161"/>
      <c r="D23" s="161"/>
      <c r="E23" s="228"/>
      <c r="F23" s="228"/>
    </row>
    <row r="24" spans="1:6" ht="51">
      <c r="A24" s="163" t="s">
        <v>600</v>
      </c>
      <c r="B24" s="172" t="s">
        <v>214</v>
      </c>
      <c r="C24" s="222"/>
      <c r="D24" s="223"/>
      <c r="E24" s="162"/>
      <c r="F24" s="162"/>
    </row>
    <row r="25" spans="1:6" ht="18">
      <c r="A25" s="224"/>
      <c r="B25" s="225" t="s">
        <v>286</v>
      </c>
      <c r="C25" s="224"/>
      <c r="D25" s="224"/>
      <c r="E25" s="224"/>
      <c r="F25" s="224"/>
    </row>
    <row r="26" spans="1:6">
      <c r="A26" s="163"/>
      <c r="B26" s="172"/>
    </row>
    <row r="27" spans="1:6" ht="15">
      <c r="A27" s="226"/>
      <c r="B27" s="227" t="s">
        <v>619</v>
      </c>
      <c r="C27" s="226"/>
      <c r="D27" s="226"/>
      <c r="E27" s="226"/>
      <c r="F27" s="226"/>
    </row>
  </sheetData>
  <mergeCells count="1">
    <mergeCell ref="E2:F2"/>
  </mergeCells>
  <conditionalFormatting sqref="C6">
    <cfRule type="cellIs" dxfId="1415" priority="734" operator="equal">
      <formula>"No"</formula>
    </cfRule>
    <cfRule type="cellIs" dxfId="1414" priority="735" operator="equal">
      <formula>"NA"</formula>
    </cfRule>
    <cfRule type="cellIs" dxfId="1413" priority="736" operator="equal">
      <formula>"Yes"</formula>
    </cfRule>
  </conditionalFormatting>
  <conditionalFormatting sqref="C7">
    <cfRule type="cellIs" dxfId="1412" priority="688" operator="equal">
      <formula>"No"</formula>
    </cfRule>
    <cfRule type="cellIs" dxfId="1411" priority="689" operator="equal">
      <formula>"NA"</formula>
    </cfRule>
    <cfRule type="cellIs" dxfId="1410" priority="690" operator="equal">
      <formula>"Yes"</formula>
    </cfRule>
  </conditionalFormatting>
  <conditionalFormatting sqref="C8">
    <cfRule type="cellIs" dxfId="1409" priority="642" operator="equal">
      <formula>"No"</formula>
    </cfRule>
    <cfRule type="cellIs" dxfId="1408" priority="643" operator="equal">
      <formula>"NA"</formula>
    </cfRule>
    <cfRule type="cellIs" dxfId="1407" priority="644" operator="equal">
      <formula>"Yes"</formula>
    </cfRule>
  </conditionalFormatting>
  <conditionalFormatting sqref="C9">
    <cfRule type="cellIs" dxfId="1406" priority="596" operator="equal">
      <formula>"No"</formula>
    </cfRule>
    <cfRule type="cellIs" dxfId="1405" priority="597" operator="equal">
      <formula>"NA"</formula>
    </cfRule>
    <cfRule type="cellIs" dxfId="1404" priority="598" operator="equal">
      <formula>"Yes"</formula>
    </cfRule>
  </conditionalFormatting>
  <conditionalFormatting sqref="C10">
    <cfRule type="cellIs" dxfId="1403" priority="550" operator="equal">
      <formula>"No"</formula>
    </cfRule>
    <cfRule type="cellIs" dxfId="1402" priority="551" operator="equal">
      <formula>"NA"</formula>
    </cfRule>
    <cfRule type="cellIs" dxfId="1401" priority="552" operator="equal">
      <formula>"Yes"</formula>
    </cfRule>
  </conditionalFormatting>
  <conditionalFormatting sqref="C11">
    <cfRule type="cellIs" dxfId="1400" priority="504" operator="equal">
      <formula>"No"</formula>
    </cfRule>
    <cfRule type="cellIs" dxfId="1399" priority="505" operator="equal">
      <formula>"NA"</formula>
    </cfRule>
    <cfRule type="cellIs" dxfId="1398" priority="506" operator="equal">
      <formula>"Yes"</formula>
    </cfRule>
  </conditionalFormatting>
  <conditionalFormatting sqref="C12">
    <cfRule type="cellIs" dxfId="1397" priority="458" operator="equal">
      <formula>"No"</formula>
    </cfRule>
    <cfRule type="cellIs" dxfId="1396" priority="459" operator="equal">
      <formula>"NA"</formula>
    </cfRule>
    <cfRule type="cellIs" dxfId="1395" priority="460" operator="equal">
      <formula>"Yes"</formula>
    </cfRule>
  </conditionalFormatting>
  <conditionalFormatting sqref="C13">
    <cfRule type="cellIs" dxfId="1394" priority="412" operator="equal">
      <formula>"No"</formula>
    </cfRule>
    <cfRule type="cellIs" dxfId="1393" priority="413" operator="equal">
      <formula>"NA"</formula>
    </cfRule>
    <cfRule type="cellIs" dxfId="1392" priority="414" operator="equal">
      <formula>"Yes"</formula>
    </cfRule>
  </conditionalFormatting>
  <conditionalFormatting sqref="C14">
    <cfRule type="cellIs" dxfId="1391" priority="366" operator="equal">
      <formula>"No"</formula>
    </cfRule>
    <cfRule type="cellIs" dxfId="1390" priority="367" operator="equal">
      <formula>"NA"</formula>
    </cfRule>
    <cfRule type="cellIs" dxfId="1389" priority="368" operator="equal">
      <formula>"Yes"</formula>
    </cfRule>
  </conditionalFormatting>
  <conditionalFormatting sqref="C16">
    <cfRule type="cellIs" dxfId="1388" priority="320" operator="equal">
      <formula>"No"</formula>
    </cfRule>
    <cfRule type="cellIs" dxfId="1387" priority="321" operator="equal">
      <formula>"NA"</formula>
    </cfRule>
    <cfRule type="cellIs" dxfId="1386" priority="322" operator="equal">
      <formula>"Yes"</formula>
    </cfRule>
  </conditionalFormatting>
  <conditionalFormatting sqref="C17">
    <cfRule type="cellIs" dxfId="1385" priority="274" operator="equal">
      <formula>"No"</formula>
    </cfRule>
    <cfRule type="cellIs" dxfId="1384" priority="275" operator="equal">
      <formula>"NA"</formula>
    </cfRule>
    <cfRule type="cellIs" dxfId="1383" priority="276" operator="equal">
      <formula>"Yes"</formula>
    </cfRule>
  </conditionalFormatting>
  <conditionalFormatting sqref="C18">
    <cfRule type="cellIs" dxfId="1382" priority="228" operator="equal">
      <formula>"No"</formula>
    </cfRule>
    <cfRule type="cellIs" dxfId="1381" priority="229" operator="equal">
      <formula>"NA"</formula>
    </cfRule>
    <cfRule type="cellIs" dxfId="1380" priority="230" operator="equal">
      <formula>"Yes"</formula>
    </cfRule>
  </conditionalFormatting>
  <conditionalFormatting sqref="C19">
    <cfRule type="cellIs" dxfId="1379" priority="182" operator="equal">
      <formula>"No"</formula>
    </cfRule>
    <cfRule type="cellIs" dxfId="1378" priority="183" operator="equal">
      <formula>"NA"</formula>
    </cfRule>
    <cfRule type="cellIs" dxfId="1377" priority="184" operator="equal">
      <formula>"Yes"</formula>
    </cfRule>
  </conditionalFormatting>
  <conditionalFormatting sqref="C21">
    <cfRule type="cellIs" dxfId="1376" priority="136" operator="equal">
      <formula>"No"</formula>
    </cfRule>
    <cfRule type="cellIs" dxfId="1375" priority="137" operator="equal">
      <formula>"NA"</formula>
    </cfRule>
    <cfRule type="cellIs" dxfId="1374" priority="138" operator="equal">
      <formula>"Yes"</formula>
    </cfRule>
  </conditionalFormatting>
  <conditionalFormatting sqref="C22">
    <cfRule type="cellIs" dxfId="1373" priority="90" operator="equal">
      <formula>"No"</formula>
    </cfRule>
    <cfRule type="cellIs" dxfId="1372" priority="91" operator="equal">
      <formula>"NA"</formula>
    </cfRule>
    <cfRule type="cellIs" dxfId="1371" priority="92" operator="equal">
      <formula>"Yes"</formula>
    </cfRule>
  </conditionalFormatting>
  <conditionalFormatting sqref="C24">
    <cfRule type="cellIs" dxfId="1370" priority="44" operator="equal">
      <formula>"No"</formula>
    </cfRule>
    <cfRule type="cellIs" dxfId="1369" priority="45" operator="equal">
      <formula>"NA"</formula>
    </cfRule>
    <cfRule type="cellIs" dxfId="1368"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340</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238</v>
      </c>
      <c r="C5" s="161"/>
      <c r="D5" s="161"/>
      <c r="E5" s="228"/>
      <c r="F5" s="228"/>
    </row>
    <row r="6" spans="1:7" ht="76.5">
      <c r="A6" s="163" t="s">
        <v>652</v>
      </c>
      <c r="B6" s="172" t="s">
        <v>239</v>
      </c>
      <c r="C6" s="222"/>
      <c r="D6" s="223"/>
      <c r="E6" s="164" t="s">
        <v>398</v>
      </c>
      <c r="F6" s="162"/>
    </row>
    <row r="7" spans="1:7" ht="76.5">
      <c r="A7" s="163" t="s">
        <v>653</v>
      </c>
      <c r="B7" s="172" t="s">
        <v>240</v>
      </c>
      <c r="C7" s="222"/>
      <c r="D7" s="223"/>
      <c r="E7" s="164" t="s">
        <v>341</v>
      </c>
      <c r="F7" s="162"/>
    </row>
    <row r="8" spans="1:7" ht="25.5">
      <c r="A8" s="163" t="s">
        <v>654</v>
      </c>
      <c r="B8" s="172" t="s">
        <v>241</v>
      </c>
      <c r="C8" s="222"/>
      <c r="D8" s="223"/>
      <c r="E8" s="162"/>
      <c r="F8" s="162"/>
    </row>
    <row r="9" spans="1:7" ht="18.75">
      <c r="A9" s="160"/>
      <c r="B9" s="169" t="s">
        <v>242</v>
      </c>
      <c r="C9" s="161"/>
      <c r="D9" s="161"/>
      <c r="E9" s="228"/>
      <c r="F9" s="228"/>
    </row>
    <row r="10" spans="1:7" ht="25.5">
      <c r="A10" s="163" t="s">
        <v>655</v>
      </c>
      <c r="B10" s="172" t="s">
        <v>243</v>
      </c>
      <c r="C10" s="222"/>
      <c r="D10" s="223"/>
      <c r="E10" s="162" t="s">
        <v>399</v>
      </c>
      <c r="F10" s="162"/>
    </row>
    <row r="11" spans="1:7" ht="25.5">
      <c r="A11" s="163" t="s">
        <v>656</v>
      </c>
      <c r="B11" s="172" t="s">
        <v>342</v>
      </c>
      <c r="C11" s="222"/>
      <c r="D11" s="223"/>
      <c r="E11" s="162"/>
      <c r="F11" s="162"/>
    </row>
    <row r="12" spans="1:7" ht="18.75">
      <c r="A12" s="160"/>
      <c r="B12" s="169" t="s">
        <v>291</v>
      </c>
      <c r="C12" s="161"/>
      <c r="D12" s="161"/>
      <c r="E12" s="228"/>
      <c r="F12" s="228"/>
    </row>
    <row r="13" spans="1:7" ht="63.75">
      <c r="A13" s="163" t="s">
        <v>634</v>
      </c>
      <c r="B13" s="172" t="s">
        <v>391</v>
      </c>
      <c r="C13" s="222"/>
      <c r="D13" s="223"/>
      <c r="E13" s="164" t="s">
        <v>392</v>
      </c>
      <c r="F13" s="162"/>
    </row>
    <row r="14" spans="1:7" ht="18.75">
      <c r="A14" s="160"/>
      <c r="B14" s="169" t="s">
        <v>266</v>
      </c>
      <c r="C14" s="161"/>
      <c r="D14" s="161"/>
      <c r="E14" s="228"/>
      <c r="F14" s="228"/>
    </row>
    <row r="15" spans="1:7" ht="38.25">
      <c r="A15" s="163" t="s">
        <v>594</v>
      </c>
      <c r="B15" s="172" t="s">
        <v>215</v>
      </c>
      <c r="C15" s="222"/>
      <c r="D15" s="223"/>
      <c r="E15" s="162"/>
      <c r="F15" s="162"/>
    </row>
    <row r="16" spans="1:7" ht="25.5">
      <c r="A16" s="163" t="s">
        <v>595</v>
      </c>
      <c r="B16" s="172" t="s">
        <v>216</v>
      </c>
      <c r="C16" s="222"/>
      <c r="D16" s="223"/>
      <c r="E16" s="162"/>
      <c r="F16" s="162"/>
    </row>
    <row r="17" spans="1:6" ht="38.25">
      <c r="A17" s="163" t="s">
        <v>596</v>
      </c>
      <c r="B17" s="172" t="s">
        <v>217</v>
      </c>
      <c r="C17" s="222"/>
      <c r="D17" s="223"/>
      <c r="E17" s="162"/>
      <c r="F17" s="162"/>
    </row>
    <row r="18" spans="1:6" ht="38.25">
      <c r="A18" s="163" t="s">
        <v>597</v>
      </c>
      <c r="B18" s="172" t="s">
        <v>218</v>
      </c>
      <c r="C18" s="222"/>
      <c r="D18" s="223"/>
      <c r="E18" s="162"/>
      <c r="F18" s="162"/>
    </row>
    <row r="19" spans="1:6" ht="18.75">
      <c r="A19" s="160"/>
      <c r="B19" s="169" t="s">
        <v>267</v>
      </c>
      <c r="C19" s="161"/>
      <c r="D19" s="161"/>
      <c r="E19" s="228"/>
      <c r="F19" s="228"/>
    </row>
    <row r="20" spans="1:6" ht="38.25">
      <c r="A20" s="163" t="s">
        <v>598</v>
      </c>
      <c r="B20" s="172" t="s">
        <v>219</v>
      </c>
      <c r="C20" s="222"/>
      <c r="D20" s="223"/>
      <c r="E20" s="162"/>
      <c r="F20" s="162"/>
    </row>
    <row r="21" spans="1:6" ht="38.25">
      <c r="A21" s="163" t="s">
        <v>599</v>
      </c>
      <c r="B21" s="172" t="s">
        <v>220</v>
      </c>
      <c r="C21" s="222"/>
      <c r="D21" s="223"/>
      <c r="E21" s="162"/>
      <c r="F21" s="162"/>
    </row>
    <row r="22" spans="1:6" ht="18.75">
      <c r="A22" s="160"/>
      <c r="B22" s="169" t="s">
        <v>213</v>
      </c>
      <c r="C22" s="161"/>
      <c r="D22" s="161"/>
      <c r="E22" s="228"/>
      <c r="F22" s="228"/>
    </row>
    <row r="23" spans="1:6" ht="51">
      <c r="A23" s="163" t="s">
        <v>600</v>
      </c>
      <c r="B23" s="172" t="s">
        <v>214</v>
      </c>
      <c r="C23" s="222"/>
      <c r="D23" s="223"/>
      <c r="E23" s="162"/>
      <c r="F23" s="162"/>
    </row>
    <row r="24" spans="1:6" ht="18">
      <c r="A24" s="224"/>
      <c r="B24" s="225" t="s">
        <v>286</v>
      </c>
      <c r="C24" s="224"/>
      <c r="D24" s="224"/>
      <c r="E24" s="224"/>
      <c r="F24" s="224"/>
    </row>
    <row r="25" spans="1:6">
      <c r="A25" s="163"/>
      <c r="B25" s="172"/>
    </row>
    <row r="26" spans="1:6" ht="15">
      <c r="A26" s="226"/>
      <c r="B26" s="227" t="s">
        <v>619</v>
      </c>
      <c r="C26" s="226"/>
      <c r="D26" s="226"/>
      <c r="E26" s="226"/>
      <c r="F26" s="226"/>
    </row>
  </sheetData>
  <mergeCells count="1">
    <mergeCell ref="E2:F2"/>
  </mergeCells>
  <conditionalFormatting sqref="C6">
    <cfRule type="cellIs" dxfId="1367" priority="596" operator="equal">
      <formula>"No"</formula>
    </cfRule>
    <cfRule type="cellIs" dxfId="1366" priority="597" operator="equal">
      <formula>"NA"</formula>
    </cfRule>
    <cfRule type="cellIs" dxfId="1365" priority="598" operator="equal">
      <formula>"Yes"</formula>
    </cfRule>
  </conditionalFormatting>
  <conditionalFormatting sqref="C7">
    <cfRule type="cellIs" dxfId="1364" priority="550" operator="equal">
      <formula>"No"</formula>
    </cfRule>
    <cfRule type="cellIs" dxfId="1363" priority="551" operator="equal">
      <formula>"NA"</formula>
    </cfRule>
    <cfRule type="cellIs" dxfId="1362" priority="552" operator="equal">
      <formula>"Yes"</formula>
    </cfRule>
  </conditionalFormatting>
  <conditionalFormatting sqref="C8">
    <cfRule type="cellIs" dxfId="1361" priority="504" operator="equal">
      <formula>"No"</formula>
    </cfRule>
    <cfRule type="cellIs" dxfId="1360" priority="505" operator="equal">
      <formula>"NA"</formula>
    </cfRule>
    <cfRule type="cellIs" dxfId="1359" priority="506" operator="equal">
      <formula>"Yes"</formula>
    </cfRule>
  </conditionalFormatting>
  <conditionalFormatting sqref="C10">
    <cfRule type="cellIs" dxfId="1358" priority="458" operator="equal">
      <formula>"No"</formula>
    </cfRule>
    <cfRule type="cellIs" dxfId="1357" priority="459" operator="equal">
      <formula>"NA"</formula>
    </cfRule>
    <cfRule type="cellIs" dxfId="1356" priority="460" operator="equal">
      <formula>"Yes"</formula>
    </cfRule>
  </conditionalFormatting>
  <conditionalFormatting sqref="C11">
    <cfRule type="cellIs" dxfId="1355" priority="412" operator="equal">
      <formula>"No"</formula>
    </cfRule>
    <cfRule type="cellIs" dxfId="1354" priority="413" operator="equal">
      <formula>"NA"</formula>
    </cfRule>
    <cfRule type="cellIs" dxfId="1353" priority="414" operator="equal">
      <formula>"Yes"</formula>
    </cfRule>
  </conditionalFormatting>
  <conditionalFormatting sqref="C13">
    <cfRule type="cellIs" dxfId="1352" priority="366" operator="equal">
      <formula>"No"</formula>
    </cfRule>
    <cfRule type="cellIs" dxfId="1351" priority="367" operator="equal">
      <formula>"NA"</formula>
    </cfRule>
    <cfRule type="cellIs" dxfId="1350" priority="368" operator="equal">
      <formula>"Yes"</formula>
    </cfRule>
  </conditionalFormatting>
  <conditionalFormatting sqref="C15">
    <cfRule type="cellIs" dxfId="1349" priority="320" operator="equal">
      <formula>"No"</formula>
    </cfRule>
    <cfRule type="cellIs" dxfId="1348" priority="321" operator="equal">
      <formula>"NA"</formula>
    </cfRule>
    <cfRule type="cellIs" dxfId="1347" priority="322" operator="equal">
      <formula>"Yes"</formula>
    </cfRule>
  </conditionalFormatting>
  <conditionalFormatting sqref="C16">
    <cfRule type="cellIs" dxfId="1346" priority="274" operator="equal">
      <formula>"No"</formula>
    </cfRule>
    <cfRule type="cellIs" dxfId="1345" priority="275" operator="equal">
      <formula>"NA"</formula>
    </cfRule>
    <cfRule type="cellIs" dxfId="1344" priority="276" operator="equal">
      <formula>"Yes"</formula>
    </cfRule>
  </conditionalFormatting>
  <conditionalFormatting sqref="C17">
    <cfRule type="cellIs" dxfId="1343" priority="228" operator="equal">
      <formula>"No"</formula>
    </cfRule>
    <cfRule type="cellIs" dxfId="1342" priority="229" operator="equal">
      <formula>"NA"</formula>
    </cfRule>
    <cfRule type="cellIs" dxfId="1341" priority="230" operator="equal">
      <formula>"Yes"</formula>
    </cfRule>
  </conditionalFormatting>
  <conditionalFormatting sqref="C18">
    <cfRule type="cellIs" dxfId="1340" priority="182" operator="equal">
      <formula>"No"</formula>
    </cfRule>
    <cfRule type="cellIs" dxfId="1339" priority="183" operator="equal">
      <formula>"NA"</formula>
    </cfRule>
    <cfRule type="cellIs" dxfId="1338" priority="184" operator="equal">
      <formula>"Yes"</formula>
    </cfRule>
  </conditionalFormatting>
  <conditionalFormatting sqref="C20">
    <cfRule type="cellIs" dxfId="1337" priority="136" operator="equal">
      <formula>"No"</formula>
    </cfRule>
    <cfRule type="cellIs" dxfId="1336" priority="137" operator="equal">
      <formula>"NA"</formula>
    </cfRule>
    <cfRule type="cellIs" dxfId="1335" priority="138" operator="equal">
      <formula>"Yes"</formula>
    </cfRule>
  </conditionalFormatting>
  <conditionalFormatting sqref="C21">
    <cfRule type="cellIs" dxfId="1334" priority="90" operator="equal">
      <formula>"No"</formula>
    </cfRule>
    <cfRule type="cellIs" dxfId="1333" priority="91" operator="equal">
      <formula>"NA"</formula>
    </cfRule>
    <cfRule type="cellIs" dxfId="1332" priority="92" operator="equal">
      <formula>"Yes"</formula>
    </cfRule>
  </conditionalFormatting>
  <conditionalFormatting sqref="C23">
    <cfRule type="cellIs" dxfId="1331" priority="44" operator="equal">
      <formula>"No"</formula>
    </cfRule>
    <cfRule type="cellIs" dxfId="1330" priority="45" operator="equal">
      <formula>"NA"</formula>
    </cfRule>
    <cfRule type="cellIs" dxfId="1329"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343</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344</v>
      </c>
      <c r="C5" s="161"/>
      <c r="D5" s="161"/>
      <c r="E5" s="228"/>
      <c r="F5" s="228"/>
    </row>
    <row r="6" spans="1:7" ht="38.25">
      <c r="A6" s="163" t="s">
        <v>657</v>
      </c>
      <c r="B6" s="172" t="s">
        <v>244</v>
      </c>
      <c r="C6" s="222"/>
      <c r="D6" s="223"/>
      <c r="E6" s="162"/>
      <c r="F6" s="162"/>
    </row>
    <row r="7" spans="1:7" ht="25.5">
      <c r="A7" s="163" t="s">
        <v>658</v>
      </c>
      <c r="B7" s="172" t="s">
        <v>400</v>
      </c>
      <c r="C7" s="222"/>
      <c r="D7" s="223"/>
      <c r="E7" s="162"/>
      <c r="F7" s="162"/>
    </row>
    <row r="8" spans="1:7" ht="25.5">
      <c r="A8" s="163" t="s">
        <v>659</v>
      </c>
      <c r="B8" s="172" t="s">
        <v>245</v>
      </c>
      <c r="C8" s="222"/>
      <c r="D8" s="223"/>
      <c r="E8" s="162"/>
      <c r="F8" s="162"/>
    </row>
    <row r="9" spans="1:7" ht="38.25">
      <c r="A9" s="163" t="s">
        <v>660</v>
      </c>
      <c r="B9" s="172" t="s">
        <v>246</v>
      </c>
      <c r="C9" s="222"/>
      <c r="D9" s="223"/>
      <c r="E9" s="162"/>
      <c r="F9" s="162"/>
    </row>
    <row r="10" spans="1:7" ht="38.25">
      <c r="A10" s="163" t="s">
        <v>661</v>
      </c>
      <c r="B10" s="172" t="s">
        <v>247</v>
      </c>
      <c r="C10" s="222"/>
      <c r="D10" s="223"/>
      <c r="E10" s="162"/>
      <c r="F10" s="162"/>
    </row>
    <row r="11" spans="1:7" ht="25.5">
      <c r="A11" s="163" t="s">
        <v>662</v>
      </c>
      <c r="B11" s="172" t="s">
        <v>248</v>
      </c>
      <c r="C11" s="222"/>
      <c r="D11" s="223"/>
      <c r="E11" s="162"/>
      <c r="F11" s="162"/>
    </row>
    <row r="12" spans="1:7" ht="18.75">
      <c r="A12" s="160"/>
      <c r="B12" s="169" t="s">
        <v>249</v>
      </c>
      <c r="C12" s="161"/>
      <c r="D12" s="161"/>
      <c r="E12" s="228"/>
      <c r="F12" s="228"/>
    </row>
    <row r="13" spans="1:7" ht="25.5">
      <c r="A13" s="163" t="s">
        <v>663</v>
      </c>
      <c r="B13" s="172" t="s">
        <v>250</v>
      </c>
      <c r="C13" s="222"/>
      <c r="D13" s="223"/>
      <c r="E13" s="162"/>
      <c r="F13" s="162"/>
    </row>
    <row r="14" spans="1:7" ht="38.25">
      <c r="A14" s="163" t="s">
        <v>664</v>
      </c>
      <c r="B14" s="172" t="s">
        <v>251</v>
      </c>
      <c r="C14" s="222"/>
      <c r="D14" s="223"/>
      <c r="E14" s="162"/>
      <c r="F14" s="162"/>
    </row>
    <row r="15" spans="1:7" ht="38.25">
      <c r="A15" s="163" t="s">
        <v>665</v>
      </c>
      <c r="B15" s="172" t="s">
        <v>252</v>
      </c>
      <c r="C15" s="222"/>
      <c r="D15" s="223"/>
      <c r="E15" s="162"/>
      <c r="F15" s="162"/>
    </row>
    <row r="16" spans="1:7" ht="25.5">
      <c r="A16" s="163" t="s">
        <v>666</v>
      </c>
      <c r="B16" s="172" t="s">
        <v>253</v>
      </c>
      <c r="C16" s="222"/>
      <c r="D16" s="223"/>
      <c r="E16" s="162"/>
      <c r="F16" s="162"/>
    </row>
    <row r="17" spans="1:6" ht="25.5">
      <c r="A17" s="163" t="s">
        <v>667</v>
      </c>
      <c r="B17" s="172" t="s">
        <v>254</v>
      </c>
      <c r="C17" s="222"/>
      <c r="D17" s="223"/>
      <c r="E17" s="162"/>
      <c r="F17" s="162"/>
    </row>
    <row r="18" spans="1:6" ht="38.25">
      <c r="A18" s="163" t="s">
        <v>668</v>
      </c>
      <c r="B18" s="172" t="s">
        <v>255</v>
      </c>
      <c r="C18" s="222"/>
      <c r="D18" s="223"/>
      <c r="E18" s="162"/>
      <c r="F18" s="162"/>
    </row>
    <row r="19" spans="1:6" ht="18.75">
      <c r="A19" s="160"/>
      <c r="B19" s="169" t="s">
        <v>256</v>
      </c>
      <c r="C19" s="161"/>
      <c r="D19" s="161"/>
      <c r="E19" s="228"/>
      <c r="F19" s="228"/>
    </row>
    <row r="20" spans="1:6" ht="25.5">
      <c r="A20" s="163" t="s">
        <v>669</v>
      </c>
      <c r="B20" s="172" t="s">
        <v>257</v>
      </c>
      <c r="C20" s="222"/>
      <c r="D20" s="223"/>
      <c r="E20" s="162" t="s">
        <v>401</v>
      </c>
      <c r="F20" s="162"/>
    </row>
    <row r="21" spans="1:6" ht="25.5">
      <c r="A21" s="163" t="s">
        <v>670</v>
      </c>
      <c r="B21" s="172" t="s">
        <v>258</v>
      </c>
      <c r="C21" s="222"/>
      <c r="D21" s="223"/>
      <c r="E21" s="162" t="s">
        <v>401</v>
      </c>
      <c r="F21" s="162"/>
    </row>
    <row r="22" spans="1:6" ht="25.5">
      <c r="A22" s="163" t="s">
        <v>671</v>
      </c>
      <c r="B22" s="172" t="s">
        <v>259</v>
      </c>
      <c r="C22" s="222"/>
      <c r="D22" s="223"/>
      <c r="E22" s="162" t="s">
        <v>401</v>
      </c>
      <c r="F22" s="162"/>
    </row>
    <row r="23" spans="1:6" ht="38.25">
      <c r="A23" s="163" t="s">
        <v>672</v>
      </c>
      <c r="B23" s="172" t="s">
        <v>260</v>
      </c>
      <c r="C23" s="222"/>
      <c r="D23" s="223"/>
      <c r="E23" s="162" t="s">
        <v>401</v>
      </c>
      <c r="F23" s="162"/>
    </row>
    <row r="24" spans="1:6" ht="38.25">
      <c r="A24" s="163" t="s">
        <v>673</v>
      </c>
      <c r="B24" s="172" t="s">
        <v>261</v>
      </c>
      <c r="C24" s="222"/>
      <c r="D24" s="223"/>
      <c r="E24" s="162" t="s">
        <v>401</v>
      </c>
      <c r="F24" s="162"/>
    </row>
    <row r="25" spans="1:6" ht="38.25">
      <c r="A25" s="163" t="s">
        <v>674</v>
      </c>
      <c r="B25" s="172" t="s">
        <v>402</v>
      </c>
      <c r="C25" s="222"/>
      <c r="D25" s="223"/>
      <c r="E25" s="162" t="s">
        <v>401</v>
      </c>
      <c r="F25" s="162"/>
    </row>
    <row r="26" spans="1:6" ht="18.75">
      <c r="A26" s="160"/>
      <c r="B26" s="169" t="s">
        <v>262</v>
      </c>
      <c r="C26" s="161"/>
      <c r="D26" s="161"/>
      <c r="E26" s="228"/>
      <c r="F26" s="228"/>
    </row>
    <row r="27" spans="1:6" ht="25.5">
      <c r="A27" s="163" t="s">
        <v>675</v>
      </c>
      <c r="B27" s="172" t="s">
        <v>263</v>
      </c>
      <c r="C27" s="222"/>
      <c r="D27" s="223"/>
      <c r="E27" s="162"/>
      <c r="F27" s="162"/>
    </row>
    <row r="28" spans="1:6" ht="25.5">
      <c r="A28" s="163" t="s">
        <v>676</v>
      </c>
      <c r="B28" s="172" t="s">
        <v>264</v>
      </c>
      <c r="C28" s="222"/>
      <c r="D28" s="223"/>
      <c r="E28" s="162"/>
      <c r="F28" s="162"/>
    </row>
    <row r="29" spans="1:6" ht="38.25">
      <c r="A29" s="163" t="s">
        <v>677</v>
      </c>
      <c r="B29" s="172" t="s">
        <v>265</v>
      </c>
      <c r="C29" s="222"/>
      <c r="D29" s="223"/>
      <c r="E29" s="162"/>
      <c r="F29" s="162"/>
    </row>
    <row r="30" spans="1:6" ht="18.75">
      <c r="A30" s="160"/>
      <c r="B30" s="169" t="s">
        <v>266</v>
      </c>
      <c r="C30" s="161"/>
      <c r="D30" s="161"/>
      <c r="E30" s="228"/>
      <c r="F30" s="228"/>
    </row>
    <row r="31" spans="1:6" ht="38.25">
      <c r="A31" s="163" t="s">
        <v>594</v>
      </c>
      <c r="B31" s="172" t="s">
        <v>215</v>
      </c>
      <c r="C31" s="222"/>
      <c r="D31" s="223"/>
      <c r="E31" s="162"/>
      <c r="F31" s="162"/>
    </row>
    <row r="32" spans="1:6" ht="25.5">
      <c r="A32" s="163" t="s">
        <v>595</v>
      </c>
      <c r="B32" s="172" t="s">
        <v>216</v>
      </c>
      <c r="C32" s="222"/>
      <c r="D32" s="223"/>
      <c r="E32" s="162"/>
      <c r="F32" s="162"/>
    </row>
    <row r="33" spans="1:6" ht="38.25">
      <c r="A33" s="163" t="s">
        <v>596</v>
      </c>
      <c r="B33" s="172" t="s">
        <v>217</v>
      </c>
      <c r="C33" s="222"/>
      <c r="D33" s="223"/>
      <c r="E33" s="162"/>
      <c r="F33" s="162"/>
    </row>
    <row r="34" spans="1:6" ht="38.25">
      <c r="A34" s="163" t="s">
        <v>597</v>
      </c>
      <c r="B34" s="172" t="s">
        <v>218</v>
      </c>
      <c r="C34" s="222"/>
      <c r="D34" s="223"/>
      <c r="E34" s="162"/>
      <c r="F34" s="162"/>
    </row>
    <row r="35" spans="1:6" ht="18.75">
      <c r="A35" s="160"/>
      <c r="B35" s="169" t="s">
        <v>267</v>
      </c>
      <c r="C35" s="161"/>
      <c r="D35" s="161"/>
      <c r="E35" s="228"/>
      <c r="F35" s="228"/>
    </row>
    <row r="36" spans="1:6" ht="38.25">
      <c r="A36" s="163" t="s">
        <v>598</v>
      </c>
      <c r="B36" s="172" t="s">
        <v>219</v>
      </c>
      <c r="C36" s="222"/>
      <c r="D36" s="223"/>
      <c r="E36" s="162"/>
      <c r="F36" s="162"/>
    </row>
    <row r="37" spans="1:6" ht="38.25">
      <c r="A37" s="163" t="s">
        <v>599</v>
      </c>
      <c r="B37" s="172" t="s">
        <v>220</v>
      </c>
      <c r="C37" s="222"/>
      <c r="D37" s="223"/>
      <c r="E37" s="162"/>
      <c r="F37" s="162"/>
    </row>
    <row r="38" spans="1:6" ht="18.75">
      <c r="A38" s="160"/>
      <c r="B38" s="169" t="s">
        <v>213</v>
      </c>
      <c r="C38" s="161"/>
      <c r="D38" s="161"/>
      <c r="E38" s="228"/>
      <c r="F38" s="228"/>
    </row>
    <row r="39" spans="1:6" ht="51">
      <c r="A39" s="163" t="s">
        <v>600</v>
      </c>
      <c r="B39" s="172" t="s">
        <v>214</v>
      </c>
      <c r="C39" s="222"/>
      <c r="D39" s="223"/>
      <c r="E39" s="162"/>
      <c r="F39" s="162"/>
    </row>
    <row r="40" spans="1:6" ht="18">
      <c r="A40" s="224"/>
      <c r="B40" s="225" t="s">
        <v>286</v>
      </c>
      <c r="C40" s="224"/>
      <c r="D40" s="224"/>
      <c r="E40" s="224"/>
      <c r="F40" s="224"/>
    </row>
    <row r="41" spans="1:6">
      <c r="A41" s="163"/>
      <c r="B41" s="172"/>
    </row>
    <row r="42" spans="1:6" ht="15">
      <c r="A42" s="226"/>
      <c r="B42" s="227" t="s">
        <v>619</v>
      </c>
      <c r="C42" s="226"/>
      <c r="D42" s="226"/>
      <c r="E42" s="226"/>
      <c r="F42" s="226"/>
    </row>
  </sheetData>
  <mergeCells count="1">
    <mergeCell ref="E2:F2"/>
  </mergeCells>
  <conditionalFormatting sqref="C6">
    <cfRule type="cellIs" dxfId="1328" priority="1286" operator="equal">
      <formula>"No"</formula>
    </cfRule>
    <cfRule type="cellIs" dxfId="1327" priority="1287" operator="equal">
      <formula>"NA"</formula>
    </cfRule>
    <cfRule type="cellIs" dxfId="1326" priority="1288" operator="equal">
      <formula>"Yes"</formula>
    </cfRule>
  </conditionalFormatting>
  <conditionalFormatting sqref="C7">
    <cfRule type="cellIs" dxfId="1325" priority="1240" operator="equal">
      <formula>"No"</formula>
    </cfRule>
    <cfRule type="cellIs" dxfId="1324" priority="1241" operator="equal">
      <formula>"NA"</formula>
    </cfRule>
    <cfRule type="cellIs" dxfId="1323" priority="1242" operator="equal">
      <formula>"Yes"</formula>
    </cfRule>
  </conditionalFormatting>
  <conditionalFormatting sqref="C8">
    <cfRule type="cellIs" dxfId="1322" priority="1194" operator="equal">
      <formula>"No"</formula>
    </cfRule>
    <cfRule type="cellIs" dxfId="1321" priority="1195" operator="equal">
      <formula>"NA"</formula>
    </cfRule>
    <cfRule type="cellIs" dxfId="1320" priority="1196" operator="equal">
      <formula>"Yes"</formula>
    </cfRule>
  </conditionalFormatting>
  <conditionalFormatting sqref="C9">
    <cfRule type="cellIs" dxfId="1319" priority="1148" operator="equal">
      <formula>"No"</formula>
    </cfRule>
    <cfRule type="cellIs" dxfId="1318" priority="1149" operator="equal">
      <formula>"NA"</formula>
    </cfRule>
    <cfRule type="cellIs" dxfId="1317" priority="1150" operator="equal">
      <formula>"Yes"</formula>
    </cfRule>
  </conditionalFormatting>
  <conditionalFormatting sqref="C10">
    <cfRule type="cellIs" dxfId="1316" priority="1102" operator="equal">
      <formula>"No"</formula>
    </cfRule>
    <cfRule type="cellIs" dxfId="1315" priority="1103" operator="equal">
      <formula>"NA"</formula>
    </cfRule>
    <cfRule type="cellIs" dxfId="1314" priority="1104" operator="equal">
      <formula>"Yes"</formula>
    </cfRule>
  </conditionalFormatting>
  <conditionalFormatting sqref="C11">
    <cfRule type="cellIs" dxfId="1313" priority="1056" operator="equal">
      <formula>"No"</formula>
    </cfRule>
    <cfRule type="cellIs" dxfId="1312" priority="1057" operator="equal">
      <formula>"NA"</formula>
    </cfRule>
    <cfRule type="cellIs" dxfId="1311" priority="1058" operator="equal">
      <formula>"Yes"</formula>
    </cfRule>
  </conditionalFormatting>
  <conditionalFormatting sqref="C13">
    <cfRule type="cellIs" dxfId="1310" priority="1010" operator="equal">
      <formula>"No"</formula>
    </cfRule>
    <cfRule type="cellIs" dxfId="1309" priority="1011" operator="equal">
      <formula>"NA"</formula>
    </cfRule>
    <cfRule type="cellIs" dxfId="1308" priority="1012" operator="equal">
      <formula>"Yes"</formula>
    </cfRule>
  </conditionalFormatting>
  <conditionalFormatting sqref="C14">
    <cfRule type="cellIs" dxfId="1307" priority="964" operator="equal">
      <formula>"No"</formula>
    </cfRule>
    <cfRule type="cellIs" dxfId="1306" priority="965" operator="equal">
      <formula>"NA"</formula>
    </cfRule>
    <cfRule type="cellIs" dxfId="1305" priority="966" operator="equal">
      <formula>"Yes"</formula>
    </cfRule>
  </conditionalFormatting>
  <conditionalFormatting sqref="C15">
    <cfRule type="cellIs" dxfId="1304" priority="918" operator="equal">
      <formula>"No"</formula>
    </cfRule>
    <cfRule type="cellIs" dxfId="1303" priority="919" operator="equal">
      <formula>"NA"</formula>
    </cfRule>
    <cfRule type="cellIs" dxfId="1302" priority="920" operator="equal">
      <formula>"Yes"</formula>
    </cfRule>
  </conditionalFormatting>
  <conditionalFormatting sqref="C16">
    <cfRule type="cellIs" dxfId="1301" priority="872" operator="equal">
      <formula>"No"</formula>
    </cfRule>
    <cfRule type="cellIs" dxfId="1300" priority="873" operator="equal">
      <formula>"NA"</formula>
    </cfRule>
    <cfRule type="cellIs" dxfId="1299" priority="874" operator="equal">
      <formula>"Yes"</formula>
    </cfRule>
  </conditionalFormatting>
  <conditionalFormatting sqref="C17">
    <cfRule type="cellIs" dxfId="1298" priority="826" operator="equal">
      <formula>"No"</formula>
    </cfRule>
    <cfRule type="cellIs" dxfId="1297" priority="827" operator="equal">
      <formula>"NA"</formula>
    </cfRule>
    <cfRule type="cellIs" dxfId="1296" priority="828" operator="equal">
      <formula>"Yes"</formula>
    </cfRule>
  </conditionalFormatting>
  <conditionalFormatting sqref="C18">
    <cfRule type="cellIs" dxfId="1295" priority="780" operator="equal">
      <formula>"No"</formula>
    </cfRule>
    <cfRule type="cellIs" dxfId="1294" priority="781" operator="equal">
      <formula>"NA"</formula>
    </cfRule>
    <cfRule type="cellIs" dxfId="1293" priority="782" operator="equal">
      <formula>"Yes"</formula>
    </cfRule>
  </conditionalFormatting>
  <conditionalFormatting sqref="C20">
    <cfRule type="cellIs" dxfId="1292" priority="734" operator="equal">
      <formula>"No"</formula>
    </cfRule>
    <cfRule type="cellIs" dxfId="1291" priority="735" operator="equal">
      <formula>"NA"</formula>
    </cfRule>
    <cfRule type="cellIs" dxfId="1290" priority="736" operator="equal">
      <formula>"Yes"</formula>
    </cfRule>
  </conditionalFormatting>
  <conditionalFormatting sqref="C21">
    <cfRule type="cellIs" dxfId="1289" priority="688" operator="equal">
      <formula>"No"</formula>
    </cfRule>
    <cfRule type="cellIs" dxfId="1288" priority="689" operator="equal">
      <formula>"NA"</formula>
    </cfRule>
    <cfRule type="cellIs" dxfId="1287" priority="690" operator="equal">
      <formula>"Yes"</formula>
    </cfRule>
  </conditionalFormatting>
  <conditionalFormatting sqref="C22">
    <cfRule type="cellIs" dxfId="1286" priority="642" operator="equal">
      <formula>"No"</formula>
    </cfRule>
    <cfRule type="cellIs" dxfId="1285" priority="643" operator="equal">
      <formula>"NA"</formula>
    </cfRule>
    <cfRule type="cellIs" dxfId="1284" priority="644" operator="equal">
      <formula>"Yes"</formula>
    </cfRule>
  </conditionalFormatting>
  <conditionalFormatting sqref="C23">
    <cfRule type="cellIs" dxfId="1283" priority="596" operator="equal">
      <formula>"No"</formula>
    </cfRule>
    <cfRule type="cellIs" dxfId="1282" priority="597" operator="equal">
      <formula>"NA"</formula>
    </cfRule>
    <cfRule type="cellIs" dxfId="1281" priority="598" operator="equal">
      <formula>"Yes"</formula>
    </cfRule>
  </conditionalFormatting>
  <conditionalFormatting sqref="C24">
    <cfRule type="cellIs" dxfId="1280" priority="550" operator="equal">
      <formula>"No"</formula>
    </cfRule>
    <cfRule type="cellIs" dxfId="1279" priority="551" operator="equal">
      <formula>"NA"</formula>
    </cfRule>
    <cfRule type="cellIs" dxfId="1278" priority="552" operator="equal">
      <formula>"Yes"</formula>
    </cfRule>
  </conditionalFormatting>
  <conditionalFormatting sqref="C25">
    <cfRule type="cellIs" dxfId="1277" priority="504" operator="equal">
      <formula>"No"</formula>
    </cfRule>
    <cfRule type="cellIs" dxfId="1276" priority="505" operator="equal">
      <formula>"NA"</formula>
    </cfRule>
    <cfRule type="cellIs" dxfId="1275" priority="506" operator="equal">
      <formula>"Yes"</formula>
    </cfRule>
  </conditionalFormatting>
  <conditionalFormatting sqref="C27">
    <cfRule type="cellIs" dxfId="1274" priority="458" operator="equal">
      <formula>"No"</formula>
    </cfRule>
    <cfRule type="cellIs" dxfId="1273" priority="459" operator="equal">
      <formula>"NA"</formula>
    </cfRule>
    <cfRule type="cellIs" dxfId="1272" priority="460" operator="equal">
      <formula>"Yes"</formula>
    </cfRule>
  </conditionalFormatting>
  <conditionalFormatting sqref="C28">
    <cfRule type="cellIs" dxfId="1271" priority="412" operator="equal">
      <formula>"No"</formula>
    </cfRule>
    <cfRule type="cellIs" dxfId="1270" priority="413" operator="equal">
      <formula>"NA"</formula>
    </cfRule>
    <cfRule type="cellIs" dxfId="1269" priority="414" operator="equal">
      <formula>"Yes"</formula>
    </cfRule>
  </conditionalFormatting>
  <conditionalFormatting sqref="C29">
    <cfRule type="cellIs" dxfId="1268" priority="366" operator="equal">
      <formula>"No"</formula>
    </cfRule>
    <cfRule type="cellIs" dxfId="1267" priority="367" operator="equal">
      <formula>"NA"</formula>
    </cfRule>
    <cfRule type="cellIs" dxfId="1266" priority="368" operator="equal">
      <formula>"Yes"</formula>
    </cfRule>
  </conditionalFormatting>
  <conditionalFormatting sqref="C31">
    <cfRule type="cellIs" dxfId="1265" priority="320" operator="equal">
      <formula>"No"</formula>
    </cfRule>
    <cfRule type="cellIs" dxfId="1264" priority="321" operator="equal">
      <formula>"NA"</formula>
    </cfRule>
    <cfRule type="cellIs" dxfId="1263" priority="322" operator="equal">
      <formula>"Yes"</formula>
    </cfRule>
  </conditionalFormatting>
  <conditionalFormatting sqref="C32">
    <cfRule type="cellIs" dxfId="1262" priority="274" operator="equal">
      <formula>"No"</formula>
    </cfRule>
    <cfRule type="cellIs" dxfId="1261" priority="275" operator="equal">
      <formula>"NA"</formula>
    </cfRule>
    <cfRule type="cellIs" dxfId="1260" priority="276" operator="equal">
      <formula>"Yes"</formula>
    </cfRule>
  </conditionalFormatting>
  <conditionalFormatting sqref="C33">
    <cfRule type="cellIs" dxfId="1259" priority="228" operator="equal">
      <formula>"No"</formula>
    </cfRule>
    <cfRule type="cellIs" dxfId="1258" priority="229" operator="equal">
      <formula>"NA"</formula>
    </cfRule>
    <cfRule type="cellIs" dxfId="1257" priority="230" operator="equal">
      <formula>"Yes"</formula>
    </cfRule>
  </conditionalFormatting>
  <conditionalFormatting sqref="C34">
    <cfRule type="cellIs" dxfId="1256" priority="182" operator="equal">
      <formula>"No"</formula>
    </cfRule>
    <cfRule type="cellIs" dxfId="1255" priority="183" operator="equal">
      <formula>"NA"</formula>
    </cfRule>
    <cfRule type="cellIs" dxfId="1254" priority="184" operator="equal">
      <formula>"Yes"</formula>
    </cfRule>
  </conditionalFormatting>
  <conditionalFormatting sqref="C36">
    <cfRule type="cellIs" dxfId="1253" priority="136" operator="equal">
      <formula>"No"</formula>
    </cfRule>
    <cfRule type="cellIs" dxfId="1252" priority="137" operator="equal">
      <formula>"NA"</formula>
    </cfRule>
    <cfRule type="cellIs" dxfId="1251" priority="138" operator="equal">
      <formula>"Yes"</formula>
    </cfRule>
  </conditionalFormatting>
  <conditionalFormatting sqref="C37">
    <cfRule type="cellIs" dxfId="1250" priority="90" operator="equal">
      <formula>"No"</formula>
    </cfRule>
    <cfRule type="cellIs" dxfId="1249" priority="91" operator="equal">
      <formula>"NA"</formula>
    </cfRule>
    <cfRule type="cellIs" dxfId="1248" priority="92" operator="equal">
      <formula>"Yes"</formula>
    </cfRule>
  </conditionalFormatting>
  <conditionalFormatting sqref="C39">
    <cfRule type="cellIs" dxfId="1247" priority="44" operator="equal">
      <formula>"No"</formula>
    </cfRule>
    <cfRule type="cellIs" dxfId="1246" priority="45" operator="equal">
      <formula>"NA"</formula>
    </cfRule>
    <cfRule type="cellIs" dxfId="1245"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workbookViewId="0"/>
  </sheetViews>
  <sheetFormatPr defaultColWidth="9.28515625" defaultRowHeight="12.75" outlineLevelCol="1"/>
  <cols>
    <col min="1" max="1" width="13.42578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345</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271</v>
      </c>
      <c r="C5" s="161"/>
      <c r="D5" s="161"/>
      <c r="E5" s="228"/>
      <c r="F5" s="228"/>
    </row>
    <row r="6" spans="1:7" ht="38.25">
      <c r="A6" s="163" t="s">
        <v>678</v>
      </c>
      <c r="B6" s="172" t="s">
        <v>272</v>
      </c>
      <c r="C6" s="222"/>
      <c r="D6" s="223"/>
      <c r="E6" s="162"/>
      <c r="F6" s="162"/>
    </row>
    <row r="7" spans="1:7" ht="25.5">
      <c r="A7" s="163" t="s">
        <v>679</v>
      </c>
      <c r="B7" s="172" t="s">
        <v>403</v>
      </c>
      <c r="C7" s="222"/>
      <c r="D7" s="223"/>
      <c r="E7" s="162"/>
      <c r="F7" s="162"/>
    </row>
    <row r="8" spans="1:7" ht="76.5">
      <c r="A8" s="163" t="s">
        <v>680</v>
      </c>
      <c r="B8" s="172" t="s">
        <v>404</v>
      </c>
      <c r="C8" s="222"/>
      <c r="D8" s="223"/>
      <c r="E8" s="164" t="s">
        <v>405</v>
      </c>
      <c r="F8" s="162"/>
    </row>
    <row r="9" spans="1:7" ht="18.75">
      <c r="A9" s="160"/>
      <c r="B9" s="169" t="s">
        <v>287</v>
      </c>
      <c r="C9" s="161"/>
      <c r="D9" s="161"/>
      <c r="E9" s="228"/>
      <c r="F9" s="228"/>
    </row>
    <row r="10" spans="1:7" ht="38.25">
      <c r="A10" s="163" t="s">
        <v>681</v>
      </c>
      <c r="B10" s="172" t="s">
        <v>346</v>
      </c>
      <c r="C10" s="222"/>
      <c r="D10" s="223"/>
      <c r="E10" s="162"/>
      <c r="F10" s="162"/>
    </row>
    <row r="11" spans="1:7" ht="18.75">
      <c r="A11" s="160"/>
      <c r="B11" s="169" t="s">
        <v>273</v>
      </c>
      <c r="C11" s="161"/>
      <c r="D11" s="161"/>
      <c r="E11" s="228"/>
      <c r="F11" s="228"/>
    </row>
    <row r="12" spans="1:7" ht="51">
      <c r="A12" s="163" t="s">
        <v>682</v>
      </c>
      <c r="B12" s="172" t="s">
        <v>532</v>
      </c>
      <c r="C12" s="222"/>
      <c r="D12" s="223"/>
      <c r="E12" s="162"/>
      <c r="F12" s="162"/>
    </row>
    <row r="13" spans="1:7" ht="25.5">
      <c r="A13" s="163" t="s">
        <v>683</v>
      </c>
      <c r="B13" s="172" t="s">
        <v>274</v>
      </c>
      <c r="C13" s="222"/>
      <c r="D13" s="223"/>
      <c r="E13" s="162"/>
      <c r="F13" s="162"/>
    </row>
    <row r="14" spans="1:7" ht="38.25">
      <c r="A14" s="163" t="s">
        <v>684</v>
      </c>
      <c r="B14" s="172" t="s">
        <v>275</v>
      </c>
      <c r="C14" s="222"/>
      <c r="D14" s="223"/>
      <c r="E14" s="162"/>
      <c r="F14" s="162"/>
    </row>
    <row r="15" spans="1:7" ht="38.25">
      <c r="A15" s="163" t="s">
        <v>685</v>
      </c>
      <c r="B15" s="172" t="s">
        <v>276</v>
      </c>
      <c r="C15" s="222"/>
      <c r="D15" s="223"/>
      <c r="E15" s="162"/>
      <c r="F15" s="162"/>
    </row>
    <row r="16" spans="1:7" ht="38.25">
      <c r="A16" s="163" t="s">
        <v>686</v>
      </c>
      <c r="B16" s="172" t="s">
        <v>277</v>
      </c>
      <c r="C16" s="222"/>
      <c r="D16" s="223"/>
      <c r="E16" s="162"/>
      <c r="F16" s="162"/>
    </row>
    <row r="17" spans="1:6" ht="38.25">
      <c r="A17" s="163" t="s">
        <v>687</v>
      </c>
      <c r="B17" s="172" t="s">
        <v>278</v>
      </c>
      <c r="C17" s="222"/>
      <c r="D17" s="223"/>
      <c r="E17" s="162"/>
      <c r="F17" s="162"/>
    </row>
    <row r="18" spans="1:6" ht="25.5">
      <c r="A18" s="163" t="s">
        <v>688</v>
      </c>
      <c r="B18" s="172" t="s">
        <v>279</v>
      </c>
      <c r="C18" s="222"/>
      <c r="D18" s="223"/>
      <c r="E18" s="162"/>
      <c r="F18" s="162"/>
    </row>
    <row r="19" spans="1:6" ht="38.25">
      <c r="A19" s="163" t="s">
        <v>689</v>
      </c>
      <c r="B19" s="172" t="s">
        <v>280</v>
      </c>
      <c r="C19" s="222"/>
      <c r="D19" s="223"/>
      <c r="E19" s="162"/>
      <c r="F19" s="162"/>
    </row>
    <row r="20" spans="1:6" ht="38.25">
      <c r="A20" s="163" t="s">
        <v>690</v>
      </c>
      <c r="B20" s="172" t="s">
        <v>281</v>
      </c>
      <c r="C20" s="222"/>
      <c r="D20" s="223"/>
      <c r="E20" s="162"/>
      <c r="F20" s="162"/>
    </row>
    <row r="21" spans="1:6" ht="18.75">
      <c r="A21" s="160"/>
      <c r="B21" s="169" t="s">
        <v>282</v>
      </c>
      <c r="C21" s="161"/>
      <c r="D21" s="161"/>
      <c r="E21" s="228"/>
      <c r="F21" s="228"/>
    </row>
    <row r="22" spans="1:6" ht="51">
      <c r="A22" s="163" t="s">
        <v>691</v>
      </c>
      <c r="B22" s="172" t="s">
        <v>283</v>
      </c>
      <c r="C22" s="222"/>
      <c r="D22" s="223"/>
      <c r="E22" s="162"/>
      <c r="F22" s="162"/>
    </row>
    <row r="23" spans="1:6" ht="38.25">
      <c r="A23" s="163" t="s">
        <v>692</v>
      </c>
      <c r="B23" s="172" t="s">
        <v>284</v>
      </c>
      <c r="C23" s="222"/>
      <c r="D23" s="223"/>
      <c r="E23" s="162"/>
      <c r="F23" s="162"/>
    </row>
    <row r="24" spans="1:6" ht="178.5">
      <c r="A24" s="163" t="s">
        <v>693</v>
      </c>
      <c r="B24" s="172" t="s">
        <v>285</v>
      </c>
      <c r="C24" s="222"/>
      <c r="D24" s="223"/>
      <c r="E24" s="164" t="s">
        <v>406</v>
      </c>
      <c r="F24" s="162"/>
    </row>
    <row r="25" spans="1:6" ht="18.75">
      <c r="A25" s="160"/>
      <c r="B25" s="169" t="s">
        <v>486</v>
      </c>
      <c r="C25" s="161"/>
      <c r="D25" s="161"/>
      <c r="E25" s="228"/>
      <c r="F25" s="228"/>
    </row>
    <row r="26" spans="1:6" ht="38.25">
      <c r="A26" s="163" t="s">
        <v>694</v>
      </c>
      <c r="B26" s="172" t="s">
        <v>487</v>
      </c>
      <c r="C26" s="222"/>
      <c r="D26" s="223"/>
      <c r="E26" s="162"/>
      <c r="F26" s="162"/>
    </row>
    <row r="27" spans="1:6" ht="25.5">
      <c r="A27" s="163" t="s">
        <v>695</v>
      </c>
      <c r="B27" s="172" t="s">
        <v>488</v>
      </c>
      <c r="C27" s="222"/>
      <c r="D27" s="223"/>
      <c r="E27" s="162"/>
      <c r="F27" s="162"/>
    </row>
    <row r="28" spans="1:6" ht="38.25">
      <c r="A28" s="163" t="s">
        <v>696</v>
      </c>
      <c r="B28" s="172" t="s">
        <v>489</v>
      </c>
      <c r="C28" s="222"/>
      <c r="D28" s="223"/>
      <c r="E28" s="162"/>
      <c r="F28" s="162"/>
    </row>
    <row r="29" spans="1:6" ht="51">
      <c r="A29" s="163" t="s">
        <v>697</v>
      </c>
      <c r="B29" s="172" t="s">
        <v>490</v>
      </c>
      <c r="C29" s="222"/>
      <c r="D29" s="223"/>
      <c r="E29" s="162"/>
      <c r="F29" s="162"/>
    </row>
    <row r="30" spans="1:6" ht="38.25">
      <c r="A30" s="163" t="s">
        <v>698</v>
      </c>
      <c r="B30" s="172" t="s">
        <v>533</v>
      </c>
      <c r="C30" s="222"/>
      <c r="D30" s="223"/>
      <c r="E30" s="162"/>
      <c r="F30" s="162"/>
    </row>
    <row r="31" spans="1:6" ht="38.25">
      <c r="A31" s="163" t="s">
        <v>699</v>
      </c>
      <c r="B31" s="172" t="s">
        <v>534</v>
      </c>
      <c r="C31" s="222"/>
      <c r="D31" s="223"/>
      <c r="E31" s="162"/>
      <c r="F31" s="162"/>
    </row>
    <row r="32" spans="1:6" ht="18.75">
      <c r="A32" s="160"/>
      <c r="B32" s="169" t="s">
        <v>266</v>
      </c>
      <c r="C32" s="161"/>
      <c r="D32" s="161"/>
      <c r="E32" s="228"/>
      <c r="F32" s="228"/>
    </row>
    <row r="33" spans="1:6" ht="38.25">
      <c r="A33" s="163" t="s">
        <v>594</v>
      </c>
      <c r="B33" s="172" t="s">
        <v>215</v>
      </c>
      <c r="C33" s="222"/>
      <c r="D33" s="223"/>
      <c r="E33" s="162"/>
      <c r="F33" s="162"/>
    </row>
    <row r="34" spans="1:6" ht="25.5">
      <c r="A34" s="163" t="s">
        <v>595</v>
      </c>
      <c r="B34" s="172" t="s">
        <v>216</v>
      </c>
      <c r="C34" s="222"/>
      <c r="D34" s="223"/>
      <c r="E34" s="162"/>
      <c r="F34" s="162"/>
    </row>
    <row r="35" spans="1:6" ht="38.25">
      <c r="A35" s="163" t="s">
        <v>596</v>
      </c>
      <c r="B35" s="172" t="s">
        <v>217</v>
      </c>
      <c r="C35" s="222"/>
      <c r="D35" s="223"/>
      <c r="E35" s="162"/>
      <c r="F35" s="162"/>
    </row>
    <row r="36" spans="1:6" ht="38.25">
      <c r="A36" s="163" t="s">
        <v>597</v>
      </c>
      <c r="B36" s="172" t="s">
        <v>218</v>
      </c>
      <c r="C36" s="222"/>
      <c r="D36" s="223"/>
      <c r="E36" s="162"/>
      <c r="F36" s="162"/>
    </row>
    <row r="37" spans="1:6" ht="18.75">
      <c r="A37" s="160"/>
      <c r="B37" s="169" t="s">
        <v>267</v>
      </c>
      <c r="C37" s="161"/>
      <c r="D37" s="161"/>
      <c r="E37" s="228"/>
      <c r="F37" s="228"/>
    </row>
    <row r="38" spans="1:6" ht="38.25">
      <c r="A38" s="163" t="s">
        <v>598</v>
      </c>
      <c r="B38" s="172" t="s">
        <v>219</v>
      </c>
      <c r="C38" s="222"/>
      <c r="D38" s="223"/>
      <c r="E38" s="162"/>
      <c r="F38" s="162"/>
    </row>
    <row r="39" spans="1:6" ht="38.25">
      <c r="A39" s="163" t="s">
        <v>599</v>
      </c>
      <c r="B39" s="172" t="s">
        <v>220</v>
      </c>
      <c r="C39" s="222"/>
      <c r="D39" s="223"/>
      <c r="E39" s="162"/>
      <c r="F39" s="162"/>
    </row>
    <row r="40" spans="1:6" ht="18.75">
      <c r="A40" s="160"/>
      <c r="B40" s="169" t="s">
        <v>213</v>
      </c>
      <c r="C40" s="161"/>
      <c r="D40" s="161"/>
      <c r="E40" s="228"/>
      <c r="F40" s="228"/>
    </row>
    <row r="41" spans="1:6" ht="51">
      <c r="A41" s="163" t="s">
        <v>600</v>
      </c>
      <c r="B41" s="172" t="s">
        <v>214</v>
      </c>
      <c r="C41" s="222"/>
      <c r="D41" s="223"/>
      <c r="E41" s="162"/>
      <c r="F41" s="162"/>
    </row>
    <row r="42" spans="1:6" ht="18">
      <c r="A42" s="224"/>
      <c r="B42" s="225" t="s">
        <v>286</v>
      </c>
      <c r="C42" s="224"/>
      <c r="D42" s="224"/>
      <c r="E42" s="224"/>
      <c r="F42" s="224"/>
    </row>
    <row r="43" spans="1:6">
      <c r="A43" s="163"/>
      <c r="B43" s="172"/>
    </row>
    <row r="44" spans="1:6" ht="15">
      <c r="A44" s="226"/>
      <c r="B44" s="227" t="s">
        <v>619</v>
      </c>
      <c r="C44" s="226"/>
      <c r="D44" s="226"/>
      <c r="E44" s="226"/>
      <c r="F44" s="226"/>
    </row>
  </sheetData>
  <mergeCells count="1">
    <mergeCell ref="E2:F2"/>
  </mergeCells>
  <conditionalFormatting sqref="C6">
    <cfRule type="cellIs" dxfId="1244" priority="1332" operator="equal">
      <formula>"No"</formula>
    </cfRule>
    <cfRule type="cellIs" dxfId="1243" priority="1333" operator="equal">
      <formula>"NA"</formula>
    </cfRule>
    <cfRule type="cellIs" dxfId="1242" priority="1334" operator="equal">
      <formula>"Yes"</formula>
    </cfRule>
  </conditionalFormatting>
  <conditionalFormatting sqref="C7">
    <cfRule type="cellIs" dxfId="1241" priority="1286" operator="equal">
      <formula>"No"</formula>
    </cfRule>
    <cfRule type="cellIs" dxfId="1240" priority="1287" operator="equal">
      <formula>"NA"</formula>
    </cfRule>
    <cfRule type="cellIs" dxfId="1239" priority="1288" operator="equal">
      <formula>"Yes"</formula>
    </cfRule>
  </conditionalFormatting>
  <conditionalFormatting sqref="C8">
    <cfRule type="cellIs" dxfId="1238" priority="1240" operator="equal">
      <formula>"No"</formula>
    </cfRule>
    <cfRule type="cellIs" dxfId="1237" priority="1241" operator="equal">
      <formula>"NA"</formula>
    </cfRule>
    <cfRule type="cellIs" dxfId="1236" priority="1242" operator="equal">
      <formula>"Yes"</formula>
    </cfRule>
  </conditionalFormatting>
  <conditionalFormatting sqref="C10">
    <cfRule type="cellIs" dxfId="1235" priority="1194" operator="equal">
      <formula>"No"</formula>
    </cfRule>
    <cfRule type="cellIs" dxfId="1234" priority="1195" operator="equal">
      <formula>"NA"</formula>
    </cfRule>
    <cfRule type="cellIs" dxfId="1233" priority="1196" operator="equal">
      <formula>"Yes"</formula>
    </cfRule>
  </conditionalFormatting>
  <conditionalFormatting sqref="C12">
    <cfRule type="cellIs" dxfId="1232" priority="1148" operator="equal">
      <formula>"No"</formula>
    </cfRule>
    <cfRule type="cellIs" dxfId="1231" priority="1149" operator="equal">
      <formula>"NA"</formula>
    </cfRule>
    <cfRule type="cellIs" dxfId="1230" priority="1150" operator="equal">
      <formula>"Yes"</formula>
    </cfRule>
  </conditionalFormatting>
  <conditionalFormatting sqref="C13">
    <cfRule type="cellIs" dxfId="1229" priority="1102" operator="equal">
      <formula>"No"</formula>
    </cfRule>
    <cfRule type="cellIs" dxfId="1228" priority="1103" operator="equal">
      <formula>"NA"</formula>
    </cfRule>
    <cfRule type="cellIs" dxfId="1227" priority="1104" operator="equal">
      <formula>"Yes"</formula>
    </cfRule>
  </conditionalFormatting>
  <conditionalFormatting sqref="C14">
    <cfRule type="cellIs" dxfId="1226" priority="1056" operator="equal">
      <formula>"No"</formula>
    </cfRule>
    <cfRule type="cellIs" dxfId="1225" priority="1057" operator="equal">
      <formula>"NA"</formula>
    </cfRule>
    <cfRule type="cellIs" dxfId="1224" priority="1058" operator="equal">
      <formula>"Yes"</formula>
    </cfRule>
  </conditionalFormatting>
  <conditionalFormatting sqref="C15">
    <cfRule type="cellIs" dxfId="1223" priority="1010" operator="equal">
      <formula>"No"</formula>
    </cfRule>
    <cfRule type="cellIs" dxfId="1222" priority="1011" operator="equal">
      <formula>"NA"</formula>
    </cfRule>
    <cfRule type="cellIs" dxfId="1221" priority="1012" operator="equal">
      <formula>"Yes"</formula>
    </cfRule>
  </conditionalFormatting>
  <conditionalFormatting sqref="C16">
    <cfRule type="cellIs" dxfId="1220" priority="964" operator="equal">
      <formula>"No"</formula>
    </cfRule>
    <cfRule type="cellIs" dxfId="1219" priority="965" operator="equal">
      <formula>"NA"</formula>
    </cfRule>
    <cfRule type="cellIs" dxfId="1218" priority="966" operator="equal">
      <formula>"Yes"</formula>
    </cfRule>
  </conditionalFormatting>
  <conditionalFormatting sqref="C17">
    <cfRule type="cellIs" dxfId="1217" priority="918" operator="equal">
      <formula>"No"</formula>
    </cfRule>
    <cfRule type="cellIs" dxfId="1216" priority="919" operator="equal">
      <formula>"NA"</formula>
    </cfRule>
    <cfRule type="cellIs" dxfId="1215" priority="920" operator="equal">
      <formula>"Yes"</formula>
    </cfRule>
  </conditionalFormatting>
  <conditionalFormatting sqref="C18">
    <cfRule type="cellIs" dxfId="1214" priority="872" operator="equal">
      <formula>"No"</formula>
    </cfRule>
    <cfRule type="cellIs" dxfId="1213" priority="873" operator="equal">
      <formula>"NA"</formula>
    </cfRule>
    <cfRule type="cellIs" dxfId="1212" priority="874" operator="equal">
      <formula>"Yes"</formula>
    </cfRule>
  </conditionalFormatting>
  <conditionalFormatting sqref="C19">
    <cfRule type="cellIs" dxfId="1211" priority="826" operator="equal">
      <formula>"No"</formula>
    </cfRule>
    <cfRule type="cellIs" dxfId="1210" priority="827" operator="equal">
      <formula>"NA"</formula>
    </cfRule>
    <cfRule type="cellIs" dxfId="1209" priority="828" operator="equal">
      <formula>"Yes"</formula>
    </cfRule>
  </conditionalFormatting>
  <conditionalFormatting sqref="C20">
    <cfRule type="cellIs" dxfId="1208" priority="780" operator="equal">
      <formula>"No"</formula>
    </cfRule>
    <cfRule type="cellIs" dxfId="1207" priority="781" operator="equal">
      <formula>"NA"</formula>
    </cfRule>
    <cfRule type="cellIs" dxfId="1206" priority="782" operator="equal">
      <formula>"Yes"</formula>
    </cfRule>
  </conditionalFormatting>
  <conditionalFormatting sqref="C22">
    <cfRule type="cellIs" dxfId="1205" priority="734" operator="equal">
      <formula>"No"</formula>
    </cfRule>
    <cfRule type="cellIs" dxfId="1204" priority="735" operator="equal">
      <formula>"NA"</formula>
    </cfRule>
    <cfRule type="cellIs" dxfId="1203" priority="736" operator="equal">
      <formula>"Yes"</formula>
    </cfRule>
  </conditionalFormatting>
  <conditionalFormatting sqref="C23">
    <cfRule type="cellIs" dxfId="1202" priority="688" operator="equal">
      <formula>"No"</formula>
    </cfRule>
    <cfRule type="cellIs" dxfId="1201" priority="689" operator="equal">
      <formula>"NA"</formula>
    </cfRule>
    <cfRule type="cellIs" dxfId="1200" priority="690" operator="equal">
      <formula>"Yes"</formula>
    </cfRule>
  </conditionalFormatting>
  <conditionalFormatting sqref="C24">
    <cfRule type="cellIs" dxfId="1199" priority="642" operator="equal">
      <formula>"No"</formula>
    </cfRule>
    <cfRule type="cellIs" dxfId="1198" priority="643" operator="equal">
      <formula>"NA"</formula>
    </cfRule>
    <cfRule type="cellIs" dxfId="1197" priority="644" operator="equal">
      <formula>"Yes"</formula>
    </cfRule>
  </conditionalFormatting>
  <conditionalFormatting sqref="C26">
    <cfRule type="cellIs" dxfId="1196" priority="596" operator="equal">
      <formula>"No"</formula>
    </cfRule>
    <cfRule type="cellIs" dxfId="1195" priority="597" operator="equal">
      <formula>"NA"</formula>
    </cfRule>
    <cfRule type="cellIs" dxfId="1194" priority="598" operator="equal">
      <formula>"Yes"</formula>
    </cfRule>
  </conditionalFormatting>
  <conditionalFormatting sqref="C27">
    <cfRule type="cellIs" dxfId="1193" priority="550" operator="equal">
      <formula>"No"</formula>
    </cfRule>
    <cfRule type="cellIs" dxfId="1192" priority="551" operator="equal">
      <formula>"NA"</formula>
    </cfRule>
    <cfRule type="cellIs" dxfId="1191" priority="552" operator="equal">
      <formula>"Yes"</formula>
    </cfRule>
  </conditionalFormatting>
  <conditionalFormatting sqref="C28">
    <cfRule type="cellIs" dxfId="1190" priority="504" operator="equal">
      <formula>"No"</formula>
    </cfRule>
    <cfRule type="cellIs" dxfId="1189" priority="505" operator="equal">
      <formula>"NA"</formula>
    </cfRule>
    <cfRule type="cellIs" dxfId="1188" priority="506" operator="equal">
      <formula>"Yes"</formula>
    </cfRule>
  </conditionalFormatting>
  <conditionalFormatting sqref="C29">
    <cfRule type="cellIs" dxfId="1187" priority="458" operator="equal">
      <formula>"No"</formula>
    </cfRule>
    <cfRule type="cellIs" dxfId="1186" priority="459" operator="equal">
      <formula>"NA"</formula>
    </cfRule>
    <cfRule type="cellIs" dxfId="1185" priority="460" operator="equal">
      <formula>"Yes"</formula>
    </cfRule>
  </conditionalFormatting>
  <conditionalFormatting sqref="C30">
    <cfRule type="cellIs" dxfId="1184" priority="412" operator="equal">
      <formula>"No"</formula>
    </cfRule>
    <cfRule type="cellIs" dxfId="1183" priority="413" operator="equal">
      <formula>"NA"</formula>
    </cfRule>
    <cfRule type="cellIs" dxfId="1182" priority="414" operator="equal">
      <formula>"Yes"</formula>
    </cfRule>
  </conditionalFormatting>
  <conditionalFormatting sqref="C31">
    <cfRule type="cellIs" dxfId="1181" priority="366" operator="equal">
      <formula>"No"</formula>
    </cfRule>
    <cfRule type="cellIs" dxfId="1180" priority="367" operator="equal">
      <formula>"NA"</formula>
    </cfRule>
    <cfRule type="cellIs" dxfId="1179" priority="368" operator="equal">
      <formula>"Yes"</formula>
    </cfRule>
  </conditionalFormatting>
  <conditionalFormatting sqref="C33">
    <cfRule type="cellIs" dxfId="1178" priority="320" operator="equal">
      <formula>"No"</formula>
    </cfRule>
    <cfRule type="cellIs" dxfId="1177" priority="321" operator="equal">
      <formula>"NA"</formula>
    </cfRule>
    <cfRule type="cellIs" dxfId="1176" priority="322" operator="equal">
      <formula>"Yes"</formula>
    </cfRule>
  </conditionalFormatting>
  <conditionalFormatting sqref="C34">
    <cfRule type="cellIs" dxfId="1175" priority="274" operator="equal">
      <formula>"No"</formula>
    </cfRule>
    <cfRule type="cellIs" dxfId="1174" priority="275" operator="equal">
      <formula>"NA"</formula>
    </cfRule>
    <cfRule type="cellIs" dxfId="1173" priority="276" operator="equal">
      <formula>"Yes"</formula>
    </cfRule>
  </conditionalFormatting>
  <conditionalFormatting sqref="C35">
    <cfRule type="cellIs" dxfId="1172" priority="228" operator="equal">
      <formula>"No"</formula>
    </cfRule>
    <cfRule type="cellIs" dxfId="1171" priority="229" operator="equal">
      <formula>"NA"</formula>
    </cfRule>
    <cfRule type="cellIs" dxfId="1170" priority="230" operator="equal">
      <formula>"Yes"</formula>
    </cfRule>
  </conditionalFormatting>
  <conditionalFormatting sqref="C36">
    <cfRule type="cellIs" dxfId="1169" priority="182" operator="equal">
      <formula>"No"</formula>
    </cfRule>
    <cfRule type="cellIs" dxfId="1168" priority="183" operator="equal">
      <formula>"NA"</formula>
    </cfRule>
    <cfRule type="cellIs" dxfId="1167" priority="184" operator="equal">
      <formula>"Yes"</formula>
    </cfRule>
  </conditionalFormatting>
  <conditionalFormatting sqref="C38">
    <cfRule type="cellIs" dxfId="1166" priority="136" operator="equal">
      <formula>"No"</formula>
    </cfRule>
    <cfRule type="cellIs" dxfId="1165" priority="137" operator="equal">
      <formula>"NA"</formula>
    </cfRule>
    <cfRule type="cellIs" dxfId="1164" priority="138" operator="equal">
      <formula>"Yes"</formula>
    </cfRule>
  </conditionalFormatting>
  <conditionalFormatting sqref="C39">
    <cfRule type="cellIs" dxfId="1163" priority="90" operator="equal">
      <formula>"No"</formula>
    </cfRule>
    <cfRule type="cellIs" dxfId="1162" priority="91" operator="equal">
      <formula>"NA"</formula>
    </cfRule>
    <cfRule type="cellIs" dxfId="1161" priority="92" operator="equal">
      <formula>"Yes"</formula>
    </cfRule>
  </conditionalFormatting>
  <conditionalFormatting sqref="C41">
    <cfRule type="cellIs" dxfId="1160" priority="44" operator="equal">
      <formula>"No"</formula>
    </cfRule>
    <cfRule type="cellIs" dxfId="1159" priority="45" operator="equal">
      <formula>"NA"</formula>
    </cfRule>
    <cfRule type="cellIs" dxfId="1158"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workbookViewId="0"/>
  </sheetViews>
  <sheetFormatPr defaultColWidth="9.28515625" defaultRowHeight="12.75" outlineLevelCol="1"/>
  <cols>
    <col min="1" max="1" width="12.710937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347</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287</v>
      </c>
      <c r="C5" s="161"/>
      <c r="D5" s="161"/>
      <c r="E5" s="228"/>
      <c r="F5" s="228"/>
    </row>
    <row r="6" spans="1:7" ht="38.25">
      <c r="A6" s="163" t="s">
        <v>681</v>
      </c>
      <c r="B6" s="172" t="s">
        <v>346</v>
      </c>
      <c r="C6" s="222"/>
      <c r="D6" s="223"/>
      <c r="E6" s="162"/>
      <c r="F6" s="162"/>
    </row>
    <row r="7" spans="1:7" ht="18.75">
      <c r="A7" s="160"/>
      <c r="B7" s="169" t="s">
        <v>271</v>
      </c>
      <c r="C7" s="161"/>
      <c r="D7" s="161"/>
      <c r="E7" s="228"/>
      <c r="F7" s="228"/>
    </row>
    <row r="8" spans="1:7" ht="25.5">
      <c r="A8" s="163" t="s">
        <v>679</v>
      </c>
      <c r="B8" s="172" t="s">
        <v>403</v>
      </c>
      <c r="C8" s="222"/>
      <c r="D8" s="223"/>
      <c r="E8" s="162"/>
      <c r="F8" s="162"/>
    </row>
    <row r="9" spans="1:7" ht="76.5">
      <c r="A9" s="163" t="s">
        <v>680</v>
      </c>
      <c r="B9" s="172" t="s">
        <v>404</v>
      </c>
      <c r="C9" s="222"/>
      <c r="D9" s="223"/>
      <c r="E9" s="164" t="s">
        <v>405</v>
      </c>
      <c r="F9" s="162"/>
    </row>
    <row r="10" spans="1:7" ht="18.75">
      <c r="A10" s="160"/>
      <c r="B10" s="169" t="s">
        <v>273</v>
      </c>
      <c r="C10" s="161"/>
      <c r="D10" s="161"/>
      <c r="E10" s="228"/>
      <c r="F10" s="228"/>
    </row>
    <row r="11" spans="1:7" ht="38.25">
      <c r="A11" s="163" t="s">
        <v>700</v>
      </c>
      <c r="B11" s="172" t="s">
        <v>407</v>
      </c>
      <c r="C11" s="222"/>
      <c r="D11" s="223"/>
      <c r="E11" s="162"/>
      <c r="F11" s="162"/>
    </row>
    <row r="12" spans="1:7" ht="38.25">
      <c r="A12" s="163" t="s">
        <v>701</v>
      </c>
      <c r="B12" s="172" t="s">
        <v>313</v>
      </c>
      <c r="C12" s="222"/>
      <c r="D12" s="223"/>
      <c r="E12" s="162"/>
      <c r="F12" s="162"/>
    </row>
    <row r="13" spans="1:7" ht="38.25">
      <c r="A13" s="163" t="s">
        <v>702</v>
      </c>
      <c r="B13" s="172" t="s">
        <v>491</v>
      </c>
      <c r="C13" s="222"/>
      <c r="D13" s="223"/>
      <c r="E13" s="162"/>
      <c r="F13" s="162"/>
    </row>
    <row r="14" spans="1:7" ht="25.5">
      <c r="A14" s="163" t="s">
        <v>703</v>
      </c>
      <c r="B14" s="172" t="s">
        <v>492</v>
      </c>
      <c r="C14" s="222"/>
      <c r="D14" s="223"/>
      <c r="E14" s="162"/>
      <c r="F14" s="162"/>
    </row>
    <row r="15" spans="1:7" ht="25.5">
      <c r="A15" s="163" t="s">
        <v>704</v>
      </c>
      <c r="B15" s="172" t="s">
        <v>493</v>
      </c>
      <c r="C15" s="222"/>
      <c r="D15" s="223"/>
      <c r="E15" s="162"/>
      <c r="F15" s="162"/>
    </row>
    <row r="16" spans="1:7" ht="63.75">
      <c r="A16" s="163" t="s">
        <v>705</v>
      </c>
      <c r="B16" s="172" t="s">
        <v>494</v>
      </c>
      <c r="C16" s="222"/>
      <c r="D16" s="223"/>
      <c r="E16" s="162"/>
      <c r="F16" s="162"/>
    </row>
    <row r="17" spans="1:6" ht="18.75">
      <c r="A17" s="160"/>
      <c r="B17" s="169" t="s">
        <v>282</v>
      </c>
      <c r="C17" s="161"/>
      <c r="D17" s="161"/>
      <c r="E17" s="228"/>
      <c r="F17" s="228"/>
    </row>
    <row r="18" spans="1:6" ht="51">
      <c r="A18" s="163" t="s">
        <v>691</v>
      </c>
      <c r="B18" s="172" t="s">
        <v>283</v>
      </c>
      <c r="C18" s="222"/>
      <c r="D18" s="223"/>
      <c r="E18" s="162"/>
      <c r="F18" s="162"/>
    </row>
    <row r="19" spans="1:6" ht="38.25">
      <c r="A19" s="163" t="s">
        <v>692</v>
      </c>
      <c r="B19" s="172" t="s">
        <v>284</v>
      </c>
      <c r="C19" s="222"/>
      <c r="D19" s="223"/>
      <c r="E19" s="162"/>
      <c r="F19" s="162"/>
    </row>
    <row r="20" spans="1:6" ht="178.5">
      <c r="A20" s="163" t="s">
        <v>693</v>
      </c>
      <c r="B20" s="172" t="s">
        <v>285</v>
      </c>
      <c r="C20" s="222"/>
      <c r="D20" s="223"/>
      <c r="E20" s="164" t="s">
        <v>406</v>
      </c>
      <c r="F20" s="162"/>
    </row>
    <row r="21" spans="1:6" ht="18.75">
      <c r="A21" s="160"/>
      <c r="B21" s="169" t="s">
        <v>314</v>
      </c>
      <c r="C21" s="161"/>
      <c r="D21" s="161"/>
      <c r="E21" s="228"/>
      <c r="F21" s="228"/>
    </row>
    <row r="22" spans="1:6" ht="38.25">
      <c r="A22" s="163" t="s">
        <v>706</v>
      </c>
      <c r="B22" s="172" t="s">
        <v>408</v>
      </c>
      <c r="C22" s="222"/>
      <c r="D22" s="223"/>
      <c r="E22" s="162"/>
      <c r="F22" s="162"/>
    </row>
    <row r="23" spans="1:6" ht="51">
      <c r="A23" s="163" t="s">
        <v>707</v>
      </c>
      <c r="B23" s="172" t="s">
        <v>315</v>
      </c>
      <c r="C23" s="222"/>
      <c r="D23" s="223"/>
      <c r="E23" s="162"/>
      <c r="F23" s="162"/>
    </row>
    <row r="24" spans="1:6" ht="89.25">
      <c r="A24" s="163" t="s">
        <v>708</v>
      </c>
      <c r="B24" s="172" t="s">
        <v>409</v>
      </c>
      <c r="C24" s="222"/>
      <c r="D24" s="223"/>
      <c r="E24" s="162"/>
      <c r="F24" s="162"/>
    </row>
    <row r="25" spans="1:6" ht="51">
      <c r="A25" s="163" t="s">
        <v>709</v>
      </c>
      <c r="B25" s="172" t="s">
        <v>495</v>
      </c>
      <c r="C25" s="222"/>
      <c r="D25" s="223"/>
      <c r="E25" s="162"/>
      <c r="F25" s="162"/>
    </row>
    <row r="26" spans="1:6" ht="25.5">
      <c r="A26" s="163" t="s">
        <v>710</v>
      </c>
      <c r="B26" s="172" t="s">
        <v>316</v>
      </c>
      <c r="C26" s="222"/>
      <c r="D26" s="223"/>
      <c r="E26" s="162"/>
      <c r="F26" s="162"/>
    </row>
    <row r="27" spans="1:6" ht="18.75">
      <c r="A27" s="160"/>
      <c r="B27" s="169" t="s">
        <v>486</v>
      </c>
      <c r="C27" s="161"/>
      <c r="D27" s="161"/>
      <c r="E27" s="228"/>
      <c r="F27" s="228"/>
    </row>
    <row r="28" spans="1:6" ht="114.75">
      <c r="A28" s="163" t="s">
        <v>711</v>
      </c>
      <c r="B28" s="172" t="s">
        <v>712</v>
      </c>
      <c r="C28" s="222"/>
      <c r="D28" s="223"/>
      <c r="E28" s="162"/>
      <c r="F28" s="162"/>
    </row>
    <row r="29" spans="1:6" ht="38.25">
      <c r="A29" s="163" t="s">
        <v>713</v>
      </c>
      <c r="B29" s="172" t="s">
        <v>496</v>
      </c>
      <c r="C29" s="222"/>
      <c r="D29" s="223"/>
      <c r="E29" s="162"/>
      <c r="F29" s="162"/>
    </row>
    <row r="30" spans="1:6" ht="25.5">
      <c r="A30" s="163" t="s">
        <v>714</v>
      </c>
      <c r="B30" s="172" t="s">
        <v>497</v>
      </c>
      <c r="C30" s="222"/>
      <c r="D30" s="223"/>
      <c r="E30" s="162"/>
      <c r="F30" s="162"/>
    </row>
    <row r="31" spans="1:6" ht="38.25">
      <c r="A31" s="163" t="s">
        <v>715</v>
      </c>
      <c r="B31" s="172" t="s">
        <v>498</v>
      </c>
      <c r="C31" s="222"/>
      <c r="D31" s="223"/>
      <c r="E31" s="162"/>
      <c r="F31" s="162"/>
    </row>
    <row r="32" spans="1:6" ht="38.25">
      <c r="A32" s="163" t="s">
        <v>716</v>
      </c>
      <c r="B32" s="172" t="s">
        <v>499</v>
      </c>
      <c r="C32" s="222"/>
      <c r="D32" s="223"/>
      <c r="E32" s="162"/>
      <c r="F32" s="162"/>
    </row>
    <row r="33" spans="1:6" ht="25.5">
      <c r="A33" s="163" t="s">
        <v>717</v>
      </c>
      <c r="B33" s="172" t="s">
        <v>500</v>
      </c>
      <c r="C33" s="222"/>
      <c r="D33" s="223"/>
      <c r="E33" s="162"/>
      <c r="F33" s="162"/>
    </row>
    <row r="34" spans="1:6" ht="51">
      <c r="A34" s="163" t="s">
        <v>718</v>
      </c>
      <c r="B34" s="172" t="s">
        <v>501</v>
      </c>
      <c r="C34" s="222"/>
      <c r="D34" s="223"/>
      <c r="E34" s="162"/>
      <c r="F34" s="162"/>
    </row>
    <row r="35" spans="1:6" ht="63.75">
      <c r="A35" s="163" t="s">
        <v>719</v>
      </c>
      <c r="B35" s="172" t="s">
        <v>535</v>
      </c>
      <c r="C35" s="222"/>
      <c r="D35" s="223"/>
      <c r="E35" s="162"/>
      <c r="F35" s="162"/>
    </row>
    <row r="36" spans="1:6" ht="38.25">
      <c r="A36" s="163" t="s">
        <v>720</v>
      </c>
      <c r="B36" s="172" t="s">
        <v>536</v>
      </c>
      <c r="C36" s="222"/>
      <c r="D36" s="223"/>
      <c r="E36" s="162"/>
      <c r="F36" s="162"/>
    </row>
    <row r="37" spans="1:6" ht="38.25">
      <c r="A37" s="163" t="s">
        <v>721</v>
      </c>
      <c r="B37" s="172" t="s">
        <v>537</v>
      </c>
      <c r="C37" s="222"/>
      <c r="D37" s="223"/>
      <c r="E37" s="162"/>
      <c r="F37" s="162"/>
    </row>
    <row r="38" spans="1:6" ht="38.25">
      <c r="A38" s="163" t="s">
        <v>722</v>
      </c>
      <c r="B38" s="172" t="s">
        <v>538</v>
      </c>
      <c r="C38" s="222"/>
      <c r="D38" s="223"/>
      <c r="E38" s="162"/>
      <c r="F38" s="162"/>
    </row>
    <row r="39" spans="1:6" ht="18.75">
      <c r="A39" s="160"/>
      <c r="B39" s="169" t="s">
        <v>266</v>
      </c>
      <c r="C39" s="161"/>
      <c r="D39" s="161"/>
      <c r="E39" s="228"/>
      <c r="F39" s="228"/>
    </row>
    <row r="40" spans="1:6" ht="38.25">
      <c r="A40" s="163" t="s">
        <v>594</v>
      </c>
      <c r="B40" s="172" t="s">
        <v>215</v>
      </c>
      <c r="C40" s="222"/>
      <c r="D40" s="223"/>
      <c r="E40" s="162"/>
      <c r="F40" s="162"/>
    </row>
    <row r="41" spans="1:6" ht="25.5">
      <c r="A41" s="163" t="s">
        <v>595</v>
      </c>
      <c r="B41" s="172" t="s">
        <v>216</v>
      </c>
      <c r="C41" s="222"/>
      <c r="D41" s="223"/>
      <c r="E41" s="162"/>
      <c r="F41" s="162"/>
    </row>
    <row r="42" spans="1:6" ht="38.25">
      <c r="A42" s="163" t="s">
        <v>596</v>
      </c>
      <c r="B42" s="172" t="s">
        <v>217</v>
      </c>
      <c r="C42" s="222"/>
      <c r="D42" s="223"/>
      <c r="E42" s="162"/>
      <c r="F42" s="162"/>
    </row>
    <row r="43" spans="1:6" ht="38.25">
      <c r="A43" s="163" t="s">
        <v>597</v>
      </c>
      <c r="B43" s="172" t="s">
        <v>218</v>
      </c>
      <c r="C43" s="222"/>
      <c r="D43" s="223"/>
      <c r="E43" s="162"/>
      <c r="F43" s="162"/>
    </row>
    <row r="44" spans="1:6" ht="18.75">
      <c r="A44" s="160"/>
      <c r="B44" s="169" t="s">
        <v>267</v>
      </c>
      <c r="C44" s="161"/>
      <c r="D44" s="161"/>
      <c r="E44" s="228"/>
      <c r="F44" s="228"/>
    </row>
    <row r="45" spans="1:6" ht="38.25">
      <c r="A45" s="163" t="s">
        <v>598</v>
      </c>
      <c r="B45" s="172" t="s">
        <v>219</v>
      </c>
      <c r="C45" s="222"/>
      <c r="D45" s="223"/>
      <c r="E45" s="162"/>
      <c r="F45" s="162"/>
    </row>
    <row r="46" spans="1:6" ht="38.25">
      <c r="A46" s="163" t="s">
        <v>599</v>
      </c>
      <c r="B46" s="172" t="s">
        <v>220</v>
      </c>
      <c r="C46" s="222"/>
      <c r="D46" s="223"/>
      <c r="E46" s="162"/>
      <c r="F46" s="162"/>
    </row>
    <row r="47" spans="1:6" ht="18.75">
      <c r="A47" s="160"/>
      <c r="B47" s="169" t="s">
        <v>213</v>
      </c>
      <c r="C47" s="161"/>
      <c r="D47" s="161"/>
      <c r="E47" s="228"/>
      <c r="F47" s="228"/>
    </row>
    <row r="48" spans="1:6" ht="51">
      <c r="A48" s="163" t="s">
        <v>600</v>
      </c>
      <c r="B48" s="172" t="s">
        <v>214</v>
      </c>
      <c r="C48" s="222"/>
      <c r="D48" s="223"/>
      <c r="E48" s="162"/>
      <c r="F48" s="162"/>
    </row>
    <row r="49" spans="1:6" ht="18">
      <c r="A49" s="224"/>
      <c r="B49" s="225" t="s">
        <v>286</v>
      </c>
      <c r="C49" s="224"/>
      <c r="D49" s="224"/>
      <c r="E49" s="224"/>
      <c r="F49" s="224"/>
    </row>
    <row r="50" spans="1:6">
      <c r="A50" s="163"/>
      <c r="B50" s="172"/>
    </row>
    <row r="51" spans="1:6" ht="15">
      <c r="A51" s="226"/>
      <c r="B51" s="227" t="s">
        <v>619</v>
      </c>
      <c r="C51" s="226"/>
      <c r="D51" s="226"/>
      <c r="E51" s="226"/>
      <c r="F51" s="226"/>
    </row>
  </sheetData>
  <mergeCells count="1">
    <mergeCell ref="E2:F2"/>
  </mergeCells>
  <conditionalFormatting sqref="C6">
    <cfRule type="cellIs" dxfId="1157" priority="1608" operator="equal">
      <formula>"No"</formula>
    </cfRule>
    <cfRule type="cellIs" dxfId="1156" priority="1609" operator="equal">
      <formula>"NA"</formula>
    </cfRule>
    <cfRule type="cellIs" dxfId="1155" priority="1610" operator="equal">
      <formula>"Yes"</formula>
    </cfRule>
  </conditionalFormatting>
  <conditionalFormatting sqref="C8">
    <cfRule type="cellIs" dxfId="1154" priority="1562" operator="equal">
      <formula>"No"</formula>
    </cfRule>
    <cfRule type="cellIs" dxfId="1153" priority="1563" operator="equal">
      <formula>"NA"</formula>
    </cfRule>
    <cfRule type="cellIs" dxfId="1152" priority="1564" operator="equal">
      <formula>"Yes"</formula>
    </cfRule>
  </conditionalFormatting>
  <conditionalFormatting sqref="C9">
    <cfRule type="cellIs" dxfId="1151" priority="1516" operator="equal">
      <formula>"No"</formula>
    </cfRule>
    <cfRule type="cellIs" dxfId="1150" priority="1517" operator="equal">
      <formula>"NA"</formula>
    </cfRule>
    <cfRule type="cellIs" dxfId="1149" priority="1518" operator="equal">
      <formula>"Yes"</formula>
    </cfRule>
  </conditionalFormatting>
  <conditionalFormatting sqref="C11">
    <cfRule type="cellIs" dxfId="1148" priority="1470" operator="equal">
      <formula>"No"</formula>
    </cfRule>
    <cfRule type="cellIs" dxfId="1147" priority="1471" operator="equal">
      <formula>"NA"</formula>
    </cfRule>
    <cfRule type="cellIs" dxfId="1146" priority="1472" operator="equal">
      <formula>"Yes"</formula>
    </cfRule>
  </conditionalFormatting>
  <conditionalFormatting sqref="C12">
    <cfRule type="cellIs" dxfId="1145" priority="1424" operator="equal">
      <formula>"No"</formula>
    </cfRule>
    <cfRule type="cellIs" dxfId="1144" priority="1425" operator="equal">
      <formula>"NA"</formula>
    </cfRule>
    <cfRule type="cellIs" dxfId="1143" priority="1426" operator="equal">
      <formula>"Yes"</formula>
    </cfRule>
  </conditionalFormatting>
  <conditionalFormatting sqref="C13">
    <cfRule type="cellIs" dxfId="1142" priority="1378" operator="equal">
      <formula>"No"</formula>
    </cfRule>
    <cfRule type="cellIs" dxfId="1141" priority="1379" operator="equal">
      <formula>"NA"</formula>
    </cfRule>
    <cfRule type="cellIs" dxfId="1140" priority="1380" operator="equal">
      <formula>"Yes"</formula>
    </cfRule>
  </conditionalFormatting>
  <conditionalFormatting sqref="C14">
    <cfRule type="cellIs" dxfId="1139" priority="1332" operator="equal">
      <formula>"No"</formula>
    </cfRule>
    <cfRule type="cellIs" dxfId="1138" priority="1333" operator="equal">
      <formula>"NA"</formula>
    </cfRule>
    <cfRule type="cellIs" dxfId="1137" priority="1334" operator="equal">
      <formula>"Yes"</formula>
    </cfRule>
  </conditionalFormatting>
  <conditionalFormatting sqref="C15">
    <cfRule type="cellIs" dxfId="1136" priority="1286" operator="equal">
      <formula>"No"</formula>
    </cfRule>
    <cfRule type="cellIs" dxfId="1135" priority="1287" operator="equal">
      <formula>"NA"</formula>
    </cfRule>
    <cfRule type="cellIs" dxfId="1134" priority="1288" operator="equal">
      <formula>"Yes"</formula>
    </cfRule>
  </conditionalFormatting>
  <conditionalFormatting sqref="C16">
    <cfRule type="cellIs" dxfId="1133" priority="1240" operator="equal">
      <formula>"No"</formula>
    </cfRule>
    <cfRule type="cellIs" dxfId="1132" priority="1241" operator="equal">
      <formula>"NA"</formula>
    </cfRule>
    <cfRule type="cellIs" dxfId="1131" priority="1242" operator="equal">
      <formula>"Yes"</formula>
    </cfRule>
  </conditionalFormatting>
  <conditionalFormatting sqref="C18">
    <cfRule type="cellIs" dxfId="1130" priority="1194" operator="equal">
      <formula>"No"</formula>
    </cfRule>
    <cfRule type="cellIs" dxfId="1129" priority="1195" operator="equal">
      <formula>"NA"</formula>
    </cfRule>
    <cfRule type="cellIs" dxfId="1128" priority="1196" operator="equal">
      <formula>"Yes"</formula>
    </cfRule>
  </conditionalFormatting>
  <conditionalFormatting sqref="C19">
    <cfRule type="cellIs" dxfId="1127" priority="1148" operator="equal">
      <formula>"No"</formula>
    </cfRule>
    <cfRule type="cellIs" dxfId="1126" priority="1149" operator="equal">
      <formula>"NA"</formula>
    </cfRule>
    <cfRule type="cellIs" dxfId="1125" priority="1150" operator="equal">
      <formula>"Yes"</formula>
    </cfRule>
  </conditionalFormatting>
  <conditionalFormatting sqref="C20">
    <cfRule type="cellIs" dxfId="1124" priority="1102" operator="equal">
      <formula>"No"</formula>
    </cfRule>
    <cfRule type="cellIs" dxfId="1123" priority="1103" operator="equal">
      <formula>"NA"</formula>
    </cfRule>
    <cfRule type="cellIs" dxfId="1122" priority="1104" operator="equal">
      <formula>"Yes"</formula>
    </cfRule>
  </conditionalFormatting>
  <conditionalFormatting sqref="C22">
    <cfRule type="cellIs" dxfId="1121" priority="1056" operator="equal">
      <formula>"No"</formula>
    </cfRule>
    <cfRule type="cellIs" dxfId="1120" priority="1057" operator="equal">
      <formula>"NA"</formula>
    </cfRule>
    <cfRule type="cellIs" dxfId="1119" priority="1058" operator="equal">
      <formula>"Yes"</formula>
    </cfRule>
  </conditionalFormatting>
  <conditionalFormatting sqref="C23">
    <cfRule type="cellIs" dxfId="1118" priority="1010" operator="equal">
      <formula>"No"</formula>
    </cfRule>
    <cfRule type="cellIs" dxfId="1117" priority="1011" operator="equal">
      <formula>"NA"</formula>
    </cfRule>
    <cfRule type="cellIs" dxfId="1116" priority="1012" operator="equal">
      <formula>"Yes"</formula>
    </cfRule>
  </conditionalFormatting>
  <conditionalFormatting sqref="C24">
    <cfRule type="cellIs" dxfId="1115" priority="964" operator="equal">
      <formula>"No"</formula>
    </cfRule>
    <cfRule type="cellIs" dxfId="1114" priority="965" operator="equal">
      <formula>"NA"</formula>
    </cfRule>
    <cfRule type="cellIs" dxfId="1113" priority="966" operator="equal">
      <formula>"Yes"</formula>
    </cfRule>
  </conditionalFormatting>
  <conditionalFormatting sqref="C25">
    <cfRule type="cellIs" dxfId="1112" priority="918" operator="equal">
      <formula>"No"</formula>
    </cfRule>
    <cfRule type="cellIs" dxfId="1111" priority="919" operator="equal">
      <formula>"NA"</formula>
    </cfRule>
    <cfRule type="cellIs" dxfId="1110" priority="920" operator="equal">
      <formula>"Yes"</formula>
    </cfRule>
  </conditionalFormatting>
  <conditionalFormatting sqref="C26">
    <cfRule type="cellIs" dxfId="1109" priority="872" operator="equal">
      <formula>"No"</formula>
    </cfRule>
    <cfRule type="cellIs" dxfId="1108" priority="873" operator="equal">
      <formula>"NA"</formula>
    </cfRule>
    <cfRule type="cellIs" dxfId="1107" priority="874" operator="equal">
      <formula>"Yes"</formula>
    </cfRule>
  </conditionalFormatting>
  <conditionalFormatting sqref="C28">
    <cfRule type="cellIs" dxfId="1106" priority="826" operator="equal">
      <formula>"No"</formula>
    </cfRule>
    <cfRule type="cellIs" dxfId="1105" priority="827" operator="equal">
      <formula>"NA"</formula>
    </cfRule>
    <cfRule type="cellIs" dxfId="1104" priority="828" operator="equal">
      <formula>"Yes"</formula>
    </cfRule>
  </conditionalFormatting>
  <conditionalFormatting sqref="C29">
    <cfRule type="cellIs" dxfId="1103" priority="780" operator="equal">
      <formula>"No"</formula>
    </cfRule>
    <cfRule type="cellIs" dxfId="1102" priority="781" operator="equal">
      <formula>"NA"</formula>
    </cfRule>
    <cfRule type="cellIs" dxfId="1101" priority="782" operator="equal">
      <formula>"Yes"</formula>
    </cfRule>
  </conditionalFormatting>
  <conditionalFormatting sqref="C30">
    <cfRule type="cellIs" dxfId="1100" priority="734" operator="equal">
      <formula>"No"</formula>
    </cfRule>
    <cfRule type="cellIs" dxfId="1099" priority="735" operator="equal">
      <formula>"NA"</formula>
    </cfRule>
    <cfRule type="cellIs" dxfId="1098" priority="736" operator="equal">
      <formula>"Yes"</formula>
    </cfRule>
  </conditionalFormatting>
  <conditionalFormatting sqref="C31">
    <cfRule type="cellIs" dxfId="1097" priority="688" operator="equal">
      <formula>"No"</formula>
    </cfRule>
    <cfRule type="cellIs" dxfId="1096" priority="689" operator="equal">
      <formula>"NA"</formula>
    </cfRule>
    <cfRule type="cellIs" dxfId="1095" priority="690" operator="equal">
      <formula>"Yes"</formula>
    </cfRule>
  </conditionalFormatting>
  <conditionalFormatting sqref="C32">
    <cfRule type="cellIs" dxfId="1094" priority="642" operator="equal">
      <formula>"No"</formula>
    </cfRule>
    <cfRule type="cellIs" dxfId="1093" priority="643" operator="equal">
      <formula>"NA"</formula>
    </cfRule>
    <cfRule type="cellIs" dxfId="1092" priority="644" operator="equal">
      <formula>"Yes"</formula>
    </cfRule>
  </conditionalFormatting>
  <conditionalFormatting sqref="C33">
    <cfRule type="cellIs" dxfId="1091" priority="596" operator="equal">
      <formula>"No"</formula>
    </cfRule>
    <cfRule type="cellIs" dxfId="1090" priority="597" operator="equal">
      <formula>"NA"</formula>
    </cfRule>
    <cfRule type="cellIs" dxfId="1089" priority="598" operator="equal">
      <formula>"Yes"</formula>
    </cfRule>
  </conditionalFormatting>
  <conditionalFormatting sqref="C34">
    <cfRule type="cellIs" dxfId="1088" priority="550" operator="equal">
      <formula>"No"</formula>
    </cfRule>
    <cfRule type="cellIs" dxfId="1087" priority="551" operator="equal">
      <formula>"NA"</formula>
    </cfRule>
    <cfRule type="cellIs" dxfId="1086" priority="552" operator="equal">
      <formula>"Yes"</formula>
    </cfRule>
  </conditionalFormatting>
  <conditionalFormatting sqref="C35">
    <cfRule type="cellIs" dxfId="1085" priority="504" operator="equal">
      <formula>"No"</formula>
    </cfRule>
    <cfRule type="cellIs" dxfId="1084" priority="505" operator="equal">
      <formula>"NA"</formula>
    </cfRule>
    <cfRule type="cellIs" dxfId="1083" priority="506" operator="equal">
      <formula>"Yes"</formula>
    </cfRule>
  </conditionalFormatting>
  <conditionalFormatting sqref="C36">
    <cfRule type="cellIs" dxfId="1082" priority="458" operator="equal">
      <formula>"No"</formula>
    </cfRule>
    <cfRule type="cellIs" dxfId="1081" priority="459" operator="equal">
      <formula>"NA"</formula>
    </cfRule>
    <cfRule type="cellIs" dxfId="1080" priority="460" operator="equal">
      <formula>"Yes"</formula>
    </cfRule>
  </conditionalFormatting>
  <conditionalFormatting sqref="C37">
    <cfRule type="cellIs" dxfId="1079" priority="412" operator="equal">
      <formula>"No"</formula>
    </cfRule>
    <cfRule type="cellIs" dxfId="1078" priority="413" operator="equal">
      <formula>"NA"</formula>
    </cfRule>
    <cfRule type="cellIs" dxfId="1077" priority="414" operator="equal">
      <formula>"Yes"</formula>
    </cfRule>
  </conditionalFormatting>
  <conditionalFormatting sqref="C38">
    <cfRule type="cellIs" dxfId="1076" priority="366" operator="equal">
      <formula>"No"</formula>
    </cfRule>
    <cfRule type="cellIs" dxfId="1075" priority="367" operator="equal">
      <formula>"NA"</formula>
    </cfRule>
    <cfRule type="cellIs" dxfId="1074" priority="368" operator="equal">
      <formula>"Yes"</formula>
    </cfRule>
  </conditionalFormatting>
  <conditionalFormatting sqref="C40">
    <cfRule type="cellIs" dxfId="1073" priority="320" operator="equal">
      <formula>"No"</formula>
    </cfRule>
    <cfRule type="cellIs" dxfId="1072" priority="321" operator="equal">
      <formula>"NA"</formula>
    </cfRule>
    <cfRule type="cellIs" dxfId="1071" priority="322" operator="equal">
      <formula>"Yes"</formula>
    </cfRule>
  </conditionalFormatting>
  <conditionalFormatting sqref="C41">
    <cfRule type="cellIs" dxfId="1070" priority="274" operator="equal">
      <formula>"No"</formula>
    </cfRule>
    <cfRule type="cellIs" dxfId="1069" priority="275" operator="equal">
      <formula>"NA"</formula>
    </cfRule>
    <cfRule type="cellIs" dxfId="1068" priority="276" operator="equal">
      <formula>"Yes"</formula>
    </cfRule>
  </conditionalFormatting>
  <conditionalFormatting sqref="C42">
    <cfRule type="cellIs" dxfId="1067" priority="228" operator="equal">
      <formula>"No"</formula>
    </cfRule>
    <cfRule type="cellIs" dxfId="1066" priority="229" operator="equal">
      <formula>"NA"</formula>
    </cfRule>
    <cfRule type="cellIs" dxfId="1065" priority="230" operator="equal">
      <formula>"Yes"</formula>
    </cfRule>
  </conditionalFormatting>
  <conditionalFormatting sqref="C43">
    <cfRule type="cellIs" dxfId="1064" priority="182" operator="equal">
      <formula>"No"</formula>
    </cfRule>
    <cfRule type="cellIs" dxfId="1063" priority="183" operator="equal">
      <formula>"NA"</formula>
    </cfRule>
    <cfRule type="cellIs" dxfId="1062" priority="184" operator="equal">
      <formula>"Yes"</formula>
    </cfRule>
  </conditionalFormatting>
  <conditionalFormatting sqref="C45">
    <cfRule type="cellIs" dxfId="1061" priority="136" operator="equal">
      <formula>"No"</formula>
    </cfRule>
    <cfRule type="cellIs" dxfId="1060" priority="137" operator="equal">
      <formula>"NA"</formula>
    </cfRule>
    <cfRule type="cellIs" dxfId="1059" priority="138" operator="equal">
      <formula>"Yes"</formula>
    </cfRule>
  </conditionalFormatting>
  <conditionalFormatting sqref="C46">
    <cfRule type="cellIs" dxfId="1058" priority="90" operator="equal">
      <formula>"No"</formula>
    </cfRule>
    <cfRule type="cellIs" dxfId="1057" priority="91" operator="equal">
      <formula>"NA"</formula>
    </cfRule>
    <cfRule type="cellIs" dxfId="1056" priority="92" operator="equal">
      <formula>"Yes"</formula>
    </cfRule>
  </conditionalFormatting>
  <conditionalFormatting sqref="C48">
    <cfRule type="cellIs" dxfId="1055" priority="44" operator="equal">
      <formula>"No"</formula>
    </cfRule>
    <cfRule type="cellIs" dxfId="1054" priority="45" operator="equal">
      <formula>"NA"</formula>
    </cfRule>
    <cfRule type="cellIs" dxfId="1053"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348</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38.25">
      <c r="A6" s="163" t="s">
        <v>723</v>
      </c>
      <c r="B6" s="172" t="s">
        <v>288</v>
      </c>
      <c r="C6" s="222"/>
      <c r="D6" s="223"/>
      <c r="E6" s="162"/>
      <c r="F6" s="162"/>
    </row>
    <row r="7" spans="1:7" ht="18.75">
      <c r="A7" s="160"/>
      <c r="B7" s="169" t="s">
        <v>351</v>
      </c>
      <c r="C7" s="161"/>
      <c r="D7" s="161"/>
      <c r="E7" s="228"/>
      <c r="F7" s="228"/>
    </row>
    <row r="8" spans="1:7" ht="51">
      <c r="A8" s="163" t="s">
        <v>724</v>
      </c>
      <c r="B8" s="172" t="s">
        <v>410</v>
      </c>
      <c r="C8" s="222"/>
      <c r="D8" s="223"/>
      <c r="E8" s="162"/>
      <c r="F8" s="162"/>
    </row>
    <row r="9" spans="1:7" ht="25.5">
      <c r="A9" s="163" t="s">
        <v>725</v>
      </c>
      <c r="B9" s="172" t="s">
        <v>352</v>
      </c>
      <c r="C9" s="222"/>
      <c r="D9" s="223"/>
      <c r="E9" s="162"/>
      <c r="F9" s="162"/>
    </row>
    <row r="10" spans="1:7" ht="38.25">
      <c r="A10" s="163" t="s">
        <v>726</v>
      </c>
      <c r="B10" s="172" t="s">
        <v>289</v>
      </c>
      <c r="C10" s="222"/>
      <c r="D10" s="223"/>
      <c r="E10" s="162"/>
      <c r="F10" s="162"/>
    </row>
    <row r="11" spans="1:7" ht="18.75">
      <c r="A11" s="160"/>
      <c r="B11" s="169" t="s">
        <v>349</v>
      </c>
      <c r="C11" s="161"/>
      <c r="D11" s="161"/>
      <c r="E11" s="228"/>
      <c r="F11" s="228"/>
    </row>
    <row r="12" spans="1:7" ht="38.25">
      <c r="A12" s="163" t="s">
        <v>727</v>
      </c>
      <c r="B12" s="172" t="s">
        <v>411</v>
      </c>
      <c r="C12" s="222"/>
      <c r="D12" s="223"/>
      <c r="E12" s="162"/>
      <c r="F12" s="162"/>
    </row>
    <row r="13" spans="1:7" ht="51">
      <c r="A13" s="163" t="s">
        <v>728</v>
      </c>
      <c r="B13" s="172" t="s">
        <v>350</v>
      </c>
      <c r="C13" s="222"/>
      <c r="D13" s="223"/>
      <c r="E13" s="162"/>
      <c r="F13" s="162"/>
    </row>
    <row r="14" spans="1:7" ht="18.75">
      <c r="A14" s="160"/>
      <c r="B14" s="169" t="s">
        <v>290</v>
      </c>
      <c r="C14" s="161"/>
      <c r="D14" s="161"/>
      <c r="E14" s="228"/>
      <c r="F14" s="228"/>
    </row>
    <row r="15" spans="1:7" ht="38.25">
      <c r="A15" s="163" t="s">
        <v>729</v>
      </c>
      <c r="B15" s="172" t="s">
        <v>353</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1052" priority="642" operator="equal">
      <formula>"No"</formula>
    </cfRule>
    <cfRule type="cellIs" dxfId="1051" priority="643" operator="equal">
      <formula>"NA"</formula>
    </cfRule>
    <cfRule type="cellIs" dxfId="1050" priority="644" operator="equal">
      <formula>"Yes"</formula>
    </cfRule>
  </conditionalFormatting>
  <conditionalFormatting sqref="C8">
    <cfRule type="cellIs" dxfId="1049" priority="596" operator="equal">
      <formula>"No"</formula>
    </cfRule>
    <cfRule type="cellIs" dxfId="1048" priority="597" operator="equal">
      <formula>"NA"</formula>
    </cfRule>
    <cfRule type="cellIs" dxfId="1047" priority="598" operator="equal">
      <formula>"Yes"</formula>
    </cfRule>
  </conditionalFormatting>
  <conditionalFormatting sqref="C9">
    <cfRule type="cellIs" dxfId="1046" priority="550" operator="equal">
      <formula>"No"</formula>
    </cfRule>
    <cfRule type="cellIs" dxfId="1045" priority="551" operator="equal">
      <formula>"NA"</formula>
    </cfRule>
    <cfRule type="cellIs" dxfId="1044" priority="552" operator="equal">
      <formula>"Yes"</formula>
    </cfRule>
  </conditionalFormatting>
  <conditionalFormatting sqref="C10">
    <cfRule type="cellIs" dxfId="1043" priority="504" operator="equal">
      <formula>"No"</formula>
    </cfRule>
    <cfRule type="cellIs" dxfId="1042" priority="505" operator="equal">
      <formula>"NA"</formula>
    </cfRule>
    <cfRule type="cellIs" dxfId="1041" priority="506" operator="equal">
      <formula>"Yes"</formula>
    </cfRule>
  </conditionalFormatting>
  <conditionalFormatting sqref="C12">
    <cfRule type="cellIs" dxfId="1040" priority="458" operator="equal">
      <formula>"No"</formula>
    </cfRule>
    <cfRule type="cellIs" dxfId="1039" priority="459" operator="equal">
      <formula>"NA"</formula>
    </cfRule>
    <cfRule type="cellIs" dxfId="1038" priority="460" operator="equal">
      <formula>"Yes"</formula>
    </cfRule>
  </conditionalFormatting>
  <conditionalFormatting sqref="C13">
    <cfRule type="cellIs" dxfId="1037" priority="412" operator="equal">
      <formula>"No"</formula>
    </cfRule>
    <cfRule type="cellIs" dxfId="1036" priority="413" operator="equal">
      <formula>"NA"</formula>
    </cfRule>
    <cfRule type="cellIs" dxfId="1035" priority="414" operator="equal">
      <formula>"Yes"</formula>
    </cfRule>
  </conditionalFormatting>
  <conditionalFormatting sqref="C15">
    <cfRule type="cellIs" dxfId="1034" priority="366" operator="equal">
      <formula>"No"</formula>
    </cfRule>
    <cfRule type="cellIs" dxfId="1033" priority="367" operator="equal">
      <formula>"NA"</formula>
    </cfRule>
    <cfRule type="cellIs" dxfId="1032" priority="368" operator="equal">
      <formula>"Yes"</formula>
    </cfRule>
  </conditionalFormatting>
  <conditionalFormatting sqref="C17">
    <cfRule type="cellIs" dxfId="1031" priority="320" operator="equal">
      <formula>"No"</formula>
    </cfRule>
    <cfRule type="cellIs" dxfId="1030" priority="321" operator="equal">
      <formula>"NA"</formula>
    </cfRule>
    <cfRule type="cellIs" dxfId="1029" priority="322" operator="equal">
      <formula>"Yes"</formula>
    </cfRule>
  </conditionalFormatting>
  <conditionalFormatting sqref="C18">
    <cfRule type="cellIs" dxfId="1028" priority="274" operator="equal">
      <formula>"No"</formula>
    </cfRule>
    <cfRule type="cellIs" dxfId="1027" priority="275" operator="equal">
      <formula>"NA"</formula>
    </cfRule>
    <cfRule type="cellIs" dxfId="1026" priority="276" operator="equal">
      <formula>"Yes"</formula>
    </cfRule>
  </conditionalFormatting>
  <conditionalFormatting sqref="C19">
    <cfRule type="cellIs" dxfId="1025" priority="228" operator="equal">
      <formula>"No"</formula>
    </cfRule>
    <cfRule type="cellIs" dxfId="1024" priority="229" operator="equal">
      <formula>"NA"</formula>
    </cfRule>
    <cfRule type="cellIs" dxfId="1023" priority="230" operator="equal">
      <formula>"Yes"</formula>
    </cfRule>
  </conditionalFormatting>
  <conditionalFormatting sqref="C20">
    <cfRule type="cellIs" dxfId="1022" priority="182" operator="equal">
      <formula>"No"</formula>
    </cfRule>
    <cfRule type="cellIs" dxfId="1021" priority="183" operator="equal">
      <formula>"NA"</formula>
    </cfRule>
    <cfRule type="cellIs" dxfId="1020" priority="184" operator="equal">
      <formula>"Yes"</formula>
    </cfRule>
  </conditionalFormatting>
  <conditionalFormatting sqref="C22">
    <cfRule type="cellIs" dxfId="1019" priority="136" operator="equal">
      <formula>"No"</formula>
    </cfRule>
    <cfRule type="cellIs" dxfId="1018" priority="137" operator="equal">
      <formula>"NA"</formula>
    </cfRule>
    <cfRule type="cellIs" dxfId="1017" priority="138" operator="equal">
      <formula>"Yes"</formula>
    </cfRule>
  </conditionalFormatting>
  <conditionalFormatting sqref="C23">
    <cfRule type="cellIs" dxfId="1016" priority="90" operator="equal">
      <formula>"No"</formula>
    </cfRule>
    <cfRule type="cellIs" dxfId="1015" priority="91" operator="equal">
      <formula>"NA"</formula>
    </cfRule>
    <cfRule type="cellIs" dxfId="1014" priority="92" operator="equal">
      <formula>"Yes"</formula>
    </cfRule>
  </conditionalFormatting>
  <conditionalFormatting sqref="C25">
    <cfRule type="cellIs" dxfId="1013" priority="44" operator="equal">
      <formula>"No"</formula>
    </cfRule>
    <cfRule type="cellIs" dxfId="1012" priority="45" operator="equal">
      <formula>"NA"</formula>
    </cfRule>
    <cfRule type="cellIs" dxfId="1011"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412</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287</v>
      </c>
      <c r="C5" s="161"/>
      <c r="D5" s="161"/>
      <c r="E5" s="228"/>
      <c r="F5" s="228"/>
    </row>
    <row r="6" spans="1:7" ht="25.5">
      <c r="A6" s="163" t="s">
        <v>730</v>
      </c>
      <c r="B6" s="172" t="s">
        <v>502</v>
      </c>
      <c r="C6" s="222"/>
      <c r="D6" s="223"/>
      <c r="E6" s="162"/>
      <c r="F6" s="162"/>
    </row>
    <row r="7" spans="1:7" ht="38.25">
      <c r="A7" s="163" t="s">
        <v>731</v>
      </c>
      <c r="B7" s="172" t="s">
        <v>295</v>
      </c>
      <c r="C7" s="222"/>
      <c r="D7" s="223"/>
      <c r="E7" s="162"/>
      <c r="F7" s="162"/>
    </row>
    <row r="8" spans="1:7" ht="38.25">
      <c r="A8" s="163" t="s">
        <v>732</v>
      </c>
      <c r="B8" s="172" t="s">
        <v>296</v>
      </c>
      <c r="C8" s="222"/>
      <c r="D8" s="223"/>
      <c r="E8" s="162"/>
      <c r="F8" s="162"/>
    </row>
    <row r="9" spans="1:7" ht="38.25">
      <c r="A9" s="163" t="s">
        <v>733</v>
      </c>
      <c r="B9" s="172" t="s">
        <v>297</v>
      </c>
      <c r="C9" s="222"/>
      <c r="D9" s="223"/>
      <c r="E9" s="162"/>
      <c r="F9" s="162"/>
    </row>
    <row r="10" spans="1:7" ht="76.5">
      <c r="A10" s="163" t="s">
        <v>734</v>
      </c>
      <c r="B10" s="172" t="s">
        <v>413</v>
      </c>
      <c r="C10" s="222"/>
      <c r="D10" s="223"/>
      <c r="E10" s="162"/>
      <c r="F10" s="162"/>
    </row>
    <row r="11" spans="1:7" ht="25.5">
      <c r="A11" s="163" t="s">
        <v>735</v>
      </c>
      <c r="B11" s="172" t="s">
        <v>414</v>
      </c>
      <c r="C11" s="222"/>
      <c r="D11" s="223"/>
      <c r="E11" s="162"/>
      <c r="F11" s="162"/>
    </row>
    <row r="12" spans="1:7" ht="38.25">
      <c r="A12" s="163" t="s">
        <v>736</v>
      </c>
      <c r="B12" s="172" t="s">
        <v>415</v>
      </c>
      <c r="C12" s="222"/>
      <c r="D12" s="223"/>
      <c r="E12" s="162"/>
      <c r="F12" s="162"/>
    </row>
    <row r="13" spans="1:7" ht="18.75">
      <c r="A13" s="160"/>
      <c r="B13" s="169" t="s">
        <v>298</v>
      </c>
      <c r="C13" s="161"/>
      <c r="D13" s="161"/>
      <c r="E13" s="228"/>
      <c r="F13" s="228"/>
    </row>
    <row r="14" spans="1:7" ht="25.5">
      <c r="A14" s="163" t="s">
        <v>737</v>
      </c>
      <c r="B14" s="172" t="s">
        <v>299</v>
      </c>
      <c r="C14" s="222"/>
      <c r="D14" s="223"/>
      <c r="E14" s="162"/>
      <c r="F14" s="162"/>
    </row>
    <row r="15" spans="1:7" ht="25.5">
      <c r="A15" s="163" t="s">
        <v>738</v>
      </c>
      <c r="B15" s="172" t="s">
        <v>300</v>
      </c>
      <c r="C15" s="222"/>
      <c r="D15" s="223"/>
      <c r="E15" s="162"/>
      <c r="F15" s="162"/>
    </row>
    <row r="16" spans="1:7" ht="25.5">
      <c r="A16" s="163" t="s">
        <v>739</v>
      </c>
      <c r="B16" s="172" t="s">
        <v>301</v>
      </c>
      <c r="C16" s="222"/>
      <c r="D16" s="223"/>
      <c r="E16" s="162"/>
      <c r="F16" s="162"/>
    </row>
    <row r="17" spans="1:6" ht="25.5">
      <c r="A17" s="163" t="s">
        <v>740</v>
      </c>
      <c r="B17" s="172" t="s">
        <v>309</v>
      </c>
      <c r="C17" s="222"/>
      <c r="D17" s="223"/>
      <c r="E17" s="162"/>
      <c r="F17" s="162"/>
    </row>
    <row r="18" spans="1:6" ht="25.5">
      <c r="A18" s="163" t="s">
        <v>741</v>
      </c>
      <c r="B18" s="172" t="s">
        <v>302</v>
      </c>
      <c r="C18" s="222"/>
      <c r="D18" s="223"/>
      <c r="E18" s="162"/>
      <c r="F18" s="162"/>
    </row>
    <row r="19" spans="1:6" ht="25.5">
      <c r="A19" s="163" t="s">
        <v>742</v>
      </c>
      <c r="B19" s="172" t="s">
        <v>303</v>
      </c>
      <c r="C19" s="222"/>
      <c r="D19" s="223"/>
      <c r="E19" s="162"/>
      <c r="F19" s="162"/>
    </row>
    <row r="20" spans="1:6" ht="18.75">
      <c r="A20" s="160"/>
      <c r="B20" s="169" t="s">
        <v>304</v>
      </c>
      <c r="C20" s="161"/>
      <c r="D20" s="161"/>
      <c r="E20" s="228"/>
      <c r="F20" s="228"/>
    </row>
    <row r="21" spans="1:6" ht="25.5">
      <c r="A21" s="163" t="s">
        <v>743</v>
      </c>
      <c r="B21" s="172" t="s">
        <v>305</v>
      </c>
      <c r="C21" s="222"/>
      <c r="D21" s="223"/>
      <c r="E21" s="162"/>
      <c r="F21" s="162"/>
    </row>
    <row r="22" spans="1:6" ht="76.5">
      <c r="A22" s="163" t="s">
        <v>744</v>
      </c>
      <c r="B22" s="172" t="s">
        <v>306</v>
      </c>
      <c r="C22" s="222"/>
      <c r="D22" s="223"/>
      <c r="E22" s="164" t="s">
        <v>311</v>
      </c>
      <c r="F22" s="162"/>
    </row>
    <row r="23" spans="1:6" ht="63.75">
      <c r="A23" s="163" t="s">
        <v>745</v>
      </c>
      <c r="B23" s="172" t="s">
        <v>416</v>
      </c>
      <c r="C23" s="222"/>
      <c r="D23" s="223"/>
      <c r="E23" s="162"/>
      <c r="F23" s="162"/>
    </row>
    <row r="24" spans="1:6" ht="25.5">
      <c r="A24" s="163" t="s">
        <v>746</v>
      </c>
      <c r="B24" s="172" t="s">
        <v>417</v>
      </c>
      <c r="C24" s="222"/>
      <c r="D24" s="223"/>
      <c r="E24" s="162"/>
      <c r="F24" s="162"/>
    </row>
    <row r="25" spans="1:6" ht="25.5">
      <c r="A25" s="163" t="s">
        <v>747</v>
      </c>
      <c r="B25" s="172" t="s">
        <v>307</v>
      </c>
      <c r="C25" s="222"/>
      <c r="D25" s="223"/>
      <c r="E25" s="162"/>
      <c r="F25" s="162"/>
    </row>
    <row r="26" spans="1:6" ht="25.5">
      <c r="A26" s="163" t="s">
        <v>748</v>
      </c>
      <c r="B26" s="172" t="s">
        <v>418</v>
      </c>
      <c r="C26" s="222"/>
      <c r="D26" s="223"/>
      <c r="E26" s="162"/>
      <c r="F26" s="162"/>
    </row>
    <row r="27" spans="1:6" ht="38.25">
      <c r="A27" s="163" t="s">
        <v>749</v>
      </c>
      <c r="B27" s="172" t="s">
        <v>308</v>
      </c>
      <c r="C27" s="222"/>
      <c r="D27" s="223"/>
      <c r="E27" s="162"/>
      <c r="F27" s="162"/>
    </row>
    <row r="28" spans="1:6" ht="38.25">
      <c r="A28" s="163" t="s">
        <v>750</v>
      </c>
      <c r="B28" s="172" t="s">
        <v>310</v>
      </c>
      <c r="C28" s="222"/>
      <c r="D28" s="223"/>
      <c r="E28" s="162"/>
      <c r="F28" s="162"/>
    </row>
    <row r="29" spans="1:6" ht="25.5">
      <c r="A29" s="163" t="s">
        <v>751</v>
      </c>
      <c r="B29" s="172" t="s">
        <v>419</v>
      </c>
      <c r="C29" s="222"/>
      <c r="D29" s="223"/>
      <c r="E29" s="162"/>
      <c r="F29" s="162"/>
    </row>
    <row r="30" spans="1:6" ht="18.75">
      <c r="A30" s="160"/>
      <c r="B30" s="169" t="s">
        <v>312</v>
      </c>
      <c r="C30" s="161"/>
      <c r="D30" s="161"/>
      <c r="E30" s="228"/>
      <c r="F30" s="228"/>
    </row>
    <row r="31" spans="1:6" ht="38.25">
      <c r="A31" s="163" t="s">
        <v>752</v>
      </c>
      <c r="B31" s="172" t="s">
        <v>420</v>
      </c>
      <c r="C31" s="222"/>
      <c r="D31" s="223"/>
      <c r="E31" s="162"/>
      <c r="F31" s="162"/>
    </row>
    <row r="32" spans="1:6" ht="38.25">
      <c r="A32" s="163" t="s">
        <v>753</v>
      </c>
      <c r="B32" s="172" t="s">
        <v>421</v>
      </c>
      <c r="C32" s="222"/>
      <c r="D32" s="223"/>
      <c r="E32" s="162"/>
      <c r="F32" s="162"/>
    </row>
    <row r="33" spans="1:6" ht="25.5">
      <c r="A33" s="163" t="s">
        <v>754</v>
      </c>
      <c r="B33" s="172" t="s">
        <v>422</v>
      </c>
      <c r="C33" s="222"/>
      <c r="D33" s="223"/>
      <c r="E33" s="162"/>
      <c r="F33" s="162"/>
    </row>
    <row r="34" spans="1:6" ht="18.75">
      <c r="A34" s="160"/>
      <c r="B34" s="169" t="s">
        <v>266</v>
      </c>
      <c r="C34" s="161"/>
      <c r="D34" s="161"/>
      <c r="E34" s="228"/>
      <c r="F34" s="228"/>
    </row>
    <row r="35" spans="1:6" ht="38.25">
      <c r="A35" s="163" t="s">
        <v>594</v>
      </c>
      <c r="B35" s="172" t="s">
        <v>215</v>
      </c>
      <c r="C35" s="222"/>
      <c r="D35" s="223"/>
      <c r="E35" s="162"/>
      <c r="F35" s="162"/>
    </row>
    <row r="36" spans="1:6" ht="25.5">
      <c r="A36" s="163" t="s">
        <v>595</v>
      </c>
      <c r="B36" s="172" t="s">
        <v>216</v>
      </c>
      <c r="C36" s="222"/>
      <c r="D36" s="223"/>
      <c r="E36" s="162"/>
      <c r="F36" s="162"/>
    </row>
    <row r="37" spans="1:6" ht="38.25">
      <c r="A37" s="163" t="s">
        <v>596</v>
      </c>
      <c r="B37" s="172" t="s">
        <v>217</v>
      </c>
      <c r="C37" s="222"/>
      <c r="D37" s="223"/>
      <c r="E37" s="162"/>
      <c r="F37" s="162"/>
    </row>
    <row r="38" spans="1:6" ht="38.25">
      <c r="A38" s="163" t="s">
        <v>597</v>
      </c>
      <c r="B38" s="172" t="s">
        <v>218</v>
      </c>
      <c r="C38" s="222"/>
      <c r="D38" s="223"/>
      <c r="E38" s="162"/>
      <c r="F38" s="162"/>
    </row>
    <row r="39" spans="1:6" ht="18.75">
      <c r="A39" s="160"/>
      <c r="B39" s="169" t="s">
        <v>267</v>
      </c>
      <c r="C39" s="161"/>
      <c r="D39" s="161"/>
      <c r="E39" s="228"/>
      <c r="F39" s="228"/>
    </row>
    <row r="40" spans="1:6" ht="38.25">
      <c r="A40" s="163" t="s">
        <v>598</v>
      </c>
      <c r="B40" s="172" t="s">
        <v>219</v>
      </c>
      <c r="C40" s="222"/>
      <c r="D40" s="223"/>
      <c r="E40" s="162"/>
      <c r="F40" s="162"/>
    </row>
    <row r="41" spans="1:6" ht="38.25">
      <c r="A41" s="163" t="s">
        <v>599</v>
      </c>
      <c r="B41" s="172" t="s">
        <v>220</v>
      </c>
      <c r="C41" s="222"/>
      <c r="D41" s="223"/>
      <c r="E41" s="162"/>
      <c r="F41" s="162"/>
    </row>
    <row r="42" spans="1:6" ht="18.75">
      <c r="A42" s="160"/>
      <c r="B42" s="169" t="s">
        <v>213</v>
      </c>
      <c r="C42" s="161"/>
      <c r="D42" s="161"/>
      <c r="E42" s="228"/>
      <c r="F42" s="228"/>
    </row>
    <row r="43" spans="1:6" ht="51">
      <c r="A43" s="163" t="s">
        <v>600</v>
      </c>
      <c r="B43" s="172" t="s">
        <v>214</v>
      </c>
      <c r="C43" s="222"/>
      <c r="D43" s="223"/>
      <c r="E43" s="162"/>
      <c r="F43" s="162"/>
    </row>
    <row r="44" spans="1:6" ht="18">
      <c r="A44" s="224"/>
      <c r="B44" s="225" t="s">
        <v>286</v>
      </c>
      <c r="C44" s="224"/>
      <c r="D44" s="224"/>
      <c r="E44" s="224"/>
      <c r="F44" s="224"/>
    </row>
    <row r="45" spans="1:6">
      <c r="A45" s="163"/>
      <c r="B45" s="172"/>
    </row>
    <row r="46" spans="1:6" ht="15">
      <c r="A46" s="226"/>
      <c r="B46" s="227" t="s">
        <v>619</v>
      </c>
      <c r="C46" s="226"/>
      <c r="D46" s="226"/>
      <c r="E46" s="226"/>
      <c r="F46" s="226"/>
    </row>
  </sheetData>
  <mergeCells count="1">
    <mergeCell ref="E2:F2"/>
  </mergeCells>
  <conditionalFormatting sqref="C6">
    <cfRule type="cellIs" dxfId="1010" priority="1470" operator="equal">
      <formula>"No"</formula>
    </cfRule>
    <cfRule type="cellIs" dxfId="1009" priority="1471" operator="equal">
      <formula>"NA"</formula>
    </cfRule>
    <cfRule type="cellIs" dxfId="1008" priority="1472" operator="equal">
      <formula>"Yes"</formula>
    </cfRule>
  </conditionalFormatting>
  <conditionalFormatting sqref="C7">
    <cfRule type="cellIs" dxfId="1007" priority="1424" operator="equal">
      <formula>"No"</formula>
    </cfRule>
    <cfRule type="cellIs" dxfId="1006" priority="1425" operator="equal">
      <formula>"NA"</formula>
    </cfRule>
    <cfRule type="cellIs" dxfId="1005" priority="1426" operator="equal">
      <formula>"Yes"</formula>
    </cfRule>
  </conditionalFormatting>
  <conditionalFormatting sqref="C8">
    <cfRule type="cellIs" dxfId="1004" priority="1378" operator="equal">
      <formula>"No"</formula>
    </cfRule>
    <cfRule type="cellIs" dxfId="1003" priority="1379" operator="equal">
      <formula>"NA"</formula>
    </cfRule>
    <cfRule type="cellIs" dxfId="1002" priority="1380" operator="equal">
      <formula>"Yes"</formula>
    </cfRule>
  </conditionalFormatting>
  <conditionalFormatting sqref="C9">
    <cfRule type="cellIs" dxfId="1001" priority="1332" operator="equal">
      <formula>"No"</formula>
    </cfRule>
    <cfRule type="cellIs" dxfId="1000" priority="1333" operator="equal">
      <formula>"NA"</formula>
    </cfRule>
    <cfRule type="cellIs" dxfId="999" priority="1334" operator="equal">
      <formula>"Yes"</formula>
    </cfRule>
  </conditionalFormatting>
  <conditionalFormatting sqref="C10">
    <cfRule type="cellIs" dxfId="998" priority="1286" operator="equal">
      <formula>"No"</formula>
    </cfRule>
    <cfRule type="cellIs" dxfId="997" priority="1287" operator="equal">
      <formula>"NA"</formula>
    </cfRule>
    <cfRule type="cellIs" dxfId="996" priority="1288" operator="equal">
      <formula>"Yes"</formula>
    </cfRule>
  </conditionalFormatting>
  <conditionalFormatting sqref="C11">
    <cfRule type="cellIs" dxfId="995" priority="1240" operator="equal">
      <formula>"No"</formula>
    </cfRule>
    <cfRule type="cellIs" dxfId="994" priority="1241" operator="equal">
      <formula>"NA"</formula>
    </cfRule>
    <cfRule type="cellIs" dxfId="993" priority="1242" operator="equal">
      <formula>"Yes"</formula>
    </cfRule>
  </conditionalFormatting>
  <conditionalFormatting sqref="C12">
    <cfRule type="cellIs" dxfId="992" priority="1194" operator="equal">
      <formula>"No"</formula>
    </cfRule>
    <cfRule type="cellIs" dxfId="991" priority="1195" operator="equal">
      <formula>"NA"</formula>
    </cfRule>
    <cfRule type="cellIs" dxfId="990" priority="1196" operator="equal">
      <formula>"Yes"</formula>
    </cfRule>
  </conditionalFormatting>
  <conditionalFormatting sqref="C14">
    <cfRule type="cellIs" dxfId="989" priority="1148" operator="equal">
      <formula>"No"</formula>
    </cfRule>
    <cfRule type="cellIs" dxfId="988" priority="1149" operator="equal">
      <formula>"NA"</formula>
    </cfRule>
    <cfRule type="cellIs" dxfId="987" priority="1150" operator="equal">
      <formula>"Yes"</formula>
    </cfRule>
  </conditionalFormatting>
  <conditionalFormatting sqref="C15">
    <cfRule type="cellIs" dxfId="986" priority="1102" operator="equal">
      <formula>"No"</formula>
    </cfRule>
    <cfRule type="cellIs" dxfId="985" priority="1103" operator="equal">
      <formula>"NA"</formula>
    </cfRule>
    <cfRule type="cellIs" dxfId="984" priority="1104" operator="equal">
      <formula>"Yes"</formula>
    </cfRule>
  </conditionalFormatting>
  <conditionalFormatting sqref="C16">
    <cfRule type="cellIs" dxfId="983" priority="1056" operator="equal">
      <formula>"No"</formula>
    </cfRule>
    <cfRule type="cellIs" dxfId="982" priority="1057" operator="equal">
      <formula>"NA"</formula>
    </cfRule>
    <cfRule type="cellIs" dxfId="981" priority="1058" operator="equal">
      <formula>"Yes"</formula>
    </cfRule>
  </conditionalFormatting>
  <conditionalFormatting sqref="C17">
    <cfRule type="cellIs" dxfId="980" priority="1010" operator="equal">
      <formula>"No"</formula>
    </cfRule>
    <cfRule type="cellIs" dxfId="979" priority="1011" operator="equal">
      <formula>"NA"</formula>
    </cfRule>
    <cfRule type="cellIs" dxfId="978" priority="1012" operator="equal">
      <formula>"Yes"</formula>
    </cfRule>
  </conditionalFormatting>
  <conditionalFormatting sqref="C18">
    <cfRule type="cellIs" dxfId="977" priority="964" operator="equal">
      <formula>"No"</formula>
    </cfRule>
    <cfRule type="cellIs" dxfId="976" priority="965" operator="equal">
      <formula>"NA"</formula>
    </cfRule>
    <cfRule type="cellIs" dxfId="975" priority="966" operator="equal">
      <formula>"Yes"</formula>
    </cfRule>
  </conditionalFormatting>
  <conditionalFormatting sqref="C19">
    <cfRule type="cellIs" dxfId="974" priority="918" operator="equal">
      <formula>"No"</formula>
    </cfRule>
    <cfRule type="cellIs" dxfId="973" priority="919" operator="equal">
      <formula>"NA"</formula>
    </cfRule>
    <cfRule type="cellIs" dxfId="972" priority="920" operator="equal">
      <formula>"Yes"</formula>
    </cfRule>
  </conditionalFormatting>
  <conditionalFormatting sqref="C21">
    <cfRule type="cellIs" dxfId="971" priority="872" operator="equal">
      <formula>"No"</formula>
    </cfRule>
    <cfRule type="cellIs" dxfId="970" priority="873" operator="equal">
      <formula>"NA"</formula>
    </cfRule>
    <cfRule type="cellIs" dxfId="969" priority="874" operator="equal">
      <formula>"Yes"</formula>
    </cfRule>
  </conditionalFormatting>
  <conditionalFormatting sqref="C22">
    <cfRule type="cellIs" dxfId="968" priority="826" operator="equal">
      <formula>"No"</formula>
    </cfRule>
    <cfRule type="cellIs" dxfId="967" priority="827" operator="equal">
      <formula>"NA"</formula>
    </cfRule>
    <cfRule type="cellIs" dxfId="966" priority="828" operator="equal">
      <formula>"Yes"</formula>
    </cfRule>
  </conditionalFormatting>
  <conditionalFormatting sqref="C23">
    <cfRule type="cellIs" dxfId="965" priority="780" operator="equal">
      <formula>"No"</formula>
    </cfRule>
    <cfRule type="cellIs" dxfId="964" priority="781" operator="equal">
      <formula>"NA"</formula>
    </cfRule>
    <cfRule type="cellIs" dxfId="963" priority="782" operator="equal">
      <formula>"Yes"</formula>
    </cfRule>
  </conditionalFormatting>
  <conditionalFormatting sqref="C24">
    <cfRule type="cellIs" dxfId="962" priority="734" operator="equal">
      <formula>"No"</formula>
    </cfRule>
    <cfRule type="cellIs" dxfId="961" priority="735" operator="equal">
      <formula>"NA"</formula>
    </cfRule>
    <cfRule type="cellIs" dxfId="960" priority="736" operator="equal">
      <formula>"Yes"</formula>
    </cfRule>
  </conditionalFormatting>
  <conditionalFormatting sqref="C25">
    <cfRule type="cellIs" dxfId="959" priority="688" operator="equal">
      <formula>"No"</formula>
    </cfRule>
    <cfRule type="cellIs" dxfId="958" priority="689" operator="equal">
      <formula>"NA"</formula>
    </cfRule>
    <cfRule type="cellIs" dxfId="957" priority="690" operator="equal">
      <formula>"Yes"</formula>
    </cfRule>
  </conditionalFormatting>
  <conditionalFormatting sqref="C26">
    <cfRule type="cellIs" dxfId="956" priority="642" operator="equal">
      <formula>"No"</formula>
    </cfRule>
    <cfRule type="cellIs" dxfId="955" priority="643" operator="equal">
      <formula>"NA"</formula>
    </cfRule>
    <cfRule type="cellIs" dxfId="954" priority="644" operator="equal">
      <formula>"Yes"</formula>
    </cfRule>
  </conditionalFormatting>
  <conditionalFormatting sqref="C27">
    <cfRule type="cellIs" dxfId="953" priority="596" operator="equal">
      <formula>"No"</formula>
    </cfRule>
    <cfRule type="cellIs" dxfId="952" priority="597" operator="equal">
      <formula>"NA"</formula>
    </cfRule>
    <cfRule type="cellIs" dxfId="951" priority="598" operator="equal">
      <formula>"Yes"</formula>
    </cfRule>
  </conditionalFormatting>
  <conditionalFormatting sqref="C28">
    <cfRule type="cellIs" dxfId="950" priority="550" operator="equal">
      <formula>"No"</formula>
    </cfRule>
    <cfRule type="cellIs" dxfId="949" priority="551" operator="equal">
      <formula>"NA"</formula>
    </cfRule>
    <cfRule type="cellIs" dxfId="948" priority="552" operator="equal">
      <formula>"Yes"</formula>
    </cfRule>
  </conditionalFormatting>
  <conditionalFormatting sqref="C29">
    <cfRule type="cellIs" dxfId="947" priority="504" operator="equal">
      <formula>"No"</formula>
    </cfRule>
    <cfRule type="cellIs" dxfId="946" priority="505" operator="equal">
      <formula>"NA"</formula>
    </cfRule>
    <cfRule type="cellIs" dxfId="945" priority="506" operator="equal">
      <formula>"Yes"</formula>
    </cfRule>
  </conditionalFormatting>
  <conditionalFormatting sqref="C31">
    <cfRule type="cellIs" dxfId="944" priority="458" operator="equal">
      <formula>"No"</formula>
    </cfRule>
    <cfRule type="cellIs" dxfId="943" priority="459" operator="equal">
      <formula>"NA"</formula>
    </cfRule>
    <cfRule type="cellIs" dxfId="942" priority="460" operator="equal">
      <formula>"Yes"</formula>
    </cfRule>
  </conditionalFormatting>
  <conditionalFormatting sqref="C32">
    <cfRule type="cellIs" dxfId="941" priority="412" operator="equal">
      <formula>"No"</formula>
    </cfRule>
    <cfRule type="cellIs" dxfId="940" priority="413" operator="equal">
      <formula>"NA"</formula>
    </cfRule>
    <cfRule type="cellIs" dxfId="939" priority="414" operator="equal">
      <formula>"Yes"</formula>
    </cfRule>
  </conditionalFormatting>
  <conditionalFormatting sqref="C33">
    <cfRule type="cellIs" dxfId="938" priority="366" operator="equal">
      <formula>"No"</formula>
    </cfRule>
    <cfRule type="cellIs" dxfId="937" priority="367" operator="equal">
      <formula>"NA"</formula>
    </cfRule>
    <cfRule type="cellIs" dxfId="936" priority="368" operator="equal">
      <formula>"Yes"</formula>
    </cfRule>
  </conditionalFormatting>
  <conditionalFormatting sqref="C35">
    <cfRule type="cellIs" dxfId="935" priority="320" operator="equal">
      <formula>"No"</formula>
    </cfRule>
    <cfRule type="cellIs" dxfId="934" priority="321" operator="equal">
      <formula>"NA"</formula>
    </cfRule>
    <cfRule type="cellIs" dxfId="933" priority="322" operator="equal">
      <formula>"Yes"</formula>
    </cfRule>
  </conditionalFormatting>
  <conditionalFormatting sqref="C36">
    <cfRule type="cellIs" dxfId="932" priority="274" operator="equal">
      <formula>"No"</formula>
    </cfRule>
    <cfRule type="cellIs" dxfId="931" priority="275" operator="equal">
      <formula>"NA"</formula>
    </cfRule>
    <cfRule type="cellIs" dxfId="930" priority="276" operator="equal">
      <formula>"Yes"</formula>
    </cfRule>
  </conditionalFormatting>
  <conditionalFormatting sqref="C37">
    <cfRule type="cellIs" dxfId="929" priority="228" operator="equal">
      <formula>"No"</formula>
    </cfRule>
    <cfRule type="cellIs" dxfId="928" priority="229" operator="equal">
      <formula>"NA"</formula>
    </cfRule>
    <cfRule type="cellIs" dxfId="927" priority="230" operator="equal">
      <formula>"Yes"</formula>
    </cfRule>
  </conditionalFormatting>
  <conditionalFormatting sqref="C38">
    <cfRule type="cellIs" dxfId="926" priority="182" operator="equal">
      <formula>"No"</formula>
    </cfRule>
    <cfRule type="cellIs" dxfId="925" priority="183" operator="equal">
      <formula>"NA"</formula>
    </cfRule>
    <cfRule type="cellIs" dxfId="924" priority="184" operator="equal">
      <formula>"Yes"</formula>
    </cfRule>
  </conditionalFormatting>
  <conditionalFormatting sqref="C40">
    <cfRule type="cellIs" dxfId="923" priority="136" operator="equal">
      <formula>"No"</formula>
    </cfRule>
    <cfRule type="cellIs" dxfId="922" priority="137" operator="equal">
      <formula>"NA"</formula>
    </cfRule>
    <cfRule type="cellIs" dxfId="921" priority="138" operator="equal">
      <formula>"Yes"</formula>
    </cfRule>
  </conditionalFormatting>
  <conditionalFormatting sqref="C41">
    <cfRule type="cellIs" dxfId="920" priority="90" operator="equal">
      <formula>"No"</formula>
    </cfRule>
    <cfRule type="cellIs" dxfId="919" priority="91" operator="equal">
      <formula>"NA"</formula>
    </cfRule>
    <cfRule type="cellIs" dxfId="918" priority="92" operator="equal">
      <formula>"Yes"</formula>
    </cfRule>
  </conditionalFormatting>
  <conditionalFormatting sqref="C43">
    <cfRule type="cellIs" dxfId="917" priority="44" operator="equal">
      <formula>"No"</formula>
    </cfRule>
    <cfRule type="cellIs" dxfId="916" priority="45" operator="equal">
      <formula>"NA"</formula>
    </cfRule>
    <cfRule type="cellIs" dxfId="915"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365</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317</v>
      </c>
      <c r="C5" s="161"/>
      <c r="D5" s="161"/>
      <c r="E5" s="228"/>
      <c r="F5" s="228"/>
    </row>
    <row r="6" spans="1:7" ht="38.25">
      <c r="A6" s="163" t="s">
        <v>755</v>
      </c>
      <c r="B6" s="172" t="s">
        <v>354</v>
      </c>
      <c r="C6" s="222"/>
      <c r="D6" s="223"/>
      <c r="E6" s="162"/>
      <c r="F6" s="162"/>
    </row>
    <row r="7" spans="1:7" ht="18.75">
      <c r="A7" s="160"/>
      <c r="B7" s="169" t="s">
        <v>266</v>
      </c>
      <c r="C7" s="161"/>
      <c r="D7" s="161"/>
      <c r="E7" s="228"/>
      <c r="F7" s="228"/>
    </row>
    <row r="8" spans="1:7" ht="38.25">
      <c r="A8" s="163" t="s">
        <v>594</v>
      </c>
      <c r="B8" s="172" t="s">
        <v>215</v>
      </c>
      <c r="C8" s="222"/>
      <c r="D8" s="223"/>
      <c r="E8" s="162"/>
      <c r="F8" s="162"/>
    </row>
    <row r="9" spans="1:7" ht="25.5">
      <c r="A9" s="163" t="s">
        <v>595</v>
      </c>
      <c r="B9" s="172" t="s">
        <v>216</v>
      </c>
      <c r="C9" s="222"/>
      <c r="D9" s="223"/>
      <c r="E9" s="162"/>
      <c r="F9" s="162"/>
    </row>
    <row r="10" spans="1:7" ht="38.25">
      <c r="A10" s="163" t="s">
        <v>596</v>
      </c>
      <c r="B10" s="172" t="s">
        <v>217</v>
      </c>
      <c r="C10" s="222"/>
      <c r="D10" s="223"/>
      <c r="E10" s="162"/>
      <c r="F10" s="162"/>
    </row>
    <row r="11" spans="1:7" ht="38.25">
      <c r="A11" s="163" t="s">
        <v>597</v>
      </c>
      <c r="B11" s="172" t="s">
        <v>218</v>
      </c>
      <c r="C11" s="222"/>
      <c r="D11" s="223"/>
      <c r="E11" s="162"/>
      <c r="F11" s="162"/>
    </row>
    <row r="12" spans="1:7" ht="18.75">
      <c r="A12" s="160"/>
      <c r="B12" s="169" t="s">
        <v>267</v>
      </c>
      <c r="C12" s="161"/>
      <c r="D12" s="161"/>
      <c r="E12" s="228"/>
      <c r="F12" s="228"/>
    </row>
    <row r="13" spans="1:7" ht="38.25">
      <c r="A13" s="163" t="s">
        <v>598</v>
      </c>
      <c r="B13" s="172" t="s">
        <v>219</v>
      </c>
      <c r="C13" s="222"/>
      <c r="D13" s="223"/>
      <c r="E13" s="162"/>
      <c r="F13" s="162"/>
    </row>
    <row r="14" spans="1:7" ht="38.25">
      <c r="A14" s="163" t="s">
        <v>599</v>
      </c>
      <c r="B14" s="172" t="s">
        <v>220</v>
      </c>
      <c r="C14" s="222"/>
      <c r="D14" s="223"/>
      <c r="E14" s="162"/>
      <c r="F14" s="162"/>
    </row>
    <row r="15" spans="1:7" ht="18.75">
      <c r="A15" s="160"/>
      <c r="B15" s="169" t="s">
        <v>213</v>
      </c>
      <c r="C15" s="161"/>
      <c r="D15" s="161"/>
      <c r="E15" s="228"/>
      <c r="F15" s="228"/>
    </row>
    <row r="16" spans="1:7" ht="51">
      <c r="A16" s="163" t="s">
        <v>600</v>
      </c>
      <c r="B16" s="172" t="s">
        <v>214</v>
      </c>
      <c r="C16" s="222"/>
      <c r="D16" s="223"/>
      <c r="E16" s="162"/>
      <c r="F16" s="162"/>
    </row>
    <row r="17" spans="1:6" ht="18">
      <c r="A17" s="224"/>
      <c r="B17" s="225" t="s">
        <v>286</v>
      </c>
      <c r="C17" s="224"/>
      <c r="D17" s="224"/>
      <c r="E17" s="224"/>
      <c r="F17" s="224"/>
    </row>
    <row r="18" spans="1:6">
      <c r="A18" s="163"/>
      <c r="B18" s="172"/>
    </row>
    <row r="19" spans="1:6" ht="15">
      <c r="A19" s="226"/>
      <c r="B19" s="227" t="s">
        <v>619</v>
      </c>
      <c r="C19" s="226"/>
      <c r="D19" s="226"/>
      <c r="E19" s="226"/>
      <c r="F19" s="226"/>
    </row>
  </sheetData>
  <mergeCells count="1">
    <mergeCell ref="E2:F2"/>
  </mergeCells>
  <conditionalFormatting sqref="C6">
    <cfRule type="cellIs" dxfId="914" priority="366" operator="equal">
      <formula>"No"</formula>
    </cfRule>
    <cfRule type="cellIs" dxfId="913" priority="367" operator="equal">
      <formula>"NA"</formula>
    </cfRule>
    <cfRule type="cellIs" dxfId="912" priority="368" operator="equal">
      <formula>"Yes"</formula>
    </cfRule>
  </conditionalFormatting>
  <conditionalFormatting sqref="C8">
    <cfRule type="cellIs" dxfId="911" priority="320" operator="equal">
      <formula>"No"</formula>
    </cfRule>
    <cfRule type="cellIs" dxfId="910" priority="321" operator="equal">
      <formula>"NA"</formula>
    </cfRule>
    <cfRule type="cellIs" dxfId="909" priority="322" operator="equal">
      <formula>"Yes"</formula>
    </cfRule>
  </conditionalFormatting>
  <conditionalFormatting sqref="C9">
    <cfRule type="cellIs" dxfId="908" priority="274" operator="equal">
      <formula>"No"</formula>
    </cfRule>
    <cfRule type="cellIs" dxfId="907" priority="275" operator="equal">
      <formula>"NA"</formula>
    </cfRule>
    <cfRule type="cellIs" dxfId="906" priority="276" operator="equal">
      <formula>"Yes"</formula>
    </cfRule>
  </conditionalFormatting>
  <conditionalFormatting sqref="C10">
    <cfRule type="cellIs" dxfId="905" priority="228" operator="equal">
      <formula>"No"</formula>
    </cfRule>
    <cfRule type="cellIs" dxfId="904" priority="229" operator="equal">
      <formula>"NA"</formula>
    </cfRule>
    <cfRule type="cellIs" dxfId="903" priority="230" operator="equal">
      <formula>"Yes"</formula>
    </cfRule>
  </conditionalFormatting>
  <conditionalFormatting sqref="C11">
    <cfRule type="cellIs" dxfId="902" priority="182" operator="equal">
      <formula>"No"</formula>
    </cfRule>
    <cfRule type="cellIs" dxfId="901" priority="183" operator="equal">
      <formula>"NA"</formula>
    </cfRule>
    <cfRule type="cellIs" dxfId="900" priority="184" operator="equal">
      <formula>"Yes"</formula>
    </cfRule>
  </conditionalFormatting>
  <conditionalFormatting sqref="C13">
    <cfRule type="cellIs" dxfId="899" priority="136" operator="equal">
      <formula>"No"</formula>
    </cfRule>
    <cfRule type="cellIs" dxfId="898" priority="137" operator="equal">
      <formula>"NA"</formula>
    </cfRule>
    <cfRule type="cellIs" dxfId="897" priority="138" operator="equal">
      <formula>"Yes"</formula>
    </cfRule>
  </conditionalFormatting>
  <conditionalFormatting sqref="C14">
    <cfRule type="cellIs" dxfId="896" priority="90" operator="equal">
      <formula>"No"</formula>
    </cfRule>
    <cfRule type="cellIs" dxfId="895" priority="91" operator="equal">
      <formula>"NA"</formula>
    </cfRule>
    <cfRule type="cellIs" dxfId="894" priority="92" operator="equal">
      <formula>"Yes"</formula>
    </cfRule>
  </conditionalFormatting>
  <conditionalFormatting sqref="C16">
    <cfRule type="cellIs" dxfId="893" priority="44" operator="equal">
      <formula>"No"</formula>
    </cfRule>
    <cfRule type="cellIs" dxfId="892" priority="45" operator="equal">
      <formula>"NA"</formula>
    </cfRule>
    <cfRule type="cellIs" dxfId="891"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355</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317</v>
      </c>
      <c r="C5" s="161"/>
      <c r="D5" s="161"/>
      <c r="E5" s="228"/>
      <c r="F5" s="228"/>
    </row>
    <row r="6" spans="1:7" ht="38.25">
      <c r="A6" s="163" t="s">
        <v>755</v>
      </c>
      <c r="B6" s="172" t="s">
        <v>354</v>
      </c>
      <c r="C6" s="222"/>
      <c r="D6" s="223"/>
      <c r="E6" s="162"/>
      <c r="F6" s="162"/>
    </row>
    <row r="7" spans="1:7" ht="18.75">
      <c r="A7" s="160"/>
      <c r="B7" s="169" t="s">
        <v>539</v>
      </c>
      <c r="C7" s="161"/>
      <c r="D7" s="161"/>
      <c r="E7" s="228"/>
      <c r="F7" s="228"/>
    </row>
    <row r="8" spans="1:7" ht="25.5">
      <c r="A8" s="163" t="s">
        <v>756</v>
      </c>
      <c r="B8" s="172" t="s">
        <v>540</v>
      </c>
      <c r="C8" s="222"/>
      <c r="D8" s="223"/>
      <c r="E8" s="162"/>
      <c r="F8" s="162"/>
    </row>
    <row r="9" spans="1:7" ht="38.25">
      <c r="A9" s="163" t="s">
        <v>757</v>
      </c>
      <c r="B9" s="172" t="s">
        <v>541</v>
      </c>
      <c r="C9" s="222"/>
      <c r="D9" s="223"/>
      <c r="E9" s="162"/>
      <c r="F9" s="162"/>
    </row>
    <row r="10" spans="1:7" ht="38.25">
      <c r="A10" s="163" t="s">
        <v>758</v>
      </c>
      <c r="B10" s="172" t="s">
        <v>542</v>
      </c>
      <c r="C10" s="222"/>
      <c r="D10" s="223"/>
      <c r="E10" s="162"/>
      <c r="F10" s="162"/>
    </row>
    <row r="11" spans="1:7" ht="38.25">
      <c r="A11" s="163" t="s">
        <v>759</v>
      </c>
      <c r="B11" s="172" t="s">
        <v>543</v>
      </c>
      <c r="C11" s="222"/>
      <c r="D11" s="223"/>
      <c r="E11" s="162"/>
      <c r="F11" s="162"/>
    </row>
    <row r="12" spans="1:7" ht="38.25">
      <c r="A12" s="163" t="s">
        <v>760</v>
      </c>
      <c r="B12" s="172" t="s">
        <v>544</v>
      </c>
      <c r="C12" s="222"/>
      <c r="D12" s="223"/>
      <c r="E12" s="162"/>
      <c r="F12" s="162"/>
    </row>
    <row r="13" spans="1:7" ht="18.75">
      <c r="A13" s="160"/>
      <c r="B13" s="169" t="s">
        <v>545</v>
      </c>
      <c r="C13" s="161"/>
      <c r="D13" s="161"/>
      <c r="E13" s="228"/>
      <c r="F13" s="228"/>
    </row>
    <row r="14" spans="1:7" ht="25.5">
      <c r="A14" s="163" t="s">
        <v>761</v>
      </c>
      <c r="B14" s="172" t="s">
        <v>546</v>
      </c>
      <c r="C14" s="222"/>
      <c r="D14" s="223"/>
      <c r="E14" s="162"/>
      <c r="F14" s="162"/>
    </row>
    <row r="15" spans="1:7" ht="25.5">
      <c r="A15" s="163" t="s">
        <v>762</v>
      </c>
      <c r="B15" s="172" t="s">
        <v>547</v>
      </c>
      <c r="C15" s="222"/>
      <c r="D15" s="223"/>
      <c r="E15" s="162"/>
      <c r="F15" s="162"/>
    </row>
    <row r="16" spans="1:7" ht="38.25">
      <c r="A16" s="163" t="s">
        <v>763</v>
      </c>
      <c r="B16" s="172" t="s">
        <v>548</v>
      </c>
      <c r="C16" s="222"/>
      <c r="D16" s="223"/>
      <c r="E16" s="162"/>
      <c r="F16" s="162"/>
    </row>
    <row r="17" spans="1:6" ht="51">
      <c r="A17" s="163" t="s">
        <v>764</v>
      </c>
      <c r="B17" s="172" t="s">
        <v>549</v>
      </c>
      <c r="C17" s="222"/>
      <c r="D17" s="223"/>
      <c r="E17" s="162"/>
      <c r="F17" s="162"/>
    </row>
    <row r="18" spans="1:6" ht="18.75">
      <c r="A18" s="160"/>
      <c r="B18" s="169" t="s">
        <v>550</v>
      </c>
      <c r="C18" s="161"/>
      <c r="D18" s="161"/>
      <c r="E18" s="228"/>
      <c r="F18" s="228"/>
    </row>
    <row r="19" spans="1:6" ht="38.25">
      <c r="A19" s="163" t="s">
        <v>765</v>
      </c>
      <c r="B19" s="172" t="s">
        <v>551</v>
      </c>
      <c r="C19" s="222"/>
      <c r="D19" s="223"/>
      <c r="E19" s="162"/>
      <c r="F19" s="162"/>
    </row>
    <row r="20" spans="1:6" ht="25.5">
      <c r="A20" s="163" t="s">
        <v>766</v>
      </c>
      <c r="B20" s="172" t="s">
        <v>552</v>
      </c>
      <c r="C20" s="222"/>
      <c r="D20" s="223"/>
      <c r="E20" s="162"/>
      <c r="F20" s="162"/>
    </row>
    <row r="21" spans="1:6" ht="38.25">
      <c r="A21" s="163" t="s">
        <v>767</v>
      </c>
      <c r="B21" s="172" t="s">
        <v>768</v>
      </c>
      <c r="C21" s="222"/>
      <c r="D21" s="223"/>
      <c r="E21" s="162"/>
      <c r="F21" s="162"/>
    </row>
    <row r="22" spans="1:6" ht="38.25">
      <c r="A22" s="163" t="s">
        <v>769</v>
      </c>
      <c r="B22" s="172" t="s">
        <v>553</v>
      </c>
      <c r="C22" s="222"/>
      <c r="D22" s="223"/>
      <c r="E22" s="162"/>
      <c r="F22" s="162"/>
    </row>
    <row r="23" spans="1:6" ht="38.25">
      <c r="A23" s="163" t="s">
        <v>770</v>
      </c>
      <c r="B23" s="172" t="s">
        <v>771</v>
      </c>
      <c r="C23" s="222"/>
      <c r="D23" s="223"/>
      <c r="E23" s="162"/>
      <c r="F23" s="162"/>
    </row>
    <row r="24" spans="1:6" ht="38.25">
      <c r="A24" s="163" t="s">
        <v>772</v>
      </c>
      <c r="B24" s="172" t="s">
        <v>554</v>
      </c>
      <c r="C24" s="222"/>
      <c r="D24" s="223"/>
      <c r="E24" s="162"/>
      <c r="F24" s="162"/>
    </row>
    <row r="25" spans="1:6" ht="25.5">
      <c r="A25" s="163" t="s">
        <v>773</v>
      </c>
      <c r="B25" s="172" t="s">
        <v>555</v>
      </c>
      <c r="C25" s="222"/>
      <c r="D25" s="223"/>
      <c r="E25" s="162"/>
      <c r="F25" s="162"/>
    </row>
    <row r="26" spans="1:6" ht="18.75">
      <c r="A26" s="160"/>
      <c r="B26" s="169" t="s">
        <v>556</v>
      </c>
      <c r="C26" s="161"/>
      <c r="D26" s="161"/>
      <c r="E26" s="228"/>
      <c r="F26" s="228"/>
    </row>
    <row r="27" spans="1:6" ht="25.5">
      <c r="A27" s="163" t="s">
        <v>774</v>
      </c>
      <c r="B27" s="172" t="s">
        <v>557</v>
      </c>
      <c r="C27" s="222"/>
      <c r="D27" s="223"/>
      <c r="E27" s="162"/>
      <c r="F27" s="162"/>
    </row>
    <row r="28" spans="1:6" ht="51">
      <c r="A28" s="163" t="s">
        <v>775</v>
      </c>
      <c r="B28" s="172" t="s">
        <v>558</v>
      </c>
      <c r="C28" s="222"/>
      <c r="D28" s="223"/>
      <c r="E28" s="162"/>
      <c r="F28" s="162"/>
    </row>
    <row r="29" spans="1:6" ht="25.5">
      <c r="A29" s="163" t="s">
        <v>776</v>
      </c>
      <c r="B29" s="172" t="s">
        <v>559</v>
      </c>
      <c r="C29" s="222"/>
      <c r="D29" s="223"/>
      <c r="E29" s="162"/>
      <c r="F29" s="162"/>
    </row>
    <row r="30" spans="1:6" ht="25.5">
      <c r="A30" s="163" t="s">
        <v>777</v>
      </c>
      <c r="B30" s="172" t="s">
        <v>560</v>
      </c>
      <c r="C30" s="222"/>
      <c r="D30" s="223"/>
      <c r="E30" s="162"/>
      <c r="F30" s="162"/>
    </row>
    <row r="31" spans="1:6" ht="25.5">
      <c r="A31" s="163" t="s">
        <v>778</v>
      </c>
      <c r="B31" s="172" t="s">
        <v>561</v>
      </c>
      <c r="C31" s="222"/>
      <c r="D31" s="223"/>
      <c r="E31" s="162"/>
      <c r="F31" s="162"/>
    </row>
    <row r="32" spans="1:6" ht="38.25">
      <c r="A32" s="163" t="s">
        <v>779</v>
      </c>
      <c r="B32" s="172" t="s">
        <v>562</v>
      </c>
      <c r="C32" s="222"/>
      <c r="D32" s="223"/>
      <c r="E32" s="162"/>
      <c r="F32" s="162"/>
    </row>
    <row r="33" spans="1:6" ht="18.75">
      <c r="A33" s="160"/>
      <c r="B33" s="169" t="s">
        <v>563</v>
      </c>
      <c r="C33" s="161"/>
      <c r="D33" s="161"/>
      <c r="E33" s="228"/>
      <c r="F33" s="228"/>
    </row>
    <row r="34" spans="1:6" ht="63.75">
      <c r="A34" s="163" t="s">
        <v>780</v>
      </c>
      <c r="B34" s="172" t="s">
        <v>564</v>
      </c>
      <c r="C34" s="222"/>
      <c r="D34" s="223"/>
      <c r="E34" s="162"/>
      <c r="F34" s="162"/>
    </row>
    <row r="35" spans="1:6" ht="18.75">
      <c r="A35" s="160"/>
      <c r="B35" s="169" t="s">
        <v>368</v>
      </c>
      <c r="C35" s="161"/>
      <c r="D35" s="161"/>
      <c r="E35" s="228"/>
      <c r="F35" s="228"/>
    </row>
    <row r="36" spans="1:6" ht="76.5">
      <c r="A36" s="163" t="s">
        <v>781</v>
      </c>
      <c r="B36" s="172" t="s">
        <v>565</v>
      </c>
      <c r="C36" s="222"/>
      <c r="D36" s="223"/>
      <c r="E36" s="162"/>
      <c r="F36" s="162"/>
    </row>
    <row r="37" spans="1:6" ht="25.5">
      <c r="A37" s="163" t="s">
        <v>782</v>
      </c>
      <c r="B37" s="172" t="s">
        <v>783</v>
      </c>
      <c r="C37" s="222"/>
      <c r="D37" s="223"/>
      <c r="E37" s="162"/>
      <c r="F37" s="162"/>
    </row>
    <row r="38" spans="1:6" ht="18.75">
      <c r="A38" s="160"/>
      <c r="B38" s="169" t="s">
        <v>266</v>
      </c>
      <c r="C38" s="161"/>
      <c r="D38" s="161"/>
      <c r="E38" s="228"/>
      <c r="F38" s="228"/>
    </row>
    <row r="39" spans="1:6" ht="38.25">
      <c r="A39" s="163" t="s">
        <v>594</v>
      </c>
      <c r="B39" s="172" t="s">
        <v>215</v>
      </c>
      <c r="C39" s="222"/>
      <c r="D39" s="223"/>
      <c r="E39" s="162"/>
      <c r="F39" s="162"/>
    </row>
    <row r="40" spans="1:6" ht="25.5">
      <c r="A40" s="163" t="s">
        <v>595</v>
      </c>
      <c r="B40" s="172" t="s">
        <v>216</v>
      </c>
      <c r="C40" s="222"/>
      <c r="D40" s="223"/>
      <c r="E40" s="162"/>
      <c r="F40" s="162"/>
    </row>
    <row r="41" spans="1:6" ht="38.25">
      <c r="A41" s="163" t="s">
        <v>596</v>
      </c>
      <c r="B41" s="172" t="s">
        <v>217</v>
      </c>
      <c r="C41" s="222"/>
      <c r="D41" s="223"/>
      <c r="E41" s="162"/>
      <c r="F41" s="162"/>
    </row>
    <row r="42" spans="1:6" ht="38.25">
      <c r="A42" s="163" t="s">
        <v>597</v>
      </c>
      <c r="B42" s="172" t="s">
        <v>218</v>
      </c>
      <c r="C42" s="222"/>
      <c r="D42" s="223"/>
      <c r="E42" s="162"/>
      <c r="F42" s="162"/>
    </row>
    <row r="43" spans="1:6" ht="18.75">
      <c r="A43" s="160"/>
      <c r="B43" s="169" t="s">
        <v>267</v>
      </c>
      <c r="C43" s="161"/>
      <c r="D43" s="161"/>
      <c r="E43" s="228"/>
      <c r="F43" s="228"/>
    </row>
    <row r="44" spans="1:6" ht="38.25">
      <c r="A44" s="163" t="s">
        <v>598</v>
      </c>
      <c r="B44" s="172" t="s">
        <v>219</v>
      </c>
      <c r="C44" s="222"/>
      <c r="D44" s="223"/>
      <c r="E44" s="162"/>
      <c r="F44" s="162"/>
    </row>
    <row r="45" spans="1:6" ht="38.25">
      <c r="A45" s="163" t="s">
        <v>599</v>
      </c>
      <c r="B45" s="172" t="s">
        <v>220</v>
      </c>
      <c r="C45" s="222"/>
      <c r="D45" s="223"/>
      <c r="E45" s="162"/>
      <c r="F45" s="162"/>
    </row>
    <row r="46" spans="1:6" ht="18.75">
      <c r="A46" s="160"/>
      <c r="B46" s="169" t="s">
        <v>213</v>
      </c>
      <c r="C46" s="161"/>
      <c r="D46" s="161"/>
      <c r="E46" s="228"/>
      <c r="F46" s="228"/>
    </row>
    <row r="47" spans="1:6" ht="51">
      <c r="A47" s="163" t="s">
        <v>600</v>
      </c>
      <c r="B47" s="172" t="s">
        <v>214</v>
      </c>
      <c r="C47" s="222"/>
      <c r="D47" s="223"/>
      <c r="E47" s="162"/>
      <c r="F47" s="162"/>
    </row>
    <row r="48" spans="1:6" ht="18">
      <c r="A48" s="224"/>
      <c r="B48" s="225" t="s">
        <v>286</v>
      </c>
      <c r="C48" s="224"/>
      <c r="D48" s="224"/>
      <c r="E48" s="224"/>
      <c r="F48" s="224"/>
    </row>
    <row r="49" spans="1:6">
      <c r="A49" s="163"/>
      <c r="B49" s="172"/>
    </row>
    <row r="50" spans="1:6" ht="15">
      <c r="A50" s="226"/>
      <c r="B50" s="227" t="s">
        <v>619</v>
      </c>
      <c r="C50" s="226"/>
      <c r="D50" s="226"/>
      <c r="E50" s="226"/>
      <c r="F50" s="226"/>
    </row>
  </sheetData>
  <mergeCells count="1">
    <mergeCell ref="E2:F2"/>
  </mergeCells>
  <conditionalFormatting sqref="C6">
    <cfRule type="cellIs" dxfId="890" priority="1516" operator="equal">
      <formula>"No"</formula>
    </cfRule>
    <cfRule type="cellIs" dxfId="889" priority="1517" operator="equal">
      <formula>"NA"</formula>
    </cfRule>
    <cfRule type="cellIs" dxfId="888" priority="1518" operator="equal">
      <formula>"Yes"</formula>
    </cfRule>
  </conditionalFormatting>
  <conditionalFormatting sqref="C8">
    <cfRule type="cellIs" dxfId="887" priority="1470" operator="equal">
      <formula>"No"</formula>
    </cfRule>
    <cfRule type="cellIs" dxfId="886" priority="1471" operator="equal">
      <formula>"NA"</formula>
    </cfRule>
    <cfRule type="cellIs" dxfId="885" priority="1472" operator="equal">
      <formula>"Yes"</formula>
    </cfRule>
  </conditionalFormatting>
  <conditionalFormatting sqref="C9">
    <cfRule type="cellIs" dxfId="884" priority="1424" operator="equal">
      <formula>"No"</formula>
    </cfRule>
    <cfRule type="cellIs" dxfId="883" priority="1425" operator="equal">
      <formula>"NA"</formula>
    </cfRule>
    <cfRule type="cellIs" dxfId="882" priority="1426" operator="equal">
      <formula>"Yes"</formula>
    </cfRule>
  </conditionalFormatting>
  <conditionalFormatting sqref="C10">
    <cfRule type="cellIs" dxfId="881" priority="1378" operator="equal">
      <formula>"No"</formula>
    </cfRule>
    <cfRule type="cellIs" dxfId="880" priority="1379" operator="equal">
      <formula>"NA"</formula>
    </cfRule>
    <cfRule type="cellIs" dxfId="879" priority="1380" operator="equal">
      <formula>"Yes"</formula>
    </cfRule>
  </conditionalFormatting>
  <conditionalFormatting sqref="C11">
    <cfRule type="cellIs" dxfId="878" priority="1332" operator="equal">
      <formula>"No"</formula>
    </cfRule>
    <cfRule type="cellIs" dxfId="877" priority="1333" operator="equal">
      <formula>"NA"</formula>
    </cfRule>
    <cfRule type="cellIs" dxfId="876" priority="1334" operator="equal">
      <formula>"Yes"</formula>
    </cfRule>
  </conditionalFormatting>
  <conditionalFormatting sqref="C12">
    <cfRule type="cellIs" dxfId="875" priority="1286" operator="equal">
      <formula>"No"</formula>
    </cfRule>
    <cfRule type="cellIs" dxfId="874" priority="1287" operator="equal">
      <formula>"NA"</formula>
    </cfRule>
    <cfRule type="cellIs" dxfId="873" priority="1288" operator="equal">
      <formula>"Yes"</formula>
    </cfRule>
  </conditionalFormatting>
  <conditionalFormatting sqref="C14">
    <cfRule type="cellIs" dxfId="872" priority="1240" operator="equal">
      <formula>"No"</formula>
    </cfRule>
    <cfRule type="cellIs" dxfId="871" priority="1241" operator="equal">
      <formula>"NA"</formula>
    </cfRule>
    <cfRule type="cellIs" dxfId="870" priority="1242" operator="equal">
      <formula>"Yes"</formula>
    </cfRule>
  </conditionalFormatting>
  <conditionalFormatting sqref="C15">
    <cfRule type="cellIs" dxfId="869" priority="1194" operator="equal">
      <formula>"No"</formula>
    </cfRule>
    <cfRule type="cellIs" dxfId="868" priority="1195" operator="equal">
      <formula>"NA"</formula>
    </cfRule>
    <cfRule type="cellIs" dxfId="867" priority="1196" operator="equal">
      <formula>"Yes"</formula>
    </cfRule>
  </conditionalFormatting>
  <conditionalFormatting sqref="C16">
    <cfRule type="cellIs" dxfId="866" priority="1148" operator="equal">
      <formula>"No"</formula>
    </cfRule>
    <cfRule type="cellIs" dxfId="865" priority="1149" operator="equal">
      <formula>"NA"</formula>
    </cfRule>
    <cfRule type="cellIs" dxfId="864" priority="1150" operator="equal">
      <formula>"Yes"</formula>
    </cfRule>
  </conditionalFormatting>
  <conditionalFormatting sqref="C17">
    <cfRule type="cellIs" dxfId="863" priority="1102" operator="equal">
      <formula>"No"</formula>
    </cfRule>
    <cfRule type="cellIs" dxfId="862" priority="1103" operator="equal">
      <formula>"NA"</formula>
    </cfRule>
    <cfRule type="cellIs" dxfId="861" priority="1104" operator="equal">
      <formula>"Yes"</formula>
    </cfRule>
  </conditionalFormatting>
  <conditionalFormatting sqref="C19">
    <cfRule type="cellIs" dxfId="860" priority="1056" operator="equal">
      <formula>"No"</formula>
    </cfRule>
    <cfRule type="cellIs" dxfId="859" priority="1057" operator="equal">
      <formula>"NA"</formula>
    </cfRule>
    <cfRule type="cellIs" dxfId="858" priority="1058" operator="equal">
      <formula>"Yes"</formula>
    </cfRule>
  </conditionalFormatting>
  <conditionalFormatting sqref="C20">
    <cfRule type="cellIs" dxfId="857" priority="1010" operator="equal">
      <formula>"No"</formula>
    </cfRule>
    <cfRule type="cellIs" dxfId="856" priority="1011" operator="equal">
      <formula>"NA"</formula>
    </cfRule>
    <cfRule type="cellIs" dxfId="855" priority="1012" operator="equal">
      <formula>"Yes"</formula>
    </cfRule>
  </conditionalFormatting>
  <conditionalFormatting sqref="C21">
    <cfRule type="cellIs" dxfId="854" priority="964" operator="equal">
      <formula>"No"</formula>
    </cfRule>
    <cfRule type="cellIs" dxfId="853" priority="965" operator="equal">
      <formula>"NA"</formula>
    </cfRule>
    <cfRule type="cellIs" dxfId="852" priority="966" operator="equal">
      <formula>"Yes"</formula>
    </cfRule>
  </conditionalFormatting>
  <conditionalFormatting sqref="C22">
    <cfRule type="cellIs" dxfId="851" priority="918" operator="equal">
      <formula>"No"</formula>
    </cfRule>
    <cfRule type="cellIs" dxfId="850" priority="919" operator="equal">
      <formula>"NA"</formula>
    </cfRule>
    <cfRule type="cellIs" dxfId="849" priority="920" operator="equal">
      <formula>"Yes"</formula>
    </cfRule>
  </conditionalFormatting>
  <conditionalFormatting sqref="C23">
    <cfRule type="cellIs" dxfId="848" priority="872" operator="equal">
      <formula>"No"</formula>
    </cfRule>
    <cfRule type="cellIs" dxfId="847" priority="873" operator="equal">
      <formula>"NA"</formula>
    </cfRule>
    <cfRule type="cellIs" dxfId="846" priority="874" operator="equal">
      <formula>"Yes"</formula>
    </cfRule>
  </conditionalFormatting>
  <conditionalFormatting sqref="C24">
    <cfRule type="cellIs" dxfId="845" priority="826" operator="equal">
      <formula>"No"</formula>
    </cfRule>
    <cfRule type="cellIs" dxfId="844" priority="827" operator="equal">
      <formula>"NA"</formula>
    </cfRule>
    <cfRule type="cellIs" dxfId="843" priority="828" operator="equal">
      <formula>"Yes"</formula>
    </cfRule>
  </conditionalFormatting>
  <conditionalFormatting sqref="C25">
    <cfRule type="cellIs" dxfId="842" priority="780" operator="equal">
      <formula>"No"</formula>
    </cfRule>
    <cfRule type="cellIs" dxfId="841" priority="781" operator="equal">
      <formula>"NA"</formula>
    </cfRule>
    <cfRule type="cellIs" dxfId="840" priority="782" operator="equal">
      <formula>"Yes"</formula>
    </cfRule>
  </conditionalFormatting>
  <conditionalFormatting sqref="C27">
    <cfRule type="cellIs" dxfId="839" priority="734" operator="equal">
      <formula>"No"</formula>
    </cfRule>
    <cfRule type="cellIs" dxfId="838" priority="735" operator="equal">
      <formula>"NA"</formula>
    </cfRule>
    <cfRule type="cellIs" dxfId="837" priority="736" operator="equal">
      <formula>"Yes"</formula>
    </cfRule>
  </conditionalFormatting>
  <conditionalFormatting sqref="C28">
    <cfRule type="cellIs" dxfId="836" priority="688" operator="equal">
      <formula>"No"</formula>
    </cfRule>
    <cfRule type="cellIs" dxfId="835" priority="689" operator="equal">
      <formula>"NA"</formula>
    </cfRule>
    <cfRule type="cellIs" dxfId="834" priority="690" operator="equal">
      <formula>"Yes"</formula>
    </cfRule>
  </conditionalFormatting>
  <conditionalFormatting sqref="C29">
    <cfRule type="cellIs" dxfId="833" priority="642" operator="equal">
      <formula>"No"</formula>
    </cfRule>
    <cfRule type="cellIs" dxfId="832" priority="643" operator="equal">
      <formula>"NA"</formula>
    </cfRule>
    <cfRule type="cellIs" dxfId="831" priority="644" operator="equal">
      <formula>"Yes"</formula>
    </cfRule>
  </conditionalFormatting>
  <conditionalFormatting sqref="C30">
    <cfRule type="cellIs" dxfId="830" priority="596" operator="equal">
      <formula>"No"</formula>
    </cfRule>
    <cfRule type="cellIs" dxfId="829" priority="597" operator="equal">
      <formula>"NA"</formula>
    </cfRule>
    <cfRule type="cellIs" dxfId="828" priority="598" operator="equal">
      <formula>"Yes"</formula>
    </cfRule>
  </conditionalFormatting>
  <conditionalFormatting sqref="C31">
    <cfRule type="cellIs" dxfId="827" priority="550" operator="equal">
      <formula>"No"</formula>
    </cfRule>
    <cfRule type="cellIs" dxfId="826" priority="551" operator="equal">
      <formula>"NA"</formula>
    </cfRule>
    <cfRule type="cellIs" dxfId="825" priority="552" operator="equal">
      <formula>"Yes"</formula>
    </cfRule>
  </conditionalFormatting>
  <conditionalFormatting sqref="C32">
    <cfRule type="cellIs" dxfId="824" priority="504" operator="equal">
      <formula>"No"</formula>
    </cfRule>
    <cfRule type="cellIs" dxfId="823" priority="505" operator="equal">
      <formula>"NA"</formula>
    </cfRule>
    <cfRule type="cellIs" dxfId="822" priority="506" operator="equal">
      <formula>"Yes"</formula>
    </cfRule>
  </conditionalFormatting>
  <conditionalFormatting sqref="C34">
    <cfRule type="cellIs" dxfId="821" priority="458" operator="equal">
      <formula>"No"</formula>
    </cfRule>
    <cfRule type="cellIs" dxfId="820" priority="459" operator="equal">
      <formula>"NA"</formula>
    </cfRule>
    <cfRule type="cellIs" dxfId="819" priority="460" operator="equal">
      <formula>"Yes"</formula>
    </cfRule>
  </conditionalFormatting>
  <conditionalFormatting sqref="C36">
    <cfRule type="cellIs" dxfId="818" priority="412" operator="equal">
      <formula>"No"</formula>
    </cfRule>
    <cfRule type="cellIs" dxfId="817" priority="413" operator="equal">
      <formula>"NA"</formula>
    </cfRule>
    <cfRule type="cellIs" dxfId="816" priority="414" operator="equal">
      <formula>"Yes"</formula>
    </cfRule>
  </conditionalFormatting>
  <conditionalFormatting sqref="C37">
    <cfRule type="cellIs" dxfId="815" priority="366" operator="equal">
      <formula>"No"</formula>
    </cfRule>
    <cfRule type="cellIs" dxfId="814" priority="367" operator="equal">
      <formula>"NA"</formula>
    </cfRule>
    <cfRule type="cellIs" dxfId="813" priority="368" operator="equal">
      <formula>"Yes"</formula>
    </cfRule>
  </conditionalFormatting>
  <conditionalFormatting sqref="C39">
    <cfRule type="cellIs" dxfId="812" priority="320" operator="equal">
      <formula>"No"</formula>
    </cfRule>
    <cfRule type="cellIs" dxfId="811" priority="321" operator="equal">
      <formula>"NA"</formula>
    </cfRule>
    <cfRule type="cellIs" dxfId="810" priority="322" operator="equal">
      <formula>"Yes"</formula>
    </cfRule>
  </conditionalFormatting>
  <conditionalFormatting sqref="C40">
    <cfRule type="cellIs" dxfId="809" priority="274" operator="equal">
      <formula>"No"</formula>
    </cfRule>
    <cfRule type="cellIs" dxfId="808" priority="275" operator="equal">
      <formula>"NA"</formula>
    </cfRule>
    <cfRule type="cellIs" dxfId="807" priority="276" operator="equal">
      <formula>"Yes"</formula>
    </cfRule>
  </conditionalFormatting>
  <conditionalFormatting sqref="C41">
    <cfRule type="cellIs" dxfId="806" priority="228" operator="equal">
      <formula>"No"</formula>
    </cfRule>
    <cfRule type="cellIs" dxfId="805" priority="229" operator="equal">
      <formula>"NA"</formula>
    </cfRule>
    <cfRule type="cellIs" dxfId="804" priority="230" operator="equal">
      <formula>"Yes"</formula>
    </cfRule>
  </conditionalFormatting>
  <conditionalFormatting sqref="C42">
    <cfRule type="cellIs" dxfId="803" priority="182" operator="equal">
      <formula>"No"</formula>
    </cfRule>
    <cfRule type="cellIs" dxfId="802" priority="183" operator="equal">
      <formula>"NA"</formula>
    </cfRule>
    <cfRule type="cellIs" dxfId="801" priority="184" operator="equal">
      <formula>"Yes"</formula>
    </cfRule>
  </conditionalFormatting>
  <conditionalFormatting sqref="C44">
    <cfRule type="cellIs" dxfId="800" priority="136" operator="equal">
      <formula>"No"</formula>
    </cfRule>
    <cfRule type="cellIs" dxfId="799" priority="137" operator="equal">
      <formula>"NA"</formula>
    </cfRule>
    <cfRule type="cellIs" dxfId="798" priority="138" operator="equal">
      <formula>"Yes"</formula>
    </cfRule>
  </conditionalFormatting>
  <conditionalFormatting sqref="C45">
    <cfRule type="cellIs" dxfId="797" priority="90" operator="equal">
      <formula>"No"</formula>
    </cfRule>
    <cfRule type="cellIs" dxfId="796" priority="91" operator="equal">
      <formula>"NA"</formula>
    </cfRule>
    <cfRule type="cellIs" dxfId="795" priority="92" operator="equal">
      <formula>"Yes"</formula>
    </cfRule>
  </conditionalFormatting>
  <conditionalFormatting sqref="C47">
    <cfRule type="cellIs" dxfId="794" priority="44" operator="equal">
      <formula>"No"</formula>
    </cfRule>
    <cfRule type="cellIs" dxfId="793" priority="45" operator="equal">
      <formula>"NA"</formula>
    </cfRule>
    <cfRule type="cellIs" dxfId="792"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workbookViewId="0">
      <selection activeCell="H10" sqref="H10"/>
    </sheetView>
  </sheetViews>
  <sheetFormatPr defaultColWidth="9.28515625" defaultRowHeight="12.75" outlineLevelCol="1"/>
  <cols>
    <col min="1" max="1" width="12.85546875" style="159" bestFit="1" customWidth="1"/>
    <col min="2" max="2" width="61" style="157" customWidth="1"/>
    <col min="3" max="5" width="9.7109375" style="156" customWidth="1"/>
    <col min="6" max="6" width="33.7109375" style="156" customWidth="1"/>
    <col min="7" max="8" width="30.7109375" style="156" customWidth="1" outlineLevel="1"/>
    <col min="9" max="16384" width="9.28515625" style="156"/>
  </cols>
  <sheetData>
    <row r="2" spans="1:9" ht="54">
      <c r="A2" s="209" t="s">
        <v>229</v>
      </c>
      <c r="B2" s="210" t="s">
        <v>356</v>
      </c>
      <c r="C2" s="211" t="s">
        <v>891</v>
      </c>
      <c r="D2" s="211" t="s">
        <v>910</v>
      </c>
      <c r="E2" s="211" t="s">
        <v>922</v>
      </c>
      <c r="F2" s="212" t="s">
        <v>294</v>
      </c>
      <c r="G2" s="369" t="s">
        <v>185</v>
      </c>
      <c r="H2" s="370"/>
    </row>
    <row r="3" spans="1:9" ht="18.75">
      <c r="A3" s="213"/>
      <c r="B3" s="214"/>
      <c r="C3" s="215">
        <f>COUNTIF(Review.ratings,"Yes") / ( COUNTA(Review.QuestionIds) - COUNTIF(Review.ratings,"NA"))</f>
        <v>0.95454545454545459</v>
      </c>
      <c r="D3" s="215">
        <f>COUNTIF(Review.ratings,"Yes") / ( COUNTA(Review.QuestionIds) - COUNTIF(Review.ratings,"NA"))</f>
        <v>0.95454545454545459</v>
      </c>
      <c r="E3" s="215">
        <f>COUNTIF(Review.ratings,"Yes") / ( COUNTA(Review.QuestionIds) - COUNTIF(Review.ratings,"NA"))</f>
        <v>0.95454545454545459</v>
      </c>
      <c r="F3" s="220"/>
      <c r="G3" s="228" t="s">
        <v>269</v>
      </c>
      <c r="H3" s="228" t="s">
        <v>270</v>
      </c>
      <c r="I3" s="221"/>
    </row>
    <row r="4" spans="1:9" ht="36">
      <c r="A4" s="216"/>
      <c r="B4" s="217" t="s">
        <v>318</v>
      </c>
      <c r="C4" s="218"/>
      <c r="D4" s="218"/>
      <c r="E4" s="218"/>
      <c r="F4" s="218"/>
      <c r="G4" s="218"/>
      <c r="H4" s="219"/>
      <c r="I4" s="25"/>
    </row>
    <row r="5" spans="1:9" ht="18.75">
      <c r="A5" s="160"/>
      <c r="B5" s="169" t="s">
        <v>317</v>
      </c>
      <c r="C5" s="161"/>
      <c r="D5" s="161"/>
      <c r="E5" s="161"/>
      <c r="F5" s="161"/>
      <c r="G5" s="228"/>
      <c r="H5" s="228"/>
    </row>
    <row r="6" spans="1:9" ht="38.25">
      <c r="A6" s="163" t="s">
        <v>755</v>
      </c>
      <c r="B6" s="172" t="s">
        <v>354</v>
      </c>
      <c r="C6" s="222" t="s">
        <v>221</v>
      </c>
      <c r="D6" s="222" t="s">
        <v>221</v>
      </c>
      <c r="E6" s="222" t="s">
        <v>221</v>
      </c>
      <c r="F6" s="223"/>
      <c r="G6" s="162"/>
      <c r="H6" s="162"/>
    </row>
    <row r="7" spans="1:9" ht="18.75">
      <c r="A7" s="160"/>
      <c r="B7" s="169" t="s">
        <v>503</v>
      </c>
      <c r="C7" s="161"/>
      <c r="D7" s="161"/>
      <c r="E7" s="161"/>
      <c r="F7" s="161"/>
      <c r="G7" s="228"/>
      <c r="H7" s="228"/>
    </row>
    <row r="8" spans="1:9" ht="38.25">
      <c r="A8" s="163" t="s">
        <v>784</v>
      </c>
      <c r="B8" s="172" t="s">
        <v>504</v>
      </c>
      <c r="C8" s="222" t="s">
        <v>221</v>
      </c>
      <c r="D8" s="222" t="s">
        <v>221</v>
      </c>
      <c r="E8" s="222" t="s">
        <v>221</v>
      </c>
      <c r="F8" s="223"/>
      <c r="G8" s="162"/>
      <c r="H8" s="162"/>
    </row>
    <row r="9" spans="1:9" ht="25.5">
      <c r="A9" s="163" t="s">
        <v>785</v>
      </c>
      <c r="B9" s="172" t="s">
        <v>505</v>
      </c>
      <c r="C9" s="222" t="s">
        <v>221</v>
      </c>
      <c r="D9" s="222" t="s">
        <v>221</v>
      </c>
      <c r="E9" s="222" t="s">
        <v>221</v>
      </c>
      <c r="F9" s="223"/>
      <c r="G9" s="162"/>
      <c r="H9" s="162"/>
    </row>
    <row r="10" spans="1:9" ht="38.25">
      <c r="A10" s="163" t="s">
        <v>786</v>
      </c>
      <c r="B10" s="172" t="s">
        <v>787</v>
      </c>
      <c r="C10" s="222" t="s">
        <v>221</v>
      </c>
      <c r="D10" s="222" t="s">
        <v>221</v>
      </c>
      <c r="E10" s="222" t="s">
        <v>221</v>
      </c>
      <c r="F10" s="223"/>
      <c r="G10" s="162"/>
      <c r="H10" s="162"/>
    </row>
    <row r="11" spans="1:9" ht="25.5">
      <c r="A11" s="163" t="s">
        <v>788</v>
      </c>
      <c r="B11" s="172" t="s">
        <v>506</v>
      </c>
      <c r="C11" s="222" t="s">
        <v>221</v>
      </c>
      <c r="D11" s="222" t="s">
        <v>221</v>
      </c>
      <c r="E11" s="222" t="s">
        <v>221</v>
      </c>
      <c r="F11" s="223"/>
      <c r="G11" s="162"/>
      <c r="H11" s="162"/>
    </row>
    <row r="12" spans="1:9" ht="51">
      <c r="A12" s="163" t="s">
        <v>789</v>
      </c>
      <c r="B12" s="172" t="s">
        <v>507</v>
      </c>
      <c r="C12" s="222" t="s">
        <v>221</v>
      </c>
      <c r="D12" s="222" t="s">
        <v>221</v>
      </c>
      <c r="E12" s="222" t="s">
        <v>221</v>
      </c>
      <c r="F12" s="223"/>
      <c r="G12" s="162"/>
      <c r="H12" s="162"/>
    </row>
    <row r="13" spans="1:9" ht="25.5">
      <c r="A13" s="163" t="s">
        <v>790</v>
      </c>
      <c r="B13" s="172" t="s">
        <v>508</v>
      </c>
      <c r="C13" s="222" t="s">
        <v>221</v>
      </c>
      <c r="D13" s="222" t="s">
        <v>221</v>
      </c>
      <c r="E13" s="222" t="s">
        <v>221</v>
      </c>
      <c r="F13" s="223"/>
      <c r="G13" s="162"/>
      <c r="H13" s="162"/>
    </row>
    <row r="14" spans="1:9" ht="25.5">
      <c r="A14" s="163" t="s">
        <v>791</v>
      </c>
      <c r="B14" s="172" t="s">
        <v>509</v>
      </c>
      <c r="C14" s="222" t="s">
        <v>221</v>
      </c>
      <c r="D14" s="222" t="s">
        <v>221</v>
      </c>
      <c r="E14" s="222" t="s">
        <v>221</v>
      </c>
      <c r="F14" s="223"/>
      <c r="G14" s="162"/>
      <c r="H14" s="162"/>
    </row>
    <row r="15" spans="1:9" ht="38.25">
      <c r="A15" s="163" t="s">
        <v>792</v>
      </c>
      <c r="B15" s="172" t="s">
        <v>510</v>
      </c>
      <c r="C15" s="222" t="s">
        <v>221</v>
      </c>
      <c r="D15" s="222" t="s">
        <v>221</v>
      </c>
      <c r="E15" s="222" t="s">
        <v>221</v>
      </c>
      <c r="F15" s="223"/>
      <c r="G15" s="162"/>
      <c r="H15" s="162"/>
    </row>
    <row r="16" spans="1:9" ht="25.5">
      <c r="A16" s="163" t="s">
        <v>793</v>
      </c>
      <c r="B16" s="172" t="s">
        <v>783</v>
      </c>
      <c r="C16" s="222" t="s">
        <v>221</v>
      </c>
      <c r="D16" s="222" t="s">
        <v>221</v>
      </c>
      <c r="E16" s="222" t="s">
        <v>221</v>
      </c>
      <c r="F16" s="223"/>
      <c r="G16" s="162"/>
      <c r="H16" s="162"/>
    </row>
    <row r="17" spans="1:8" ht="38.25">
      <c r="A17" s="163" t="s">
        <v>794</v>
      </c>
      <c r="B17" s="172" t="s">
        <v>795</v>
      </c>
      <c r="C17" s="222" t="s">
        <v>221</v>
      </c>
      <c r="D17" s="222" t="s">
        <v>221</v>
      </c>
      <c r="E17" s="222" t="s">
        <v>221</v>
      </c>
      <c r="F17" s="223"/>
      <c r="G17" s="162"/>
      <c r="H17" s="162"/>
    </row>
    <row r="18" spans="1:8" ht="38.25">
      <c r="A18" s="163" t="s">
        <v>796</v>
      </c>
      <c r="B18" s="172" t="s">
        <v>511</v>
      </c>
      <c r="C18" s="222" t="s">
        <v>221</v>
      </c>
      <c r="D18" s="222" t="s">
        <v>221</v>
      </c>
      <c r="E18" s="222" t="s">
        <v>221</v>
      </c>
      <c r="F18" s="223"/>
      <c r="G18" s="162"/>
      <c r="H18" s="162"/>
    </row>
    <row r="19" spans="1:8" ht="25.5">
      <c r="A19" s="163" t="s">
        <v>797</v>
      </c>
      <c r="B19" s="172" t="s">
        <v>512</v>
      </c>
      <c r="C19" s="222" t="s">
        <v>221</v>
      </c>
      <c r="D19" s="222" t="s">
        <v>221</v>
      </c>
      <c r="E19" s="222" t="s">
        <v>221</v>
      </c>
      <c r="F19" s="223"/>
      <c r="G19" s="162"/>
      <c r="H19" s="162"/>
    </row>
    <row r="20" spans="1:8" ht="25.5">
      <c r="A20" s="163" t="s">
        <v>798</v>
      </c>
      <c r="B20" s="172" t="s">
        <v>513</v>
      </c>
      <c r="C20" s="222" t="s">
        <v>221</v>
      </c>
      <c r="D20" s="222" t="s">
        <v>221</v>
      </c>
      <c r="E20" s="222" t="s">
        <v>221</v>
      </c>
      <c r="F20" s="223"/>
      <c r="G20" s="162"/>
      <c r="H20" s="162"/>
    </row>
    <row r="21" spans="1:8" ht="38.25">
      <c r="A21" s="163" t="s">
        <v>799</v>
      </c>
      <c r="B21" s="172" t="s">
        <v>514</v>
      </c>
      <c r="C21" s="222" t="s">
        <v>221</v>
      </c>
      <c r="D21" s="222" t="s">
        <v>221</v>
      </c>
      <c r="E21" s="222" t="s">
        <v>221</v>
      </c>
      <c r="F21" s="223"/>
      <c r="G21" s="162"/>
      <c r="H21" s="162"/>
    </row>
    <row r="22" spans="1:8" ht="38.25">
      <c r="A22" s="163" t="s">
        <v>800</v>
      </c>
      <c r="B22" s="172" t="s">
        <v>801</v>
      </c>
      <c r="F22" s="223"/>
      <c r="G22" s="162"/>
      <c r="H22" s="162"/>
    </row>
    <row r="23" spans="1:8" ht="18.75">
      <c r="A23" s="160"/>
      <c r="B23" s="169" t="s">
        <v>266</v>
      </c>
      <c r="C23" s="161"/>
      <c r="D23" s="161"/>
      <c r="E23" s="161"/>
      <c r="F23" s="161"/>
      <c r="G23" s="228"/>
      <c r="H23" s="228"/>
    </row>
    <row r="24" spans="1:8" ht="38.25">
      <c r="A24" s="163" t="s">
        <v>594</v>
      </c>
      <c r="B24" s="172" t="s">
        <v>215</v>
      </c>
      <c r="C24" s="222" t="s">
        <v>23</v>
      </c>
      <c r="D24" s="222" t="s">
        <v>221</v>
      </c>
      <c r="E24" s="222" t="s">
        <v>221</v>
      </c>
      <c r="F24" s="233" t="s">
        <v>892</v>
      </c>
      <c r="G24" s="162"/>
      <c r="H24" s="162"/>
    </row>
    <row r="25" spans="1:8" ht="25.5">
      <c r="A25" s="163" t="s">
        <v>595</v>
      </c>
      <c r="B25" s="172" t="s">
        <v>216</v>
      </c>
      <c r="C25" s="222" t="s">
        <v>221</v>
      </c>
      <c r="D25" s="222" t="s">
        <v>221</v>
      </c>
      <c r="E25" s="222" t="s">
        <v>221</v>
      </c>
      <c r="F25" s="223"/>
      <c r="G25" s="162"/>
      <c r="H25" s="162"/>
    </row>
    <row r="26" spans="1:8" ht="38.25">
      <c r="A26" s="163" t="s">
        <v>596</v>
      </c>
      <c r="B26" s="172" t="s">
        <v>217</v>
      </c>
      <c r="C26" s="222" t="s">
        <v>23</v>
      </c>
      <c r="D26" s="222" t="s">
        <v>221</v>
      </c>
      <c r="E26" s="222" t="s">
        <v>221</v>
      </c>
      <c r="F26" s="233" t="s">
        <v>892</v>
      </c>
      <c r="G26" s="162"/>
      <c r="H26" s="162"/>
    </row>
    <row r="27" spans="1:8" ht="38.25">
      <c r="A27" s="163" t="s">
        <v>597</v>
      </c>
      <c r="B27" s="172" t="s">
        <v>218</v>
      </c>
      <c r="C27" s="222" t="s">
        <v>221</v>
      </c>
      <c r="D27" s="222" t="s">
        <v>221</v>
      </c>
      <c r="E27" s="222" t="s">
        <v>221</v>
      </c>
      <c r="F27" s="223"/>
      <c r="G27" s="162"/>
      <c r="H27" s="162"/>
    </row>
    <row r="28" spans="1:8" ht="18.75">
      <c r="A28" s="160"/>
      <c r="B28" s="169" t="s">
        <v>267</v>
      </c>
      <c r="C28" s="161"/>
      <c r="D28" s="161"/>
      <c r="E28" s="161"/>
      <c r="F28" s="161"/>
      <c r="G28" s="228"/>
      <c r="H28" s="228"/>
    </row>
    <row r="29" spans="1:8" ht="38.25">
      <c r="A29" s="163" t="s">
        <v>598</v>
      </c>
      <c r="B29" s="172" t="s">
        <v>219</v>
      </c>
      <c r="C29" s="222" t="s">
        <v>221</v>
      </c>
      <c r="D29" s="222" t="s">
        <v>221</v>
      </c>
      <c r="E29" s="222" t="s">
        <v>221</v>
      </c>
      <c r="F29" s="223"/>
      <c r="G29" s="162"/>
      <c r="H29" s="162"/>
    </row>
    <row r="30" spans="1:8" ht="38.25">
      <c r="A30" s="163" t="s">
        <v>599</v>
      </c>
      <c r="B30" s="172" t="s">
        <v>220</v>
      </c>
      <c r="C30" s="222" t="s">
        <v>221</v>
      </c>
      <c r="D30" s="222" t="s">
        <v>221</v>
      </c>
      <c r="E30" s="222" t="s">
        <v>221</v>
      </c>
      <c r="F30" s="223"/>
      <c r="G30" s="162"/>
      <c r="H30" s="162"/>
    </row>
    <row r="31" spans="1:8" ht="18.75">
      <c r="A31" s="160"/>
      <c r="B31" s="169" t="s">
        <v>213</v>
      </c>
      <c r="C31" s="161"/>
      <c r="D31" s="161"/>
      <c r="E31" s="161"/>
      <c r="F31" s="161"/>
      <c r="G31" s="228"/>
      <c r="H31" s="228"/>
    </row>
    <row r="32" spans="1:8" ht="51">
      <c r="A32" s="163" t="s">
        <v>600</v>
      </c>
      <c r="B32" s="172" t="s">
        <v>214</v>
      </c>
      <c r="C32" s="222" t="s">
        <v>11</v>
      </c>
      <c r="D32" s="222" t="s">
        <v>11</v>
      </c>
      <c r="E32" s="222" t="s">
        <v>11</v>
      </c>
      <c r="F32" s="233" t="s">
        <v>893</v>
      </c>
      <c r="G32" s="162"/>
      <c r="H32" s="162"/>
    </row>
    <row r="33" spans="1:8" ht="18">
      <c r="A33" s="224"/>
      <c r="B33" s="225" t="s">
        <v>286</v>
      </c>
      <c r="C33" s="224"/>
      <c r="D33" s="224"/>
      <c r="E33" s="224"/>
      <c r="F33" s="224"/>
      <c r="G33" s="224"/>
      <c r="H33" s="224"/>
    </row>
    <row r="34" spans="1:8">
      <c r="A34" s="163"/>
      <c r="B34" s="172"/>
    </row>
    <row r="35" spans="1:8" ht="15">
      <c r="A35" s="226"/>
      <c r="B35" s="227" t="s">
        <v>619</v>
      </c>
      <c r="C35" s="226"/>
      <c r="D35" s="226"/>
      <c r="E35" s="226"/>
      <c r="F35" s="226"/>
      <c r="G35" s="226"/>
      <c r="H35" s="226"/>
    </row>
  </sheetData>
  <mergeCells count="1">
    <mergeCell ref="G2:H2"/>
  </mergeCells>
  <conditionalFormatting sqref="C6:E6 C8:E21 C25:E25">
    <cfRule type="cellIs" dxfId="791" priority="1077" operator="equal">
      <formula>"No"</formula>
    </cfRule>
    <cfRule type="cellIs" dxfId="790" priority="1078" operator="equal">
      <formula>"NA"</formula>
    </cfRule>
    <cfRule type="cellIs" dxfId="789" priority="1079" operator="equal">
      <formula>"Yes"</formula>
    </cfRule>
  </conditionalFormatting>
  <conditionalFormatting sqref="C24">
    <cfRule type="cellIs" dxfId="788" priority="341" operator="equal">
      <formula>"No"</formula>
    </cfRule>
    <cfRule type="cellIs" dxfId="787" priority="342" operator="equal">
      <formula>"NA"</formula>
    </cfRule>
    <cfRule type="cellIs" dxfId="786" priority="343" operator="equal">
      <formula>"Yes"</formula>
    </cfRule>
  </conditionalFormatting>
  <conditionalFormatting sqref="C26">
    <cfRule type="cellIs" dxfId="785" priority="249" operator="equal">
      <formula>"No"</formula>
    </cfRule>
    <cfRule type="cellIs" dxfId="784" priority="250" operator="equal">
      <formula>"NA"</formula>
    </cfRule>
    <cfRule type="cellIs" dxfId="783" priority="251" operator="equal">
      <formula>"Yes"</formula>
    </cfRule>
  </conditionalFormatting>
  <conditionalFormatting sqref="C27:E27">
    <cfRule type="cellIs" dxfId="782" priority="16" operator="equal">
      <formula>"No"</formula>
    </cfRule>
    <cfRule type="cellIs" dxfId="781" priority="17" operator="equal">
      <formula>"NA"</formula>
    </cfRule>
    <cfRule type="cellIs" dxfId="780" priority="18" operator="equal">
      <formula>"Yes"</formula>
    </cfRule>
  </conditionalFormatting>
  <conditionalFormatting sqref="C29:E29">
    <cfRule type="cellIs" dxfId="779" priority="13" operator="equal">
      <formula>"No"</formula>
    </cfRule>
    <cfRule type="cellIs" dxfId="778" priority="14" operator="equal">
      <formula>"NA"</formula>
    </cfRule>
    <cfRule type="cellIs" dxfId="777" priority="15" operator="equal">
      <formula>"Yes"</formula>
    </cfRule>
  </conditionalFormatting>
  <conditionalFormatting sqref="C30:E30">
    <cfRule type="cellIs" dxfId="776" priority="10" operator="equal">
      <formula>"No"</formula>
    </cfRule>
    <cfRule type="cellIs" dxfId="775" priority="11" operator="equal">
      <formula>"NA"</formula>
    </cfRule>
    <cfRule type="cellIs" dxfId="774" priority="12" operator="equal">
      <formula>"Yes"</formula>
    </cfRule>
  </conditionalFormatting>
  <conditionalFormatting sqref="C32:E32">
    <cfRule type="cellIs" dxfId="773" priority="7" operator="equal">
      <formula>"No"</formula>
    </cfRule>
    <cfRule type="cellIs" dxfId="772" priority="8" operator="equal">
      <formula>"NA"</formula>
    </cfRule>
    <cfRule type="cellIs" dxfId="771" priority="9" operator="equal">
      <formula>"Yes"</formula>
    </cfRule>
  </conditionalFormatting>
  <conditionalFormatting sqref="D24:E24">
    <cfRule type="cellIs" dxfId="770" priority="4" operator="equal">
      <formula>"No"</formula>
    </cfRule>
    <cfRule type="cellIs" dxfId="769" priority="5" operator="equal">
      <formula>"NA"</formula>
    </cfRule>
    <cfRule type="cellIs" dxfId="768" priority="6" operator="equal">
      <formula>"Yes"</formula>
    </cfRule>
  </conditionalFormatting>
  <conditionalFormatting sqref="D26:E26">
    <cfRule type="cellIs" dxfId="767" priority="1" operator="equal">
      <formula>"No"</formula>
    </cfRule>
    <cfRule type="cellIs" dxfId="766" priority="2" operator="equal">
      <formula>"NA"</formula>
    </cfRule>
    <cfRule type="cellIs" dxfId="765" priority="3" operator="equal">
      <formula>"Yes"</formula>
    </cfRule>
  </conditionalFormatting>
  <dataValidations count="1">
    <dataValidation type="list" allowBlank="1" showInputMessage="1" showErrorMessage="1" sqref="C24:E27 C8:E21 C32:E32 C29:E30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M36"/>
  <sheetViews>
    <sheetView workbookViewId="0">
      <selection activeCell="I6" sqref="I6"/>
    </sheetView>
  </sheetViews>
  <sheetFormatPr defaultColWidth="9.28515625" defaultRowHeight="12.75" outlineLevelCol="1"/>
  <cols>
    <col min="1" max="1" width="13" style="159" bestFit="1" customWidth="1"/>
    <col min="2" max="2" width="61" style="157" customWidth="1"/>
    <col min="3" max="3" width="8.42578125" style="156" customWidth="1"/>
    <col min="4" max="4" width="12.7109375" style="156" customWidth="1"/>
    <col min="5" max="5" width="8.42578125" style="156" customWidth="1"/>
    <col min="6" max="6" width="12.7109375" style="156" customWidth="1"/>
    <col min="7" max="7" width="8.42578125" style="156" customWidth="1"/>
    <col min="8" max="9" width="12.7109375" style="156" customWidth="1"/>
    <col min="10" max="10" width="32.7109375" style="156" customWidth="1"/>
    <col min="11" max="12" width="30.7109375" style="156" customWidth="1" outlineLevel="1"/>
    <col min="13" max="16384" width="9.28515625" style="156"/>
  </cols>
  <sheetData>
    <row r="2" spans="1:13" ht="87.75" customHeight="1">
      <c r="A2" s="209" t="s">
        <v>229</v>
      </c>
      <c r="B2" s="210" t="s">
        <v>357</v>
      </c>
      <c r="C2" s="211" t="s">
        <v>872</v>
      </c>
      <c r="D2" s="211" t="s">
        <v>873</v>
      </c>
      <c r="E2" s="211" t="s">
        <v>882</v>
      </c>
      <c r="F2" s="211" t="s">
        <v>883</v>
      </c>
      <c r="G2" s="211" t="s">
        <v>905</v>
      </c>
      <c r="H2" s="211" t="s">
        <v>906</v>
      </c>
      <c r="I2" s="211" t="s">
        <v>908</v>
      </c>
      <c r="J2" s="212" t="s">
        <v>294</v>
      </c>
      <c r="K2" s="369" t="s">
        <v>185</v>
      </c>
      <c r="L2" s="370"/>
    </row>
    <row r="3" spans="1:13" ht="18.75">
      <c r="A3" s="213"/>
      <c r="B3" s="214"/>
      <c r="C3" s="215">
        <f t="shared" ref="C3:H3" si="0">COUNTIF(C6:C33,"Yes") / ( COUNTA(Review.QuestionIds) - COUNTIF(C6:C33,"NA"))</f>
        <v>0.95652173913043481</v>
      </c>
      <c r="D3" s="215">
        <f t="shared" si="0"/>
        <v>0.95652173913043481</v>
      </c>
      <c r="E3" s="215">
        <f t="shared" si="0"/>
        <v>1</v>
      </c>
      <c r="F3" s="215">
        <f t="shared" si="0"/>
        <v>1</v>
      </c>
      <c r="G3" s="215">
        <f t="shared" si="0"/>
        <v>1</v>
      </c>
      <c r="H3" s="215">
        <f t="shared" si="0"/>
        <v>1</v>
      </c>
      <c r="I3" s="215">
        <f t="shared" ref="I3" si="1">COUNTIF(I6:I33,"Yes") / ( COUNTA(Review.QuestionIds) - COUNTIF(I6:I33,"NA"))</f>
        <v>1</v>
      </c>
      <c r="J3" s="220"/>
      <c r="K3" s="228" t="s">
        <v>269</v>
      </c>
      <c r="L3" s="228" t="s">
        <v>270</v>
      </c>
      <c r="M3" s="221"/>
    </row>
    <row r="4" spans="1:13" ht="36">
      <c r="A4" s="216"/>
      <c r="B4" s="217" t="s">
        <v>318</v>
      </c>
      <c r="C4" s="218"/>
      <c r="D4" s="218"/>
      <c r="E4" s="218"/>
      <c r="F4" s="218"/>
      <c r="G4" s="218"/>
      <c r="H4" s="218"/>
      <c r="I4" s="218"/>
      <c r="J4" s="218"/>
      <c r="K4" s="218"/>
      <c r="L4" s="219"/>
      <c r="M4" s="25"/>
    </row>
    <row r="5" spans="1:13" ht="18.75">
      <c r="A5" s="160"/>
      <c r="B5" s="169" t="s">
        <v>249</v>
      </c>
      <c r="C5" s="161"/>
      <c r="D5" s="161"/>
      <c r="E5" s="161"/>
      <c r="F5" s="161"/>
      <c r="G5" s="161"/>
      <c r="H5" s="161"/>
      <c r="I5" s="161"/>
      <c r="J5" s="161"/>
      <c r="K5" s="228"/>
      <c r="L5" s="228"/>
    </row>
    <row r="6" spans="1:13" ht="38.25">
      <c r="A6" s="163" t="s">
        <v>574</v>
      </c>
      <c r="B6" s="172" t="s">
        <v>358</v>
      </c>
      <c r="C6" s="222" t="s">
        <v>221</v>
      </c>
      <c r="D6" s="222" t="s">
        <v>221</v>
      </c>
      <c r="E6" s="222" t="s">
        <v>221</v>
      </c>
      <c r="F6" s="222" t="s">
        <v>221</v>
      </c>
      <c r="G6" s="222" t="s">
        <v>221</v>
      </c>
      <c r="H6" s="222" t="s">
        <v>221</v>
      </c>
      <c r="I6" s="222" t="s">
        <v>221</v>
      </c>
      <c r="J6" s="223"/>
      <c r="K6" s="162"/>
      <c r="L6" s="162"/>
    </row>
    <row r="7" spans="1:13" ht="38.25">
      <c r="A7" s="163" t="s">
        <v>575</v>
      </c>
      <c r="B7" s="172" t="s">
        <v>359</v>
      </c>
      <c r="C7" s="222" t="s">
        <v>221</v>
      </c>
      <c r="D7" s="222" t="s">
        <v>221</v>
      </c>
      <c r="E7" s="222" t="s">
        <v>221</v>
      </c>
      <c r="F7" s="222" t="s">
        <v>221</v>
      </c>
      <c r="G7" s="222" t="s">
        <v>221</v>
      </c>
      <c r="H7" s="222" t="s">
        <v>221</v>
      </c>
      <c r="I7" s="222" t="s">
        <v>221</v>
      </c>
      <c r="J7" s="223"/>
      <c r="K7" s="162"/>
      <c r="L7" s="162"/>
    </row>
    <row r="8" spans="1:13" ht="18.75">
      <c r="A8" s="160"/>
      <c r="B8" s="169" t="s">
        <v>503</v>
      </c>
      <c r="C8" s="161"/>
      <c r="D8" s="161"/>
      <c r="E8" s="161"/>
      <c r="F8" s="161"/>
      <c r="G8" s="161"/>
      <c r="H8" s="161"/>
      <c r="I8" s="161"/>
      <c r="J8" s="161"/>
      <c r="K8" s="228"/>
      <c r="L8" s="228"/>
    </row>
    <row r="9" spans="1:13" ht="25.5">
      <c r="A9" s="163" t="s">
        <v>576</v>
      </c>
      <c r="B9" s="172" t="s">
        <v>515</v>
      </c>
      <c r="C9" s="222" t="s">
        <v>221</v>
      </c>
      <c r="D9" s="222" t="s">
        <v>221</v>
      </c>
      <c r="E9" s="222" t="s">
        <v>221</v>
      </c>
      <c r="F9" s="222" t="s">
        <v>221</v>
      </c>
      <c r="G9" s="222" t="s">
        <v>221</v>
      </c>
      <c r="H9" s="222" t="s">
        <v>221</v>
      </c>
      <c r="I9" s="222" t="s">
        <v>221</v>
      </c>
      <c r="J9" s="223"/>
      <c r="K9" s="162"/>
      <c r="L9" s="162"/>
    </row>
    <row r="10" spans="1:13" ht="25.5">
      <c r="A10" s="163" t="s">
        <v>577</v>
      </c>
      <c r="B10" s="172" t="s">
        <v>516</v>
      </c>
      <c r="C10" s="222" t="s">
        <v>221</v>
      </c>
      <c r="D10" s="222" t="s">
        <v>221</v>
      </c>
      <c r="E10" s="222" t="s">
        <v>221</v>
      </c>
      <c r="F10" s="222" t="s">
        <v>221</v>
      </c>
      <c r="G10" s="222" t="s">
        <v>221</v>
      </c>
      <c r="H10" s="222" t="s">
        <v>221</v>
      </c>
      <c r="I10" s="222" t="s">
        <v>221</v>
      </c>
      <c r="J10" s="223"/>
      <c r="K10" s="162"/>
      <c r="L10" s="162"/>
    </row>
    <row r="11" spans="1:13" ht="38.25">
      <c r="A11" s="163" t="s">
        <v>578</v>
      </c>
      <c r="B11" s="172" t="s">
        <v>579</v>
      </c>
      <c r="C11" s="222" t="s">
        <v>221</v>
      </c>
      <c r="D11" s="222" t="s">
        <v>221</v>
      </c>
      <c r="E11" s="222" t="s">
        <v>221</v>
      </c>
      <c r="F11" s="222" t="s">
        <v>221</v>
      </c>
      <c r="G11" s="222" t="s">
        <v>221</v>
      </c>
      <c r="H11" s="222" t="s">
        <v>221</v>
      </c>
      <c r="I11" s="222" t="s">
        <v>221</v>
      </c>
      <c r="J11" s="223"/>
      <c r="K11" s="162"/>
      <c r="L11" s="162"/>
    </row>
    <row r="12" spans="1:13" ht="63.75">
      <c r="A12" s="163" t="s">
        <v>580</v>
      </c>
      <c r="B12" s="172" t="s">
        <v>581</v>
      </c>
      <c r="C12" s="222" t="s">
        <v>221</v>
      </c>
      <c r="D12" s="222" t="s">
        <v>221</v>
      </c>
      <c r="E12" s="222" t="s">
        <v>221</v>
      </c>
      <c r="F12" s="222" t="s">
        <v>221</v>
      </c>
      <c r="G12" s="222" t="s">
        <v>221</v>
      </c>
      <c r="H12" s="222" t="s">
        <v>221</v>
      </c>
      <c r="I12" s="222" t="s">
        <v>221</v>
      </c>
      <c r="J12" s="223"/>
      <c r="K12" s="162"/>
      <c r="L12" s="162"/>
    </row>
    <row r="13" spans="1:13" ht="63.75">
      <c r="A13" s="163" t="s">
        <v>582</v>
      </c>
      <c r="B13" s="172" t="s">
        <v>583</v>
      </c>
      <c r="C13" s="222" t="s">
        <v>221</v>
      </c>
      <c r="D13" s="222" t="s">
        <v>221</v>
      </c>
      <c r="E13" s="222" t="s">
        <v>221</v>
      </c>
      <c r="F13" s="222" t="s">
        <v>221</v>
      </c>
      <c r="G13" s="222" t="s">
        <v>221</v>
      </c>
      <c r="H13" s="222" t="s">
        <v>221</v>
      </c>
      <c r="I13" s="222" t="s">
        <v>221</v>
      </c>
      <c r="J13" s="223"/>
      <c r="K13" s="162"/>
      <c r="L13" s="162"/>
    </row>
    <row r="14" spans="1:13" ht="25.5">
      <c r="A14" s="163" t="s">
        <v>584</v>
      </c>
      <c r="B14" s="172" t="s">
        <v>517</v>
      </c>
      <c r="C14" s="222" t="s">
        <v>23</v>
      </c>
      <c r="D14" s="222" t="s">
        <v>23</v>
      </c>
      <c r="E14" s="222" t="s">
        <v>221</v>
      </c>
      <c r="F14" s="222" t="s">
        <v>221</v>
      </c>
      <c r="G14" s="222" t="s">
        <v>221</v>
      </c>
      <c r="H14" s="222" t="s">
        <v>221</v>
      </c>
      <c r="I14" s="222" t="s">
        <v>221</v>
      </c>
      <c r="J14" s="223"/>
      <c r="K14" s="162"/>
      <c r="L14" s="162"/>
    </row>
    <row r="15" spans="1:13" ht="25.5">
      <c r="A15" s="163" t="s">
        <v>585</v>
      </c>
      <c r="B15" s="172" t="s">
        <v>518</v>
      </c>
      <c r="C15" s="222" t="s">
        <v>221</v>
      </c>
      <c r="D15" s="222" t="s">
        <v>221</v>
      </c>
      <c r="E15" s="222" t="s">
        <v>221</v>
      </c>
      <c r="F15" s="222" t="s">
        <v>221</v>
      </c>
      <c r="G15" s="222" t="s">
        <v>221</v>
      </c>
      <c r="H15" s="222" t="s">
        <v>221</v>
      </c>
      <c r="I15" s="222" t="s">
        <v>221</v>
      </c>
      <c r="J15" s="223"/>
      <c r="K15" s="162"/>
      <c r="L15" s="162"/>
    </row>
    <row r="16" spans="1:13" ht="25.5">
      <c r="A16" s="163" t="s">
        <v>586</v>
      </c>
      <c r="B16" s="172" t="s">
        <v>519</v>
      </c>
      <c r="C16" s="222" t="s">
        <v>221</v>
      </c>
      <c r="D16" s="222" t="s">
        <v>221</v>
      </c>
      <c r="E16" s="222" t="s">
        <v>221</v>
      </c>
      <c r="F16" s="222" t="s">
        <v>221</v>
      </c>
      <c r="G16" s="222" t="s">
        <v>221</v>
      </c>
      <c r="H16" s="222" t="s">
        <v>221</v>
      </c>
      <c r="I16" s="222" t="s">
        <v>221</v>
      </c>
      <c r="J16" s="223"/>
      <c r="K16" s="162"/>
      <c r="L16" s="162"/>
    </row>
    <row r="17" spans="1:12" ht="51">
      <c r="A17" s="163" t="s">
        <v>587</v>
      </c>
      <c r="B17" s="172" t="s">
        <v>520</v>
      </c>
      <c r="C17" s="222" t="s">
        <v>221</v>
      </c>
      <c r="D17" s="222" t="s">
        <v>221</v>
      </c>
      <c r="E17" s="222" t="s">
        <v>221</v>
      </c>
      <c r="F17" s="222" t="s">
        <v>221</v>
      </c>
      <c r="G17" s="222" t="s">
        <v>221</v>
      </c>
      <c r="H17" s="222" t="s">
        <v>221</v>
      </c>
      <c r="I17" s="222" t="s">
        <v>221</v>
      </c>
      <c r="J17" s="223"/>
      <c r="K17" s="162"/>
      <c r="L17" s="162"/>
    </row>
    <row r="18" spans="1:12" ht="38.25">
      <c r="A18" s="163" t="s">
        <v>588</v>
      </c>
      <c r="B18" s="172" t="s">
        <v>521</v>
      </c>
      <c r="C18" s="222" t="s">
        <v>221</v>
      </c>
      <c r="D18" s="222" t="s">
        <v>221</v>
      </c>
      <c r="E18" s="222" t="s">
        <v>221</v>
      </c>
      <c r="F18" s="222" t="s">
        <v>221</v>
      </c>
      <c r="G18" s="222" t="s">
        <v>221</v>
      </c>
      <c r="H18" s="222" t="s">
        <v>221</v>
      </c>
      <c r="I18" s="222" t="s">
        <v>221</v>
      </c>
      <c r="J18" s="223"/>
      <c r="K18" s="162"/>
      <c r="L18" s="162"/>
    </row>
    <row r="19" spans="1:12" ht="51">
      <c r="A19" s="163" t="s">
        <v>589</v>
      </c>
      <c r="B19" s="172" t="s">
        <v>522</v>
      </c>
      <c r="C19" s="222" t="s">
        <v>221</v>
      </c>
      <c r="D19" s="222" t="s">
        <v>221</v>
      </c>
      <c r="E19" s="222" t="s">
        <v>221</v>
      </c>
      <c r="F19" s="222" t="s">
        <v>221</v>
      </c>
      <c r="G19" s="222" t="s">
        <v>221</v>
      </c>
      <c r="H19" s="222" t="s">
        <v>221</v>
      </c>
      <c r="I19" s="222" t="s">
        <v>221</v>
      </c>
      <c r="J19" s="223"/>
      <c r="K19" s="162"/>
      <c r="L19" s="162"/>
    </row>
    <row r="20" spans="1:12" ht="38.25">
      <c r="A20" s="163" t="s">
        <v>590</v>
      </c>
      <c r="B20" s="172" t="s">
        <v>523</v>
      </c>
      <c r="C20" s="222" t="s">
        <v>221</v>
      </c>
      <c r="D20" s="222" t="s">
        <v>221</v>
      </c>
      <c r="E20" s="222" t="s">
        <v>221</v>
      </c>
      <c r="F20" s="222" t="s">
        <v>221</v>
      </c>
      <c r="G20" s="222" t="s">
        <v>221</v>
      </c>
      <c r="H20" s="222" t="s">
        <v>221</v>
      </c>
      <c r="I20" s="222" t="s">
        <v>221</v>
      </c>
      <c r="J20" s="223"/>
      <c r="K20" s="162"/>
      <c r="L20" s="162"/>
    </row>
    <row r="21" spans="1:12" ht="25.5">
      <c r="A21" s="163" t="s">
        <v>591</v>
      </c>
      <c r="B21" s="172" t="s">
        <v>524</v>
      </c>
      <c r="C21" s="222" t="s">
        <v>221</v>
      </c>
      <c r="D21" s="222" t="s">
        <v>221</v>
      </c>
      <c r="E21" s="222" t="s">
        <v>221</v>
      </c>
      <c r="F21" s="222" t="s">
        <v>221</v>
      </c>
      <c r="G21" s="222" t="s">
        <v>221</v>
      </c>
      <c r="H21" s="222" t="s">
        <v>221</v>
      </c>
      <c r="I21" s="222" t="s">
        <v>221</v>
      </c>
      <c r="J21" s="223"/>
      <c r="K21" s="162"/>
      <c r="L21" s="162"/>
    </row>
    <row r="22" spans="1:12" ht="38.25">
      <c r="A22" s="163" t="s">
        <v>592</v>
      </c>
      <c r="B22" s="172" t="s">
        <v>566</v>
      </c>
      <c r="C22" s="222" t="s">
        <v>221</v>
      </c>
      <c r="D22" s="222" t="s">
        <v>221</v>
      </c>
      <c r="E22" s="222" t="s">
        <v>221</v>
      </c>
      <c r="F22" s="222" t="s">
        <v>221</v>
      </c>
      <c r="G22" s="222" t="s">
        <v>221</v>
      </c>
      <c r="H22" s="222" t="s">
        <v>221</v>
      </c>
      <c r="I22" s="222" t="s">
        <v>221</v>
      </c>
      <c r="J22" s="223"/>
      <c r="K22" s="162"/>
      <c r="L22" s="162"/>
    </row>
    <row r="23" spans="1:12" ht="25.5">
      <c r="A23" s="163" t="s">
        <v>593</v>
      </c>
      <c r="B23" s="172" t="s">
        <v>567</v>
      </c>
      <c r="C23" s="222" t="s">
        <v>221</v>
      </c>
      <c r="D23" s="222" t="s">
        <v>221</v>
      </c>
      <c r="E23" s="222" t="s">
        <v>221</v>
      </c>
      <c r="F23" s="222" t="s">
        <v>221</v>
      </c>
      <c r="G23" s="222" t="s">
        <v>221</v>
      </c>
      <c r="H23" s="222" t="s">
        <v>221</v>
      </c>
      <c r="I23" s="222" t="s">
        <v>221</v>
      </c>
      <c r="J23" s="223"/>
      <c r="K23" s="162"/>
      <c r="L23" s="162"/>
    </row>
    <row r="24" spans="1:12" ht="18.75">
      <c r="A24" s="160"/>
      <c r="B24" s="169" t="s">
        <v>266</v>
      </c>
      <c r="C24" s="161"/>
      <c r="D24" s="161"/>
      <c r="E24" s="161"/>
      <c r="F24" s="161"/>
      <c r="G24" s="161"/>
      <c r="H24" s="161"/>
      <c r="I24" s="161"/>
      <c r="J24" s="161"/>
      <c r="K24" s="228"/>
      <c r="L24" s="228"/>
    </row>
    <row r="25" spans="1:12" ht="38.25">
      <c r="A25" s="163" t="s">
        <v>594</v>
      </c>
      <c r="B25" s="172" t="s">
        <v>215</v>
      </c>
      <c r="C25" s="222" t="s">
        <v>221</v>
      </c>
      <c r="D25" s="222" t="s">
        <v>221</v>
      </c>
      <c r="E25" s="222" t="s">
        <v>221</v>
      </c>
      <c r="F25" s="222" t="s">
        <v>221</v>
      </c>
      <c r="G25" s="222" t="s">
        <v>221</v>
      </c>
      <c r="H25" s="222" t="s">
        <v>221</v>
      </c>
      <c r="I25" s="222" t="s">
        <v>221</v>
      </c>
      <c r="J25" s="223"/>
      <c r="K25" s="162"/>
      <c r="L25" s="162"/>
    </row>
    <row r="26" spans="1:12" ht="25.5">
      <c r="A26" s="163" t="s">
        <v>595</v>
      </c>
      <c r="B26" s="172" t="s">
        <v>216</v>
      </c>
      <c r="C26" s="222" t="s">
        <v>221</v>
      </c>
      <c r="D26" s="222" t="s">
        <v>221</v>
      </c>
      <c r="E26" s="222" t="s">
        <v>221</v>
      </c>
      <c r="F26" s="222" t="s">
        <v>221</v>
      </c>
      <c r="G26" s="222" t="s">
        <v>221</v>
      </c>
      <c r="H26" s="222" t="s">
        <v>221</v>
      </c>
      <c r="I26" s="222" t="s">
        <v>221</v>
      </c>
      <c r="J26" s="223"/>
      <c r="K26" s="162"/>
      <c r="L26" s="162"/>
    </row>
    <row r="27" spans="1:12" ht="38.25">
      <c r="A27" s="163" t="s">
        <v>596</v>
      </c>
      <c r="B27" s="172" t="s">
        <v>217</v>
      </c>
      <c r="C27" s="222" t="s">
        <v>221</v>
      </c>
      <c r="D27" s="222" t="s">
        <v>221</v>
      </c>
      <c r="E27" s="222" t="s">
        <v>221</v>
      </c>
      <c r="F27" s="222" t="s">
        <v>221</v>
      </c>
      <c r="G27" s="222" t="s">
        <v>221</v>
      </c>
      <c r="H27" s="222" t="s">
        <v>221</v>
      </c>
      <c r="I27" s="222" t="s">
        <v>221</v>
      </c>
      <c r="J27" s="223"/>
      <c r="K27" s="162"/>
      <c r="L27" s="162"/>
    </row>
    <row r="28" spans="1:12" ht="38.25">
      <c r="A28" s="163" t="s">
        <v>597</v>
      </c>
      <c r="B28" s="172" t="s">
        <v>218</v>
      </c>
      <c r="C28" s="222" t="s">
        <v>221</v>
      </c>
      <c r="D28" s="222" t="s">
        <v>221</v>
      </c>
      <c r="E28" s="222" t="s">
        <v>221</v>
      </c>
      <c r="F28" s="222" t="s">
        <v>221</v>
      </c>
      <c r="G28" s="222" t="s">
        <v>221</v>
      </c>
      <c r="H28" s="222" t="s">
        <v>221</v>
      </c>
      <c r="I28" s="222" t="s">
        <v>221</v>
      </c>
      <c r="J28" s="223"/>
      <c r="K28" s="162"/>
      <c r="L28" s="162"/>
    </row>
    <row r="29" spans="1:12" ht="18.75">
      <c r="A29" s="160"/>
      <c r="B29" s="169" t="s">
        <v>267</v>
      </c>
      <c r="C29" s="161"/>
      <c r="D29" s="161"/>
      <c r="E29" s="161"/>
      <c r="F29" s="161"/>
      <c r="G29" s="161"/>
      <c r="H29" s="161"/>
      <c r="I29" s="161"/>
      <c r="J29" s="161"/>
      <c r="K29" s="228"/>
      <c r="L29" s="228"/>
    </row>
    <row r="30" spans="1:12" ht="38.25">
      <c r="A30" s="163" t="s">
        <v>598</v>
      </c>
      <c r="B30" s="172" t="s">
        <v>219</v>
      </c>
      <c r="C30" s="222" t="s">
        <v>221</v>
      </c>
      <c r="D30" s="222" t="s">
        <v>221</v>
      </c>
      <c r="E30" s="222" t="s">
        <v>221</v>
      </c>
      <c r="F30" s="222" t="s">
        <v>221</v>
      </c>
      <c r="G30" s="222" t="s">
        <v>221</v>
      </c>
      <c r="H30" s="222" t="s">
        <v>221</v>
      </c>
      <c r="I30" s="222" t="s">
        <v>221</v>
      </c>
      <c r="J30" s="223"/>
      <c r="K30" s="162"/>
      <c r="L30" s="162"/>
    </row>
    <row r="31" spans="1:12" ht="38.25">
      <c r="A31" s="163" t="s">
        <v>599</v>
      </c>
      <c r="B31" s="172" t="s">
        <v>220</v>
      </c>
      <c r="C31" s="222" t="s">
        <v>221</v>
      </c>
      <c r="D31" s="222" t="s">
        <v>221</v>
      </c>
      <c r="E31" s="222" t="s">
        <v>221</v>
      </c>
      <c r="F31" s="222" t="s">
        <v>221</v>
      </c>
      <c r="G31" s="222" t="s">
        <v>221</v>
      </c>
      <c r="H31" s="222" t="s">
        <v>221</v>
      </c>
      <c r="I31" s="222" t="s">
        <v>221</v>
      </c>
      <c r="J31" s="223"/>
      <c r="K31" s="162"/>
      <c r="L31" s="162"/>
    </row>
    <row r="32" spans="1:12" ht="18.75">
      <c r="A32" s="160"/>
      <c r="B32" s="169" t="s">
        <v>213</v>
      </c>
      <c r="C32" s="161"/>
      <c r="D32" s="161"/>
      <c r="E32" s="161"/>
      <c r="F32" s="161"/>
      <c r="G32" s="161"/>
      <c r="H32" s="161"/>
      <c r="I32" s="161"/>
      <c r="J32" s="161"/>
      <c r="K32" s="228"/>
      <c r="L32" s="228"/>
    </row>
    <row r="33" spans="1:12" ht="51">
      <c r="A33" s="163" t="s">
        <v>600</v>
      </c>
      <c r="B33" s="172" t="s">
        <v>214</v>
      </c>
      <c r="C33" s="222" t="s">
        <v>11</v>
      </c>
      <c r="D33" s="222" t="s">
        <v>11</v>
      </c>
      <c r="E33" s="222" t="s">
        <v>11</v>
      </c>
      <c r="F33" s="222" t="s">
        <v>11</v>
      </c>
      <c r="G33" s="222" t="s">
        <v>11</v>
      </c>
      <c r="H33" s="222" t="s">
        <v>11</v>
      </c>
      <c r="I33" s="222" t="s">
        <v>11</v>
      </c>
      <c r="J33" s="223"/>
      <c r="K33" s="162"/>
      <c r="L33" s="162"/>
    </row>
    <row r="34" spans="1:12" ht="18">
      <c r="A34" s="224"/>
      <c r="B34" s="225" t="s">
        <v>286</v>
      </c>
      <c r="C34" s="224"/>
      <c r="D34" s="224"/>
      <c r="E34" s="224"/>
      <c r="F34" s="224"/>
      <c r="G34" s="224"/>
      <c r="H34" s="224"/>
      <c r="I34" s="224"/>
      <c r="J34" s="224"/>
      <c r="K34" s="224"/>
      <c r="L34" s="224"/>
    </row>
    <row r="35" spans="1:12" ht="15">
      <c r="A35" s="165"/>
      <c r="B35" s="166"/>
      <c r="C35" s="167"/>
      <c r="D35" s="167"/>
      <c r="E35" s="167"/>
      <c r="F35" s="167"/>
      <c r="G35" s="167"/>
      <c r="H35" s="167"/>
      <c r="I35" s="167"/>
      <c r="J35" s="167"/>
      <c r="K35" s="167"/>
      <c r="L35" s="168"/>
    </row>
    <row r="36" spans="1:12" ht="15">
      <c r="A36" s="229"/>
      <c r="B36" s="230" t="s">
        <v>619</v>
      </c>
      <c r="C36" s="229"/>
      <c r="D36" s="229"/>
      <c r="E36" s="229"/>
      <c r="F36" s="229"/>
      <c r="G36" s="229"/>
      <c r="H36" s="229"/>
      <c r="I36" s="229"/>
      <c r="J36" s="229"/>
      <c r="K36" s="229"/>
      <c r="L36" s="229"/>
    </row>
  </sheetData>
  <mergeCells count="1">
    <mergeCell ref="K2:L2"/>
  </mergeCells>
  <conditionalFormatting sqref="C6">
    <cfRule type="cellIs" dxfId="764" priority="1183" operator="equal">
      <formula>"No"</formula>
    </cfRule>
    <cfRule type="cellIs" dxfId="763" priority="1184" operator="equal">
      <formula>"NA"</formula>
    </cfRule>
    <cfRule type="cellIs" dxfId="762" priority="1185" operator="equal">
      <formula>"Yes"</formula>
    </cfRule>
  </conditionalFormatting>
  <conditionalFormatting sqref="C7">
    <cfRule type="cellIs" dxfId="761" priority="1180" operator="equal">
      <formula>"No"</formula>
    </cfRule>
    <cfRule type="cellIs" dxfId="760" priority="1181" operator="equal">
      <formula>"NA"</formula>
    </cfRule>
    <cfRule type="cellIs" dxfId="759" priority="1182" operator="equal">
      <formula>"Yes"</formula>
    </cfRule>
  </conditionalFormatting>
  <conditionalFormatting sqref="C9">
    <cfRule type="cellIs" dxfId="758" priority="1177" operator="equal">
      <formula>"No"</formula>
    </cfRule>
    <cfRule type="cellIs" dxfId="757" priority="1178" operator="equal">
      <formula>"NA"</formula>
    </cfRule>
    <cfRule type="cellIs" dxfId="756" priority="1179" operator="equal">
      <formula>"Yes"</formula>
    </cfRule>
  </conditionalFormatting>
  <conditionalFormatting sqref="C10">
    <cfRule type="cellIs" dxfId="755" priority="1174" operator="equal">
      <formula>"No"</formula>
    </cfRule>
    <cfRule type="cellIs" dxfId="754" priority="1175" operator="equal">
      <formula>"NA"</formula>
    </cfRule>
    <cfRule type="cellIs" dxfId="753" priority="1176" operator="equal">
      <formula>"Yes"</formula>
    </cfRule>
  </conditionalFormatting>
  <conditionalFormatting sqref="C25">
    <cfRule type="cellIs" dxfId="752" priority="1132" operator="equal">
      <formula>"No"</formula>
    </cfRule>
    <cfRule type="cellIs" dxfId="751" priority="1133" operator="equal">
      <formula>"NA"</formula>
    </cfRule>
    <cfRule type="cellIs" dxfId="750" priority="1134" operator="equal">
      <formula>"Yes"</formula>
    </cfRule>
  </conditionalFormatting>
  <conditionalFormatting sqref="C33">
    <cfRule type="cellIs" dxfId="749" priority="1114" operator="equal">
      <formula>"No"</formula>
    </cfRule>
    <cfRule type="cellIs" dxfId="748" priority="1115" operator="equal">
      <formula>"NA"</formula>
    </cfRule>
    <cfRule type="cellIs" dxfId="747" priority="1116" operator="equal">
      <formula>"Yes"</formula>
    </cfRule>
  </conditionalFormatting>
  <conditionalFormatting sqref="D6">
    <cfRule type="cellIs" dxfId="746" priority="1111" operator="equal">
      <formula>"No"</formula>
    </cfRule>
    <cfRule type="cellIs" dxfId="745" priority="1112" operator="equal">
      <formula>"NA"</formula>
    </cfRule>
    <cfRule type="cellIs" dxfId="744" priority="1113" operator="equal">
      <formula>"Yes"</formula>
    </cfRule>
  </conditionalFormatting>
  <conditionalFormatting sqref="D7">
    <cfRule type="cellIs" dxfId="743" priority="1108" operator="equal">
      <formula>"No"</formula>
    </cfRule>
    <cfRule type="cellIs" dxfId="742" priority="1109" operator="equal">
      <formula>"NA"</formula>
    </cfRule>
    <cfRule type="cellIs" dxfId="741" priority="1110" operator="equal">
      <formula>"Yes"</formula>
    </cfRule>
  </conditionalFormatting>
  <conditionalFormatting sqref="D9">
    <cfRule type="cellIs" dxfId="740" priority="1105" operator="equal">
      <formula>"No"</formula>
    </cfRule>
    <cfRule type="cellIs" dxfId="739" priority="1106" operator="equal">
      <formula>"NA"</formula>
    </cfRule>
    <cfRule type="cellIs" dxfId="738" priority="1107" operator="equal">
      <formula>"Yes"</formula>
    </cfRule>
  </conditionalFormatting>
  <conditionalFormatting sqref="D14">
    <cfRule type="cellIs" dxfId="737" priority="1090" operator="equal">
      <formula>"No"</formula>
    </cfRule>
    <cfRule type="cellIs" dxfId="736" priority="1091" operator="equal">
      <formula>"NA"</formula>
    </cfRule>
    <cfRule type="cellIs" dxfId="735" priority="1092" operator="equal">
      <formula>"Yes"</formula>
    </cfRule>
  </conditionalFormatting>
  <conditionalFormatting sqref="D15">
    <cfRule type="cellIs" dxfId="734" priority="1087" operator="equal">
      <formula>"No"</formula>
    </cfRule>
    <cfRule type="cellIs" dxfId="733" priority="1088" operator="equal">
      <formula>"NA"</formula>
    </cfRule>
    <cfRule type="cellIs" dxfId="732" priority="1089" operator="equal">
      <formula>"Yes"</formula>
    </cfRule>
  </conditionalFormatting>
  <conditionalFormatting sqref="D25">
    <cfRule type="cellIs" dxfId="731" priority="1060" operator="equal">
      <formula>"No"</formula>
    </cfRule>
    <cfRule type="cellIs" dxfId="730" priority="1061" operator="equal">
      <formula>"NA"</formula>
    </cfRule>
    <cfRule type="cellIs" dxfId="729" priority="1062" operator="equal">
      <formula>"Yes"</formula>
    </cfRule>
  </conditionalFormatting>
  <conditionalFormatting sqref="D33">
    <cfRule type="cellIs" dxfId="728" priority="1042" operator="equal">
      <formula>"No"</formula>
    </cfRule>
    <cfRule type="cellIs" dxfId="727" priority="1043" operator="equal">
      <formula>"NA"</formula>
    </cfRule>
    <cfRule type="cellIs" dxfId="726" priority="1044" operator="equal">
      <formula>"Yes"</formula>
    </cfRule>
  </conditionalFormatting>
  <conditionalFormatting sqref="D10">
    <cfRule type="cellIs" dxfId="725" priority="967" operator="equal">
      <formula>"No"</formula>
    </cfRule>
    <cfRule type="cellIs" dxfId="724" priority="968" operator="equal">
      <formula>"NA"</formula>
    </cfRule>
    <cfRule type="cellIs" dxfId="723" priority="969" operator="equal">
      <formula>"Yes"</formula>
    </cfRule>
  </conditionalFormatting>
  <conditionalFormatting sqref="C11">
    <cfRule type="cellIs" dxfId="722" priority="961" operator="equal">
      <formula>"No"</formula>
    </cfRule>
    <cfRule type="cellIs" dxfId="721" priority="962" operator="equal">
      <formula>"NA"</formula>
    </cfRule>
    <cfRule type="cellIs" dxfId="720" priority="963" operator="equal">
      <formula>"Yes"</formula>
    </cfRule>
  </conditionalFormatting>
  <conditionalFormatting sqref="D11">
    <cfRule type="cellIs" dxfId="719" priority="958" operator="equal">
      <formula>"No"</formula>
    </cfRule>
    <cfRule type="cellIs" dxfId="718" priority="959" operator="equal">
      <formula>"NA"</formula>
    </cfRule>
    <cfRule type="cellIs" dxfId="717" priority="960" operator="equal">
      <formula>"Yes"</formula>
    </cfRule>
  </conditionalFormatting>
  <conditionalFormatting sqref="C12">
    <cfRule type="cellIs" dxfId="716" priority="952" operator="equal">
      <formula>"No"</formula>
    </cfRule>
    <cfRule type="cellIs" dxfId="715" priority="953" operator="equal">
      <formula>"NA"</formula>
    </cfRule>
    <cfRule type="cellIs" dxfId="714" priority="954" operator="equal">
      <formula>"Yes"</formula>
    </cfRule>
  </conditionalFormatting>
  <conditionalFormatting sqref="D12">
    <cfRule type="cellIs" dxfId="713" priority="949" operator="equal">
      <formula>"No"</formula>
    </cfRule>
    <cfRule type="cellIs" dxfId="712" priority="950" operator="equal">
      <formula>"NA"</formula>
    </cfRule>
    <cfRule type="cellIs" dxfId="711" priority="951" operator="equal">
      <formula>"Yes"</formula>
    </cfRule>
  </conditionalFormatting>
  <conditionalFormatting sqref="C13">
    <cfRule type="cellIs" dxfId="710" priority="943" operator="equal">
      <formula>"No"</formula>
    </cfRule>
    <cfRule type="cellIs" dxfId="709" priority="944" operator="equal">
      <formula>"NA"</formula>
    </cfRule>
    <cfRule type="cellIs" dxfId="708" priority="945" operator="equal">
      <formula>"Yes"</formula>
    </cfRule>
  </conditionalFormatting>
  <conditionalFormatting sqref="D13">
    <cfRule type="cellIs" dxfId="707" priority="940" operator="equal">
      <formula>"No"</formula>
    </cfRule>
    <cfRule type="cellIs" dxfId="706" priority="941" operator="equal">
      <formula>"NA"</formula>
    </cfRule>
    <cfRule type="cellIs" dxfId="705" priority="942" operator="equal">
      <formula>"Yes"</formula>
    </cfRule>
  </conditionalFormatting>
  <conditionalFormatting sqref="C14">
    <cfRule type="cellIs" dxfId="704" priority="934" operator="equal">
      <formula>"No"</formula>
    </cfRule>
    <cfRule type="cellIs" dxfId="703" priority="935" operator="equal">
      <formula>"NA"</formula>
    </cfRule>
    <cfRule type="cellIs" dxfId="702" priority="936" operator="equal">
      <formula>"Yes"</formula>
    </cfRule>
  </conditionalFormatting>
  <conditionalFormatting sqref="C15">
    <cfRule type="cellIs" dxfId="701" priority="928" operator="equal">
      <formula>"No"</formula>
    </cfRule>
    <cfRule type="cellIs" dxfId="700" priority="929" operator="equal">
      <formula>"NA"</formula>
    </cfRule>
    <cfRule type="cellIs" dxfId="699" priority="930" operator="equal">
      <formula>"Yes"</formula>
    </cfRule>
  </conditionalFormatting>
  <conditionalFormatting sqref="C16">
    <cfRule type="cellIs" dxfId="698" priority="922" operator="equal">
      <formula>"No"</formula>
    </cfRule>
    <cfRule type="cellIs" dxfId="697" priority="923" operator="equal">
      <formula>"NA"</formula>
    </cfRule>
    <cfRule type="cellIs" dxfId="696" priority="924" operator="equal">
      <formula>"Yes"</formula>
    </cfRule>
  </conditionalFormatting>
  <conditionalFormatting sqref="D16">
    <cfRule type="cellIs" dxfId="695" priority="916" operator="equal">
      <formula>"No"</formula>
    </cfRule>
    <cfRule type="cellIs" dxfId="694" priority="917" operator="equal">
      <formula>"NA"</formula>
    </cfRule>
    <cfRule type="cellIs" dxfId="693" priority="918" operator="equal">
      <formula>"Yes"</formula>
    </cfRule>
  </conditionalFormatting>
  <conditionalFormatting sqref="C17">
    <cfRule type="cellIs" dxfId="692" priority="913" operator="equal">
      <formula>"No"</formula>
    </cfRule>
    <cfRule type="cellIs" dxfId="691" priority="914" operator="equal">
      <formula>"NA"</formula>
    </cfRule>
    <cfRule type="cellIs" dxfId="690" priority="915" operator="equal">
      <formula>"Yes"</formula>
    </cfRule>
  </conditionalFormatting>
  <conditionalFormatting sqref="D17">
    <cfRule type="cellIs" dxfId="689" priority="910" operator="equal">
      <formula>"No"</formula>
    </cfRule>
    <cfRule type="cellIs" dxfId="688" priority="911" operator="equal">
      <formula>"NA"</formula>
    </cfRule>
    <cfRule type="cellIs" dxfId="687" priority="912" operator="equal">
      <formula>"Yes"</formula>
    </cfRule>
  </conditionalFormatting>
  <conditionalFormatting sqref="C18">
    <cfRule type="cellIs" dxfId="686" priority="904" operator="equal">
      <formula>"No"</formula>
    </cfRule>
    <cfRule type="cellIs" dxfId="685" priority="905" operator="equal">
      <formula>"NA"</formula>
    </cfRule>
    <cfRule type="cellIs" dxfId="684" priority="906" operator="equal">
      <formula>"Yes"</formula>
    </cfRule>
  </conditionalFormatting>
  <conditionalFormatting sqref="D18">
    <cfRule type="cellIs" dxfId="683" priority="901" operator="equal">
      <formula>"No"</formula>
    </cfRule>
    <cfRule type="cellIs" dxfId="682" priority="902" operator="equal">
      <formula>"NA"</formula>
    </cfRule>
    <cfRule type="cellIs" dxfId="681" priority="903" operator="equal">
      <formula>"Yes"</formula>
    </cfRule>
  </conditionalFormatting>
  <conditionalFormatting sqref="C19">
    <cfRule type="cellIs" dxfId="680" priority="895" operator="equal">
      <formula>"No"</formula>
    </cfRule>
    <cfRule type="cellIs" dxfId="679" priority="896" operator="equal">
      <formula>"NA"</formula>
    </cfRule>
    <cfRule type="cellIs" dxfId="678" priority="897" operator="equal">
      <formula>"Yes"</formula>
    </cfRule>
  </conditionalFormatting>
  <conditionalFormatting sqref="D19">
    <cfRule type="cellIs" dxfId="677" priority="892" operator="equal">
      <formula>"No"</formula>
    </cfRule>
    <cfRule type="cellIs" dxfId="676" priority="893" operator="equal">
      <formula>"NA"</formula>
    </cfRule>
    <cfRule type="cellIs" dxfId="675" priority="894" operator="equal">
      <formula>"Yes"</formula>
    </cfRule>
  </conditionalFormatting>
  <conditionalFormatting sqref="C20">
    <cfRule type="cellIs" dxfId="674" priority="886" operator="equal">
      <formula>"No"</formula>
    </cfRule>
    <cfRule type="cellIs" dxfId="673" priority="887" operator="equal">
      <formula>"NA"</formula>
    </cfRule>
    <cfRule type="cellIs" dxfId="672" priority="888" operator="equal">
      <formula>"Yes"</formula>
    </cfRule>
  </conditionalFormatting>
  <conditionalFormatting sqref="D20">
    <cfRule type="cellIs" dxfId="671" priority="874" operator="equal">
      <formula>"No"</formula>
    </cfRule>
    <cfRule type="cellIs" dxfId="670" priority="875" operator="equal">
      <formula>"NA"</formula>
    </cfRule>
    <cfRule type="cellIs" dxfId="669" priority="876" operator="equal">
      <formula>"Yes"</formula>
    </cfRule>
  </conditionalFormatting>
  <conditionalFormatting sqref="C21">
    <cfRule type="cellIs" dxfId="668" priority="871" operator="equal">
      <formula>"No"</formula>
    </cfRule>
    <cfRule type="cellIs" dxfId="667" priority="872" operator="equal">
      <formula>"NA"</formula>
    </cfRule>
    <cfRule type="cellIs" dxfId="666" priority="873" operator="equal">
      <formula>"Yes"</formula>
    </cfRule>
  </conditionalFormatting>
  <conditionalFormatting sqref="D21">
    <cfRule type="cellIs" dxfId="665" priority="865" operator="equal">
      <formula>"No"</formula>
    </cfRule>
    <cfRule type="cellIs" dxfId="664" priority="866" operator="equal">
      <formula>"NA"</formula>
    </cfRule>
    <cfRule type="cellIs" dxfId="663" priority="867" operator="equal">
      <formula>"Yes"</formula>
    </cfRule>
  </conditionalFormatting>
  <conditionalFormatting sqref="C22">
    <cfRule type="cellIs" dxfId="662" priority="862" operator="equal">
      <formula>"No"</formula>
    </cfRule>
    <cfRule type="cellIs" dxfId="661" priority="863" operator="equal">
      <formula>"NA"</formula>
    </cfRule>
    <cfRule type="cellIs" dxfId="660" priority="864" operator="equal">
      <formula>"Yes"</formula>
    </cfRule>
  </conditionalFormatting>
  <conditionalFormatting sqref="D22">
    <cfRule type="cellIs" dxfId="659" priority="856" operator="equal">
      <formula>"No"</formula>
    </cfRule>
    <cfRule type="cellIs" dxfId="658" priority="857" operator="equal">
      <formula>"NA"</formula>
    </cfRule>
    <cfRule type="cellIs" dxfId="657" priority="858" operator="equal">
      <formula>"Yes"</formula>
    </cfRule>
  </conditionalFormatting>
  <conditionalFormatting sqref="C23">
    <cfRule type="cellIs" dxfId="656" priority="853" operator="equal">
      <formula>"No"</formula>
    </cfRule>
    <cfRule type="cellIs" dxfId="655" priority="854" operator="equal">
      <formula>"NA"</formula>
    </cfRule>
    <cfRule type="cellIs" dxfId="654" priority="855" operator="equal">
      <formula>"Yes"</formula>
    </cfRule>
  </conditionalFormatting>
  <conditionalFormatting sqref="D23">
    <cfRule type="cellIs" dxfId="653" priority="847" operator="equal">
      <formula>"No"</formula>
    </cfRule>
    <cfRule type="cellIs" dxfId="652" priority="848" operator="equal">
      <formula>"NA"</formula>
    </cfRule>
    <cfRule type="cellIs" dxfId="651" priority="849" operator="equal">
      <formula>"Yes"</formula>
    </cfRule>
  </conditionalFormatting>
  <conditionalFormatting sqref="C26">
    <cfRule type="cellIs" dxfId="650" priority="844" operator="equal">
      <formula>"No"</formula>
    </cfRule>
    <cfRule type="cellIs" dxfId="649" priority="845" operator="equal">
      <formula>"NA"</formula>
    </cfRule>
    <cfRule type="cellIs" dxfId="648" priority="846" operator="equal">
      <formula>"Yes"</formula>
    </cfRule>
  </conditionalFormatting>
  <conditionalFormatting sqref="D26">
    <cfRule type="cellIs" dxfId="647" priority="838" operator="equal">
      <formula>"No"</formula>
    </cfRule>
    <cfRule type="cellIs" dxfId="646" priority="839" operator="equal">
      <formula>"NA"</formula>
    </cfRule>
    <cfRule type="cellIs" dxfId="645" priority="840" operator="equal">
      <formula>"Yes"</formula>
    </cfRule>
  </conditionalFormatting>
  <conditionalFormatting sqref="C27:C28">
    <cfRule type="cellIs" dxfId="644" priority="835" operator="equal">
      <formula>"No"</formula>
    </cfRule>
    <cfRule type="cellIs" dxfId="643" priority="836" operator="equal">
      <formula>"NA"</formula>
    </cfRule>
    <cfRule type="cellIs" dxfId="642" priority="837" operator="equal">
      <formula>"Yes"</formula>
    </cfRule>
  </conditionalFormatting>
  <conditionalFormatting sqref="D27:D28">
    <cfRule type="cellIs" dxfId="641" priority="829" operator="equal">
      <formula>"No"</formula>
    </cfRule>
    <cfRule type="cellIs" dxfId="640" priority="830" operator="equal">
      <formula>"NA"</formula>
    </cfRule>
    <cfRule type="cellIs" dxfId="639" priority="831" operator="equal">
      <formula>"Yes"</formula>
    </cfRule>
  </conditionalFormatting>
  <conditionalFormatting sqref="C30">
    <cfRule type="cellIs" dxfId="638" priority="826" operator="equal">
      <formula>"No"</formula>
    </cfRule>
    <cfRule type="cellIs" dxfId="637" priority="827" operator="equal">
      <formula>"NA"</formula>
    </cfRule>
    <cfRule type="cellIs" dxfId="636" priority="828" operator="equal">
      <formula>"Yes"</formula>
    </cfRule>
  </conditionalFormatting>
  <conditionalFormatting sqref="D30">
    <cfRule type="cellIs" dxfId="635" priority="820" operator="equal">
      <formula>"No"</formula>
    </cfRule>
    <cfRule type="cellIs" dxfId="634" priority="821" operator="equal">
      <formula>"NA"</formula>
    </cfRule>
    <cfRule type="cellIs" dxfId="633" priority="822" operator="equal">
      <formula>"Yes"</formula>
    </cfRule>
  </conditionalFormatting>
  <conditionalFormatting sqref="C31">
    <cfRule type="cellIs" dxfId="632" priority="817" operator="equal">
      <formula>"No"</formula>
    </cfRule>
    <cfRule type="cellIs" dxfId="631" priority="818" operator="equal">
      <formula>"NA"</formula>
    </cfRule>
    <cfRule type="cellIs" dxfId="630" priority="819" operator="equal">
      <formula>"Yes"</formula>
    </cfRule>
  </conditionalFormatting>
  <conditionalFormatting sqref="D31">
    <cfRule type="cellIs" dxfId="629" priority="811" operator="equal">
      <formula>"No"</formula>
    </cfRule>
    <cfRule type="cellIs" dxfId="628" priority="812" operator="equal">
      <formula>"NA"</formula>
    </cfRule>
    <cfRule type="cellIs" dxfId="627" priority="813" operator="equal">
      <formula>"Yes"</formula>
    </cfRule>
  </conditionalFormatting>
  <conditionalFormatting sqref="E6">
    <cfRule type="cellIs" dxfId="626" priority="274" operator="equal">
      <formula>"No"</formula>
    </cfRule>
    <cfRule type="cellIs" dxfId="625" priority="275" operator="equal">
      <formula>"NA"</formula>
    </cfRule>
    <cfRule type="cellIs" dxfId="624" priority="276" operator="equal">
      <formula>"Yes"</formula>
    </cfRule>
  </conditionalFormatting>
  <conditionalFormatting sqref="E7">
    <cfRule type="cellIs" dxfId="623" priority="271" operator="equal">
      <formula>"No"</formula>
    </cfRule>
    <cfRule type="cellIs" dxfId="622" priority="272" operator="equal">
      <formula>"NA"</formula>
    </cfRule>
    <cfRule type="cellIs" dxfId="621" priority="273" operator="equal">
      <formula>"Yes"</formula>
    </cfRule>
  </conditionalFormatting>
  <conditionalFormatting sqref="E9">
    <cfRule type="cellIs" dxfId="620" priority="268" operator="equal">
      <formula>"No"</formula>
    </cfRule>
    <cfRule type="cellIs" dxfId="619" priority="269" operator="equal">
      <formula>"NA"</formula>
    </cfRule>
    <cfRule type="cellIs" dxfId="618" priority="270" operator="equal">
      <formula>"Yes"</formula>
    </cfRule>
  </conditionalFormatting>
  <conditionalFormatting sqref="E10">
    <cfRule type="cellIs" dxfId="617" priority="265" operator="equal">
      <formula>"No"</formula>
    </cfRule>
    <cfRule type="cellIs" dxfId="616" priority="266" operator="equal">
      <formula>"NA"</formula>
    </cfRule>
    <cfRule type="cellIs" dxfId="615" priority="267" operator="equal">
      <formula>"Yes"</formula>
    </cfRule>
  </conditionalFormatting>
  <conditionalFormatting sqref="E25">
    <cfRule type="cellIs" dxfId="614" priority="262" operator="equal">
      <formula>"No"</formula>
    </cfRule>
    <cfRule type="cellIs" dxfId="613" priority="263" operator="equal">
      <formula>"NA"</formula>
    </cfRule>
    <cfRule type="cellIs" dxfId="612" priority="264" operator="equal">
      <formula>"Yes"</formula>
    </cfRule>
  </conditionalFormatting>
  <conditionalFormatting sqref="E33">
    <cfRule type="cellIs" dxfId="611" priority="259" operator="equal">
      <formula>"No"</formula>
    </cfRule>
    <cfRule type="cellIs" dxfId="610" priority="260" operator="equal">
      <formula>"NA"</formula>
    </cfRule>
    <cfRule type="cellIs" dxfId="609" priority="261" operator="equal">
      <formula>"Yes"</formula>
    </cfRule>
  </conditionalFormatting>
  <conditionalFormatting sqref="F6">
    <cfRule type="cellIs" dxfId="608" priority="256" operator="equal">
      <formula>"No"</formula>
    </cfRule>
    <cfRule type="cellIs" dxfId="607" priority="257" operator="equal">
      <formula>"NA"</formula>
    </cfRule>
    <cfRule type="cellIs" dxfId="606" priority="258" operator="equal">
      <formula>"Yes"</formula>
    </cfRule>
  </conditionalFormatting>
  <conditionalFormatting sqref="F7">
    <cfRule type="cellIs" dxfId="605" priority="253" operator="equal">
      <formula>"No"</formula>
    </cfRule>
    <cfRule type="cellIs" dxfId="604" priority="254" operator="equal">
      <formula>"NA"</formula>
    </cfRule>
    <cfRule type="cellIs" dxfId="603" priority="255" operator="equal">
      <formula>"Yes"</formula>
    </cfRule>
  </conditionalFormatting>
  <conditionalFormatting sqref="F9">
    <cfRule type="cellIs" dxfId="602" priority="250" operator="equal">
      <formula>"No"</formula>
    </cfRule>
    <cfRule type="cellIs" dxfId="601" priority="251" operator="equal">
      <formula>"NA"</formula>
    </cfRule>
    <cfRule type="cellIs" dxfId="600" priority="252" operator="equal">
      <formula>"Yes"</formula>
    </cfRule>
  </conditionalFormatting>
  <conditionalFormatting sqref="F14">
    <cfRule type="cellIs" dxfId="599" priority="247" operator="equal">
      <formula>"No"</formula>
    </cfRule>
    <cfRule type="cellIs" dxfId="598" priority="248" operator="equal">
      <formula>"NA"</formula>
    </cfRule>
    <cfRule type="cellIs" dxfId="597" priority="249" operator="equal">
      <formula>"Yes"</formula>
    </cfRule>
  </conditionalFormatting>
  <conditionalFormatting sqref="F15">
    <cfRule type="cellIs" dxfId="596" priority="244" operator="equal">
      <formula>"No"</formula>
    </cfRule>
    <cfRule type="cellIs" dxfId="595" priority="245" operator="equal">
      <formula>"NA"</formula>
    </cfRule>
    <cfRule type="cellIs" dxfId="594" priority="246" operator="equal">
      <formula>"Yes"</formula>
    </cfRule>
  </conditionalFormatting>
  <conditionalFormatting sqref="F25">
    <cfRule type="cellIs" dxfId="593" priority="241" operator="equal">
      <formula>"No"</formula>
    </cfRule>
    <cfRule type="cellIs" dxfId="592" priority="242" operator="equal">
      <formula>"NA"</formula>
    </cfRule>
    <cfRule type="cellIs" dxfId="591" priority="243" operator="equal">
      <formula>"Yes"</formula>
    </cfRule>
  </conditionalFormatting>
  <conditionalFormatting sqref="F33">
    <cfRule type="cellIs" dxfId="590" priority="238" operator="equal">
      <formula>"No"</formula>
    </cfRule>
    <cfRule type="cellIs" dxfId="589" priority="239" operator="equal">
      <formula>"NA"</formula>
    </cfRule>
    <cfRule type="cellIs" dxfId="588" priority="240" operator="equal">
      <formula>"Yes"</formula>
    </cfRule>
  </conditionalFormatting>
  <conditionalFormatting sqref="F10">
    <cfRule type="cellIs" dxfId="587" priority="235" operator="equal">
      <formula>"No"</formula>
    </cfRule>
    <cfRule type="cellIs" dxfId="586" priority="236" operator="equal">
      <formula>"NA"</formula>
    </cfRule>
    <cfRule type="cellIs" dxfId="585" priority="237" operator="equal">
      <formula>"Yes"</formula>
    </cfRule>
  </conditionalFormatting>
  <conditionalFormatting sqref="E11">
    <cfRule type="cellIs" dxfId="584" priority="232" operator="equal">
      <formula>"No"</formula>
    </cfRule>
    <cfRule type="cellIs" dxfId="583" priority="233" operator="equal">
      <formula>"NA"</formula>
    </cfRule>
    <cfRule type="cellIs" dxfId="582" priority="234" operator="equal">
      <formula>"Yes"</formula>
    </cfRule>
  </conditionalFormatting>
  <conditionalFormatting sqref="F11">
    <cfRule type="cellIs" dxfId="581" priority="229" operator="equal">
      <formula>"No"</formula>
    </cfRule>
    <cfRule type="cellIs" dxfId="580" priority="230" operator="equal">
      <formula>"NA"</formula>
    </cfRule>
    <cfRule type="cellIs" dxfId="579" priority="231" operator="equal">
      <formula>"Yes"</formula>
    </cfRule>
  </conditionalFormatting>
  <conditionalFormatting sqref="E12">
    <cfRule type="cellIs" dxfId="578" priority="226" operator="equal">
      <formula>"No"</formula>
    </cfRule>
    <cfRule type="cellIs" dxfId="577" priority="227" operator="equal">
      <formula>"NA"</formula>
    </cfRule>
    <cfRule type="cellIs" dxfId="576" priority="228" operator="equal">
      <formula>"Yes"</formula>
    </cfRule>
  </conditionalFormatting>
  <conditionalFormatting sqref="F12">
    <cfRule type="cellIs" dxfId="575" priority="223" operator="equal">
      <formula>"No"</formula>
    </cfRule>
    <cfRule type="cellIs" dxfId="574" priority="224" operator="equal">
      <formula>"NA"</formula>
    </cfRule>
    <cfRule type="cellIs" dxfId="573" priority="225" operator="equal">
      <formula>"Yes"</formula>
    </cfRule>
  </conditionalFormatting>
  <conditionalFormatting sqref="E13">
    <cfRule type="cellIs" dxfId="572" priority="220" operator="equal">
      <formula>"No"</formula>
    </cfRule>
    <cfRule type="cellIs" dxfId="571" priority="221" operator="equal">
      <formula>"NA"</formula>
    </cfRule>
    <cfRule type="cellIs" dxfId="570" priority="222" operator="equal">
      <formula>"Yes"</formula>
    </cfRule>
  </conditionalFormatting>
  <conditionalFormatting sqref="F13">
    <cfRule type="cellIs" dxfId="569" priority="217" operator="equal">
      <formula>"No"</formula>
    </cfRule>
    <cfRule type="cellIs" dxfId="568" priority="218" operator="equal">
      <formula>"NA"</formula>
    </cfRule>
    <cfRule type="cellIs" dxfId="567" priority="219" operator="equal">
      <formula>"Yes"</formula>
    </cfRule>
  </conditionalFormatting>
  <conditionalFormatting sqref="E14">
    <cfRule type="cellIs" dxfId="566" priority="214" operator="equal">
      <formula>"No"</formula>
    </cfRule>
    <cfRule type="cellIs" dxfId="565" priority="215" operator="equal">
      <formula>"NA"</formula>
    </cfRule>
    <cfRule type="cellIs" dxfId="564" priority="216" operator="equal">
      <formula>"Yes"</formula>
    </cfRule>
  </conditionalFormatting>
  <conditionalFormatting sqref="E15">
    <cfRule type="cellIs" dxfId="563" priority="211" operator="equal">
      <formula>"No"</formula>
    </cfRule>
    <cfRule type="cellIs" dxfId="562" priority="212" operator="equal">
      <formula>"NA"</formula>
    </cfRule>
    <cfRule type="cellIs" dxfId="561" priority="213" operator="equal">
      <formula>"Yes"</formula>
    </cfRule>
  </conditionalFormatting>
  <conditionalFormatting sqref="E16">
    <cfRule type="cellIs" dxfId="560" priority="208" operator="equal">
      <formula>"No"</formula>
    </cfRule>
    <cfRule type="cellIs" dxfId="559" priority="209" operator="equal">
      <formula>"NA"</formula>
    </cfRule>
    <cfRule type="cellIs" dxfId="558" priority="210" operator="equal">
      <formula>"Yes"</formula>
    </cfRule>
  </conditionalFormatting>
  <conditionalFormatting sqref="F16">
    <cfRule type="cellIs" dxfId="557" priority="205" operator="equal">
      <formula>"No"</formula>
    </cfRule>
    <cfRule type="cellIs" dxfId="556" priority="206" operator="equal">
      <formula>"NA"</formula>
    </cfRule>
    <cfRule type="cellIs" dxfId="555" priority="207" operator="equal">
      <formula>"Yes"</formula>
    </cfRule>
  </conditionalFormatting>
  <conditionalFormatting sqref="E17">
    <cfRule type="cellIs" dxfId="554" priority="202" operator="equal">
      <formula>"No"</formula>
    </cfRule>
    <cfRule type="cellIs" dxfId="553" priority="203" operator="equal">
      <formula>"NA"</formula>
    </cfRule>
    <cfRule type="cellIs" dxfId="552" priority="204" operator="equal">
      <formula>"Yes"</formula>
    </cfRule>
  </conditionalFormatting>
  <conditionalFormatting sqref="F17">
    <cfRule type="cellIs" dxfId="551" priority="199" operator="equal">
      <formula>"No"</formula>
    </cfRule>
    <cfRule type="cellIs" dxfId="550" priority="200" operator="equal">
      <formula>"NA"</formula>
    </cfRule>
    <cfRule type="cellIs" dxfId="549" priority="201" operator="equal">
      <formula>"Yes"</formula>
    </cfRule>
  </conditionalFormatting>
  <conditionalFormatting sqref="E18">
    <cfRule type="cellIs" dxfId="548" priority="196" operator="equal">
      <formula>"No"</formula>
    </cfRule>
    <cfRule type="cellIs" dxfId="547" priority="197" operator="equal">
      <formula>"NA"</formula>
    </cfRule>
    <cfRule type="cellIs" dxfId="546" priority="198" operator="equal">
      <formula>"Yes"</formula>
    </cfRule>
  </conditionalFormatting>
  <conditionalFormatting sqref="F18">
    <cfRule type="cellIs" dxfId="545" priority="193" operator="equal">
      <formula>"No"</formula>
    </cfRule>
    <cfRule type="cellIs" dxfId="544" priority="194" operator="equal">
      <formula>"NA"</formula>
    </cfRule>
    <cfRule type="cellIs" dxfId="543" priority="195" operator="equal">
      <formula>"Yes"</formula>
    </cfRule>
  </conditionalFormatting>
  <conditionalFormatting sqref="E19">
    <cfRule type="cellIs" dxfId="542" priority="190" operator="equal">
      <formula>"No"</formula>
    </cfRule>
    <cfRule type="cellIs" dxfId="541" priority="191" operator="equal">
      <formula>"NA"</formula>
    </cfRule>
    <cfRule type="cellIs" dxfId="540" priority="192" operator="equal">
      <formula>"Yes"</formula>
    </cfRule>
  </conditionalFormatting>
  <conditionalFormatting sqref="F19">
    <cfRule type="cellIs" dxfId="539" priority="187" operator="equal">
      <formula>"No"</formula>
    </cfRule>
    <cfRule type="cellIs" dxfId="538" priority="188" operator="equal">
      <formula>"NA"</formula>
    </cfRule>
    <cfRule type="cellIs" dxfId="537" priority="189" operator="equal">
      <formula>"Yes"</formula>
    </cfRule>
  </conditionalFormatting>
  <conditionalFormatting sqref="E20">
    <cfRule type="cellIs" dxfId="536" priority="184" operator="equal">
      <formula>"No"</formula>
    </cfRule>
    <cfRule type="cellIs" dxfId="535" priority="185" operator="equal">
      <formula>"NA"</formula>
    </cfRule>
    <cfRule type="cellIs" dxfId="534" priority="186" operator="equal">
      <formula>"Yes"</formula>
    </cfRule>
  </conditionalFormatting>
  <conditionalFormatting sqref="F20">
    <cfRule type="cellIs" dxfId="533" priority="181" operator="equal">
      <formula>"No"</formula>
    </cfRule>
    <cfRule type="cellIs" dxfId="532" priority="182" operator="equal">
      <formula>"NA"</formula>
    </cfRule>
    <cfRule type="cellIs" dxfId="531" priority="183" operator="equal">
      <formula>"Yes"</formula>
    </cfRule>
  </conditionalFormatting>
  <conditionalFormatting sqref="E21">
    <cfRule type="cellIs" dxfId="530" priority="178" operator="equal">
      <formula>"No"</formula>
    </cfRule>
    <cfRule type="cellIs" dxfId="529" priority="179" operator="equal">
      <formula>"NA"</formula>
    </cfRule>
    <cfRule type="cellIs" dxfId="528" priority="180" operator="equal">
      <formula>"Yes"</formula>
    </cfRule>
  </conditionalFormatting>
  <conditionalFormatting sqref="F21">
    <cfRule type="cellIs" dxfId="527" priority="175" operator="equal">
      <formula>"No"</formula>
    </cfRule>
    <cfRule type="cellIs" dxfId="526" priority="176" operator="equal">
      <formula>"NA"</formula>
    </cfRule>
    <cfRule type="cellIs" dxfId="525" priority="177" operator="equal">
      <formula>"Yes"</formula>
    </cfRule>
  </conditionalFormatting>
  <conditionalFormatting sqref="E22">
    <cfRule type="cellIs" dxfId="524" priority="172" operator="equal">
      <formula>"No"</formula>
    </cfRule>
    <cfRule type="cellIs" dxfId="523" priority="173" operator="equal">
      <formula>"NA"</formula>
    </cfRule>
    <cfRule type="cellIs" dxfId="522" priority="174" operator="equal">
      <formula>"Yes"</formula>
    </cfRule>
  </conditionalFormatting>
  <conditionalFormatting sqref="F22">
    <cfRule type="cellIs" dxfId="521" priority="169" operator="equal">
      <formula>"No"</formula>
    </cfRule>
    <cfRule type="cellIs" dxfId="520" priority="170" operator="equal">
      <formula>"NA"</formula>
    </cfRule>
    <cfRule type="cellIs" dxfId="519" priority="171" operator="equal">
      <formula>"Yes"</formula>
    </cfRule>
  </conditionalFormatting>
  <conditionalFormatting sqref="E23">
    <cfRule type="cellIs" dxfId="518" priority="166" operator="equal">
      <formula>"No"</formula>
    </cfRule>
    <cfRule type="cellIs" dxfId="517" priority="167" operator="equal">
      <formula>"NA"</formula>
    </cfRule>
    <cfRule type="cellIs" dxfId="516" priority="168" operator="equal">
      <formula>"Yes"</formula>
    </cfRule>
  </conditionalFormatting>
  <conditionalFormatting sqref="F23">
    <cfRule type="cellIs" dxfId="515" priority="163" operator="equal">
      <formula>"No"</formula>
    </cfRule>
    <cfRule type="cellIs" dxfId="514" priority="164" operator="equal">
      <formula>"NA"</formula>
    </cfRule>
    <cfRule type="cellIs" dxfId="513" priority="165" operator="equal">
      <formula>"Yes"</formula>
    </cfRule>
  </conditionalFormatting>
  <conditionalFormatting sqref="E26">
    <cfRule type="cellIs" dxfId="512" priority="160" operator="equal">
      <formula>"No"</formula>
    </cfRule>
    <cfRule type="cellIs" dxfId="511" priority="161" operator="equal">
      <formula>"NA"</formula>
    </cfRule>
    <cfRule type="cellIs" dxfId="510" priority="162" operator="equal">
      <formula>"Yes"</formula>
    </cfRule>
  </conditionalFormatting>
  <conditionalFormatting sqref="F26">
    <cfRule type="cellIs" dxfId="509" priority="157" operator="equal">
      <formula>"No"</formula>
    </cfRule>
    <cfRule type="cellIs" dxfId="508" priority="158" operator="equal">
      <formula>"NA"</formula>
    </cfRule>
    <cfRule type="cellIs" dxfId="507" priority="159" operator="equal">
      <formula>"Yes"</formula>
    </cfRule>
  </conditionalFormatting>
  <conditionalFormatting sqref="E27:E28">
    <cfRule type="cellIs" dxfId="506" priority="154" operator="equal">
      <formula>"No"</formula>
    </cfRule>
    <cfRule type="cellIs" dxfId="505" priority="155" operator="equal">
      <formula>"NA"</formula>
    </cfRule>
    <cfRule type="cellIs" dxfId="504" priority="156" operator="equal">
      <formula>"Yes"</formula>
    </cfRule>
  </conditionalFormatting>
  <conditionalFormatting sqref="F27:F28">
    <cfRule type="cellIs" dxfId="503" priority="151" operator="equal">
      <formula>"No"</formula>
    </cfRule>
    <cfRule type="cellIs" dxfId="502" priority="152" operator="equal">
      <formula>"NA"</formula>
    </cfRule>
    <cfRule type="cellIs" dxfId="501" priority="153" operator="equal">
      <formula>"Yes"</formula>
    </cfRule>
  </conditionalFormatting>
  <conditionalFormatting sqref="E30">
    <cfRule type="cellIs" dxfId="500" priority="148" operator="equal">
      <formula>"No"</formula>
    </cfRule>
    <cfRule type="cellIs" dxfId="499" priority="149" operator="equal">
      <formula>"NA"</formula>
    </cfRule>
    <cfRule type="cellIs" dxfId="498" priority="150" operator="equal">
      <formula>"Yes"</formula>
    </cfRule>
  </conditionalFormatting>
  <conditionalFormatting sqref="F30">
    <cfRule type="cellIs" dxfId="497" priority="145" operator="equal">
      <formula>"No"</formula>
    </cfRule>
    <cfRule type="cellIs" dxfId="496" priority="146" operator="equal">
      <formula>"NA"</formula>
    </cfRule>
    <cfRule type="cellIs" dxfId="495" priority="147" operator="equal">
      <formula>"Yes"</formula>
    </cfRule>
  </conditionalFormatting>
  <conditionalFormatting sqref="E31">
    <cfRule type="cellIs" dxfId="494" priority="142" operator="equal">
      <formula>"No"</formula>
    </cfRule>
    <cfRule type="cellIs" dxfId="493" priority="143" operator="equal">
      <formula>"NA"</formula>
    </cfRule>
    <cfRule type="cellIs" dxfId="492" priority="144" operator="equal">
      <formula>"Yes"</formula>
    </cfRule>
  </conditionalFormatting>
  <conditionalFormatting sqref="F31">
    <cfRule type="cellIs" dxfId="491" priority="139" operator="equal">
      <formula>"No"</formula>
    </cfRule>
    <cfRule type="cellIs" dxfId="490" priority="140" operator="equal">
      <formula>"NA"</formula>
    </cfRule>
    <cfRule type="cellIs" dxfId="489" priority="141" operator="equal">
      <formula>"Yes"</formula>
    </cfRule>
  </conditionalFormatting>
  <conditionalFormatting sqref="G6">
    <cfRule type="cellIs" dxfId="488" priority="136" operator="equal">
      <formula>"No"</formula>
    </cfRule>
    <cfRule type="cellIs" dxfId="487" priority="137" operator="equal">
      <formula>"NA"</formula>
    </cfRule>
    <cfRule type="cellIs" dxfId="486" priority="138" operator="equal">
      <formula>"Yes"</formula>
    </cfRule>
  </conditionalFormatting>
  <conditionalFormatting sqref="G7">
    <cfRule type="cellIs" dxfId="485" priority="133" operator="equal">
      <formula>"No"</formula>
    </cfRule>
    <cfRule type="cellIs" dxfId="484" priority="134" operator="equal">
      <formula>"NA"</formula>
    </cfRule>
    <cfRule type="cellIs" dxfId="483" priority="135" operator="equal">
      <formula>"Yes"</formula>
    </cfRule>
  </conditionalFormatting>
  <conditionalFormatting sqref="G9">
    <cfRule type="cellIs" dxfId="482" priority="130" operator="equal">
      <formula>"No"</formula>
    </cfRule>
    <cfRule type="cellIs" dxfId="481" priority="131" operator="equal">
      <formula>"NA"</formula>
    </cfRule>
    <cfRule type="cellIs" dxfId="480" priority="132" operator="equal">
      <formula>"Yes"</formula>
    </cfRule>
  </conditionalFormatting>
  <conditionalFormatting sqref="G10">
    <cfRule type="cellIs" dxfId="479" priority="127" operator="equal">
      <formula>"No"</formula>
    </cfRule>
    <cfRule type="cellIs" dxfId="478" priority="128" operator="equal">
      <formula>"NA"</formula>
    </cfRule>
    <cfRule type="cellIs" dxfId="477" priority="129" operator="equal">
      <formula>"Yes"</formula>
    </cfRule>
  </conditionalFormatting>
  <conditionalFormatting sqref="G25">
    <cfRule type="cellIs" dxfId="476" priority="124" operator="equal">
      <formula>"No"</formula>
    </cfRule>
    <cfRule type="cellIs" dxfId="475" priority="125" operator="equal">
      <formula>"NA"</formula>
    </cfRule>
    <cfRule type="cellIs" dxfId="474" priority="126" operator="equal">
      <formula>"Yes"</formula>
    </cfRule>
  </conditionalFormatting>
  <conditionalFormatting sqref="G33">
    <cfRule type="cellIs" dxfId="473" priority="121" operator="equal">
      <formula>"No"</formula>
    </cfRule>
    <cfRule type="cellIs" dxfId="472" priority="122" operator="equal">
      <formula>"NA"</formula>
    </cfRule>
    <cfRule type="cellIs" dxfId="471" priority="123" operator="equal">
      <formula>"Yes"</formula>
    </cfRule>
  </conditionalFormatting>
  <conditionalFormatting sqref="H6:I6">
    <cfRule type="cellIs" dxfId="470" priority="118" operator="equal">
      <formula>"No"</formula>
    </cfRule>
    <cfRule type="cellIs" dxfId="469" priority="119" operator="equal">
      <formula>"NA"</formula>
    </cfRule>
    <cfRule type="cellIs" dxfId="468" priority="120" operator="equal">
      <formula>"Yes"</formula>
    </cfRule>
  </conditionalFormatting>
  <conditionalFormatting sqref="H7:I7">
    <cfRule type="cellIs" dxfId="467" priority="115" operator="equal">
      <formula>"No"</formula>
    </cfRule>
    <cfRule type="cellIs" dxfId="466" priority="116" operator="equal">
      <formula>"NA"</formula>
    </cfRule>
    <cfRule type="cellIs" dxfId="465" priority="117" operator="equal">
      <formula>"Yes"</formula>
    </cfRule>
  </conditionalFormatting>
  <conditionalFormatting sqref="H9:I9">
    <cfRule type="cellIs" dxfId="464" priority="112" operator="equal">
      <formula>"No"</formula>
    </cfRule>
    <cfRule type="cellIs" dxfId="463" priority="113" operator="equal">
      <formula>"NA"</formula>
    </cfRule>
    <cfRule type="cellIs" dxfId="462" priority="114" operator="equal">
      <formula>"Yes"</formula>
    </cfRule>
  </conditionalFormatting>
  <conditionalFormatting sqref="H14:I14">
    <cfRule type="cellIs" dxfId="461" priority="109" operator="equal">
      <formula>"No"</formula>
    </cfRule>
    <cfRule type="cellIs" dxfId="460" priority="110" operator="equal">
      <formula>"NA"</formula>
    </cfRule>
    <cfRule type="cellIs" dxfId="459" priority="111" operator="equal">
      <formula>"Yes"</formula>
    </cfRule>
  </conditionalFormatting>
  <conditionalFormatting sqref="H15:I15">
    <cfRule type="cellIs" dxfId="458" priority="106" operator="equal">
      <formula>"No"</formula>
    </cfRule>
    <cfRule type="cellIs" dxfId="457" priority="107" operator="equal">
      <formula>"NA"</formula>
    </cfRule>
    <cfRule type="cellIs" dxfId="456" priority="108" operator="equal">
      <formula>"Yes"</formula>
    </cfRule>
  </conditionalFormatting>
  <conditionalFormatting sqref="H25:I25">
    <cfRule type="cellIs" dxfId="455" priority="103" operator="equal">
      <formula>"No"</formula>
    </cfRule>
    <cfRule type="cellIs" dxfId="454" priority="104" operator="equal">
      <formula>"NA"</formula>
    </cfRule>
    <cfRule type="cellIs" dxfId="453" priority="105" operator="equal">
      <formula>"Yes"</formula>
    </cfRule>
  </conditionalFormatting>
  <conditionalFormatting sqref="H33:I33">
    <cfRule type="cellIs" dxfId="452" priority="100" operator="equal">
      <formula>"No"</formula>
    </cfRule>
    <cfRule type="cellIs" dxfId="451" priority="101" operator="equal">
      <formula>"NA"</formula>
    </cfRule>
    <cfRule type="cellIs" dxfId="450" priority="102" operator="equal">
      <formula>"Yes"</formula>
    </cfRule>
  </conditionalFormatting>
  <conditionalFormatting sqref="H10:I10">
    <cfRule type="cellIs" dxfId="449" priority="97" operator="equal">
      <formula>"No"</formula>
    </cfRule>
    <cfRule type="cellIs" dxfId="448" priority="98" operator="equal">
      <formula>"NA"</formula>
    </cfRule>
    <cfRule type="cellIs" dxfId="447" priority="99" operator="equal">
      <formula>"Yes"</formula>
    </cfRule>
  </conditionalFormatting>
  <conditionalFormatting sqref="G11">
    <cfRule type="cellIs" dxfId="446" priority="94" operator="equal">
      <formula>"No"</formula>
    </cfRule>
    <cfRule type="cellIs" dxfId="445" priority="95" operator="equal">
      <formula>"NA"</formula>
    </cfRule>
    <cfRule type="cellIs" dxfId="444" priority="96" operator="equal">
      <formula>"Yes"</formula>
    </cfRule>
  </conditionalFormatting>
  <conditionalFormatting sqref="H11:I11">
    <cfRule type="cellIs" dxfId="443" priority="91" operator="equal">
      <formula>"No"</formula>
    </cfRule>
    <cfRule type="cellIs" dxfId="442" priority="92" operator="equal">
      <formula>"NA"</formula>
    </cfRule>
    <cfRule type="cellIs" dxfId="441" priority="93" operator="equal">
      <formula>"Yes"</formula>
    </cfRule>
  </conditionalFormatting>
  <conditionalFormatting sqref="G12">
    <cfRule type="cellIs" dxfId="440" priority="88" operator="equal">
      <formula>"No"</formula>
    </cfRule>
    <cfRule type="cellIs" dxfId="439" priority="89" operator="equal">
      <formula>"NA"</formula>
    </cfRule>
    <cfRule type="cellIs" dxfId="438" priority="90" operator="equal">
      <formula>"Yes"</formula>
    </cfRule>
  </conditionalFormatting>
  <conditionalFormatting sqref="H12:I12">
    <cfRule type="cellIs" dxfId="437" priority="85" operator="equal">
      <formula>"No"</formula>
    </cfRule>
    <cfRule type="cellIs" dxfId="436" priority="86" operator="equal">
      <formula>"NA"</formula>
    </cfRule>
    <cfRule type="cellIs" dxfId="435" priority="87" operator="equal">
      <formula>"Yes"</formula>
    </cfRule>
  </conditionalFormatting>
  <conditionalFormatting sqref="G13">
    <cfRule type="cellIs" dxfId="434" priority="82" operator="equal">
      <formula>"No"</formula>
    </cfRule>
    <cfRule type="cellIs" dxfId="433" priority="83" operator="equal">
      <formula>"NA"</formula>
    </cfRule>
    <cfRule type="cellIs" dxfId="432" priority="84" operator="equal">
      <formula>"Yes"</formula>
    </cfRule>
  </conditionalFormatting>
  <conditionalFormatting sqref="H13:I13">
    <cfRule type="cellIs" dxfId="431" priority="79" operator="equal">
      <formula>"No"</formula>
    </cfRule>
    <cfRule type="cellIs" dxfId="430" priority="80" operator="equal">
      <formula>"NA"</formula>
    </cfRule>
    <cfRule type="cellIs" dxfId="429" priority="81" operator="equal">
      <formula>"Yes"</formula>
    </cfRule>
  </conditionalFormatting>
  <conditionalFormatting sqref="G14">
    <cfRule type="cellIs" dxfId="428" priority="76" operator="equal">
      <formula>"No"</formula>
    </cfRule>
    <cfRule type="cellIs" dxfId="427" priority="77" operator="equal">
      <formula>"NA"</formula>
    </cfRule>
    <cfRule type="cellIs" dxfId="426" priority="78" operator="equal">
      <formula>"Yes"</formula>
    </cfRule>
  </conditionalFormatting>
  <conditionalFormatting sqref="G15">
    <cfRule type="cellIs" dxfId="425" priority="73" operator="equal">
      <formula>"No"</formula>
    </cfRule>
    <cfRule type="cellIs" dxfId="424" priority="74" operator="equal">
      <formula>"NA"</formula>
    </cfRule>
    <cfRule type="cellIs" dxfId="423" priority="75" operator="equal">
      <formula>"Yes"</formula>
    </cfRule>
  </conditionalFormatting>
  <conditionalFormatting sqref="G16">
    <cfRule type="cellIs" dxfId="422" priority="70" operator="equal">
      <formula>"No"</formula>
    </cfRule>
    <cfRule type="cellIs" dxfId="421" priority="71" operator="equal">
      <formula>"NA"</formula>
    </cfRule>
    <cfRule type="cellIs" dxfId="420" priority="72" operator="equal">
      <formula>"Yes"</formula>
    </cfRule>
  </conditionalFormatting>
  <conditionalFormatting sqref="H16:I16">
    <cfRule type="cellIs" dxfId="419" priority="67" operator="equal">
      <formula>"No"</formula>
    </cfRule>
    <cfRule type="cellIs" dxfId="418" priority="68" operator="equal">
      <formula>"NA"</formula>
    </cfRule>
    <cfRule type="cellIs" dxfId="417" priority="69" operator="equal">
      <formula>"Yes"</formula>
    </cfRule>
  </conditionalFormatting>
  <conditionalFormatting sqref="G17">
    <cfRule type="cellIs" dxfId="416" priority="64" operator="equal">
      <formula>"No"</formula>
    </cfRule>
    <cfRule type="cellIs" dxfId="415" priority="65" operator="equal">
      <formula>"NA"</formula>
    </cfRule>
    <cfRule type="cellIs" dxfId="414" priority="66" operator="equal">
      <formula>"Yes"</formula>
    </cfRule>
  </conditionalFormatting>
  <conditionalFormatting sqref="H17:I17">
    <cfRule type="cellIs" dxfId="413" priority="61" operator="equal">
      <formula>"No"</formula>
    </cfRule>
    <cfRule type="cellIs" dxfId="412" priority="62" operator="equal">
      <formula>"NA"</formula>
    </cfRule>
    <cfRule type="cellIs" dxfId="411" priority="63" operator="equal">
      <formula>"Yes"</formula>
    </cfRule>
  </conditionalFormatting>
  <conditionalFormatting sqref="G18">
    <cfRule type="cellIs" dxfId="410" priority="58" operator="equal">
      <formula>"No"</formula>
    </cfRule>
    <cfRule type="cellIs" dxfId="409" priority="59" operator="equal">
      <formula>"NA"</formula>
    </cfRule>
    <cfRule type="cellIs" dxfId="408" priority="60" operator="equal">
      <formula>"Yes"</formula>
    </cfRule>
  </conditionalFormatting>
  <conditionalFormatting sqref="H18:I18">
    <cfRule type="cellIs" dxfId="407" priority="55" operator="equal">
      <formula>"No"</formula>
    </cfRule>
    <cfRule type="cellIs" dxfId="406" priority="56" operator="equal">
      <formula>"NA"</formula>
    </cfRule>
    <cfRule type="cellIs" dxfId="405" priority="57" operator="equal">
      <formula>"Yes"</formula>
    </cfRule>
  </conditionalFormatting>
  <conditionalFormatting sqref="G19">
    <cfRule type="cellIs" dxfId="404" priority="52" operator="equal">
      <formula>"No"</formula>
    </cfRule>
    <cfRule type="cellIs" dxfId="403" priority="53" operator="equal">
      <formula>"NA"</formula>
    </cfRule>
    <cfRule type="cellIs" dxfId="402" priority="54" operator="equal">
      <formula>"Yes"</formula>
    </cfRule>
  </conditionalFormatting>
  <conditionalFormatting sqref="H19:I19">
    <cfRule type="cellIs" dxfId="401" priority="49" operator="equal">
      <formula>"No"</formula>
    </cfRule>
    <cfRule type="cellIs" dxfId="400" priority="50" operator="equal">
      <formula>"NA"</formula>
    </cfRule>
    <cfRule type="cellIs" dxfId="399" priority="51" operator="equal">
      <formula>"Yes"</formula>
    </cfRule>
  </conditionalFormatting>
  <conditionalFormatting sqref="G20">
    <cfRule type="cellIs" dxfId="398" priority="46" operator="equal">
      <formula>"No"</formula>
    </cfRule>
    <cfRule type="cellIs" dxfId="397" priority="47" operator="equal">
      <formula>"NA"</formula>
    </cfRule>
    <cfRule type="cellIs" dxfId="396" priority="48" operator="equal">
      <formula>"Yes"</formula>
    </cfRule>
  </conditionalFormatting>
  <conditionalFormatting sqref="H20:I20">
    <cfRule type="cellIs" dxfId="395" priority="43" operator="equal">
      <formula>"No"</formula>
    </cfRule>
    <cfRule type="cellIs" dxfId="394" priority="44" operator="equal">
      <formula>"NA"</formula>
    </cfRule>
    <cfRule type="cellIs" dxfId="393" priority="45" operator="equal">
      <formula>"Yes"</formula>
    </cfRule>
  </conditionalFormatting>
  <conditionalFormatting sqref="G21">
    <cfRule type="cellIs" dxfId="392" priority="40" operator="equal">
      <formula>"No"</formula>
    </cfRule>
    <cfRule type="cellIs" dxfId="391" priority="41" operator="equal">
      <formula>"NA"</formula>
    </cfRule>
    <cfRule type="cellIs" dxfId="390" priority="42" operator="equal">
      <formula>"Yes"</formula>
    </cfRule>
  </conditionalFormatting>
  <conditionalFormatting sqref="H21:I21">
    <cfRule type="cellIs" dxfId="389" priority="37" operator="equal">
      <formula>"No"</formula>
    </cfRule>
    <cfRule type="cellIs" dxfId="388" priority="38" operator="equal">
      <formula>"NA"</formula>
    </cfRule>
    <cfRule type="cellIs" dxfId="387" priority="39" operator="equal">
      <formula>"Yes"</formula>
    </cfRule>
  </conditionalFormatting>
  <conditionalFormatting sqref="G22">
    <cfRule type="cellIs" dxfId="386" priority="34" operator="equal">
      <formula>"No"</formula>
    </cfRule>
    <cfRule type="cellIs" dxfId="385" priority="35" operator="equal">
      <formula>"NA"</formula>
    </cfRule>
    <cfRule type="cellIs" dxfId="384" priority="36" operator="equal">
      <formula>"Yes"</formula>
    </cfRule>
  </conditionalFormatting>
  <conditionalFormatting sqref="H22:I22">
    <cfRule type="cellIs" dxfId="383" priority="31" operator="equal">
      <formula>"No"</formula>
    </cfRule>
    <cfRule type="cellIs" dxfId="382" priority="32" operator="equal">
      <formula>"NA"</formula>
    </cfRule>
    <cfRule type="cellIs" dxfId="381" priority="33" operator="equal">
      <formula>"Yes"</formula>
    </cfRule>
  </conditionalFormatting>
  <conditionalFormatting sqref="G23">
    <cfRule type="cellIs" dxfId="380" priority="28" operator="equal">
      <formula>"No"</formula>
    </cfRule>
    <cfRule type="cellIs" dxfId="379" priority="29" operator="equal">
      <formula>"NA"</formula>
    </cfRule>
    <cfRule type="cellIs" dxfId="378" priority="30" operator="equal">
      <formula>"Yes"</formula>
    </cfRule>
  </conditionalFormatting>
  <conditionalFormatting sqref="H23:I23">
    <cfRule type="cellIs" dxfId="377" priority="25" operator="equal">
      <formula>"No"</formula>
    </cfRule>
    <cfRule type="cellIs" dxfId="376" priority="26" operator="equal">
      <formula>"NA"</formula>
    </cfRule>
    <cfRule type="cellIs" dxfId="375" priority="27" operator="equal">
      <formula>"Yes"</formula>
    </cfRule>
  </conditionalFormatting>
  <conditionalFormatting sqref="G26">
    <cfRule type="cellIs" dxfId="374" priority="22" operator="equal">
      <formula>"No"</formula>
    </cfRule>
    <cfRule type="cellIs" dxfId="373" priority="23" operator="equal">
      <formula>"NA"</formula>
    </cfRule>
    <cfRule type="cellIs" dxfId="372" priority="24" operator="equal">
      <formula>"Yes"</formula>
    </cfRule>
  </conditionalFormatting>
  <conditionalFormatting sqref="H26:I26">
    <cfRule type="cellIs" dxfId="371" priority="19" operator="equal">
      <formula>"No"</formula>
    </cfRule>
    <cfRule type="cellIs" dxfId="370" priority="20" operator="equal">
      <formula>"NA"</formula>
    </cfRule>
    <cfRule type="cellIs" dxfId="369" priority="21" operator="equal">
      <formula>"Yes"</formula>
    </cfRule>
  </conditionalFormatting>
  <conditionalFormatting sqref="G27:G28">
    <cfRule type="cellIs" dxfId="368" priority="16" operator="equal">
      <formula>"No"</formula>
    </cfRule>
    <cfRule type="cellIs" dxfId="367" priority="17" operator="equal">
      <formula>"NA"</formula>
    </cfRule>
    <cfRule type="cellIs" dxfId="366" priority="18" operator="equal">
      <formula>"Yes"</formula>
    </cfRule>
  </conditionalFormatting>
  <conditionalFormatting sqref="H27:I28">
    <cfRule type="cellIs" dxfId="365" priority="13" operator="equal">
      <formula>"No"</formula>
    </cfRule>
    <cfRule type="cellIs" dxfId="364" priority="14" operator="equal">
      <formula>"NA"</formula>
    </cfRule>
    <cfRule type="cellIs" dxfId="363" priority="15" operator="equal">
      <formula>"Yes"</formula>
    </cfRule>
  </conditionalFormatting>
  <conditionalFormatting sqref="G30">
    <cfRule type="cellIs" dxfId="362" priority="10" operator="equal">
      <formula>"No"</formula>
    </cfRule>
    <cfRule type="cellIs" dxfId="361" priority="11" operator="equal">
      <formula>"NA"</formula>
    </cfRule>
    <cfRule type="cellIs" dxfId="360" priority="12" operator="equal">
      <formula>"Yes"</formula>
    </cfRule>
  </conditionalFormatting>
  <conditionalFormatting sqref="H30:I30">
    <cfRule type="cellIs" dxfId="359" priority="7" operator="equal">
      <formula>"No"</formula>
    </cfRule>
    <cfRule type="cellIs" dxfId="358" priority="8" operator="equal">
      <formula>"NA"</formula>
    </cfRule>
    <cfRule type="cellIs" dxfId="357" priority="9" operator="equal">
      <formula>"Yes"</formula>
    </cfRule>
  </conditionalFormatting>
  <conditionalFormatting sqref="G31">
    <cfRule type="cellIs" dxfId="356" priority="4" operator="equal">
      <formula>"No"</formula>
    </cfRule>
    <cfRule type="cellIs" dxfId="355" priority="5" operator="equal">
      <formula>"NA"</formula>
    </cfRule>
    <cfRule type="cellIs" dxfId="354" priority="6" operator="equal">
      <formula>"Yes"</formula>
    </cfRule>
  </conditionalFormatting>
  <conditionalFormatting sqref="H31:I31">
    <cfRule type="cellIs" dxfId="353" priority="1" operator="equal">
      <formula>"No"</formula>
    </cfRule>
    <cfRule type="cellIs" dxfId="352" priority="2" operator="equal">
      <formula>"NA"</formula>
    </cfRule>
    <cfRule type="cellIs" dxfId="351" priority="3" operator="equal">
      <formula>"Yes"</formula>
    </cfRule>
  </conditionalFormatting>
  <dataValidations count="1">
    <dataValidation type="list" allowBlank="1" showInputMessage="1" showErrorMessage="1" sqref="C30:I31 C25:I28 C33:I33 C9:I23 C6:I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I38"/>
  <sheetViews>
    <sheetView workbookViewId="0">
      <selection activeCell="F3" sqref="F3"/>
    </sheetView>
  </sheetViews>
  <sheetFormatPr defaultColWidth="9.28515625" defaultRowHeight="12.75" outlineLevelCol="1"/>
  <cols>
    <col min="1" max="1" width="12.5703125" style="159" bestFit="1" customWidth="1"/>
    <col min="2" max="2" width="61" style="157" customWidth="1"/>
    <col min="3" max="5" width="6.28515625" style="156" bestFit="1" customWidth="1"/>
    <col min="6" max="6" width="33.7109375" style="156" customWidth="1"/>
    <col min="7" max="8" width="30.7109375" style="156" customWidth="1" outlineLevel="1"/>
    <col min="9" max="16384" width="9.28515625" style="156"/>
  </cols>
  <sheetData>
    <row r="2" spans="1:9" ht="69.75">
      <c r="A2" s="209" t="s">
        <v>229</v>
      </c>
      <c r="B2" s="210" t="s">
        <v>362</v>
      </c>
      <c r="C2" s="211" t="s">
        <v>896</v>
      </c>
      <c r="D2" s="211" t="s">
        <v>903</v>
      </c>
      <c r="E2" s="211" t="s">
        <v>916</v>
      </c>
      <c r="F2" s="212" t="s">
        <v>294</v>
      </c>
      <c r="G2" s="369" t="s">
        <v>185</v>
      </c>
      <c r="H2" s="370"/>
    </row>
    <row r="3" spans="1:9" ht="18.75">
      <c r="A3" s="213"/>
      <c r="B3" s="214"/>
      <c r="C3" s="215">
        <f>COUNTIF(C6:C35,"Yes") / ( COUNTA(Review.QuestionIds) - COUNTIF(C6:C35,"NA"))</f>
        <v>1</v>
      </c>
      <c r="D3" s="215">
        <f>COUNTIF(D6:D35,"Yes") / ( COUNTA(Review.QuestionIds) - COUNTIF(D6:D35,"NA"))</f>
        <v>1</v>
      </c>
      <c r="E3" s="215">
        <f>COUNTIF(E6:E35,"Yes") / ( COUNTA(Review.QuestionIds) - COUNTIF(E6:E35,"NA"))</f>
        <v>1</v>
      </c>
      <c r="F3" s="220"/>
      <c r="G3" s="228" t="s">
        <v>269</v>
      </c>
      <c r="H3" s="228" t="s">
        <v>270</v>
      </c>
      <c r="I3" s="221"/>
    </row>
    <row r="4" spans="1:9" ht="36">
      <c r="A4" s="216"/>
      <c r="B4" s="217" t="s">
        <v>318</v>
      </c>
      <c r="C4" s="218"/>
      <c r="D4" s="218"/>
      <c r="E4" s="218"/>
      <c r="F4" s="218"/>
      <c r="G4" s="218"/>
      <c r="H4" s="219"/>
      <c r="I4" s="25"/>
    </row>
    <row r="5" spans="1:9" ht="18.75">
      <c r="A5" s="160"/>
      <c r="B5" s="169" t="s">
        <v>319</v>
      </c>
      <c r="C5" s="161"/>
      <c r="D5" s="161"/>
      <c r="E5" s="161"/>
      <c r="F5" s="161"/>
      <c r="G5" s="228"/>
      <c r="H5" s="228"/>
    </row>
    <row r="6" spans="1:9" ht="25.5">
      <c r="A6" s="163" t="s">
        <v>802</v>
      </c>
      <c r="B6" s="172" t="s">
        <v>321</v>
      </c>
      <c r="C6" s="222" t="s">
        <v>221</v>
      </c>
      <c r="D6" s="222" t="s">
        <v>221</v>
      </c>
      <c r="E6" s="222" t="s">
        <v>221</v>
      </c>
      <c r="F6" s="223"/>
      <c r="G6" s="162"/>
      <c r="H6" s="162"/>
    </row>
    <row r="7" spans="1:9" ht="38.25">
      <c r="A7" s="163" t="s">
        <v>803</v>
      </c>
      <c r="B7" s="172" t="s">
        <v>423</v>
      </c>
      <c r="C7" s="222" t="s">
        <v>221</v>
      </c>
      <c r="D7" s="222" t="s">
        <v>221</v>
      </c>
      <c r="E7" s="222" t="s">
        <v>221</v>
      </c>
      <c r="F7" s="223"/>
      <c r="G7" s="164"/>
      <c r="H7" s="162"/>
    </row>
    <row r="8" spans="1:9" ht="25.5">
      <c r="A8" s="163" t="s">
        <v>807</v>
      </c>
      <c r="B8" s="172" t="s">
        <v>322</v>
      </c>
      <c r="C8" s="222" t="s">
        <v>221</v>
      </c>
      <c r="D8" s="222" t="s">
        <v>221</v>
      </c>
      <c r="E8" s="222" t="s">
        <v>221</v>
      </c>
      <c r="F8" s="223"/>
      <c r="G8" s="162"/>
      <c r="H8" s="162"/>
    </row>
    <row r="9" spans="1:9" ht="25.5">
      <c r="A9" s="163" t="s">
        <v>809</v>
      </c>
      <c r="B9" s="172" t="s">
        <v>428</v>
      </c>
      <c r="C9" s="222" t="s">
        <v>221</v>
      </c>
      <c r="D9" s="222" t="s">
        <v>221</v>
      </c>
      <c r="E9" s="222" t="s">
        <v>221</v>
      </c>
      <c r="F9" s="223"/>
      <c r="G9" s="162"/>
      <c r="H9" s="162"/>
    </row>
    <row r="10" spans="1:9" ht="38.25">
      <c r="A10" s="163" t="s">
        <v>810</v>
      </c>
      <c r="B10" s="172" t="s">
        <v>429</v>
      </c>
      <c r="C10" s="222" t="s">
        <v>221</v>
      </c>
      <c r="D10" s="222" t="s">
        <v>221</v>
      </c>
      <c r="E10" s="222" t="s">
        <v>221</v>
      </c>
      <c r="F10" s="223"/>
      <c r="G10" s="162"/>
      <c r="H10" s="162"/>
    </row>
    <row r="11" spans="1:9" ht="18.75">
      <c r="A11" s="160"/>
      <c r="B11" s="169" t="s">
        <v>320</v>
      </c>
      <c r="C11" s="161"/>
      <c r="D11" s="161"/>
      <c r="E11" s="161"/>
      <c r="F11" s="161"/>
      <c r="G11" s="228"/>
      <c r="H11" s="228"/>
    </row>
    <row r="12" spans="1:9" ht="63.75">
      <c r="A12" s="163" t="s">
        <v>811</v>
      </c>
      <c r="B12" s="172" t="s">
        <v>323</v>
      </c>
      <c r="C12" s="222" t="s">
        <v>11</v>
      </c>
      <c r="D12" s="222" t="s">
        <v>11</v>
      </c>
      <c r="E12" s="222" t="s">
        <v>11</v>
      </c>
      <c r="F12" s="233" t="s">
        <v>899</v>
      </c>
      <c r="G12" s="162"/>
      <c r="H12" s="162"/>
    </row>
    <row r="13" spans="1:9" ht="63.75">
      <c r="A13" s="163" t="s">
        <v>812</v>
      </c>
      <c r="B13" s="172" t="s">
        <v>324</v>
      </c>
      <c r="C13" s="222" t="s">
        <v>11</v>
      </c>
      <c r="D13" s="222" t="s">
        <v>11</v>
      </c>
      <c r="E13" s="222" t="s">
        <v>11</v>
      </c>
      <c r="F13" s="233" t="s">
        <v>899</v>
      </c>
      <c r="G13" s="162"/>
      <c r="H13" s="162"/>
    </row>
    <row r="14" spans="1:9" ht="51">
      <c r="A14" s="163" t="s">
        <v>813</v>
      </c>
      <c r="B14" s="172" t="s">
        <v>361</v>
      </c>
      <c r="C14" s="222" t="s">
        <v>11</v>
      </c>
      <c r="D14" s="222" t="s">
        <v>11</v>
      </c>
      <c r="E14" s="222" t="s">
        <v>11</v>
      </c>
      <c r="F14" s="233" t="s">
        <v>899</v>
      </c>
      <c r="G14" s="162"/>
      <c r="H14" s="162"/>
    </row>
    <row r="15" spans="1:9" ht="25.5">
      <c r="A15" s="163" t="s">
        <v>814</v>
      </c>
      <c r="B15" s="172" t="s">
        <v>326</v>
      </c>
      <c r="C15" s="222" t="s">
        <v>11</v>
      </c>
      <c r="D15" s="222" t="s">
        <v>11</v>
      </c>
      <c r="E15" s="222" t="s">
        <v>11</v>
      </c>
      <c r="F15" s="233" t="s">
        <v>899</v>
      </c>
      <c r="G15" s="162"/>
      <c r="H15" s="162"/>
    </row>
    <row r="16" spans="1:9" ht="18.75">
      <c r="A16" s="160"/>
      <c r="B16" s="169" t="s">
        <v>368</v>
      </c>
      <c r="C16" s="161"/>
      <c r="D16" s="161"/>
      <c r="E16" s="161"/>
      <c r="F16" s="161"/>
      <c r="G16" s="228"/>
      <c r="H16" s="228"/>
    </row>
    <row r="17" spans="1:8" ht="38.25">
      <c r="A17" s="163" t="s">
        <v>819</v>
      </c>
      <c r="B17" s="172" t="s">
        <v>527</v>
      </c>
      <c r="C17" s="222" t="s">
        <v>221</v>
      </c>
      <c r="D17" s="222" t="s">
        <v>221</v>
      </c>
      <c r="E17" s="222" t="s">
        <v>221</v>
      </c>
      <c r="F17" s="223"/>
      <c r="G17" s="162"/>
      <c r="H17" s="162"/>
    </row>
    <row r="18" spans="1:8" ht="76.5">
      <c r="A18" s="163" t="s">
        <v>820</v>
      </c>
      <c r="B18" s="172" t="s">
        <v>528</v>
      </c>
      <c r="C18" s="222" t="s">
        <v>11</v>
      </c>
      <c r="D18" s="222" t="s">
        <v>11</v>
      </c>
      <c r="E18" s="222" t="s">
        <v>11</v>
      </c>
      <c r="F18" s="233" t="s">
        <v>899</v>
      </c>
      <c r="G18" s="162"/>
      <c r="H18" s="162"/>
    </row>
    <row r="19" spans="1:8" ht="18.75">
      <c r="A19" s="160"/>
      <c r="B19" s="169" t="s">
        <v>503</v>
      </c>
      <c r="C19" s="161"/>
      <c r="D19" s="161"/>
      <c r="E19" s="161"/>
      <c r="F19" s="161"/>
      <c r="G19" s="228"/>
      <c r="H19" s="228"/>
    </row>
    <row r="20" spans="1:8" ht="51">
      <c r="A20" s="163" t="s">
        <v>821</v>
      </c>
      <c r="B20" s="172" t="s">
        <v>818</v>
      </c>
      <c r="C20" s="222" t="s">
        <v>11</v>
      </c>
      <c r="D20" s="222" t="s">
        <v>11</v>
      </c>
      <c r="E20" s="222" t="s">
        <v>11</v>
      </c>
      <c r="F20" s="233" t="s">
        <v>900</v>
      </c>
      <c r="G20" s="162"/>
      <c r="H20" s="162"/>
    </row>
    <row r="21" spans="1:8" ht="51">
      <c r="A21" s="163" t="s">
        <v>822</v>
      </c>
      <c r="B21" s="172" t="s">
        <v>823</v>
      </c>
      <c r="C21" s="222" t="s">
        <v>11</v>
      </c>
      <c r="D21" s="222" t="s">
        <v>11</v>
      </c>
      <c r="E21" s="222" t="s">
        <v>11</v>
      </c>
      <c r="F21" s="233" t="s">
        <v>900</v>
      </c>
      <c r="G21" s="162"/>
      <c r="H21" s="162"/>
    </row>
    <row r="22" spans="1:8" ht="51">
      <c r="A22" s="163" t="s">
        <v>824</v>
      </c>
      <c r="B22" s="172" t="s">
        <v>825</v>
      </c>
      <c r="C22" s="222" t="s">
        <v>221</v>
      </c>
      <c r="D22" s="222" t="s">
        <v>221</v>
      </c>
      <c r="E22" s="222" t="s">
        <v>221</v>
      </c>
      <c r="F22" s="233"/>
      <c r="G22" s="162"/>
      <c r="H22" s="162"/>
    </row>
    <row r="23" spans="1:8" ht="25.5">
      <c r="A23" s="163" t="s">
        <v>826</v>
      </c>
      <c r="B23" s="172" t="s">
        <v>529</v>
      </c>
      <c r="C23" s="222" t="s">
        <v>221</v>
      </c>
      <c r="D23" s="222" t="s">
        <v>221</v>
      </c>
      <c r="E23" s="222" t="s">
        <v>221</v>
      </c>
      <c r="F23" s="223"/>
      <c r="G23" s="162"/>
      <c r="H23" s="162"/>
    </row>
    <row r="24" spans="1:8" ht="51">
      <c r="A24" s="163" t="s">
        <v>827</v>
      </c>
      <c r="B24" s="172" t="s">
        <v>828</v>
      </c>
      <c r="C24" s="222" t="s">
        <v>11</v>
      </c>
      <c r="D24" s="222" t="s">
        <v>11</v>
      </c>
      <c r="E24" s="222" t="s">
        <v>11</v>
      </c>
      <c r="F24" s="233" t="s">
        <v>900</v>
      </c>
      <c r="G24" s="162"/>
      <c r="H24" s="162"/>
    </row>
    <row r="25" spans="1:8" ht="25.5">
      <c r="A25" s="163" t="s">
        <v>829</v>
      </c>
      <c r="B25" s="172" t="s">
        <v>530</v>
      </c>
      <c r="C25" s="222" t="s">
        <v>221</v>
      </c>
      <c r="D25" s="222" t="s">
        <v>221</v>
      </c>
      <c r="E25" s="222" t="s">
        <v>221</v>
      </c>
      <c r="F25" s="223"/>
      <c r="G25" s="162"/>
      <c r="H25" s="162"/>
    </row>
    <row r="26" spans="1:8" ht="18.75">
      <c r="A26" s="160"/>
      <c r="B26" s="169" t="s">
        <v>266</v>
      </c>
      <c r="C26" s="161"/>
      <c r="D26" s="161"/>
      <c r="E26" s="161"/>
      <c r="F26" s="161"/>
      <c r="G26" s="228"/>
      <c r="H26" s="228"/>
    </row>
    <row r="27" spans="1:8" ht="38.25">
      <c r="A27" s="163" t="s">
        <v>594</v>
      </c>
      <c r="B27" s="172" t="s">
        <v>215</v>
      </c>
      <c r="C27" s="222" t="s">
        <v>221</v>
      </c>
      <c r="D27" s="222" t="s">
        <v>221</v>
      </c>
      <c r="E27" s="222" t="s">
        <v>221</v>
      </c>
      <c r="F27" s="223"/>
      <c r="G27" s="162"/>
      <c r="H27" s="162"/>
    </row>
    <row r="28" spans="1:8" ht="25.5">
      <c r="A28" s="163" t="s">
        <v>595</v>
      </c>
      <c r="B28" s="172" t="s">
        <v>216</v>
      </c>
      <c r="C28" s="222" t="s">
        <v>221</v>
      </c>
      <c r="D28" s="222" t="s">
        <v>221</v>
      </c>
      <c r="E28" s="222" t="s">
        <v>221</v>
      </c>
      <c r="F28" s="223"/>
      <c r="G28" s="162"/>
      <c r="H28" s="162"/>
    </row>
    <row r="29" spans="1:8" ht="38.25">
      <c r="A29" s="163" t="s">
        <v>596</v>
      </c>
      <c r="B29" s="172" t="s">
        <v>217</v>
      </c>
      <c r="C29" s="222" t="s">
        <v>221</v>
      </c>
      <c r="D29" s="222" t="s">
        <v>221</v>
      </c>
      <c r="E29" s="222" t="s">
        <v>221</v>
      </c>
      <c r="F29" s="223"/>
      <c r="G29" s="162"/>
      <c r="H29" s="162"/>
    </row>
    <row r="30" spans="1:8" ht="38.25">
      <c r="A30" s="163" t="s">
        <v>597</v>
      </c>
      <c r="B30" s="172" t="s">
        <v>218</v>
      </c>
      <c r="C30" s="222" t="s">
        <v>221</v>
      </c>
      <c r="D30" s="222" t="s">
        <v>221</v>
      </c>
      <c r="E30" s="222" t="s">
        <v>221</v>
      </c>
      <c r="F30" s="223"/>
      <c r="G30" s="162"/>
      <c r="H30" s="162"/>
    </row>
    <row r="31" spans="1:8" ht="18.75">
      <c r="A31" s="160"/>
      <c r="B31" s="169" t="s">
        <v>267</v>
      </c>
      <c r="C31" s="161"/>
      <c r="D31" s="161"/>
      <c r="E31" s="161"/>
      <c r="F31" s="161"/>
      <c r="G31" s="228"/>
      <c r="H31" s="228"/>
    </row>
    <row r="32" spans="1:8" ht="38.25">
      <c r="A32" s="163" t="s">
        <v>598</v>
      </c>
      <c r="B32" s="172" t="s">
        <v>219</v>
      </c>
      <c r="C32" s="222" t="s">
        <v>221</v>
      </c>
      <c r="D32" s="222" t="s">
        <v>221</v>
      </c>
      <c r="E32" s="222" t="s">
        <v>221</v>
      </c>
      <c r="F32" s="223"/>
      <c r="G32" s="162"/>
      <c r="H32" s="162"/>
    </row>
    <row r="33" spans="1:8" ht="38.25">
      <c r="A33" s="163" t="s">
        <v>599</v>
      </c>
      <c r="B33" s="172" t="s">
        <v>220</v>
      </c>
      <c r="C33" s="222" t="s">
        <v>221</v>
      </c>
      <c r="D33" s="222" t="s">
        <v>221</v>
      </c>
      <c r="E33" s="222" t="s">
        <v>221</v>
      </c>
      <c r="F33" s="223"/>
      <c r="G33" s="162"/>
      <c r="H33" s="162"/>
    </row>
    <row r="34" spans="1:8" ht="18.75">
      <c r="A34" s="160"/>
      <c r="B34" s="169" t="s">
        <v>213</v>
      </c>
      <c r="C34" s="161"/>
      <c r="D34" s="161"/>
      <c r="E34" s="161"/>
      <c r="F34" s="161"/>
      <c r="G34" s="228"/>
      <c r="H34" s="228"/>
    </row>
    <row r="35" spans="1:8" ht="51">
      <c r="A35" s="163" t="s">
        <v>600</v>
      </c>
      <c r="B35" s="172" t="s">
        <v>214</v>
      </c>
      <c r="C35" s="222" t="s">
        <v>11</v>
      </c>
      <c r="D35" s="222" t="s">
        <v>11</v>
      </c>
      <c r="E35" s="222" t="s">
        <v>11</v>
      </c>
      <c r="F35" s="233" t="s">
        <v>898</v>
      </c>
      <c r="G35" s="162"/>
      <c r="H35" s="162"/>
    </row>
    <row r="36" spans="1:8" ht="18">
      <c r="A36" s="224"/>
      <c r="B36" s="225" t="s">
        <v>286</v>
      </c>
      <c r="C36" s="224"/>
      <c r="D36" s="224"/>
      <c r="E36" s="224"/>
      <c r="F36" s="224"/>
      <c r="G36" s="224"/>
      <c r="H36" s="224"/>
    </row>
    <row r="37" spans="1:8">
      <c r="A37" s="163"/>
      <c r="B37" s="172"/>
    </row>
    <row r="38" spans="1:8" ht="15">
      <c r="A38" s="226"/>
      <c r="B38" s="227" t="s">
        <v>619</v>
      </c>
      <c r="C38" s="226"/>
      <c r="D38" s="226"/>
      <c r="E38" s="226"/>
      <c r="F38" s="226"/>
      <c r="G38" s="226"/>
      <c r="H38" s="226"/>
    </row>
  </sheetData>
  <mergeCells count="1">
    <mergeCell ref="G2:H2"/>
  </mergeCells>
  <conditionalFormatting sqref="C6">
    <cfRule type="cellIs" dxfId="350" priority="142" operator="equal">
      <formula>"No"</formula>
    </cfRule>
    <cfRule type="cellIs" dxfId="349" priority="143" operator="equal">
      <formula>"NA"</formula>
    </cfRule>
    <cfRule type="cellIs" dxfId="348" priority="144" operator="equal">
      <formula>"Yes"</formula>
    </cfRule>
  </conditionalFormatting>
  <conditionalFormatting sqref="C7">
    <cfRule type="cellIs" dxfId="347" priority="139" operator="equal">
      <formula>"No"</formula>
    </cfRule>
    <cfRule type="cellIs" dxfId="346" priority="140" operator="equal">
      <formula>"NA"</formula>
    </cfRule>
    <cfRule type="cellIs" dxfId="345" priority="141" operator="equal">
      <formula>"Yes"</formula>
    </cfRule>
  </conditionalFormatting>
  <conditionalFormatting sqref="C8">
    <cfRule type="cellIs" dxfId="344" priority="136" operator="equal">
      <formula>"No"</formula>
    </cfRule>
    <cfRule type="cellIs" dxfId="343" priority="137" operator="equal">
      <formula>"NA"</formula>
    </cfRule>
    <cfRule type="cellIs" dxfId="342" priority="138" operator="equal">
      <formula>"Yes"</formula>
    </cfRule>
  </conditionalFormatting>
  <conditionalFormatting sqref="C9">
    <cfRule type="cellIs" dxfId="341" priority="133" operator="equal">
      <formula>"No"</formula>
    </cfRule>
    <cfRule type="cellIs" dxfId="340" priority="134" operator="equal">
      <formula>"NA"</formula>
    </cfRule>
    <cfRule type="cellIs" dxfId="339" priority="135" operator="equal">
      <formula>"Yes"</formula>
    </cfRule>
  </conditionalFormatting>
  <conditionalFormatting sqref="C10">
    <cfRule type="cellIs" dxfId="338" priority="130" operator="equal">
      <formula>"No"</formula>
    </cfRule>
    <cfRule type="cellIs" dxfId="337" priority="131" operator="equal">
      <formula>"NA"</formula>
    </cfRule>
    <cfRule type="cellIs" dxfId="336" priority="132" operator="equal">
      <formula>"Yes"</formula>
    </cfRule>
  </conditionalFormatting>
  <conditionalFormatting sqref="C12">
    <cfRule type="cellIs" dxfId="335" priority="127" operator="equal">
      <formula>"No"</formula>
    </cfRule>
    <cfRule type="cellIs" dxfId="334" priority="128" operator="equal">
      <formula>"NA"</formula>
    </cfRule>
    <cfRule type="cellIs" dxfId="333" priority="129" operator="equal">
      <formula>"Yes"</formula>
    </cfRule>
  </conditionalFormatting>
  <conditionalFormatting sqref="C13">
    <cfRule type="cellIs" dxfId="332" priority="124" operator="equal">
      <formula>"No"</formula>
    </cfRule>
    <cfRule type="cellIs" dxfId="331" priority="125" operator="equal">
      <formula>"NA"</formula>
    </cfRule>
    <cfRule type="cellIs" dxfId="330" priority="126" operator="equal">
      <formula>"Yes"</formula>
    </cfRule>
  </conditionalFormatting>
  <conditionalFormatting sqref="C14">
    <cfRule type="cellIs" dxfId="329" priority="121" operator="equal">
      <formula>"No"</formula>
    </cfRule>
    <cfRule type="cellIs" dxfId="328" priority="122" operator="equal">
      <formula>"NA"</formula>
    </cfRule>
    <cfRule type="cellIs" dxfId="327" priority="123" operator="equal">
      <formula>"Yes"</formula>
    </cfRule>
  </conditionalFormatting>
  <conditionalFormatting sqref="C15">
    <cfRule type="cellIs" dxfId="326" priority="118" operator="equal">
      <formula>"No"</formula>
    </cfRule>
    <cfRule type="cellIs" dxfId="325" priority="119" operator="equal">
      <formula>"NA"</formula>
    </cfRule>
    <cfRule type="cellIs" dxfId="324" priority="120" operator="equal">
      <formula>"Yes"</formula>
    </cfRule>
  </conditionalFormatting>
  <conditionalFormatting sqref="C17">
    <cfRule type="cellIs" dxfId="323" priority="115" operator="equal">
      <formula>"No"</formula>
    </cfRule>
    <cfRule type="cellIs" dxfId="322" priority="116" operator="equal">
      <formula>"NA"</formula>
    </cfRule>
    <cfRule type="cellIs" dxfId="321" priority="117" operator="equal">
      <formula>"Yes"</formula>
    </cfRule>
  </conditionalFormatting>
  <conditionalFormatting sqref="C18">
    <cfRule type="cellIs" dxfId="320" priority="112" operator="equal">
      <formula>"No"</formula>
    </cfRule>
    <cfRule type="cellIs" dxfId="319" priority="113" operator="equal">
      <formula>"NA"</formula>
    </cfRule>
    <cfRule type="cellIs" dxfId="318" priority="114" operator="equal">
      <formula>"Yes"</formula>
    </cfRule>
  </conditionalFormatting>
  <conditionalFormatting sqref="C20">
    <cfRule type="cellIs" dxfId="317" priority="109" operator="equal">
      <formula>"No"</formula>
    </cfRule>
    <cfRule type="cellIs" dxfId="316" priority="110" operator="equal">
      <formula>"NA"</formula>
    </cfRule>
    <cfRule type="cellIs" dxfId="315" priority="111" operator="equal">
      <formula>"Yes"</formula>
    </cfRule>
  </conditionalFormatting>
  <conditionalFormatting sqref="C21">
    <cfRule type="cellIs" dxfId="314" priority="106" operator="equal">
      <formula>"No"</formula>
    </cfRule>
    <cfRule type="cellIs" dxfId="313" priority="107" operator="equal">
      <formula>"NA"</formula>
    </cfRule>
    <cfRule type="cellIs" dxfId="312" priority="108" operator="equal">
      <formula>"Yes"</formula>
    </cfRule>
  </conditionalFormatting>
  <conditionalFormatting sqref="C22">
    <cfRule type="cellIs" dxfId="311" priority="103" operator="equal">
      <formula>"No"</formula>
    </cfRule>
    <cfRule type="cellIs" dxfId="310" priority="104" operator="equal">
      <formula>"NA"</formula>
    </cfRule>
    <cfRule type="cellIs" dxfId="309" priority="105" operator="equal">
      <formula>"Yes"</formula>
    </cfRule>
  </conditionalFormatting>
  <conditionalFormatting sqref="C23">
    <cfRule type="cellIs" dxfId="308" priority="100" operator="equal">
      <formula>"No"</formula>
    </cfRule>
    <cfRule type="cellIs" dxfId="307" priority="101" operator="equal">
      <formula>"NA"</formula>
    </cfRule>
    <cfRule type="cellIs" dxfId="306" priority="102" operator="equal">
      <formula>"Yes"</formula>
    </cfRule>
  </conditionalFormatting>
  <conditionalFormatting sqref="C24">
    <cfRule type="cellIs" dxfId="305" priority="97" operator="equal">
      <formula>"No"</formula>
    </cfRule>
    <cfRule type="cellIs" dxfId="304" priority="98" operator="equal">
      <formula>"NA"</formula>
    </cfRule>
    <cfRule type="cellIs" dxfId="303" priority="99" operator="equal">
      <formula>"Yes"</formula>
    </cfRule>
  </conditionalFormatting>
  <conditionalFormatting sqref="C25">
    <cfRule type="cellIs" dxfId="302" priority="94" operator="equal">
      <formula>"No"</formula>
    </cfRule>
    <cfRule type="cellIs" dxfId="301" priority="95" operator="equal">
      <formula>"NA"</formula>
    </cfRule>
    <cfRule type="cellIs" dxfId="300" priority="96" operator="equal">
      <formula>"Yes"</formula>
    </cfRule>
  </conditionalFormatting>
  <conditionalFormatting sqref="C27">
    <cfRule type="cellIs" dxfId="299" priority="91" operator="equal">
      <formula>"No"</formula>
    </cfRule>
    <cfRule type="cellIs" dxfId="298" priority="92" operator="equal">
      <formula>"NA"</formula>
    </cfRule>
    <cfRule type="cellIs" dxfId="297" priority="93" operator="equal">
      <formula>"Yes"</formula>
    </cfRule>
  </conditionalFormatting>
  <conditionalFormatting sqref="C28">
    <cfRule type="cellIs" dxfId="296" priority="88" operator="equal">
      <formula>"No"</formula>
    </cfRule>
    <cfRule type="cellIs" dxfId="295" priority="89" operator="equal">
      <formula>"NA"</formula>
    </cfRule>
    <cfRule type="cellIs" dxfId="294" priority="90" operator="equal">
      <formula>"Yes"</formula>
    </cfRule>
  </conditionalFormatting>
  <conditionalFormatting sqref="C29">
    <cfRule type="cellIs" dxfId="293" priority="85" operator="equal">
      <formula>"No"</formula>
    </cfRule>
    <cfRule type="cellIs" dxfId="292" priority="86" operator="equal">
      <formula>"NA"</formula>
    </cfRule>
    <cfRule type="cellIs" dxfId="291" priority="87" operator="equal">
      <formula>"Yes"</formula>
    </cfRule>
  </conditionalFormatting>
  <conditionalFormatting sqref="C30">
    <cfRule type="cellIs" dxfId="290" priority="82" operator="equal">
      <formula>"No"</formula>
    </cfRule>
    <cfRule type="cellIs" dxfId="289" priority="83" operator="equal">
      <formula>"NA"</formula>
    </cfRule>
    <cfRule type="cellIs" dxfId="288" priority="84" operator="equal">
      <formula>"Yes"</formula>
    </cfRule>
  </conditionalFormatting>
  <conditionalFormatting sqref="C32">
    <cfRule type="cellIs" dxfId="287" priority="79" operator="equal">
      <formula>"No"</formula>
    </cfRule>
    <cfRule type="cellIs" dxfId="286" priority="80" operator="equal">
      <formula>"NA"</formula>
    </cfRule>
    <cfRule type="cellIs" dxfId="285" priority="81" operator="equal">
      <formula>"Yes"</formula>
    </cfRule>
  </conditionalFormatting>
  <conditionalFormatting sqref="C33">
    <cfRule type="cellIs" dxfId="284" priority="76" operator="equal">
      <formula>"No"</formula>
    </cfRule>
    <cfRule type="cellIs" dxfId="283" priority="77" operator="equal">
      <formula>"NA"</formula>
    </cfRule>
    <cfRule type="cellIs" dxfId="282" priority="78" operator="equal">
      <formula>"Yes"</formula>
    </cfRule>
  </conditionalFormatting>
  <conditionalFormatting sqref="C35">
    <cfRule type="cellIs" dxfId="281" priority="73" operator="equal">
      <formula>"No"</formula>
    </cfRule>
    <cfRule type="cellIs" dxfId="280" priority="74" operator="equal">
      <formula>"NA"</formula>
    </cfRule>
    <cfRule type="cellIs" dxfId="279" priority="75" operator="equal">
      <formula>"Yes"</formula>
    </cfRule>
  </conditionalFormatting>
  <conditionalFormatting sqref="D6:E6">
    <cfRule type="cellIs" dxfId="278" priority="70" operator="equal">
      <formula>"No"</formula>
    </cfRule>
    <cfRule type="cellIs" dxfId="277" priority="71" operator="equal">
      <formula>"NA"</formula>
    </cfRule>
    <cfRule type="cellIs" dxfId="276" priority="72" operator="equal">
      <formula>"Yes"</formula>
    </cfRule>
  </conditionalFormatting>
  <conditionalFormatting sqref="D7:E7">
    <cfRule type="cellIs" dxfId="275" priority="67" operator="equal">
      <formula>"No"</formula>
    </cfRule>
    <cfRule type="cellIs" dxfId="274" priority="68" operator="equal">
      <formula>"NA"</formula>
    </cfRule>
    <cfRule type="cellIs" dxfId="273" priority="69" operator="equal">
      <formula>"Yes"</formula>
    </cfRule>
  </conditionalFormatting>
  <conditionalFormatting sqref="D8:E8">
    <cfRule type="cellIs" dxfId="272" priority="64" operator="equal">
      <formula>"No"</formula>
    </cfRule>
    <cfRule type="cellIs" dxfId="271" priority="65" operator="equal">
      <formula>"NA"</formula>
    </cfRule>
    <cfRule type="cellIs" dxfId="270" priority="66" operator="equal">
      <formula>"Yes"</formula>
    </cfRule>
  </conditionalFormatting>
  <conditionalFormatting sqref="D9:E9">
    <cfRule type="cellIs" dxfId="269" priority="61" operator="equal">
      <formula>"No"</formula>
    </cfRule>
    <cfRule type="cellIs" dxfId="268" priority="62" operator="equal">
      <formula>"NA"</formula>
    </cfRule>
    <cfRule type="cellIs" dxfId="267" priority="63" operator="equal">
      <formula>"Yes"</formula>
    </cfRule>
  </conditionalFormatting>
  <conditionalFormatting sqref="D10:E10">
    <cfRule type="cellIs" dxfId="266" priority="58" operator="equal">
      <formula>"No"</formula>
    </cfRule>
    <cfRule type="cellIs" dxfId="265" priority="59" operator="equal">
      <formula>"NA"</formula>
    </cfRule>
    <cfRule type="cellIs" dxfId="264" priority="60" operator="equal">
      <formula>"Yes"</formula>
    </cfRule>
  </conditionalFormatting>
  <conditionalFormatting sqref="D12:E12">
    <cfRule type="cellIs" dxfId="263" priority="55" operator="equal">
      <formula>"No"</formula>
    </cfRule>
    <cfRule type="cellIs" dxfId="262" priority="56" operator="equal">
      <formula>"NA"</formula>
    </cfRule>
    <cfRule type="cellIs" dxfId="261" priority="57" operator="equal">
      <formula>"Yes"</formula>
    </cfRule>
  </conditionalFormatting>
  <conditionalFormatting sqref="D13:E13">
    <cfRule type="cellIs" dxfId="260" priority="52" operator="equal">
      <formula>"No"</formula>
    </cfRule>
    <cfRule type="cellIs" dxfId="259" priority="53" operator="equal">
      <formula>"NA"</formula>
    </cfRule>
    <cfRule type="cellIs" dxfId="258" priority="54" operator="equal">
      <formula>"Yes"</formula>
    </cfRule>
  </conditionalFormatting>
  <conditionalFormatting sqref="D14:E14">
    <cfRule type="cellIs" dxfId="257" priority="49" operator="equal">
      <formula>"No"</formula>
    </cfRule>
    <cfRule type="cellIs" dxfId="256" priority="50" operator="equal">
      <formula>"NA"</formula>
    </cfRule>
    <cfRule type="cellIs" dxfId="255" priority="51" operator="equal">
      <formula>"Yes"</formula>
    </cfRule>
  </conditionalFormatting>
  <conditionalFormatting sqref="D15:E15">
    <cfRule type="cellIs" dxfId="254" priority="46" operator="equal">
      <formula>"No"</formula>
    </cfRule>
    <cfRule type="cellIs" dxfId="253" priority="47" operator="equal">
      <formula>"NA"</formula>
    </cfRule>
    <cfRule type="cellIs" dxfId="252" priority="48" operator="equal">
      <formula>"Yes"</formula>
    </cfRule>
  </conditionalFormatting>
  <conditionalFormatting sqref="D17:E17">
    <cfRule type="cellIs" dxfId="251" priority="43" operator="equal">
      <formula>"No"</formula>
    </cfRule>
    <cfRule type="cellIs" dxfId="250" priority="44" operator="equal">
      <formula>"NA"</formula>
    </cfRule>
    <cfRule type="cellIs" dxfId="249" priority="45" operator="equal">
      <formula>"Yes"</formula>
    </cfRule>
  </conditionalFormatting>
  <conditionalFormatting sqref="D18:E18">
    <cfRule type="cellIs" dxfId="248" priority="40" operator="equal">
      <formula>"No"</formula>
    </cfRule>
    <cfRule type="cellIs" dxfId="247" priority="41" operator="equal">
      <formula>"NA"</formula>
    </cfRule>
    <cfRule type="cellIs" dxfId="246" priority="42" operator="equal">
      <formula>"Yes"</formula>
    </cfRule>
  </conditionalFormatting>
  <conditionalFormatting sqref="D20:E20">
    <cfRule type="cellIs" dxfId="245" priority="37" operator="equal">
      <formula>"No"</formula>
    </cfRule>
    <cfRule type="cellIs" dxfId="244" priority="38" operator="equal">
      <formula>"NA"</formula>
    </cfRule>
    <cfRule type="cellIs" dxfId="243" priority="39" operator="equal">
      <formula>"Yes"</formula>
    </cfRule>
  </conditionalFormatting>
  <conditionalFormatting sqref="D21:E21">
    <cfRule type="cellIs" dxfId="242" priority="34" operator="equal">
      <formula>"No"</formula>
    </cfRule>
    <cfRule type="cellIs" dxfId="241" priority="35" operator="equal">
      <formula>"NA"</formula>
    </cfRule>
    <cfRule type="cellIs" dxfId="240" priority="36" operator="equal">
      <formula>"Yes"</formula>
    </cfRule>
  </conditionalFormatting>
  <conditionalFormatting sqref="D22:E22">
    <cfRule type="cellIs" dxfId="239" priority="31" operator="equal">
      <formula>"No"</formula>
    </cfRule>
    <cfRule type="cellIs" dxfId="238" priority="32" operator="equal">
      <formula>"NA"</formula>
    </cfRule>
    <cfRule type="cellIs" dxfId="237" priority="33" operator="equal">
      <formula>"Yes"</formula>
    </cfRule>
  </conditionalFormatting>
  <conditionalFormatting sqref="D23:E23">
    <cfRule type="cellIs" dxfId="236" priority="28" operator="equal">
      <formula>"No"</formula>
    </cfRule>
    <cfRule type="cellIs" dxfId="235" priority="29" operator="equal">
      <formula>"NA"</formula>
    </cfRule>
    <cfRule type="cellIs" dxfId="234" priority="30" operator="equal">
      <formula>"Yes"</formula>
    </cfRule>
  </conditionalFormatting>
  <conditionalFormatting sqref="D24:E24">
    <cfRule type="cellIs" dxfId="233" priority="25" operator="equal">
      <formula>"No"</formula>
    </cfRule>
    <cfRule type="cellIs" dxfId="232" priority="26" operator="equal">
      <formula>"NA"</formula>
    </cfRule>
    <cfRule type="cellIs" dxfId="231" priority="27" operator="equal">
      <formula>"Yes"</formula>
    </cfRule>
  </conditionalFormatting>
  <conditionalFormatting sqref="D25:E25">
    <cfRule type="cellIs" dxfId="230" priority="22" operator="equal">
      <formula>"No"</formula>
    </cfRule>
    <cfRule type="cellIs" dxfId="229" priority="23" operator="equal">
      <formula>"NA"</formula>
    </cfRule>
    <cfRule type="cellIs" dxfId="228" priority="24" operator="equal">
      <formula>"Yes"</formula>
    </cfRule>
  </conditionalFormatting>
  <conditionalFormatting sqref="D27:E27">
    <cfRule type="cellIs" dxfId="227" priority="19" operator="equal">
      <formula>"No"</formula>
    </cfRule>
    <cfRule type="cellIs" dxfId="226" priority="20" operator="equal">
      <formula>"NA"</formula>
    </cfRule>
    <cfRule type="cellIs" dxfId="225" priority="21" operator="equal">
      <formula>"Yes"</formula>
    </cfRule>
  </conditionalFormatting>
  <conditionalFormatting sqref="D28:E28">
    <cfRule type="cellIs" dxfId="224" priority="16" operator="equal">
      <formula>"No"</formula>
    </cfRule>
    <cfRule type="cellIs" dxfId="223" priority="17" operator="equal">
      <formula>"NA"</formula>
    </cfRule>
    <cfRule type="cellIs" dxfId="222" priority="18" operator="equal">
      <formula>"Yes"</formula>
    </cfRule>
  </conditionalFormatting>
  <conditionalFormatting sqref="D29:E29">
    <cfRule type="cellIs" dxfId="221" priority="13" operator="equal">
      <formula>"No"</formula>
    </cfRule>
    <cfRule type="cellIs" dxfId="220" priority="14" operator="equal">
      <formula>"NA"</formula>
    </cfRule>
    <cfRule type="cellIs" dxfId="219" priority="15" operator="equal">
      <formula>"Yes"</formula>
    </cfRule>
  </conditionalFormatting>
  <conditionalFormatting sqref="D30:E30">
    <cfRule type="cellIs" dxfId="218" priority="10" operator="equal">
      <formula>"No"</formula>
    </cfRule>
    <cfRule type="cellIs" dxfId="217" priority="11" operator="equal">
      <formula>"NA"</formula>
    </cfRule>
    <cfRule type="cellIs" dxfId="216" priority="12" operator="equal">
      <formula>"Yes"</formula>
    </cfRule>
  </conditionalFormatting>
  <conditionalFormatting sqref="D32:E32">
    <cfRule type="cellIs" dxfId="215" priority="7" operator="equal">
      <formula>"No"</formula>
    </cfRule>
    <cfRule type="cellIs" dxfId="214" priority="8" operator="equal">
      <formula>"NA"</formula>
    </cfRule>
    <cfRule type="cellIs" dxfId="213" priority="9" operator="equal">
      <formula>"Yes"</formula>
    </cfRule>
  </conditionalFormatting>
  <conditionalFormatting sqref="D33:E33">
    <cfRule type="cellIs" dxfId="212" priority="4" operator="equal">
      <formula>"No"</formula>
    </cfRule>
    <cfRule type="cellIs" dxfId="211" priority="5" operator="equal">
      <formula>"NA"</formula>
    </cfRule>
    <cfRule type="cellIs" dxfId="210" priority="6" operator="equal">
      <formula>"Yes"</formula>
    </cfRule>
  </conditionalFormatting>
  <conditionalFormatting sqref="D35:E35">
    <cfRule type="cellIs" dxfId="209" priority="1" operator="equal">
      <formula>"No"</formula>
    </cfRule>
    <cfRule type="cellIs" dxfId="208" priority="2" operator="equal">
      <formula>"NA"</formula>
    </cfRule>
    <cfRule type="cellIs" dxfId="207" priority="3" operator="equal">
      <formula>"Yes"</formula>
    </cfRule>
  </conditionalFormatting>
  <dataValidations count="1">
    <dataValidation type="list" allowBlank="1" showInputMessage="1" showErrorMessage="1" sqref="C17:E18 C20:E25 C27:E30 C32:E33 C35:E35 C6:E10 C12:E15" xr:uid="{AA3BE0C4-8609-4882-82CA-893F5156A66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J36"/>
  <sheetViews>
    <sheetView workbookViewId="0">
      <selection activeCell="D19" sqref="D19"/>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10" ht="139.5" customHeight="1">
      <c r="A2" s="209" t="s">
        <v>229</v>
      </c>
      <c r="B2" s="210" t="s">
        <v>360</v>
      </c>
      <c r="C2" s="237"/>
      <c r="D2" s="212" t="s">
        <v>294</v>
      </c>
      <c r="E2" s="369" t="s">
        <v>185</v>
      </c>
      <c r="F2" s="370"/>
    </row>
    <row r="3" spans="1:10" ht="18.75">
      <c r="A3" s="213"/>
      <c r="B3" s="214"/>
      <c r="C3" s="215">
        <f t="shared" ref="C3" si="0">COUNTIF(Review.ratings,"Yes") / ( COUNTA(Review.QuestionIds) - COUNTIF(Review.ratings,"NA"))</f>
        <v>0</v>
      </c>
      <c r="D3" s="220"/>
      <c r="E3" s="228" t="s">
        <v>269</v>
      </c>
      <c r="F3" s="228" t="s">
        <v>270</v>
      </c>
      <c r="G3" s="221"/>
    </row>
    <row r="4" spans="1:10" ht="36">
      <c r="A4" s="216"/>
      <c r="B4" s="217" t="s">
        <v>318</v>
      </c>
      <c r="C4" s="218"/>
      <c r="D4" s="218"/>
      <c r="E4" s="218"/>
      <c r="F4" s="219"/>
      <c r="G4" s="25"/>
    </row>
    <row r="5" spans="1:10" ht="18.75">
      <c r="A5" s="160"/>
      <c r="B5" s="169" t="s">
        <v>319</v>
      </c>
      <c r="C5" s="161"/>
      <c r="D5" s="161"/>
      <c r="E5" s="228"/>
      <c r="F5" s="228"/>
    </row>
    <row r="6" spans="1:10" ht="25.5">
      <c r="A6" s="163" t="s">
        <v>802</v>
      </c>
      <c r="B6" s="172" t="s">
        <v>321</v>
      </c>
      <c r="C6" s="222"/>
      <c r="D6" s="223"/>
      <c r="E6" s="162"/>
      <c r="F6" s="162"/>
      <c r="J6" s="156" t="s">
        <v>876</v>
      </c>
    </row>
    <row r="7" spans="1:10" ht="38.25">
      <c r="A7" s="163" t="s">
        <v>803</v>
      </c>
      <c r="B7" s="172" t="s">
        <v>423</v>
      </c>
      <c r="C7" s="222"/>
      <c r="D7" s="223"/>
      <c r="E7" s="164"/>
      <c r="F7" s="162"/>
    </row>
    <row r="8" spans="1:10" ht="38.25">
      <c r="A8" s="163" t="s">
        <v>804</v>
      </c>
      <c r="B8" s="172" t="s">
        <v>425</v>
      </c>
      <c r="C8" s="222"/>
      <c r="D8" s="223"/>
      <c r="E8" s="162"/>
      <c r="F8" s="162"/>
    </row>
    <row r="9" spans="1:10" ht="38.25">
      <c r="A9" s="163" t="s">
        <v>805</v>
      </c>
      <c r="B9" s="172" t="s">
        <v>426</v>
      </c>
      <c r="C9" s="222"/>
      <c r="D9" s="223"/>
      <c r="E9" s="162"/>
      <c r="F9" s="162"/>
    </row>
    <row r="10" spans="1:10" ht="25.5">
      <c r="A10" s="163" t="s">
        <v>806</v>
      </c>
      <c r="B10" s="172" t="s">
        <v>427</v>
      </c>
      <c r="C10" s="222"/>
      <c r="D10" s="223"/>
      <c r="E10" s="162"/>
      <c r="F10" s="162"/>
    </row>
    <row r="11" spans="1:10" ht="25.5">
      <c r="A11" s="163" t="s">
        <v>807</v>
      </c>
      <c r="B11" s="172" t="s">
        <v>322</v>
      </c>
      <c r="C11" s="222"/>
      <c r="D11" s="223"/>
      <c r="E11" s="162"/>
      <c r="F11" s="162"/>
    </row>
    <row r="12" spans="1:10" ht="51">
      <c r="A12" s="163" t="s">
        <v>808</v>
      </c>
      <c r="B12" s="172" t="s">
        <v>325</v>
      </c>
      <c r="C12" s="222"/>
      <c r="D12" s="223"/>
      <c r="E12" s="162"/>
      <c r="F12" s="162"/>
    </row>
    <row r="13" spans="1:10" ht="25.5">
      <c r="A13" s="163" t="s">
        <v>809</v>
      </c>
      <c r="B13" s="172" t="s">
        <v>428</v>
      </c>
      <c r="C13" s="222"/>
      <c r="D13" s="223"/>
      <c r="E13" s="162"/>
      <c r="F13" s="162"/>
    </row>
    <row r="14" spans="1:10" ht="38.25">
      <c r="A14" s="163" t="s">
        <v>810</v>
      </c>
      <c r="B14" s="172" t="s">
        <v>429</v>
      </c>
      <c r="C14" s="222"/>
      <c r="D14" s="223"/>
      <c r="E14" s="162"/>
      <c r="F14" s="162"/>
    </row>
    <row r="15" spans="1:10" ht="18.75">
      <c r="A15" s="160"/>
      <c r="B15" s="169" t="s">
        <v>320</v>
      </c>
      <c r="C15" s="161"/>
      <c r="D15" s="161"/>
      <c r="E15" s="228"/>
      <c r="F15" s="228"/>
    </row>
    <row r="16" spans="1:10" ht="63.75">
      <c r="A16" s="163" t="s">
        <v>811</v>
      </c>
      <c r="B16" s="172" t="s">
        <v>323</v>
      </c>
      <c r="C16" s="222"/>
      <c r="D16" s="233"/>
      <c r="E16" s="162"/>
      <c r="F16" s="162"/>
    </row>
    <row r="17" spans="1:6" ht="63.75">
      <c r="A17" s="163" t="s">
        <v>812</v>
      </c>
      <c r="B17" s="172" t="s">
        <v>324</v>
      </c>
      <c r="C17" s="222"/>
      <c r="D17" s="233"/>
      <c r="E17" s="162"/>
      <c r="F17" s="162"/>
    </row>
    <row r="18" spans="1:6" ht="51">
      <c r="A18" s="163" t="s">
        <v>813</v>
      </c>
      <c r="B18" s="172" t="s">
        <v>361</v>
      </c>
      <c r="C18" s="222"/>
      <c r="D18" s="233"/>
      <c r="E18" s="162"/>
      <c r="F18" s="162"/>
    </row>
    <row r="19" spans="1:6" ht="25.5">
      <c r="A19" s="163" t="s">
        <v>814</v>
      </c>
      <c r="B19" s="172" t="s">
        <v>326</v>
      </c>
      <c r="C19" s="222"/>
      <c r="D19" s="233"/>
      <c r="E19" s="162"/>
      <c r="F19" s="162"/>
    </row>
    <row r="20" spans="1:6" ht="18.75">
      <c r="A20" s="160"/>
      <c r="B20" s="169" t="s">
        <v>503</v>
      </c>
      <c r="C20" s="161"/>
      <c r="D20" s="161"/>
      <c r="E20" s="228"/>
      <c r="F20" s="228"/>
    </row>
    <row r="21" spans="1:6" ht="38.25">
      <c r="A21" s="163" t="s">
        <v>815</v>
      </c>
      <c r="B21" s="172" t="s">
        <v>525</v>
      </c>
      <c r="C21" s="222"/>
      <c r="D21" s="223"/>
      <c r="E21" s="162"/>
      <c r="F21" s="162"/>
    </row>
    <row r="22" spans="1:6" ht="38.25">
      <c r="A22" s="163" t="s">
        <v>816</v>
      </c>
      <c r="B22" s="172" t="s">
        <v>526</v>
      </c>
      <c r="C22" s="222"/>
      <c r="D22" s="223"/>
      <c r="E22" s="162"/>
      <c r="F22" s="162"/>
    </row>
    <row r="23" spans="1:6" ht="51">
      <c r="A23" s="163" t="s">
        <v>817</v>
      </c>
      <c r="B23" s="172" t="s">
        <v>818</v>
      </c>
      <c r="C23" s="222"/>
      <c r="D23" s="223"/>
      <c r="E23" s="162"/>
      <c r="F23" s="162"/>
    </row>
    <row r="24" spans="1:6" ht="18.75">
      <c r="A24" s="160"/>
      <c r="B24" s="169" t="s">
        <v>266</v>
      </c>
      <c r="C24" s="161"/>
      <c r="D24" s="161"/>
      <c r="E24" s="228"/>
      <c r="F24" s="228"/>
    </row>
    <row r="25" spans="1:6" ht="38.25">
      <c r="A25" s="163" t="s">
        <v>594</v>
      </c>
      <c r="B25" s="172" t="s">
        <v>215</v>
      </c>
      <c r="C25" s="222"/>
      <c r="D25" s="223"/>
      <c r="E25" s="162"/>
      <c r="F25" s="162"/>
    </row>
    <row r="26" spans="1:6" ht="25.5">
      <c r="A26" s="163" t="s">
        <v>595</v>
      </c>
      <c r="B26" s="172" t="s">
        <v>216</v>
      </c>
      <c r="C26" s="222"/>
      <c r="D26" s="223"/>
      <c r="E26" s="162"/>
      <c r="F26" s="162"/>
    </row>
    <row r="27" spans="1:6" ht="38.25">
      <c r="A27" s="163" t="s">
        <v>596</v>
      </c>
      <c r="B27" s="172" t="s">
        <v>217</v>
      </c>
      <c r="C27" s="222"/>
      <c r="D27" s="223"/>
      <c r="E27" s="162"/>
      <c r="F27" s="162"/>
    </row>
    <row r="28" spans="1:6" ht="38.25">
      <c r="A28" s="163" t="s">
        <v>597</v>
      </c>
      <c r="B28" s="172" t="s">
        <v>218</v>
      </c>
      <c r="C28" s="222"/>
      <c r="D28" s="223"/>
      <c r="E28" s="162"/>
      <c r="F28" s="162"/>
    </row>
    <row r="29" spans="1:6" ht="18.75">
      <c r="A29" s="160"/>
      <c r="B29" s="169" t="s">
        <v>267</v>
      </c>
      <c r="C29" s="161"/>
      <c r="D29" s="161"/>
      <c r="E29" s="228"/>
      <c r="F29" s="228"/>
    </row>
    <row r="30" spans="1:6" ht="38.25">
      <c r="A30" s="163" t="s">
        <v>598</v>
      </c>
      <c r="B30" s="172" t="s">
        <v>219</v>
      </c>
      <c r="C30" s="222"/>
      <c r="D30" s="223"/>
      <c r="E30" s="162"/>
      <c r="F30" s="162"/>
    </row>
    <row r="31" spans="1:6" ht="38.25">
      <c r="A31" s="163" t="s">
        <v>599</v>
      </c>
      <c r="B31" s="172" t="s">
        <v>220</v>
      </c>
      <c r="C31" s="222"/>
      <c r="D31" s="223"/>
      <c r="E31" s="162"/>
      <c r="F31" s="162"/>
    </row>
    <row r="32" spans="1:6" ht="18.75">
      <c r="A32" s="160"/>
      <c r="B32" s="169" t="s">
        <v>213</v>
      </c>
      <c r="C32" s="161"/>
      <c r="D32" s="161"/>
      <c r="E32" s="228"/>
      <c r="F32" s="228"/>
    </row>
    <row r="33" spans="1:6" ht="51">
      <c r="A33" s="163" t="s">
        <v>600</v>
      </c>
      <c r="B33" s="172" t="s">
        <v>214</v>
      </c>
      <c r="C33" s="222"/>
      <c r="D33" s="223"/>
      <c r="E33" s="162"/>
      <c r="F33" s="162"/>
    </row>
    <row r="34" spans="1:6" ht="18">
      <c r="A34" s="224"/>
      <c r="B34" s="225" t="s">
        <v>286</v>
      </c>
      <c r="C34" s="224"/>
      <c r="D34" s="224"/>
      <c r="E34" s="224"/>
      <c r="F34" s="224"/>
    </row>
    <row r="35" spans="1:6">
      <c r="A35" s="163"/>
      <c r="B35" s="172"/>
    </row>
    <row r="36" spans="1:6" ht="15">
      <c r="A36" s="226"/>
      <c r="B36" s="227" t="s">
        <v>619</v>
      </c>
      <c r="C36" s="226"/>
      <c r="D36" s="226"/>
      <c r="E36" s="226"/>
      <c r="F36" s="226"/>
    </row>
  </sheetData>
  <mergeCells count="1">
    <mergeCell ref="E2:F2"/>
  </mergeCells>
  <conditionalFormatting sqref="C6">
    <cfRule type="cellIs" dxfId="206" priority="1539" operator="equal">
      <formula>"No"</formula>
    </cfRule>
    <cfRule type="cellIs" dxfId="205" priority="1540" operator="equal">
      <formula>"NA"</formula>
    </cfRule>
    <cfRule type="cellIs" dxfId="204" priority="1541" operator="equal">
      <formula>"Yes"</formula>
    </cfRule>
  </conditionalFormatting>
  <conditionalFormatting sqref="C7">
    <cfRule type="cellIs" dxfId="203" priority="1493" operator="equal">
      <formula>"No"</formula>
    </cfRule>
    <cfRule type="cellIs" dxfId="202" priority="1494" operator="equal">
      <formula>"NA"</formula>
    </cfRule>
    <cfRule type="cellIs" dxfId="201" priority="1495" operator="equal">
      <formula>"Yes"</formula>
    </cfRule>
  </conditionalFormatting>
  <conditionalFormatting sqref="C8">
    <cfRule type="cellIs" dxfId="200" priority="1447" operator="equal">
      <formula>"No"</formula>
    </cfRule>
    <cfRule type="cellIs" dxfId="199" priority="1448" operator="equal">
      <formula>"NA"</formula>
    </cfRule>
    <cfRule type="cellIs" dxfId="198" priority="1449" operator="equal">
      <formula>"Yes"</formula>
    </cfRule>
  </conditionalFormatting>
  <conditionalFormatting sqref="C9">
    <cfRule type="cellIs" dxfId="197" priority="1401" operator="equal">
      <formula>"No"</formula>
    </cfRule>
    <cfRule type="cellIs" dxfId="196" priority="1402" operator="equal">
      <formula>"NA"</formula>
    </cfRule>
    <cfRule type="cellIs" dxfId="195" priority="1403" operator="equal">
      <formula>"Yes"</formula>
    </cfRule>
  </conditionalFormatting>
  <conditionalFormatting sqref="C10">
    <cfRule type="cellIs" dxfId="194" priority="1355" operator="equal">
      <formula>"No"</formula>
    </cfRule>
    <cfRule type="cellIs" dxfId="193" priority="1356" operator="equal">
      <formula>"NA"</formula>
    </cfRule>
    <cfRule type="cellIs" dxfId="192" priority="1357" operator="equal">
      <formula>"Yes"</formula>
    </cfRule>
  </conditionalFormatting>
  <conditionalFormatting sqref="C11">
    <cfRule type="cellIs" dxfId="191" priority="1309" operator="equal">
      <formula>"No"</formula>
    </cfRule>
    <cfRule type="cellIs" dxfId="190" priority="1310" operator="equal">
      <formula>"NA"</formula>
    </cfRule>
    <cfRule type="cellIs" dxfId="189" priority="1311" operator="equal">
      <formula>"Yes"</formula>
    </cfRule>
  </conditionalFormatting>
  <conditionalFormatting sqref="C12">
    <cfRule type="cellIs" dxfId="188" priority="1263" operator="equal">
      <formula>"No"</formula>
    </cfRule>
    <cfRule type="cellIs" dxfId="187" priority="1264" operator="equal">
      <formula>"NA"</formula>
    </cfRule>
    <cfRule type="cellIs" dxfId="186" priority="1265" operator="equal">
      <formula>"Yes"</formula>
    </cfRule>
  </conditionalFormatting>
  <conditionalFormatting sqref="C13">
    <cfRule type="cellIs" dxfId="185" priority="1217" operator="equal">
      <formula>"No"</formula>
    </cfRule>
    <cfRule type="cellIs" dxfId="184" priority="1218" operator="equal">
      <formula>"NA"</formula>
    </cfRule>
    <cfRule type="cellIs" dxfId="183" priority="1219" operator="equal">
      <formula>"Yes"</formula>
    </cfRule>
  </conditionalFormatting>
  <conditionalFormatting sqref="C14">
    <cfRule type="cellIs" dxfId="182" priority="1171" operator="equal">
      <formula>"No"</formula>
    </cfRule>
    <cfRule type="cellIs" dxfId="181" priority="1172" operator="equal">
      <formula>"NA"</formula>
    </cfRule>
    <cfRule type="cellIs" dxfId="180" priority="1173" operator="equal">
      <formula>"Yes"</formula>
    </cfRule>
  </conditionalFormatting>
  <conditionalFormatting sqref="C16">
    <cfRule type="cellIs" dxfId="179" priority="1125" operator="equal">
      <formula>"No"</formula>
    </cfRule>
    <cfRule type="cellIs" dxfId="178" priority="1126" operator="equal">
      <formula>"NA"</formula>
    </cfRule>
    <cfRule type="cellIs" dxfId="177" priority="1127" operator="equal">
      <formula>"Yes"</formula>
    </cfRule>
  </conditionalFormatting>
  <conditionalFormatting sqref="C17">
    <cfRule type="cellIs" dxfId="176" priority="1079" operator="equal">
      <formula>"No"</formula>
    </cfRule>
    <cfRule type="cellIs" dxfId="175" priority="1080" operator="equal">
      <formula>"NA"</formula>
    </cfRule>
    <cfRule type="cellIs" dxfId="174" priority="1081" operator="equal">
      <formula>"Yes"</formula>
    </cfRule>
  </conditionalFormatting>
  <conditionalFormatting sqref="C18">
    <cfRule type="cellIs" dxfId="173" priority="1033" operator="equal">
      <formula>"No"</formula>
    </cfRule>
    <cfRule type="cellIs" dxfId="172" priority="1034" operator="equal">
      <formula>"NA"</formula>
    </cfRule>
    <cfRule type="cellIs" dxfId="171" priority="1035" operator="equal">
      <formula>"Yes"</formula>
    </cfRule>
  </conditionalFormatting>
  <conditionalFormatting sqref="C19">
    <cfRule type="cellIs" dxfId="170" priority="987" operator="equal">
      <formula>"No"</formula>
    </cfRule>
    <cfRule type="cellIs" dxfId="169" priority="988" operator="equal">
      <formula>"NA"</formula>
    </cfRule>
    <cfRule type="cellIs" dxfId="168" priority="989" operator="equal">
      <formula>"Yes"</formula>
    </cfRule>
  </conditionalFormatting>
  <conditionalFormatting sqref="C21">
    <cfRule type="cellIs" dxfId="167" priority="941" operator="equal">
      <formula>"No"</formula>
    </cfRule>
    <cfRule type="cellIs" dxfId="166" priority="942" operator="equal">
      <formula>"NA"</formula>
    </cfRule>
    <cfRule type="cellIs" dxfId="165" priority="943" operator="equal">
      <formula>"Yes"</formula>
    </cfRule>
  </conditionalFormatting>
  <conditionalFormatting sqref="C22">
    <cfRule type="cellIs" dxfId="164" priority="895" operator="equal">
      <formula>"No"</formula>
    </cfRule>
    <cfRule type="cellIs" dxfId="163" priority="896" operator="equal">
      <formula>"NA"</formula>
    </cfRule>
    <cfRule type="cellIs" dxfId="162" priority="897" operator="equal">
      <formula>"Yes"</formula>
    </cfRule>
  </conditionalFormatting>
  <conditionalFormatting sqref="C23">
    <cfRule type="cellIs" dxfId="161" priority="849" operator="equal">
      <formula>"No"</formula>
    </cfRule>
    <cfRule type="cellIs" dxfId="160" priority="850" operator="equal">
      <formula>"NA"</formula>
    </cfRule>
    <cfRule type="cellIs" dxfId="159" priority="851" operator="equal">
      <formula>"Yes"</formula>
    </cfRule>
  </conditionalFormatting>
  <conditionalFormatting sqref="C25">
    <cfRule type="cellIs" dxfId="158" priority="803" operator="equal">
      <formula>"No"</formula>
    </cfRule>
    <cfRule type="cellIs" dxfId="157" priority="804" operator="equal">
      <formula>"NA"</formula>
    </cfRule>
    <cfRule type="cellIs" dxfId="156" priority="805" operator="equal">
      <formula>"Yes"</formula>
    </cfRule>
  </conditionalFormatting>
  <conditionalFormatting sqref="C26">
    <cfRule type="cellIs" dxfId="155" priority="757" operator="equal">
      <formula>"No"</formula>
    </cfRule>
    <cfRule type="cellIs" dxfId="154" priority="758" operator="equal">
      <formula>"NA"</formula>
    </cfRule>
    <cfRule type="cellIs" dxfId="153" priority="759" operator="equal">
      <formula>"Yes"</formula>
    </cfRule>
  </conditionalFormatting>
  <conditionalFormatting sqref="C27">
    <cfRule type="cellIs" dxfId="152" priority="711" operator="equal">
      <formula>"No"</formula>
    </cfRule>
    <cfRule type="cellIs" dxfId="151" priority="712" operator="equal">
      <formula>"NA"</formula>
    </cfRule>
    <cfRule type="cellIs" dxfId="150" priority="713" operator="equal">
      <formula>"Yes"</formula>
    </cfRule>
  </conditionalFormatting>
  <conditionalFormatting sqref="C28">
    <cfRule type="cellIs" dxfId="149" priority="665" operator="equal">
      <formula>"No"</formula>
    </cfRule>
    <cfRule type="cellIs" dxfId="148" priority="666" operator="equal">
      <formula>"NA"</formula>
    </cfRule>
    <cfRule type="cellIs" dxfId="147" priority="667" operator="equal">
      <formula>"Yes"</formula>
    </cfRule>
  </conditionalFormatting>
  <conditionalFormatting sqref="C30">
    <cfRule type="cellIs" dxfId="146" priority="619" operator="equal">
      <formula>"No"</formula>
    </cfRule>
    <cfRule type="cellIs" dxfId="145" priority="620" operator="equal">
      <formula>"NA"</formula>
    </cfRule>
    <cfRule type="cellIs" dxfId="144" priority="621" operator="equal">
      <formula>"Yes"</formula>
    </cfRule>
  </conditionalFormatting>
  <conditionalFormatting sqref="C31">
    <cfRule type="cellIs" dxfId="143" priority="573" operator="equal">
      <formula>"No"</formula>
    </cfRule>
    <cfRule type="cellIs" dxfId="142" priority="574" operator="equal">
      <formula>"NA"</formula>
    </cfRule>
    <cfRule type="cellIs" dxfId="141" priority="575" operator="equal">
      <formula>"Yes"</formula>
    </cfRule>
  </conditionalFormatting>
  <conditionalFormatting sqref="C33">
    <cfRule type="cellIs" dxfId="140" priority="527" operator="equal">
      <formula>"No"</formula>
    </cfRule>
    <cfRule type="cellIs" dxfId="139" priority="528" operator="equal">
      <formula>"NA"</formula>
    </cfRule>
    <cfRule type="cellIs" dxfId="138" priority="529" operator="equal">
      <formula>"Yes"</formula>
    </cfRule>
  </conditionalFormatting>
  <dataValidations count="1">
    <dataValidation type="list" allowBlank="1" showInputMessage="1" showErrorMessage="1" sqref="C16:C19 C21:C23 C25:C28 C30:C31 C33 C6:C14"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430</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319</v>
      </c>
      <c r="C5" s="161"/>
      <c r="D5" s="161"/>
      <c r="E5" s="228"/>
      <c r="F5" s="228"/>
    </row>
    <row r="6" spans="1:7" ht="25.5">
      <c r="A6" s="163" t="s">
        <v>802</v>
      </c>
      <c r="B6" s="172" t="s">
        <v>321</v>
      </c>
      <c r="C6" s="222"/>
      <c r="D6" s="223"/>
      <c r="E6" s="162"/>
      <c r="F6" s="162"/>
    </row>
    <row r="7" spans="1:7" ht="38.25">
      <c r="A7" s="163" t="s">
        <v>803</v>
      </c>
      <c r="B7" s="172" t="s">
        <v>423</v>
      </c>
      <c r="C7" s="222"/>
      <c r="D7" s="223"/>
      <c r="E7" s="164" t="s">
        <v>424</v>
      </c>
      <c r="F7" s="162"/>
    </row>
    <row r="8" spans="1:7" ht="25.5">
      <c r="A8" s="163" t="s">
        <v>806</v>
      </c>
      <c r="B8" s="172" t="s">
        <v>427</v>
      </c>
      <c r="C8" s="222"/>
      <c r="D8" s="223"/>
      <c r="E8" s="162"/>
      <c r="F8" s="162"/>
    </row>
    <row r="9" spans="1:7" ht="25.5">
      <c r="A9" s="163" t="s">
        <v>807</v>
      </c>
      <c r="B9" s="172" t="s">
        <v>322</v>
      </c>
      <c r="C9" s="222"/>
      <c r="D9" s="223"/>
      <c r="E9" s="162"/>
      <c r="F9" s="162"/>
    </row>
    <row r="10" spans="1:7" ht="25.5">
      <c r="A10" s="163" t="s">
        <v>809</v>
      </c>
      <c r="B10" s="172" t="s">
        <v>428</v>
      </c>
      <c r="C10" s="222"/>
      <c r="D10" s="223"/>
      <c r="E10" s="162"/>
      <c r="F10" s="162"/>
    </row>
    <row r="11" spans="1:7" ht="38.25">
      <c r="A11" s="163" t="s">
        <v>810</v>
      </c>
      <c r="B11" s="172" t="s">
        <v>429</v>
      </c>
      <c r="C11" s="222"/>
      <c r="D11" s="223"/>
      <c r="E11" s="162"/>
      <c r="F11" s="162"/>
    </row>
    <row r="12" spans="1:7" ht="18.75">
      <c r="A12" s="160"/>
      <c r="B12" s="169" t="s">
        <v>320</v>
      </c>
      <c r="C12" s="161"/>
      <c r="D12" s="161"/>
      <c r="E12" s="228"/>
      <c r="F12" s="228"/>
    </row>
    <row r="13" spans="1:7" ht="63.75">
      <c r="A13" s="163" t="s">
        <v>812</v>
      </c>
      <c r="B13" s="172" t="s">
        <v>324</v>
      </c>
      <c r="C13" s="222"/>
      <c r="D13" s="223"/>
      <c r="E13" s="162"/>
      <c r="F13" s="162"/>
    </row>
    <row r="14" spans="1:7" ht="51">
      <c r="A14" s="163" t="s">
        <v>813</v>
      </c>
      <c r="B14" s="172" t="s">
        <v>361</v>
      </c>
      <c r="C14" s="222"/>
      <c r="D14" s="223"/>
      <c r="E14" s="162"/>
      <c r="F14" s="162"/>
    </row>
    <row r="15" spans="1:7" ht="25.5">
      <c r="A15" s="163" t="s">
        <v>814</v>
      </c>
      <c r="B15" s="172" t="s">
        <v>326</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137" priority="734" operator="equal">
      <formula>"No"</formula>
    </cfRule>
    <cfRule type="cellIs" dxfId="136" priority="735" operator="equal">
      <formula>"NA"</formula>
    </cfRule>
    <cfRule type="cellIs" dxfId="135" priority="736" operator="equal">
      <formula>"Yes"</formula>
    </cfRule>
  </conditionalFormatting>
  <conditionalFormatting sqref="C7">
    <cfRule type="cellIs" dxfId="134" priority="688" operator="equal">
      <formula>"No"</formula>
    </cfRule>
    <cfRule type="cellIs" dxfId="133" priority="689" operator="equal">
      <formula>"NA"</formula>
    </cfRule>
    <cfRule type="cellIs" dxfId="132" priority="690" operator="equal">
      <formula>"Yes"</formula>
    </cfRule>
  </conditionalFormatting>
  <conditionalFormatting sqref="C8">
    <cfRule type="cellIs" dxfId="131" priority="642" operator="equal">
      <formula>"No"</formula>
    </cfRule>
    <cfRule type="cellIs" dxfId="130" priority="643" operator="equal">
      <formula>"NA"</formula>
    </cfRule>
    <cfRule type="cellIs" dxfId="129" priority="644" operator="equal">
      <formula>"Yes"</formula>
    </cfRule>
  </conditionalFormatting>
  <conditionalFormatting sqref="C9">
    <cfRule type="cellIs" dxfId="128" priority="596" operator="equal">
      <formula>"No"</formula>
    </cfRule>
    <cfRule type="cellIs" dxfId="127" priority="597" operator="equal">
      <formula>"NA"</formula>
    </cfRule>
    <cfRule type="cellIs" dxfId="126" priority="598" operator="equal">
      <formula>"Yes"</formula>
    </cfRule>
  </conditionalFormatting>
  <conditionalFormatting sqref="C10">
    <cfRule type="cellIs" dxfId="125" priority="550" operator="equal">
      <formula>"No"</formula>
    </cfRule>
    <cfRule type="cellIs" dxfId="124" priority="551" operator="equal">
      <formula>"NA"</formula>
    </cfRule>
    <cfRule type="cellIs" dxfId="123" priority="552" operator="equal">
      <formula>"Yes"</formula>
    </cfRule>
  </conditionalFormatting>
  <conditionalFormatting sqref="C11">
    <cfRule type="cellIs" dxfId="122" priority="504" operator="equal">
      <formula>"No"</formula>
    </cfRule>
    <cfRule type="cellIs" dxfId="121" priority="505" operator="equal">
      <formula>"NA"</formula>
    </cfRule>
    <cfRule type="cellIs" dxfId="120" priority="506" operator="equal">
      <formula>"Yes"</formula>
    </cfRule>
  </conditionalFormatting>
  <conditionalFormatting sqref="C13">
    <cfRule type="cellIs" dxfId="119" priority="458" operator="equal">
      <formula>"No"</formula>
    </cfRule>
    <cfRule type="cellIs" dxfId="118" priority="459" operator="equal">
      <formula>"NA"</formula>
    </cfRule>
    <cfRule type="cellIs" dxfId="117" priority="460" operator="equal">
      <formula>"Yes"</formula>
    </cfRule>
  </conditionalFormatting>
  <conditionalFormatting sqref="C14">
    <cfRule type="cellIs" dxfId="116" priority="412" operator="equal">
      <formula>"No"</formula>
    </cfRule>
    <cfRule type="cellIs" dxfId="115" priority="413" operator="equal">
      <formula>"NA"</formula>
    </cfRule>
    <cfRule type="cellIs" dxfId="114" priority="414" operator="equal">
      <formula>"Yes"</formula>
    </cfRule>
  </conditionalFormatting>
  <conditionalFormatting sqref="C15">
    <cfRule type="cellIs" dxfId="113" priority="366" operator="equal">
      <formula>"No"</formula>
    </cfRule>
    <cfRule type="cellIs" dxfId="112" priority="367" operator="equal">
      <formula>"NA"</formula>
    </cfRule>
    <cfRule type="cellIs" dxfId="111" priority="368" operator="equal">
      <formula>"Yes"</formula>
    </cfRule>
  </conditionalFormatting>
  <conditionalFormatting sqref="C17">
    <cfRule type="cellIs" dxfId="110" priority="320" operator="equal">
      <formula>"No"</formula>
    </cfRule>
    <cfRule type="cellIs" dxfId="109" priority="321" operator="equal">
      <formula>"NA"</formula>
    </cfRule>
    <cfRule type="cellIs" dxfId="108" priority="322" operator="equal">
      <formula>"Yes"</formula>
    </cfRule>
  </conditionalFormatting>
  <conditionalFormatting sqref="C18">
    <cfRule type="cellIs" dxfId="107" priority="274" operator="equal">
      <formula>"No"</formula>
    </cfRule>
    <cfRule type="cellIs" dxfId="106" priority="275" operator="equal">
      <formula>"NA"</formula>
    </cfRule>
    <cfRule type="cellIs" dxfId="105" priority="276" operator="equal">
      <formula>"Yes"</formula>
    </cfRule>
  </conditionalFormatting>
  <conditionalFormatting sqref="C19">
    <cfRule type="cellIs" dxfId="104" priority="228" operator="equal">
      <formula>"No"</formula>
    </cfRule>
    <cfRule type="cellIs" dxfId="103" priority="229" operator="equal">
      <formula>"NA"</formula>
    </cfRule>
    <cfRule type="cellIs" dxfId="102" priority="230" operator="equal">
      <formula>"Yes"</formula>
    </cfRule>
  </conditionalFormatting>
  <conditionalFormatting sqref="C20">
    <cfRule type="cellIs" dxfId="101" priority="182" operator="equal">
      <formula>"No"</formula>
    </cfRule>
    <cfRule type="cellIs" dxfId="100" priority="183" operator="equal">
      <formula>"NA"</formula>
    </cfRule>
    <cfRule type="cellIs" dxfId="99" priority="184" operator="equal">
      <formula>"Yes"</formula>
    </cfRule>
  </conditionalFormatting>
  <conditionalFormatting sqref="C22">
    <cfRule type="cellIs" dxfId="98" priority="136" operator="equal">
      <formula>"No"</formula>
    </cfRule>
    <cfRule type="cellIs" dxfId="97" priority="137" operator="equal">
      <formula>"NA"</formula>
    </cfRule>
    <cfRule type="cellIs" dxfId="96" priority="138" operator="equal">
      <formula>"Yes"</formula>
    </cfRule>
  </conditionalFormatting>
  <conditionalFormatting sqref="C23">
    <cfRule type="cellIs" dxfId="95" priority="90" operator="equal">
      <formula>"No"</formula>
    </cfRule>
    <cfRule type="cellIs" dxfId="94" priority="91" operator="equal">
      <formula>"NA"</formula>
    </cfRule>
    <cfRule type="cellIs" dxfId="93" priority="92" operator="equal">
      <formula>"Yes"</formula>
    </cfRule>
  </conditionalFormatting>
  <conditionalFormatting sqref="C25">
    <cfRule type="cellIs" dxfId="92" priority="44" operator="equal">
      <formula>"No"</formula>
    </cfRule>
    <cfRule type="cellIs" dxfId="91" priority="45" operator="equal">
      <formula>"NA"</formula>
    </cfRule>
    <cfRule type="cellIs" dxfId="90"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363</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63.75">
      <c r="A6" s="163" t="s">
        <v>830</v>
      </c>
      <c r="B6" s="172" t="s">
        <v>431</v>
      </c>
      <c r="C6" s="222"/>
      <c r="D6" s="223"/>
      <c r="E6" s="162"/>
      <c r="F6" s="162"/>
    </row>
    <row r="7" spans="1:7" ht="25.5">
      <c r="A7" s="163" t="s">
        <v>831</v>
      </c>
      <c r="B7" s="172" t="s">
        <v>432</v>
      </c>
      <c r="C7" s="222"/>
      <c r="D7" s="223"/>
      <c r="E7" s="162"/>
      <c r="F7" s="162"/>
    </row>
    <row r="8" spans="1:7" ht="25.5">
      <c r="A8" s="163" t="s">
        <v>832</v>
      </c>
      <c r="B8" s="172" t="s">
        <v>433</v>
      </c>
      <c r="C8" s="222"/>
      <c r="D8" s="223"/>
      <c r="E8" s="162"/>
      <c r="F8" s="162"/>
    </row>
    <row r="9" spans="1:7" ht="25.5">
      <c r="A9" s="163" t="s">
        <v>833</v>
      </c>
      <c r="B9" s="172" t="s">
        <v>434</v>
      </c>
      <c r="C9" s="222"/>
      <c r="D9" s="223"/>
      <c r="E9" s="162"/>
      <c r="F9" s="162"/>
    </row>
    <row r="10" spans="1:7" ht="18.75">
      <c r="A10" s="160"/>
      <c r="B10" s="169" t="s">
        <v>266</v>
      </c>
      <c r="C10" s="161"/>
      <c r="D10" s="161"/>
      <c r="E10" s="228"/>
      <c r="F10" s="228"/>
    </row>
    <row r="11" spans="1:7" ht="38.25">
      <c r="A11" s="163" t="s">
        <v>594</v>
      </c>
      <c r="B11" s="172" t="s">
        <v>215</v>
      </c>
      <c r="C11" s="222"/>
      <c r="D11" s="223"/>
      <c r="E11" s="162"/>
      <c r="F11" s="162"/>
    </row>
    <row r="12" spans="1:7" ht="25.5">
      <c r="A12" s="163" t="s">
        <v>595</v>
      </c>
      <c r="B12" s="172" t="s">
        <v>216</v>
      </c>
      <c r="C12" s="222"/>
      <c r="D12" s="223"/>
      <c r="E12" s="162"/>
      <c r="F12" s="162"/>
    </row>
    <row r="13" spans="1:7" ht="38.25">
      <c r="A13" s="163" t="s">
        <v>596</v>
      </c>
      <c r="B13" s="172" t="s">
        <v>217</v>
      </c>
      <c r="C13" s="222"/>
      <c r="D13" s="223"/>
      <c r="E13" s="162"/>
      <c r="F13" s="162"/>
    </row>
    <row r="14" spans="1:7" ht="38.25">
      <c r="A14" s="163" t="s">
        <v>597</v>
      </c>
      <c r="B14" s="172" t="s">
        <v>218</v>
      </c>
      <c r="C14" s="222"/>
      <c r="D14" s="223"/>
      <c r="E14" s="162"/>
      <c r="F14" s="162"/>
    </row>
    <row r="15" spans="1:7" ht="18.75">
      <c r="A15" s="160"/>
      <c r="B15" s="169" t="s">
        <v>267</v>
      </c>
      <c r="C15" s="161"/>
      <c r="D15" s="161"/>
      <c r="E15" s="228"/>
      <c r="F15" s="228"/>
    </row>
    <row r="16" spans="1:7" ht="38.25">
      <c r="A16" s="163" t="s">
        <v>598</v>
      </c>
      <c r="B16" s="172" t="s">
        <v>219</v>
      </c>
      <c r="C16" s="222"/>
      <c r="D16" s="223"/>
      <c r="E16" s="162"/>
      <c r="F16" s="162"/>
    </row>
    <row r="17" spans="1:6" ht="38.25">
      <c r="A17" s="163" t="s">
        <v>599</v>
      </c>
      <c r="B17" s="172" t="s">
        <v>220</v>
      </c>
      <c r="C17" s="222"/>
      <c r="D17" s="223"/>
      <c r="E17" s="162"/>
      <c r="F17" s="162"/>
    </row>
    <row r="18" spans="1:6" ht="18.75">
      <c r="A18" s="160"/>
      <c r="B18" s="169" t="s">
        <v>213</v>
      </c>
      <c r="C18" s="161"/>
      <c r="D18" s="161"/>
      <c r="E18" s="228"/>
      <c r="F18" s="228"/>
    </row>
    <row r="19" spans="1:6" ht="51">
      <c r="A19" s="163" t="s">
        <v>600</v>
      </c>
      <c r="B19" s="172" t="s">
        <v>214</v>
      </c>
      <c r="C19" s="222"/>
      <c r="D19" s="223"/>
      <c r="E19" s="162"/>
      <c r="F19" s="162"/>
    </row>
    <row r="20" spans="1:6" ht="18">
      <c r="A20" s="224"/>
      <c r="B20" s="225" t="s">
        <v>286</v>
      </c>
      <c r="C20" s="224"/>
      <c r="D20" s="224"/>
      <c r="E20" s="224"/>
      <c r="F20" s="224"/>
    </row>
    <row r="21" spans="1:6">
      <c r="A21" s="163"/>
      <c r="B21" s="172"/>
    </row>
    <row r="22" spans="1:6" ht="15">
      <c r="A22" s="226"/>
      <c r="B22" s="227" t="s">
        <v>619</v>
      </c>
      <c r="C22" s="226"/>
      <c r="D22" s="226"/>
      <c r="E22" s="226"/>
      <c r="F22" s="226"/>
    </row>
  </sheetData>
  <mergeCells count="1">
    <mergeCell ref="E2:F2"/>
  </mergeCells>
  <conditionalFormatting sqref="C6">
    <cfRule type="cellIs" dxfId="89" priority="504" operator="equal">
      <formula>"No"</formula>
    </cfRule>
    <cfRule type="cellIs" dxfId="88" priority="505" operator="equal">
      <formula>"NA"</formula>
    </cfRule>
    <cfRule type="cellIs" dxfId="87" priority="506" operator="equal">
      <formula>"Yes"</formula>
    </cfRule>
  </conditionalFormatting>
  <conditionalFormatting sqref="C7">
    <cfRule type="cellIs" dxfId="86" priority="458" operator="equal">
      <formula>"No"</formula>
    </cfRule>
    <cfRule type="cellIs" dxfId="85" priority="459" operator="equal">
      <formula>"NA"</formula>
    </cfRule>
    <cfRule type="cellIs" dxfId="84" priority="460" operator="equal">
      <formula>"Yes"</formula>
    </cfRule>
  </conditionalFormatting>
  <conditionalFormatting sqref="C8">
    <cfRule type="cellIs" dxfId="83" priority="412" operator="equal">
      <formula>"No"</formula>
    </cfRule>
    <cfRule type="cellIs" dxfId="82" priority="413" operator="equal">
      <formula>"NA"</formula>
    </cfRule>
    <cfRule type="cellIs" dxfId="81" priority="414" operator="equal">
      <formula>"Yes"</formula>
    </cfRule>
  </conditionalFormatting>
  <conditionalFormatting sqref="C9">
    <cfRule type="cellIs" dxfId="80" priority="366" operator="equal">
      <formula>"No"</formula>
    </cfRule>
    <cfRule type="cellIs" dxfId="79" priority="367" operator="equal">
      <formula>"NA"</formula>
    </cfRule>
    <cfRule type="cellIs" dxfId="78" priority="368" operator="equal">
      <formula>"Yes"</formula>
    </cfRule>
  </conditionalFormatting>
  <conditionalFormatting sqref="C11">
    <cfRule type="cellIs" dxfId="77" priority="320" operator="equal">
      <formula>"No"</formula>
    </cfRule>
    <cfRule type="cellIs" dxfId="76" priority="321" operator="equal">
      <formula>"NA"</formula>
    </cfRule>
    <cfRule type="cellIs" dxfId="75" priority="322" operator="equal">
      <formula>"Yes"</formula>
    </cfRule>
  </conditionalFormatting>
  <conditionalFormatting sqref="C12">
    <cfRule type="cellIs" dxfId="74" priority="274" operator="equal">
      <formula>"No"</formula>
    </cfRule>
    <cfRule type="cellIs" dxfId="73" priority="275" operator="equal">
      <formula>"NA"</formula>
    </cfRule>
    <cfRule type="cellIs" dxfId="72" priority="276" operator="equal">
      <formula>"Yes"</formula>
    </cfRule>
  </conditionalFormatting>
  <conditionalFormatting sqref="C13">
    <cfRule type="cellIs" dxfId="71" priority="228" operator="equal">
      <formula>"No"</formula>
    </cfRule>
    <cfRule type="cellIs" dxfId="70" priority="229" operator="equal">
      <formula>"NA"</formula>
    </cfRule>
    <cfRule type="cellIs" dxfId="69" priority="230" operator="equal">
      <formula>"Yes"</formula>
    </cfRule>
  </conditionalFormatting>
  <conditionalFormatting sqref="C14">
    <cfRule type="cellIs" dxfId="68" priority="182" operator="equal">
      <formula>"No"</formula>
    </cfRule>
    <cfRule type="cellIs" dxfId="67" priority="183" operator="equal">
      <formula>"NA"</formula>
    </cfRule>
    <cfRule type="cellIs" dxfId="66" priority="184" operator="equal">
      <formula>"Yes"</formula>
    </cfRule>
  </conditionalFormatting>
  <conditionalFormatting sqref="C16">
    <cfRule type="cellIs" dxfId="65" priority="136" operator="equal">
      <formula>"No"</formula>
    </cfRule>
    <cfRule type="cellIs" dxfId="64" priority="137" operator="equal">
      <formula>"NA"</formula>
    </cfRule>
    <cfRule type="cellIs" dxfId="63" priority="138" operator="equal">
      <formula>"Yes"</formula>
    </cfRule>
  </conditionalFormatting>
  <conditionalFormatting sqref="C17">
    <cfRule type="cellIs" dxfId="62" priority="90" operator="equal">
      <formula>"No"</formula>
    </cfRule>
    <cfRule type="cellIs" dxfId="61" priority="91" operator="equal">
      <formula>"NA"</formula>
    </cfRule>
    <cfRule type="cellIs" dxfId="60" priority="92" operator="equal">
      <formula>"Yes"</formula>
    </cfRule>
  </conditionalFormatting>
  <conditionalFormatting sqref="C19">
    <cfRule type="cellIs" dxfId="59" priority="44" operator="equal">
      <formula>"No"</formula>
    </cfRule>
    <cfRule type="cellIs" dxfId="58" priority="45" operator="equal">
      <formula>"NA"</formula>
    </cfRule>
    <cfRule type="cellIs" dxfId="57"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workbookViewId="0"/>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364</v>
      </c>
      <c r="C2" s="211" t="s">
        <v>618</v>
      </c>
      <c r="D2" s="212" t="s">
        <v>294</v>
      </c>
      <c r="E2" s="369" t="s">
        <v>185</v>
      </c>
      <c r="F2" s="370"/>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229.5">
      <c r="A6" s="163" t="s">
        <v>834</v>
      </c>
      <c r="B6" s="172" t="s">
        <v>447</v>
      </c>
      <c r="C6" s="222"/>
      <c r="D6" s="223"/>
      <c r="E6" s="162"/>
      <c r="F6" s="162"/>
    </row>
    <row r="7" spans="1:7" ht="38.25">
      <c r="A7" s="163" t="s">
        <v>835</v>
      </c>
      <c r="B7" s="172" t="s">
        <v>327</v>
      </c>
      <c r="C7" s="222"/>
      <c r="D7" s="223"/>
      <c r="E7" s="162"/>
      <c r="F7" s="162"/>
    </row>
    <row r="8" spans="1:7" ht="25.5">
      <c r="A8" s="163" t="s">
        <v>836</v>
      </c>
      <c r="B8" s="172" t="s">
        <v>328</v>
      </c>
      <c r="C8" s="222"/>
      <c r="D8" s="223"/>
      <c r="E8" s="162"/>
      <c r="F8" s="162"/>
    </row>
    <row r="9" spans="1:7" ht="25.5">
      <c r="A9" s="163" t="s">
        <v>837</v>
      </c>
      <c r="B9" s="172" t="s">
        <v>329</v>
      </c>
      <c r="C9" s="222"/>
      <c r="D9" s="223"/>
      <c r="E9" s="162"/>
      <c r="F9" s="162"/>
    </row>
    <row r="10" spans="1:7" ht="25.5">
      <c r="A10" s="163" t="s">
        <v>838</v>
      </c>
      <c r="B10" s="172" t="s">
        <v>330</v>
      </c>
      <c r="C10" s="222"/>
      <c r="D10" s="223"/>
      <c r="E10" s="162"/>
      <c r="F10" s="162"/>
    </row>
    <row r="11" spans="1:7" ht="25.5">
      <c r="A11" s="163" t="s">
        <v>839</v>
      </c>
      <c r="B11" s="172" t="s">
        <v>331</v>
      </c>
      <c r="C11" s="222"/>
      <c r="D11" s="223"/>
      <c r="E11" s="162"/>
      <c r="F11" s="162"/>
    </row>
    <row r="12" spans="1:7" ht="25.5">
      <c r="A12" s="163" t="s">
        <v>840</v>
      </c>
      <c r="B12" s="172" t="s">
        <v>332</v>
      </c>
      <c r="C12" s="222"/>
      <c r="D12" s="223"/>
      <c r="E12" s="162"/>
      <c r="F12" s="162"/>
    </row>
    <row r="13" spans="1:7" ht="63.75">
      <c r="A13" s="163" t="s">
        <v>841</v>
      </c>
      <c r="B13" s="172" t="s">
        <v>333</v>
      </c>
      <c r="C13" s="222"/>
      <c r="D13" s="223"/>
      <c r="E13" s="162"/>
      <c r="F13" s="162"/>
    </row>
    <row r="14" spans="1:7" ht="38.25">
      <c r="A14" s="163" t="s">
        <v>842</v>
      </c>
      <c r="B14" s="172" t="s">
        <v>334</v>
      </c>
      <c r="C14" s="222"/>
      <c r="D14" s="223"/>
      <c r="E14" s="162"/>
      <c r="F14" s="162"/>
    </row>
    <row r="15" spans="1:7" ht="25.5">
      <c r="A15" s="163" t="s">
        <v>843</v>
      </c>
      <c r="B15" s="172" t="s">
        <v>448</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56" priority="780" operator="equal">
      <formula>"No"</formula>
    </cfRule>
    <cfRule type="cellIs" dxfId="55" priority="781" operator="equal">
      <formula>"NA"</formula>
    </cfRule>
    <cfRule type="cellIs" dxfId="54" priority="782" operator="equal">
      <formula>"Yes"</formula>
    </cfRule>
  </conditionalFormatting>
  <conditionalFormatting sqref="C7">
    <cfRule type="cellIs" dxfId="53" priority="734" operator="equal">
      <formula>"No"</formula>
    </cfRule>
    <cfRule type="cellIs" dxfId="52" priority="735" operator="equal">
      <formula>"NA"</formula>
    </cfRule>
    <cfRule type="cellIs" dxfId="51" priority="736" operator="equal">
      <formula>"Yes"</formula>
    </cfRule>
  </conditionalFormatting>
  <conditionalFormatting sqref="C8">
    <cfRule type="cellIs" dxfId="50" priority="688" operator="equal">
      <formula>"No"</formula>
    </cfRule>
    <cfRule type="cellIs" dxfId="49" priority="689" operator="equal">
      <formula>"NA"</formula>
    </cfRule>
    <cfRule type="cellIs" dxfId="48" priority="690" operator="equal">
      <formula>"Yes"</formula>
    </cfRule>
  </conditionalFormatting>
  <conditionalFormatting sqref="C9">
    <cfRule type="cellIs" dxfId="47" priority="642" operator="equal">
      <formula>"No"</formula>
    </cfRule>
    <cfRule type="cellIs" dxfId="46" priority="643" operator="equal">
      <formula>"NA"</formula>
    </cfRule>
    <cfRule type="cellIs" dxfId="45" priority="644" operator="equal">
      <formula>"Yes"</formula>
    </cfRule>
  </conditionalFormatting>
  <conditionalFormatting sqref="C10">
    <cfRule type="cellIs" dxfId="44" priority="596" operator="equal">
      <formula>"No"</formula>
    </cfRule>
    <cfRule type="cellIs" dxfId="43" priority="597" operator="equal">
      <formula>"NA"</formula>
    </cfRule>
    <cfRule type="cellIs" dxfId="42" priority="598" operator="equal">
      <formula>"Yes"</formula>
    </cfRule>
  </conditionalFormatting>
  <conditionalFormatting sqref="C11">
    <cfRule type="cellIs" dxfId="41" priority="550" operator="equal">
      <formula>"No"</formula>
    </cfRule>
    <cfRule type="cellIs" dxfId="40" priority="551" operator="equal">
      <formula>"NA"</formula>
    </cfRule>
    <cfRule type="cellIs" dxfId="39" priority="552" operator="equal">
      <formula>"Yes"</formula>
    </cfRule>
  </conditionalFormatting>
  <conditionalFormatting sqref="C12">
    <cfRule type="cellIs" dxfId="38" priority="504" operator="equal">
      <formula>"No"</formula>
    </cfRule>
    <cfRule type="cellIs" dxfId="37" priority="505" operator="equal">
      <formula>"NA"</formula>
    </cfRule>
    <cfRule type="cellIs" dxfId="36" priority="506" operator="equal">
      <formula>"Yes"</formula>
    </cfRule>
  </conditionalFormatting>
  <conditionalFormatting sqref="C13">
    <cfRule type="cellIs" dxfId="35" priority="458" operator="equal">
      <formula>"No"</formula>
    </cfRule>
    <cfRule type="cellIs" dxfId="34" priority="459" operator="equal">
      <formula>"NA"</formula>
    </cfRule>
    <cfRule type="cellIs" dxfId="33" priority="460" operator="equal">
      <formula>"Yes"</formula>
    </cfRule>
  </conditionalFormatting>
  <conditionalFormatting sqref="C14">
    <cfRule type="cellIs" dxfId="32" priority="412" operator="equal">
      <formula>"No"</formula>
    </cfRule>
    <cfRule type="cellIs" dxfId="31" priority="413" operator="equal">
      <formula>"NA"</formula>
    </cfRule>
    <cfRule type="cellIs" dxfId="30" priority="414" operator="equal">
      <formula>"Yes"</formula>
    </cfRule>
  </conditionalFormatting>
  <conditionalFormatting sqref="C15">
    <cfRule type="cellIs" dxfId="29" priority="366" operator="equal">
      <formula>"No"</formula>
    </cfRule>
    <cfRule type="cellIs" dxfId="28" priority="367" operator="equal">
      <formula>"NA"</formula>
    </cfRule>
    <cfRule type="cellIs" dxfId="27" priority="368" operator="equal">
      <formula>"Yes"</formula>
    </cfRule>
  </conditionalFormatting>
  <conditionalFormatting sqref="C17">
    <cfRule type="cellIs" dxfId="26" priority="320" operator="equal">
      <formula>"No"</formula>
    </cfRule>
    <cfRule type="cellIs" dxfId="25" priority="321" operator="equal">
      <formula>"NA"</formula>
    </cfRule>
    <cfRule type="cellIs" dxfId="24" priority="322" operator="equal">
      <formula>"Yes"</formula>
    </cfRule>
  </conditionalFormatting>
  <conditionalFormatting sqref="C18">
    <cfRule type="cellIs" dxfId="23" priority="274" operator="equal">
      <formula>"No"</formula>
    </cfRule>
    <cfRule type="cellIs" dxfId="22" priority="275" operator="equal">
      <formula>"NA"</formula>
    </cfRule>
    <cfRule type="cellIs" dxfId="21" priority="276" operator="equal">
      <formula>"Yes"</formula>
    </cfRule>
  </conditionalFormatting>
  <conditionalFormatting sqref="C19">
    <cfRule type="cellIs" dxfId="20" priority="228" operator="equal">
      <formula>"No"</formula>
    </cfRule>
    <cfRule type="cellIs" dxfId="19" priority="229" operator="equal">
      <formula>"NA"</formula>
    </cfRule>
    <cfRule type="cellIs" dxfId="18" priority="230" operator="equal">
      <formula>"Yes"</formula>
    </cfRule>
  </conditionalFormatting>
  <conditionalFormatting sqref="C20">
    <cfRule type="cellIs" dxfId="17" priority="182" operator="equal">
      <formula>"No"</formula>
    </cfRule>
    <cfRule type="cellIs" dxfId="16" priority="183" operator="equal">
      <formula>"NA"</formula>
    </cfRule>
    <cfRule type="cellIs" dxfId="15" priority="184" operator="equal">
      <formula>"Yes"</formula>
    </cfRule>
  </conditionalFormatting>
  <conditionalFormatting sqref="C22">
    <cfRule type="cellIs" dxfId="14" priority="136" operator="equal">
      <formula>"No"</formula>
    </cfRule>
    <cfRule type="cellIs" dxfId="13" priority="137" operator="equal">
      <formula>"NA"</formula>
    </cfRule>
    <cfRule type="cellIs" dxfId="12" priority="138" operator="equal">
      <formula>"Yes"</formula>
    </cfRule>
  </conditionalFormatting>
  <conditionalFormatting sqref="C23">
    <cfRule type="cellIs" dxfId="11" priority="90" operator="equal">
      <formula>"No"</formula>
    </cfRule>
    <cfRule type="cellIs" dxfId="10" priority="91" operator="equal">
      <formula>"NA"</formula>
    </cfRule>
    <cfRule type="cellIs" dxfId="9" priority="92" operator="equal">
      <formula>"Yes"</formula>
    </cfRule>
  </conditionalFormatting>
  <conditionalFormatting sqref="C25">
    <cfRule type="cellIs" dxfId="8" priority="44" operator="equal">
      <formula>"No"</formula>
    </cfRule>
    <cfRule type="cellIs" dxfId="7" priority="45" operator="equal">
      <formula>"NA"</formula>
    </cfRule>
    <cfRule type="cellIs" dxfId="6"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3.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299</vt:i4>
      </vt:variant>
    </vt:vector>
  </HeadingPairs>
  <TitlesOfParts>
    <vt:vector size="328"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UTSR checklist</vt:lpstr>
      <vt:lpstr>ITSR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