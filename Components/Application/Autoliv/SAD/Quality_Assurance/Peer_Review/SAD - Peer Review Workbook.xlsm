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C:\PTC_Projects\eCS_Project\Components\Application\Autoliv\SAD\Quality_Assurance\Peer_Review\"/>
    </mc:Choice>
  </mc:AlternateContent>
  <xr:revisionPtr revIDLastSave="0" documentId="13_ncr:1_{F4777073-19EB-46D5-88BF-8F628E9FD80C}" xr6:coauthVersionLast="47" xr6:coauthVersionMax="47" xr10:uidLastSave="{00000000-0000-0000-0000-000000000000}"/>
  <bookViews>
    <workbookView xWindow="-120" yWindow="-120" windowWidth="29040" windowHeight="15840" tabRatio="750" activeTab="6" xr2:uid="{00000000-000D-0000-FFFF-FFFF00000000}"/>
  </bookViews>
  <sheets>
    <sheet name="FrontPage" sheetId="38" r:id="rId1"/>
    <sheet name="General info" sheetId="39" r:id="rId2"/>
    <sheet name="Help" sheetId="15" r:id="rId3"/>
    <sheet name="Metrics" sheetId="16" r:id="rId4"/>
    <sheet name="Overview" sheetId="42" r:id="rId5"/>
    <sheet name="Review" sheetId="18" r:id="rId6"/>
    <sheet name="SDD checklist" sheetId="245" r:id="rId7"/>
    <sheet name="CODE checklist" sheetId="246" r:id="rId8"/>
    <sheet name="UTSR checklist" sheetId="247" r:id="rId9"/>
  </sheets>
  <functionGroups builtInGroupCount="19"/>
  <externalReferences>
    <externalReference r:id="rId10"/>
    <externalReference r:id="rId11"/>
    <externalReference r:id="rId12"/>
    <externalReference r:id="rId13"/>
  </externalReferences>
  <definedNames>
    <definedName name="_xlnm._FilterDatabase" localSheetId="5" hidden="1">Review!$A$4:$M$200</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Metrics!$C$40</definedName>
    <definedName name="AuditFilename">'[1]Generate checklists'!$J$23</definedName>
    <definedName name="AuthorStatus">Review!$L$4</definedName>
    <definedName name="Autofill">Review!$AX$1</definedName>
    <definedName name="ChecklistSelection">FrontPage!$E$18</definedName>
    <definedName name="ChecklistsSheetNameList" localSheetId="8">'[2]General info'!$AJ$84:$AJ$105</definedName>
    <definedName name="ChecklistsSheetNameList">'General info'!$AJ$84:$AJ$105</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 localSheetId="8">[2]FrontPage!$AD$3</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 localSheetId="8">[2]FrontPage!$E$7</definedName>
    <definedName name="MXTitle">FrontPage!$E$7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 localSheetId="8">[2]Review!$L$2</definedName>
    <definedName name="NbOfNotTreatedIssues">Review!$L$2</definedName>
    <definedName name="NbOfRejectedIssues" localSheetId="8">[2]Review!$M$2</definedName>
    <definedName name="NbOfRejectedIssues">Review!$M$2</definedName>
    <definedName name="NextAvailableQuestionId">'[1]General info'!$B$73</definedName>
    <definedName name="OpenDate">Review!$E$4</definedName>
    <definedName name="option_discipline">'[1]General info'!$AI$73:$AI$83</definedName>
    <definedName name="Option_MilestoneFilename">'[1]General info'!$BM$74:$BM$78</definedName>
    <definedName name="Option_MilestoneName">'[1]General info'!$AO$73:$AO$94</definedName>
    <definedName name="Option_Process">'[1]General info'!$AR$73:$AR$91</definedName>
    <definedName name="Option_ReviewEvaluationScale" localSheetId="8">'[2]General info'!$AI$84:$AI$88</definedName>
    <definedName name="Option_ReviewEvaluationScale">'General info'!$AI$84:$AI$88</definedName>
    <definedName name="Option_Status">'[1]General info'!$BJ$73:$BJ$76</definedName>
    <definedName name="Option_TemplateFilter">'[1]General info'!$BO$74:$BO$80</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QuestionIds" localSheetId="7">'CODE checklist'!$A$5:$A$36</definedName>
    <definedName name="Review.QuestionIds" localSheetId="6">'SDD checklist'!$A$5:$A$35</definedName>
    <definedName name="Review.QuestionIds" localSheetId="8">'UTSR checklist'!$A$5:$A$38</definedName>
    <definedName name="Review.ratings" localSheetId="7">'CODE checklist'!$C$5:$C$36</definedName>
    <definedName name="Review.ratings" localSheetId="6">'SDD checklist'!$E$5:$E$35</definedName>
    <definedName name="Review.ratings" localSheetId="8">'UTSR checklist'!$C$5:$C$38</definedName>
    <definedName name="ReviewerStatus">Review!$M$4</definedName>
    <definedName name="ReviewFilename">'[1]Generate checklists'!$Q$23</definedName>
    <definedName name="Sheet.ReviewTempate" localSheetId="7">'CODE checklist'!$A$1</definedName>
    <definedName name="Sheet.ReviewTempate" localSheetId="6">'SDD checklist'!$A$1</definedName>
    <definedName name="Sheet.ReviewTempate" localSheetId="8">'UTSR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Metrics!$D$24</definedName>
    <definedName name="Synthesis_Status">Metrics!$C$31</definedName>
    <definedName name="TargetDate">Review!$K$4</definedName>
    <definedName name="Template.Name" localSheetId="7">'CODE checklist'!$B$2</definedName>
    <definedName name="Template.Name" localSheetId="6">'SDD checklist'!$B$2</definedName>
    <definedName name="Template.Name" localSheetId="8">'UTSR checklist'!$B$2</definedName>
    <definedName name="Template.Question" localSheetId="7">'CODE checklist'!#REF!</definedName>
    <definedName name="Template.Question" localSheetId="6">'SDD checklist'!#REF!</definedName>
    <definedName name="Template.Question" localSheetId="8">'UTSR checklist'!#REF!</definedName>
    <definedName name="Template.Section" localSheetId="7">'CODE checklist'!#REF!</definedName>
    <definedName name="Template.Section" localSheetId="6">'SDD checklist'!#REF!</definedName>
    <definedName name="Template.Section" localSheetId="8">'UTSR checklist'!#REF!</definedName>
    <definedName name="TemplateColumn">Metrics!$B:$B</definedName>
    <definedName name="TemplateRef" localSheetId="8">[2]FrontPage!$W$7</definedName>
    <definedName name="TemplateRef">FrontPage!$W$7</definedName>
    <definedName name="Text.Released">'[1]General info'!$BJ$75</definedName>
    <definedName name="Text_AllChecklists">'General info'!$AJ$84</definedName>
    <definedName name="Title.Checklist.Actions.Description" localSheetId="7">'CODE checklist'!$B$2</definedName>
    <definedName name="Title.Checklist.Actions.Description" localSheetId="6">'SDD checklist'!$B$2</definedName>
    <definedName name="Title.Checklist.Actions.Description" localSheetId="8">'UTSR checklist'!$B$2</definedName>
    <definedName name="Title.Checklist.Actions.Responsible" localSheetId="7">[1]!Table1[[#Headers],[Actions
(description)]]</definedName>
    <definedName name="Title.Checklist.Actions.Responsible" localSheetId="6">[1]!Table1[[#Headers],[Actions
(description)]]</definedName>
    <definedName name="Title.Checklist.Actions.Responsible" localSheetId="8">[1]!Table1[[#Headers],[Actions
(description)]]</definedName>
    <definedName name="Title.Checklist.Guide.HowToRate" localSheetId="7">'CODE checklist'!$AF$3</definedName>
    <definedName name="Title.Checklist.Guide.HowToRate" localSheetId="6">'SDD checklist'!$H$3</definedName>
    <definedName name="Title.Checklist.Guide.HowToRate" localSheetId="8">'UTSR checklist'!$F$3</definedName>
    <definedName name="Title.Checklist.Guide.WhatToCheck" localSheetId="7">'CODE checklist'!$AE$3</definedName>
    <definedName name="Title.Checklist.Guide.WhatToCheck" localSheetId="6">'SDD checklist'!$G$3</definedName>
    <definedName name="Title.Checklist.Guide.WhatToCheck" localSheetId="8">'UTSR checklist'!$E$3</definedName>
    <definedName name="Title.Checklist.ManualQuestion" localSheetId="7">'CODE checklist'!$B$34</definedName>
    <definedName name="Title.Checklist.ManualQuestion" localSheetId="6">'SDD checklist'!$B$33</definedName>
    <definedName name="Title.Checklist.ManualQuestion" localSheetId="8">'UTSR checklist'!$B$36</definedName>
    <definedName name="Title.Checklist.NoteForAuditor" localSheetId="7">'CODE checklist'!$AE$2</definedName>
    <definedName name="Title.Checklist.NoteForAuditor" localSheetId="6">'SDD checklist'!$G$2</definedName>
    <definedName name="Title.Checklist.NoteForAuditor" localSheetId="8">'UTSR checklist'!$E$2</definedName>
    <definedName name="Title.Checklist.Question" localSheetId="7">'CODE checklist'!$B$4</definedName>
    <definedName name="Title.Checklist.Question" localSheetId="6">'SDD checklist'!$B$4</definedName>
    <definedName name="Title.Checklist.Question" localSheetId="8">'UTSR checklist'!$B$4</definedName>
    <definedName name="Title.Checklist.QuestionReference" localSheetId="7">'CODE checklist'!$A$2</definedName>
    <definedName name="Title.Checklist.QuestionReference" localSheetId="6">'SDD checklist'!$A$2</definedName>
    <definedName name="Title.Checklist.QuestionReference" localSheetId="8">'UTSR checklist'!$A$2</definedName>
    <definedName name="Title.Checklist.Rate" localSheetId="7">'CODE checklist'!$C$2</definedName>
    <definedName name="Title.Checklist.Rate" localSheetId="6">'SDD checklist'!$E$2</definedName>
    <definedName name="Title.Checklist.Rate" localSheetId="8">'UTSR checklist'!$C$2</definedName>
    <definedName name="Title.Guideline.HowToRate">[1]!TableGuideline[[#Headers],[How to rate the question]]</definedName>
    <definedName name="Title.Guideline.Id">[1]!TableGuideline[[#Headers],[Id]]</definedName>
    <definedName name="Title.Guideline.QuestionId1">[1]!TableGuideline[[#Headers],[Question 1]]</definedName>
    <definedName name="Title.Guideline.WhatToCheck">[1]!TableGuideline[[#Headers],[What to check
(sub guide)]]</definedName>
    <definedName name="Title.Library.AlternateColor">[1]!Table_Question[[#Headers],[Alternate color]]</definedName>
    <definedName name="Title.Library.Category">[1]!Table_Question[[#Headers],[Category]]</definedName>
    <definedName name="Title.Library.Discipline">[1]!Table_Question[[#Headers],[Discipline]]</definedName>
    <definedName name="Title.Library.Guide.HowToRate">[1]!Table_Question[[#Headers],[How to rate the question]]</definedName>
    <definedName name="Title.Library.Guide.Id">[1]!Table_Question[[#Headers],[Guide.Id]]</definedName>
    <definedName name="Title.Library.Guide.WhatToCheck">[1]!Table_Question[[#Headers],[What to check]]</definedName>
    <definedName name="Title.Library.Id">[1]!Table_Question[[#Headers],[Id]]</definedName>
    <definedName name="Title.Library.NoteForAuditor">[1]!Table_Question[[#Headers],[Note for auditor
(this column will be replace by the guideline soon)]]</definedName>
    <definedName name="Title.Library.Process">[1]!Table_Question[[#Headers],[Process]]</definedName>
    <definedName name="Title.Library.Question">[1]!Table_Question[[#Headers],[Question]]</definedName>
    <definedName name="Title.Library.Reference">[1]!Table_Question[[#Headers],[Reference]]</definedName>
    <definedName name="Title.Library.Section">[1]!Table_Question[[#Headers],[Sections]]</definedName>
    <definedName name="Title.Library.Status">[1]!Table_Question[[#Headers],[Status]]</definedName>
    <definedName name="Title.Library.TemplateId">[1]!Table_Question[[#Headers],[Template ID of the work-products]]</definedName>
    <definedName name="Title.Library.TypeOfChecklist">[1]!Table_Question[[#Headers],[Type]]</definedName>
    <definedName name="Title.Milestone.HowToRate">[1]!TableQuestions[[#Headers],[How to rate ?]]</definedName>
    <definedName name="TitleRow" localSheetId="7">'CODE checklist'!$2:$2</definedName>
    <definedName name="TitleRow" localSheetId="6">'SDD checklist'!$2:$2</definedName>
    <definedName name="TitleRow" localSheetId="8">'UTSR checklist'!$2:$2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3" i="245" l="1"/>
  <c r="E33" i="42"/>
  <c r="C3" i="245"/>
  <c r="E32" i="42"/>
  <c r="AC3" i="246"/>
  <c r="AB3" i="246"/>
  <c r="AA3" i="246"/>
  <c r="E31" i="42"/>
  <c r="E30" i="42"/>
  <c r="E29" i="42"/>
  <c r="E28" i="42"/>
  <c r="E27" i="42"/>
  <c r="Z3" i="246"/>
  <c r="Y3" i="246"/>
  <c r="X3" i="246"/>
  <c r="W3" i="246"/>
  <c r="V3" i="246"/>
  <c r="E26" i="42"/>
  <c r="E25" i="42"/>
  <c r="E24" i="42"/>
  <c r="E23" i="42"/>
  <c r="E22" i="42"/>
  <c r="E21" i="42"/>
  <c r="U3" i="246"/>
  <c r="T3" i="246"/>
  <c r="S3" i="246"/>
  <c r="G27" i="16"/>
  <c r="F27" i="16"/>
  <c r="E27" i="16"/>
  <c r="E44" i="16"/>
  <c r="E37" i="16"/>
  <c r="R3" i="246"/>
  <c r="Q3" i="246"/>
  <c r="P3" i="246"/>
  <c r="E20" i="42"/>
  <c r="E19" i="42"/>
  <c r="E18" i="42"/>
  <c r="E17" i="42"/>
  <c r="O3" i="246"/>
  <c r="N3" i="246"/>
  <c r="E16" i="42"/>
  <c r="E15" i="42"/>
  <c r="M3" i="246"/>
  <c r="E14" i="42"/>
  <c r="E13" i="42"/>
  <c r="L3" i="246"/>
  <c r="K3" i="246"/>
  <c r="E12" i="42"/>
  <c r="E7" i="42"/>
  <c r="E8" i="42"/>
  <c r="E9" i="42"/>
  <c r="E10" i="42"/>
  <c r="E11" i="42"/>
  <c r="J3" i="246"/>
  <c r="I3" i="246"/>
  <c r="H3" i="246"/>
  <c r="G3" i="246"/>
  <c r="C3" i="247"/>
  <c r="E6" i="42"/>
  <c r="F3" i="246"/>
  <c r="E5" i="42"/>
  <c r="E3" i="42"/>
  <c r="E4" i="42"/>
  <c r="E3" i="246"/>
  <c r="D3" i="246"/>
  <c r="F10" i="38"/>
  <c r="A5" i="38"/>
  <c r="E7" i="38"/>
  <c r="AE7" i="38"/>
  <c r="AB7" i="38"/>
  <c r="AB5" i="38"/>
  <c r="W7" i="38"/>
  <c r="W5" i="38"/>
  <c r="A7" i="38"/>
  <c r="C3" i="246" l="1"/>
  <c r="E3" i="245"/>
  <c r="A23" i="38" l="1"/>
  <c r="W7" i="39" l="1"/>
  <c r="AD3" i="39"/>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AEM_PROCESS_1.24.00
Last change : AEM_PROCESS_1.22.00</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6"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6" authorId="0" shapeId="0" xr:uid="{7D629A74-735C-4D9E-8E9C-382A2172CF1C}">
      <text>
        <r>
          <rPr>
            <sz val="8"/>
            <color indexed="81"/>
            <rFont val="Tahoma"/>
            <family val="2"/>
          </rPr>
          <t>Title of reference documents.</t>
        </r>
      </text>
    </comment>
    <comment ref="Y46" authorId="0" shapeId="0" xr:uid="{327A4027-E374-46EE-8F41-AAE7F5A68063}">
      <text>
        <r>
          <rPr>
            <sz val="8"/>
            <color indexed="81"/>
            <rFont val="Tahoma"/>
            <family val="2"/>
          </rPr>
          <t>Reference number, e.g. E123456 and revision of the reference.</t>
        </r>
      </text>
    </comment>
    <comment ref="B52"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52" authorId="0" shapeId="0" xr:uid="{EAF8F54A-6162-4D53-AD9B-58CDCD7A1B4D}">
      <text>
        <r>
          <rPr>
            <sz val="8"/>
            <color indexed="81"/>
            <rFont val="Tahoma"/>
            <family val="2"/>
          </rPr>
          <t>Title of reference documents.</t>
        </r>
      </text>
    </comment>
    <comment ref="Y52" authorId="0" shapeId="0" xr:uid="{AF9ABC4C-2372-4875-B9F9-B60698EAB986}">
      <text>
        <r>
          <rPr>
            <sz val="8"/>
            <color indexed="81"/>
            <rFont val="Tahoma"/>
            <family val="2"/>
          </rPr>
          <t>Reference number, e.g. E123456 and revision of the reference.</t>
        </r>
      </text>
    </comment>
    <comment ref="AJ83"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84" authorId="1" shapeId="0" xr:uid="{F17275A0-61EC-48C5-83D6-7710F1FB268A}">
      <text>
        <r>
          <rPr>
            <b/>
            <sz val="9"/>
            <color indexed="81"/>
            <rFont val="Tahoma"/>
            <family val="2"/>
          </rPr>
          <t>Don't change this cell</t>
        </r>
      </text>
    </comment>
    <comment ref="AJ84"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8" authorId="1" shapeId="0" xr:uid="{7EBCCB23-C7DD-49AE-A0C3-608CFE3FF3EB}">
      <text>
        <r>
          <rPr>
            <b/>
            <sz val="9"/>
            <color indexed="81"/>
            <rFont val="Tahoma"/>
            <family val="2"/>
          </rPr>
          <t>Don't change this cell</t>
        </r>
      </text>
    </comment>
    <comment ref="AJ105"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D15E08B7-E9DB-4B34-8C74-2C210FC50CFA}">
      <text>
        <r>
          <rPr>
            <b/>
            <sz val="9"/>
            <color indexed="81"/>
            <rFont val="Tahoma"/>
            <family val="2"/>
          </rPr>
          <t>Overview :</t>
        </r>
        <r>
          <rPr>
            <sz val="9"/>
            <color indexed="81"/>
            <rFont val="Tahoma"/>
            <family val="2"/>
          </rPr>
          <t xml:space="preserve">
Pourcentage of "yes" answers out of applicable answers</t>
        </r>
      </text>
    </comment>
    <comment ref="D3" authorId="0" shapeId="0" xr:uid="{D1FB7F7D-98CA-4287-9AB6-52985C4485B1}">
      <text>
        <r>
          <rPr>
            <b/>
            <sz val="9"/>
            <color indexed="81"/>
            <rFont val="Tahoma"/>
            <family val="2"/>
          </rPr>
          <t>Overview :</t>
        </r>
        <r>
          <rPr>
            <sz val="9"/>
            <color indexed="81"/>
            <rFont val="Tahoma"/>
            <family val="2"/>
          </rPr>
          <t xml:space="preserve">
Pourcentage of "yes" answers out of applicable answers</t>
        </r>
      </text>
    </comment>
    <comment ref="E3" authorId="0" shapeId="0" xr:uid="{4314DF02-04B6-428E-84EF-31B79E5583DB}">
      <text>
        <r>
          <rPr>
            <b/>
            <sz val="9"/>
            <color indexed="81"/>
            <rFont val="Tahoma"/>
            <family val="2"/>
          </rPr>
          <t>Overview :</t>
        </r>
        <r>
          <rPr>
            <sz val="9"/>
            <color indexed="81"/>
            <rFont val="Tahoma"/>
            <family val="2"/>
          </rPr>
          <t xml:space="preserve">
Pourcentage of "yes" answers out of applicable answers</t>
        </r>
      </text>
    </comment>
    <comment ref="B6" authorId="0" shapeId="0" xr:uid="{59DE57B2-D164-4770-8350-A8FB2978C850}">
      <text>
        <r>
          <rPr>
            <sz val="9"/>
            <color indexed="81"/>
            <rFont val="Tahoma"/>
            <family val="2"/>
          </rPr>
          <t>This row is mandatory to force the VBA script to generate the checklist</t>
        </r>
      </text>
    </comment>
    <comment ref="B33" authorId="0" shapeId="0" xr:uid="{ADF46240-A581-4C11-9E57-5A56C77AAB99}">
      <text>
        <r>
          <rPr>
            <b/>
            <sz val="9"/>
            <color indexed="81"/>
            <rFont val="Tahoma"/>
            <family val="2"/>
          </rPr>
          <t xml:space="preserve">Everything above this row is generated by Question Library (TEM486 - Master questions library.xlsm) </t>
        </r>
      </text>
    </comment>
    <comment ref="A35" authorId="0" shapeId="0" xr:uid="{5838F127-FFE2-45FF-9685-A48ED9A510B8}">
      <text>
        <r>
          <rPr>
            <b/>
            <sz val="9"/>
            <color indexed="81"/>
            <rFont val="Tahoma"/>
            <family val="2"/>
          </rPr>
          <t>This cell must be blank</t>
        </r>
      </text>
    </comment>
    <comment ref="C35" authorId="0" shapeId="0" xr:uid="{95ED9005-D274-4274-B934-342B694BD242}">
      <text>
        <r>
          <rPr>
            <b/>
            <sz val="9"/>
            <color indexed="81"/>
            <rFont val="Tahoma"/>
            <family val="2"/>
          </rPr>
          <t>This cell must be blank</t>
        </r>
      </text>
    </comment>
    <comment ref="D35" authorId="0" shapeId="0" xr:uid="{65D69D42-8AFC-410A-9C6E-E6720D0B6F64}">
      <text>
        <r>
          <rPr>
            <b/>
            <sz val="9"/>
            <color indexed="81"/>
            <rFont val="Tahoma"/>
            <family val="2"/>
          </rPr>
          <t>This cell must be blank</t>
        </r>
      </text>
    </comment>
    <comment ref="E35" authorId="0" shapeId="0" xr:uid="{B34B2126-EEAB-44D0-9AF5-7CB793A8E787}">
      <text>
        <r>
          <rPr>
            <b/>
            <sz val="9"/>
            <color indexed="81"/>
            <rFont val="Tahoma"/>
            <family val="2"/>
          </rPr>
          <t>This cell must be blank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7B7908BB-0D1D-413F-B500-89863915FDCC}">
      <text>
        <r>
          <rPr>
            <b/>
            <sz val="9"/>
            <color indexed="81"/>
            <rFont val="Tahoma"/>
            <family val="2"/>
          </rPr>
          <t>Overview :</t>
        </r>
        <r>
          <rPr>
            <sz val="9"/>
            <color indexed="81"/>
            <rFont val="Tahoma"/>
            <family val="2"/>
          </rPr>
          <t xml:space="preserve">
Pourcentage of "yes" answers out of applicable answers</t>
        </r>
      </text>
    </comment>
    <comment ref="D3" authorId="0" shapeId="0" xr:uid="{5A127058-ECFD-4BAA-B6AA-377A31DFB6AA}">
      <text>
        <r>
          <rPr>
            <b/>
            <sz val="9"/>
            <color indexed="81"/>
            <rFont val="Tahoma"/>
            <family val="2"/>
          </rPr>
          <t>Overview :</t>
        </r>
        <r>
          <rPr>
            <sz val="9"/>
            <color indexed="81"/>
            <rFont val="Tahoma"/>
            <family val="2"/>
          </rPr>
          <t xml:space="preserve">
Pourcentage of "yes" answers out of applicable answers</t>
        </r>
      </text>
    </comment>
    <comment ref="E3" authorId="0" shapeId="0" xr:uid="{3A04A609-D1EB-4EF1-BA27-CF6D4C970785}">
      <text>
        <r>
          <rPr>
            <b/>
            <sz val="9"/>
            <color indexed="81"/>
            <rFont val="Tahoma"/>
            <family val="2"/>
          </rPr>
          <t>Overview :</t>
        </r>
        <r>
          <rPr>
            <sz val="9"/>
            <color indexed="81"/>
            <rFont val="Tahoma"/>
            <family val="2"/>
          </rPr>
          <t xml:space="preserve">
Pourcentage of "yes" answers out of applicable answers</t>
        </r>
      </text>
    </comment>
    <comment ref="F3" authorId="0" shapeId="0" xr:uid="{DE1BF835-82BE-4C8C-99AE-E0F3A61AEBE9}">
      <text>
        <r>
          <rPr>
            <b/>
            <sz val="9"/>
            <color indexed="81"/>
            <rFont val="Tahoma"/>
            <family val="2"/>
          </rPr>
          <t>Overview :</t>
        </r>
        <r>
          <rPr>
            <sz val="9"/>
            <color indexed="81"/>
            <rFont val="Tahoma"/>
            <family val="2"/>
          </rPr>
          <t xml:space="preserve">
Pourcentage of "yes" answers out of applicable answers</t>
        </r>
      </text>
    </comment>
    <comment ref="G3" authorId="0" shapeId="0" xr:uid="{E083C335-7364-4F44-A072-11B46A976D4F}">
      <text>
        <r>
          <rPr>
            <b/>
            <sz val="9"/>
            <color indexed="81"/>
            <rFont val="Tahoma"/>
            <family val="2"/>
          </rPr>
          <t>Overview :</t>
        </r>
        <r>
          <rPr>
            <sz val="9"/>
            <color indexed="81"/>
            <rFont val="Tahoma"/>
            <family val="2"/>
          </rPr>
          <t xml:space="preserve">
Pourcentage of "yes" answers out of applicable answers</t>
        </r>
      </text>
    </comment>
    <comment ref="H3" authorId="0" shapeId="0" xr:uid="{C5036C70-14DD-4231-80EE-B981BA1CA47B}">
      <text>
        <r>
          <rPr>
            <b/>
            <sz val="9"/>
            <color indexed="81"/>
            <rFont val="Tahoma"/>
            <family val="2"/>
          </rPr>
          <t>Overview :</t>
        </r>
        <r>
          <rPr>
            <sz val="9"/>
            <color indexed="81"/>
            <rFont val="Tahoma"/>
            <family val="2"/>
          </rPr>
          <t xml:space="preserve">
Pourcentage of "yes" answers out of applicable answers</t>
        </r>
      </text>
    </comment>
    <comment ref="I3" authorId="0" shapeId="0" xr:uid="{670660AD-4FB8-40BC-A1C2-343DD52A9B52}">
      <text>
        <r>
          <rPr>
            <b/>
            <sz val="9"/>
            <color indexed="81"/>
            <rFont val="Tahoma"/>
            <family val="2"/>
          </rPr>
          <t>Overview :</t>
        </r>
        <r>
          <rPr>
            <sz val="9"/>
            <color indexed="81"/>
            <rFont val="Tahoma"/>
            <family val="2"/>
          </rPr>
          <t xml:space="preserve">
Pourcentage of "yes" answers out of applicable answers</t>
        </r>
      </text>
    </comment>
    <comment ref="J3" authorId="0" shapeId="0" xr:uid="{5D58F053-00AC-461B-B3E4-8F6FF7B8DA40}">
      <text>
        <r>
          <rPr>
            <b/>
            <sz val="9"/>
            <color indexed="81"/>
            <rFont val="Tahoma"/>
            <family val="2"/>
          </rPr>
          <t>Overview :</t>
        </r>
        <r>
          <rPr>
            <sz val="9"/>
            <color indexed="81"/>
            <rFont val="Tahoma"/>
            <family val="2"/>
          </rPr>
          <t xml:space="preserve">
Pourcentage of "yes" answers out of applicable answers</t>
        </r>
      </text>
    </comment>
    <comment ref="K3" authorId="0" shapeId="0" xr:uid="{05E6AEBA-4823-4F25-ACEB-82BD01FDD122}">
      <text>
        <r>
          <rPr>
            <b/>
            <sz val="9"/>
            <color indexed="81"/>
            <rFont val="Tahoma"/>
            <family val="2"/>
          </rPr>
          <t>Overview :</t>
        </r>
        <r>
          <rPr>
            <sz val="9"/>
            <color indexed="81"/>
            <rFont val="Tahoma"/>
            <family val="2"/>
          </rPr>
          <t xml:space="preserve">
Pourcentage of "yes" answers out of applicable answers</t>
        </r>
      </text>
    </comment>
    <comment ref="L3" authorId="0" shapeId="0" xr:uid="{00B0336D-4EA4-4FB2-9F47-3D10BB42E693}">
      <text>
        <r>
          <rPr>
            <b/>
            <sz val="9"/>
            <color indexed="81"/>
            <rFont val="Tahoma"/>
            <family val="2"/>
          </rPr>
          <t>Overview :</t>
        </r>
        <r>
          <rPr>
            <sz val="9"/>
            <color indexed="81"/>
            <rFont val="Tahoma"/>
            <family val="2"/>
          </rPr>
          <t xml:space="preserve">
Pourcentage of "yes" answers out of applicable answers</t>
        </r>
      </text>
    </comment>
    <comment ref="M3" authorId="0" shapeId="0" xr:uid="{0B28FD60-9333-44DB-8F12-80A8C0E01BC6}">
      <text>
        <r>
          <rPr>
            <b/>
            <sz val="9"/>
            <color indexed="81"/>
            <rFont val="Tahoma"/>
            <family val="2"/>
          </rPr>
          <t>Overview :</t>
        </r>
        <r>
          <rPr>
            <sz val="9"/>
            <color indexed="81"/>
            <rFont val="Tahoma"/>
            <family val="2"/>
          </rPr>
          <t xml:space="preserve">
Pourcentage of "yes" answers out of applicable answers</t>
        </r>
      </text>
    </comment>
    <comment ref="N3" authorId="0" shapeId="0" xr:uid="{91D783B1-3E62-4836-A33D-71E91C5C66AC}">
      <text>
        <r>
          <rPr>
            <b/>
            <sz val="9"/>
            <color indexed="81"/>
            <rFont val="Tahoma"/>
            <family val="2"/>
          </rPr>
          <t>Overview :</t>
        </r>
        <r>
          <rPr>
            <sz val="9"/>
            <color indexed="81"/>
            <rFont val="Tahoma"/>
            <family val="2"/>
          </rPr>
          <t xml:space="preserve">
Pourcentage of "yes" answers out of applicable answers</t>
        </r>
      </text>
    </comment>
    <comment ref="O3" authorId="0" shapeId="0" xr:uid="{A848793E-36CB-44F7-ACF7-5BDC972AB9BF}">
      <text>
        <r>
          <rPr>
            <b/>
            <sz val="9"/>
            <color indexed="81"/>
            <rFont val="Tahoma"/>
            <family val="2"/>
          </rPr>
          <t>Overview :</t>
        </r>
        <r>
          <rPr>
            <sz val="9"/>
            <color indexed="81"/>
            <rFont val="Tahoma"/>
            <family val="2"/>
          </rPr>
          <t xml:space="preserve">
Pourcentage of "yes" answers out of applicable answers</t>
        </r>
      </text>
    </comment>
    <comment ref="P3" authorId="0" shapeId="0" xr:uid="{0DB69E97-52CF-4E47-91C5-0EF30BDCB124}">
      <text>
        <r>
          <rPr>
            <b/>
            <sz val="9"/>
            <color indexed="81"/>
            <rFont val="Tahoma"/>
            <family val="2"/>
          </rPr>
          <t>Overview :</t>
        </r>
        <r>
          <rPr>
            <sz val="9"/>
            <color indexed="81"/>
            <rFont val="Tahoma"/>
            <family val="2"/>
          </rPr>
          <t xml:space="preserve">
Pourcentage of "yes" answers out of applicable answers</t>
        </r>
      </text>
    </comment>
    <comment ref="Q3" authorId="0" shapeId="0" xr:uid="{562705FE-F7C1-41AC-A464-8D00FAC693D9}">
      <text>
        <r>
          <rPr>
            <b/>
            <sz val="9"/>
            <color indexed="81"/>
            <rFont val="Tahoma"/>
            <family val="2"/>
          </rPr>
          <t>Overview :</t>
        </r>
        <r>
          <rPr>
            <sz val="9"/>
            <color indexed="81"/>
            <rFont val="Tahoma"/>
            <family val="2"/>
          </rPr>
          <t xml:space="preserve">
Pourcentage of "yes" answers out of applicable answers</t>
        </r>
      </text>
    </comment>
    <comment ref="R3" authorId="0" shapeId="0" xr:uid="{49EF9EEB-BA92-4686-BD7B-988432A9ECF7}">
      <text>
        <r>
          <rPr>
            <b/>
            <sz val="9"/>
            <color indexed="81"/>
            <rFont val="Tahoma"/>
            <family val="2"/>
          </rPr>
          <t>Overview :</t>
        </r>
        <r>
          <rPr>
            <sz val="9"/>
            <color indexed="81"/>
            <rFont val="Tahoma"/>
            <family val="2"/>
          </rPr>
          <t xml:space="preserve">
Pourcentage of "yes" answers out of applicable answers</t>
        </r>
      </text>
    </comment>
    <comment ref="S3" authorId="0" shapeId="0" xr:uid="{C10B0F3D-F779-42BF-889C-5A786B6B1186}">
      <text>
        <r>
          <rPr>
            <b/>
            <sz val="9"/>
            <color indexed="81"/>
            <rFont val="Tahoma"/>
            <family val="2"/>
          </rPr>
          <t>Overview :</t>
        </r>
        <r>
          <rPr>
            <sz val="9"/>
            <color indexed="81"/>
            <rFont val="Tahoma"/>
            <family val="2"/>
          </rPr>
          <t xml:space="preserve">
Pourcentage of "yes" answers out of applicable answers</t>
        </r>
      </text>
    </comment>
    <comment ref="T3" authorId="0" shapeId="0" xr:uid="{29DE4E8C-246A-43F6-9BDE-D3AD18B0B165}">
      <text>
        <r>
          <rPr>
            <b/>
            <sz val="9"/>
            <color indexed="81"/>
            <rFont val="Tahoma"/>
            <family val="2"/>
          </rPr>
          <t>Overview :</t>
        </r>
        <r>
          <rPr>
            <sz val="9"/>
            <color indexed="81"/>
            <rFont val="Tahoma"/>
            <family val="2"/>
          </rPr>
          <t xml:space="preserve">
Pourcentage of "yes" answers out of applicable answers</t>
        </r>
      </text>
    </comment>
    <comment ref="U3" authorId="0" shapeId="0" xr:uid="{F821DFE5-56E4-43EB-B6D6-B59F9B199D0E}">
      <text>
        <r>
          <rPr>
            <b/>
            <sz val="9"/>
            <color indexed="81"/>
            <rFont val="Tahoma"/>
            <family val="2"/>
          </rPr>
          <t>Overview :</t>
        </r>
        <r>
          <rPr>
            <sz val="9"/>
            <color indexed="81"/>
            <rFont val="Tahoma"/>
            <family val="2"/>
          </rPr>
          <t xml:space="preserve">
Pourcentage of "yes" answers out of applicable answers</t>
        </r>
      </text>
    </comment>
    <comment ref="V3" authorId="0" shapeId="0" xr:uid="{C208F7F2-F865-4BBA-864F-C40F076C623B}">
      <text>
        <r>
          <rPr>
            <b/>
            <sz val="9"/>
            <color indexed="81"/>
            <rFont val="Tahoma"/>
            <family val="2"/>
          </rPr>
          <t>Overview :</t>
        </r>
        <r>
          <rPr>
            <sz val="9"/>
            <color indexed="81"/>
            <rFont val="Tahoma"/>
            <family val="2"/>
          </rPr>
          <t xml:space="preserve">
Pourcentage of "yes" answers out of applicable answers</t>
        </r>
      </text>
    </comment>
    <comment ref="W3" authorId="0" shapeId="0" xr:uid="{1EFCB5FC-6E63-4044-8867-5CEDD6E091FA}">
      <text>
        <r>
          <rPr>
            <b/>
            <sz val="9"/>
            <color indexed="81"/>
            <rFont val="Tahoma"/>
            <family val="2"/>
          </rPr>
          <t>Overview :</t>
        </r>
        <r>
          <rPr>
            <sz val="9"/>
            <color indexed="81"/>
            <rFont val="Tahoma"/>
            <family val="2"/>
          </rPr>
          <t xml:space="preserve">
Pourcentage of "yes" answers out of applicable answers</t>
        </r>
      </text>
    </comment>
    <comment ref="X3" authorId="0" shapeId="0" xr:uid="{49EBC455-D090-4F50-A579-C0BE0FD6EBBB}">
      <text>
        <r>
          <rPr>
            <b/>
            <sz val="9"/>
            <color indexed="81"/>
            <rFont val="Tahoma"/>
            <family val="2"/>
          </rPr>
          <t>Overview :</t>
        </r>
        <r>
          <rPr>
            <sz val="9"/>
            <color indexed="81"/>
            <rFont val="Tahoma"/>
            <family val="2"/>
          </rPr>
          <t xml:space="preserve">
Pourcentage of "yes" answers out of applicable answers</t>
        </r>
      </text>
    </comment>
    <comment ref="Y3" authorId="0" shapeId="0" xr:uid="{2CE7347B-2C33-44BC-A589-50C6DEDBAA3E}">
      <text>
        <r>
          <rPr>
            <b/>
            <sz val="9"/>
            <color indexed="81"/>
            <rFont val="Tahoma"/>
            <family val="2"/>
          </rPr>
          <t>Overview :</t>
        </r>
        <r>
          <rPr>
            <sz val="9"/>
            <color indexed="81"/>
            <rFont val="Tahoma"/>
            <family val="2"/>
          </rPr>
          <t xml:space="preserve">
Pourcentage of "yes" answers out of applicable answers</t>
        </r>
      </text>
    </comment>
    <comment ref="Z3" authorId="0" shapeId="0" xr:uid="{D91567DA-84B2-44E7-A435-4B6CB5086555}">
      <text>
        <r>
          <rPr>
            <b/>
            <sz val="9"/>
            <color indexed="81"/>
            <rFont val="Tahoma"/>
            <family val="2"/>
          </rPr>
          <t>Overview :</t>
        </r>
        <r>
          <rPr>
            <sz val="9"/>
            <color indexed="81"/>
            <rFont val="Tahoma"/>
            <family val="2"/>
          </rPr>
          <t xml:space="preserve">
Pourcentage of "yes" answers out of applicable answers</t>
        </r>
      </text>
    </comment>
    <comment ref="AA3" authorId="0" shapeId="0" xr:uid="{871FF5AF-2D3C-4694-A661-089BA86D3165}">
      <text>
        <r>
          <rPr>
            <b/>
            <sz val="9"/>
            <color indexed="81"/>
            <rFont val="Tahoma"/>
            <family val="2"/>
          </rPr>
          <t>Overview :</t>
        </r>
        <r>
          <rPr>
            <sz val="9"/>
            <color indexed="81"/>
            <rFont val="Tahoma"/>
            <family val="2"/>
          </rPr>
          <t xml:space="preserve">
Pourcentage of "yes" answers out of applicable answers</t>
        </r>
      </text>
    </comment>
    <comment ref="AB3" authorId="0" shapeId="0" xr:uid="{950BE1B4-51AD-4CF3-A23E-ED80BD466D9B}">
      <text>
        <r>
          <rPr>
            <b/>
            <sz val="9"/>
            <color indexed="81"/>
            <rFont val="Tahoma"/>
            <family val="2"/>
          </rPr>
          <t>Overview :</t>
        </r>
        <r>
          <rPr>
            <sz val="9"/>
            <color indexed="81"/>
            <rFont val="Tahoma"/>
            <family val="2"/>
          </rPr>
          <t xml:space="preserve">
Pourcentage of "yes" answers out of applicable answers</t>
        </r>
      </text>
    </comment>
    <comment ref="AC3" authorId="0" shapeId="0" xr:uid="{D81B8A8C-F249-4239-91B4-59CBA471EFD0}">
      <text>
        <r>
          <rPr>
            <b/>
            <sz val="9"/>
            <color indexed="81"/>
            <rFont val="Tahoma"/>
            <family val="2"/>
          </rPr>
          <t>Overview :</t>
        </r>
        <r>
          <rPr>
            <sz val="9"/>
            <color indexed="81"/>
            <rFont val="Tahoma"/>
            <family val="2"/>
          </rPr>
          <t xml:space="preserve">
Pourcentage of "yes" answers out of applicable answers</t>
        </r>
      </text>
    </comment>
    <comment ref="B34" authorId="0" shapeId="0" xr:uid="{E80F25DC-13AB-424A-9F88-AE0B58252AC9}">
      <text>
        <r>
          <rPr>
            <b/>
            <sz val="9"/>
            <color indexed="81"/>
            <rFont val="Tahoma"/>
            <family val="2"/>
          </rPr>
          <t xml:space="preserve">Everything above this row is generated by Question Library (TEM486 - Master questions library.xlsm) </t>
        </r>
      </text>
    </comment>
    <comment ref="A36" authorId="0" shapeId="0" xr:uid="{348311A7-B571-4509-9B02-A478835A59E9}">
      <text>
        <r>
          <rPr>
            <b/>
            <sz val="9"/>
            <color indexed="81"/>
            <rFont val="Tahoma"/>
            <family val="2"/>
          </rPr>
          <t>This cell must be blank</t>
        </r>
      </text>
    </comment>
    <comment ref="C36" authorId="0" shapeId="0" xr:uid="{E7DC79D1-99F9-42FD-8563-D14B693744FA}">
      <text>
        <r>
          <rPr>
            <b/>
            <sz val="9"/>
            <color indexed="81"/>
            <rFont val="Tahoma"/>
            <family val="2"/>
          </rPr>
          <t>This cell must be blank</t>
        </r>
      </text>
    </comment>
    <comment ref="D36" authorId="0" shapeId="0" xr:uid="{683927FC-65D0-4DD1-821B-1B1CD26BA535}">
      <text>
        <r>
          <rPr>
            <b/>
            <sz val="9"/>
            <color indexed="81"/>
            <rFont val="Tahoma"/>
            <family val="2"/>
          </rPr>
          <t>This cell must be blank</t>
        </r>
      </text>
    </comment>
    <comment ref="E36" authorId="0" shapeId="0" xr:uid="{E90E89C5-97FD-43B2-B6AC-31462C86B273}">
      <text>
        <r>
          <rPr>
            <b/>
            <sz val="9"/>
            <color indexed="81"/>
            <rFont val="Tahoma"/>
            <family val="2"/>
          </rPr>
          <t>This cell must be blank</t>
        </r>
      </text>
    </comment>
    <comment ref="F36" authorId="0" shapeId="0" xr:uid="{710884D9-15B4-4A23-B00F-19F9E77E24B5}">
      <text>
        <r>
          <rPr>
            <b/>
            <sz val="9"/>
            <color indexed="81"/>
            <rFont val="Tahoma"/>
            <family val="2"/>
          </rPr>
          <t>This cell must be blank</t>
        </r>
      </text>
    </comment>
    <comment ref="G36" authorId="0" shapeId="0" xr:uid="{53429258-A3D4-4F8C-8BD1-DF8F66FCD991}">
      <text>
        <r>
          <rPr>
            <b/>
            <sz val="9"/>
            <color indexed="81"/>
            <rFont val="Tahoma"/>
            <family val="2"/>
          </rPr>
          <t>This cell must be blank</t>
        </r>
      </text>
    </comment>
    <comment ref="H36" authorId="0" shapeId="0" xr:uid="{3933A12E-9E33-4AF3-8572-8FDDF9FD5859}">
      <text>
        <r>
          <rPr>
            <b/>
            <sz val="9"/>
            <color indexed="81"/>
            <rFont val="Tahoma"/>
            <family val="2"/>
          </rPr>
          <t>This cell must be blank</t>
        </r>
      </text>
    </comment>
    <comment ref="I36" authorId="0" shapeId="0" xr:uid="{1B616907-4D66-4869-B1BD-8775468AAE57}">
      <text>
        <r>
          <rPr>
            <b/>
            <sz val="9"/>
            <color indexed="81"/>
            <rFont val="Tahoma"/>
            <family val="2"/>
          </rPr>
          <t>This cell must be blank</t>
        </r>
      </text>
    </comment>
    <comment ref="J36" authorId="0" shapeId="0" xr:uid="{D917C2AA-BFFD-4817-90F6-2E258D69EF46}">
      <text>
        <r>
          <rPr>
            <b/>
            <sz val="9"/>
            <color indexed="81"/>
            <rFont val="Tahoma"/>
            <family val="2"/>
          </rPr>
          <t>This cell must be blank</t>
        </r>
      </text>
    </comment>
    <comment ref="K36" authorId="0" shapeId="0" xr:uid="{1BC4A7C0-8E96-4266-8915-8295F6741337}">
      <text>
        <r>
          <rPr>
            <b/>
            <sz val="9"/>
            <color indexed="81"/>
            <rFont val="Tahoma"/>
            <family val="2"/>
          </rPr>
          <t>This cell must be blank</t>
        </r>
      </text>
    </comment>
    <comment ref="L36" authorId="0" shapeId="0" xr:uid="{451DE4E5-5D28-4E69-983D-A8FFE6FA30B7}">
      <text>
        <r>
          <rPr>
            <b/>
            <sz val="9"/>
            <color indexed="81"/>
            <rFont val="Tahoma"/>
            <family val="2"/>
          </rPr>
          <t>This cell must be blank</t>
        </r>
      </text>
    </comment>
    <comment ref="M36" authorId="0" shapeId="0" xr:uid="{B9883B03-299E-48DB-ADAB-0ABE55B8DF46}">
      <text>
        <r>
          <rPr>
            <b/>
            <sz val="9"/>
            <color indexed="81"/>
            <rFont val="Tahoma"/>
            <family val="2"/>
          </rPr>
          <t>This cell must be blank</t>
        </r>
      </text>
    </comment>
    <comment ref="N36" authorId="0" shapeId="0" xr:uid="{3EAC7C6D-8EDD-4884-B31A-0A1CF3BC734E}">
      <text>
        <r>
          <rPr>
            <b/>
            <sz val="9"/>
            <color indexed="81"/>
            <rFont val="Tahoma"/>
            <family val="2"/>
          </rPr>
          <t>This cell must be blank</t>
        </r>
      </text>
    </comment>
    <comment ref="O36" authorId="0" shapeId="0" xr:uid="{0303E755-70FD-45B4-84C0-B00EDCA329EF}">
      <text>
        <r>
          <rPr>
            <b/>
            <sz val="9"/>
            <color indexed="81"/>
            <rFont val="Tahoma"/>
            <family val="2"/>
          </rPr>
          <t>This cell must be blank</t>
        </r>
      </text>
    </comment>
    <comment ref="P36" authorId="0" shapeId="0" xr:uid="{0650D797-71F3-4C89-AC23-757D7B85DEA1}">
      <text>
        <r>
          <rPr>
            <b/>
            <sz val="9"/>
            <color indexed="81"/>
            <rFont val="Tahoma"/>
            <family val="2"/>
          </rPr>
          <t>This cell must be blank</t>
        </r>
      </text>
    </comment>
    <comment ref="Q36" authorId="0" shapeId="0" xr:uid="{9605E49E-AE44-4393-AEC0-929E1F88A066}">
      <text>
        <r>
          <rPr>
            <b/>
            <sz val="9"/>
            <color indexed="81"/>
            <rFont val="Tahoma"/>
            <family val="2"/>
          </rPr>
          <t>This cell must be blank</t>
        </r>
      </text>
    </comment>
    <comment ref="R36" authorId="0" shapeId="0" xr:uid="{7A01C127-BD19-4608-9E0D-C99EEF7731BB}">
      <text>
        <r>
          <rPr>
            <b/>
            <sz val="9"/>
            <color indexed="81"/>
            <rFont val="Tahoma"/>
            <family val="2"/>
          </rPr>
          <t>This cell must be blank</t>
        </r>
      </text>
    </comment>
    <comment ref="S36" authorId="0" shapeId="0" xr:uid="{021B7F2A-446F-4983-9043-633AAEFD2013}">
      <text>
        <r>
          <rPr>
            <b/>
            <sz val="9"/>
            <color indexed="81"/>
            <rFont val="Tahoma"/>
            <family val="2"/>
          </rPr>
          <t>This cell must be blank</t>
        </r>
      </text>
    </comment>
    <comment ref="T36" authorId="0" shapeId="0" xr:uid="{49B3C5EC-5202-45AA-B40F-C26FB9431558}">
      <text>
        <r>
          <rPr>
            <b/>
            <sz val="9"/>
            <color indexed="81"/>
            <rFont val="Tahoma"/>
            <family val="2"/>
          </rPr>
          <t>This cell must be blank</t>
        </r>
      </text>
    </comment>
    <comment ref="U36" authorId="0" shapeId="0" xr:uid="{CE35FF57-A243-40DB-B91F-82CA020418DD}">
      <text>
        <r>
          <rPr>
            <b/>
            <sz val="9"/>
            <color indexed="81"/>
            <rFont val="Tahoma"/>
            <family val="2"/>
          </rPr>
          <t>This cell must be blank</t>
        </r>
      </text>
    </comment>
    <comment ref="V36" authorId="0" shapeId="0" xr:uid="{9A1810AC-3C4A-4A66-AD0E-04C57091A348}">
      <text>
        <r>
          <rPr>
            <b/>
            <sz val="9"/>
            <color indexed="81"/>
            <rFont val="Tahoma"/>
            <family val="2"/>
          </rPr>
          <t>This cell must be blank</t>
        </r>
      </text>
    </comment>
    <comment ref="W36" authorId="0" shapeId="0" xr:uid="{18A32DF7-4ABC-4AE3-A0C2-54775E5D4BE2}">
      <text>
        <r>
          <rPr>
            <b/>
            <sz val="9"/>
            <color indexed="81"/>
            <rFont val="Tahoma"/>
            <family val="2"/>
          </rPr>
          <t>This cell must be blank</t>
        </r>
      </text>
    </comment>
    <comment ref="X36" authorId="0" shapeId="0" xr:uid="{2FDDD808-8689-4FC4-9D43-3E8CC3EE0842}">
      <text>
        <r>
          <rPr>
            <b/>
            <sz val="9"/>
            <color indexed="81"/>
            <rFont val="Tahoma"/>
            <family val="2"/>
          </rPr>
          <t>This cell must be blank</t>
        </r>
      </text>
    </comment>
    <comment ref="Y36" authorId="0" shapeId="0" xr:uid="{4FD3D08A-D1CA-4BEA-8AC2-12C97048B1FA}">
      <text>
        <r>
          <rPr>
            <b/>
            <sz val="9"/>
            <color indexed="81"/>
            <rFont val="Tahoma"/>
            <family val="2"/>
          </rPr>
          <t>This cell must be blank</t>
        </r>
      </text>
    </comment>
    <comment ref="Z36" authorId="0" shapeId="0" xr:uid="{BFC39F08-9058-47B3-AC19-98385D2A340A}">
      <text>
        <r>
          <rPr>
            <b/>
            <sz val="9"/>
            <color indexed="81"/>
            <rFont val="Tahoma"/>
            <family val="2"/>
          </rPr>
          <t>This cell must be blank</t>
        </r>
      </text>
    </comment>
    <comment ref="AA36" authorId="0" shapeId="0" xr:uid="{2FD0AC3F-0F49-4BAA-A6A4-2E771AD1F175}">
      <text>
        <r>
          <rPr>
            <b/>
            <sz val="9"/>
            <color indexed="81"/>
            <rFont val="Tahoma"/>
            <family val="2"/>
          </rPr>
          <t>This cell must be blank</t>
        </r>
      </text>
    </comment>
    <comment ref="AB36" authorId="0" shapeId="0" xr:uid="{AEF8FC60-A407-45B6-BB5A-FFAC952DAD3A}">
      <text>
        <r>
          <rPr>
            <b/>
            <sz val="9"/>
            <color indexed="81"/>
            <rFont val="Tahoma"/>
            <family val="2"/>
          </rPr>
          <t>This cell must be blank</t>
        </r>
      </text>
    </comment>
    <comment ref="AC36" authorId="0" shapeId="0" xr:uid="{3AB84CBC-784E-42F7-857C-D95C383D6BD3}">
      <text>
        <r>
          <rPr>
            <b/>
            <sz val="9"/>
            <color indexed="81"/>
            <rFont val="Tahoma"/>
            <family val="2"/>
          </rPr>
          <t>This cell must be blank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88D28FCF-24BC-48DC-B9CE-DB200FFB029F}">
      <text>
        <r>
          <rPr>
            <b/>
            <sz val="9"/>
            <color indexed="81"/>
            <rFont val="Tahoma"/>
            <family val="2"/>
          </rPr>
          <t>Overview :</t>
        </r>
        <r>
          <rPr>
            <sz val="9"/>
            <color indexed="81"/>
            <rFont val="Tahoma"/>
            <family val="2"/>
          </rPr>
          <t xml:space="preserve">
Pourcentage of "yes" answers out of applicable answers</t>
        </r>
      </text>
    </comment>
    <comment ref="B36" authorId="0" shapeId="0" xr:uid="{AC0A1AE7-26B8-4DF6-B65D-CDBB62CF93B0}">
      <text>
        <r>
          <rPr>
            <b/>
            <sz val="9"/>
            <color indexed="81"/>
            <rFont val="Tahoma"/>
            <family val="2"/>
          </rPr>
          <t xml:space="preserve">Everything above this row is generated by Question Library (TEM486 - Master questions library.xlsm) </t>
        </r>
      </text>
    </comment>
    <comment ref="A38" authorId="0" shapeId="0" xr:uid="{324DF7A8-566E-4525-87D8-692F0C98FB2A}">
      <text>
        <r>
          <rPr>
            <b/>
            <sz val="9"/>
            <color indexed="81"/>
            <rFont val="Tahoma"/>
            <family val="2"/>
          </rPr>
          <t>This cell must be blank</t>
        </r>
      </text>
    </comment>
    <comment ref="C38" authorId="0" shapeId="0" xr:uid="{BB1DF9ED-C8A0-42A3-B1C7-8BA9AF26673B}">
      <text>
        <r>
          <rPr>
            <b/>
            <sz val="9"/>
            <color indexed="81"/>
            <rFont val="Tahoma"/>
            <family val="2"/>
          </rPr>
          <t>This cell must be blank</t>
        </r>
      </text>
    </comment>
  </commentList>
</comments>
</file>

<file path=xl/sharedStrings.xml><?xml version="1.0" encoding="utf-8"?>
<sst xmlns="http://schemas.openxmlformats.org/spreadsheetml/2006/main" count="2299" uniqueCount="583">
  <si>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</si>
  <si>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</si>
  <si>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</si>
  <si>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</si>
  <si>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</si>
  <si>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</si>
  <si>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</si>
  <si>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</si>
  <si>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</si>
  <si>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</si>
  <si>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</si>
  <si>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</si>
  <si>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</si>
  <si>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</si>
  <si>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</si>
  <si>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</si>
  <si>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</si>
  <si>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</si>
  <si>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</si>
  <si>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</si>
  <si>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</si>
  <si>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</si>
  <si>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</si>
  <si>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</si>
  <si>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</si>
  <si>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</si>
  <si>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</si>
  <si>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</si>
  <si>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</si>
  <si>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</si>
  <si>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</si>
  <si>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</si>
  <si>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</si>
  <si>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</si>
  <si>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</si>
  <si>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</si>
  <si>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</si>
  <si>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</si>
  <si>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</si>
  <si>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</si>
  <si>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</si>
  <si>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</si>
  <si>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</si>
  <si>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</si>
  <si>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</si>
  <si>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</si>
  <si>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</si>
  <si>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</si>
  <si>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</si>
  <si>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</si>
  <si>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</si>
  <si>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</si>
  <si>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</si>
  <si>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</si>
  <si>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</si>
  <si>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</si>
  <si>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</si>
  <si>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</si>
  <si>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</si>
  <si>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</si>
  <si>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</si>
  <si>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</si>
  <si>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</si>
  <si>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</si>
  <si>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</si>
  <si>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</si>
  <si>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</si>
  <si>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</si>
  <si>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</si>
  <si>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</si>
  <si>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</si>
  <si>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</si>
  <si>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</si>
  <si>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</si>
  <si>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</si>
  <si>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</si>
  <si>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</si>
  <si>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</si>
  <si>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</si>
  <si>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</si>
  <si>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</si>
  <si>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</si>
  <si>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</si>
  <si>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</si>
  <si>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</si>
  <si>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</si>
  <si>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</si>
  <si>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</si>
  <si>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</si>
  <si>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</si>
  <si>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</si>
  <si>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</si>
  <si>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</si>
  <si>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</si>
  <si>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</si>
  <si>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</si>
  <si>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</si>
  <si>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</si>
  <si>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</si>
  <si>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</si>
  <si>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</si>
  <si>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</si>
  <si>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</si>
  <si>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</si>
  <si>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</si>
  <si>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</si>
  <si>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</si>
  <si>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</si>
  <si>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</si>
  <si>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</si>
  <si>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</si>
  <si>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</si>
  <si>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</si>
  <si>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</si>
  <si>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</si>
  <si>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</si>
  <si>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</si>
  <si>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</si>
  <si>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</si>
  <si>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</si>
  <si>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</si>
  <si>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</si>
  <si>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</si>
  <si>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</si>
  <si>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</si>
  <si>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</si>
  <si>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</si>
  <si>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</si>
  <si>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</si>
  <si>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</si>
  <si>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</si>
  <si>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</si>
  <si>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</si>
  <si>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</si>
  <si>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</si>
  <si>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</si>
  <si>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</si>
  <si>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To be fullfilled</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</si>
  <si>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</si>
  <si>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</si>
  <si>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</si>
  <si>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</si>
  <si>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</si>
  <si>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</si>
  <si>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</si>
  <si>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</si>
  <si>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</si>
  <si>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</si>
  <si>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</si>
  <si>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</si>
  <si>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</si>
  <si>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</si>
  <si>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</si>
  <si>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</si>
  <si>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</si>
  <si>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</si>
  <si>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</si>
  <si>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</si>
  <si>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</si>
  <si>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</si>
  <si>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</si>
  <si>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</si>
  <si>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</si>
  <si>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</si>
  <si>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</si>
  <si>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</si>
  <si>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</si>
  <si>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</si>
  <si>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</si>
  <si>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</si>
  <si>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</si>
  <si>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</si>
  <si>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</si>
  <si>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</si>
  <si>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</si>
  <si>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</si>
  <si>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</si>
  <si>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</si>
  <si>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</si>
  <si>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</si>
  <si>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</si>
  <si>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</si>
  <si>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</si>
  <si>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</si>
  <si>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</si>
  <si>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</si>
  <si>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</si>
  <si>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</si>
  <si>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</si>
  <si>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</si>
  <si>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</si>
  <si>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Review type</t>
  </si>
  <si>
    <t>Review organization</t>
  </si>
  <si>
    <t>Starting date</t>
  </si>
  <si>
    <t>Due date</t>
  </si>
  <si>
    <t>Work-product(s)</t>
  </si>
  <si>
    <r>
      <t xml:space="preserve">Effort </t>
    </r>
    <r>
      <rPr>
        <sz val="14"/>
        <color theme="1"/>
        <rFont val="Calibri"/>
        <family val="2"/>
        <scheme val="minor"/>
      </rPr>
      <t>(in mn)</t>
    </r>
  </si>
  <si>
    <t>Reviewer 10</t>
  </si>
  <si>
    <r>
      <t xml:space="preserve">Time spent by reviewers </t>
    </r>
    <r>
      <rPr>
        <sz val="16"/>
        <color theme="0"/>
        <rFont val="Calibri"/>
        <family val="2"/>
        <scheme val="minor"/>
      </rPr>
      <t>(in mn)</t>
    </r>
  </si>
  <si>
    <t>Exxxxxx</t>
  </si>
  <si>
    <t>YYYY-MM-DD</t>
  </si>
  <si>
    <t>Released</t>
  </si>
  <si>
    <t>Project Name and Number</t>
  </si>
  <si>
    <t>xxx</t>
  </si>
  <si>
    <t>Generic Excel template</t>
  </si>
  <si>
    <t>Project specific questions</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</si>
  <si>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</si>
  <si>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</si>
  <si>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</si>
  <si>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</si>
  <si>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</si>
  <si>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</si>
  <si>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</si>
  <si>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</si>
  <si>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Question
reference</t>
  </si>
  <si>
    <t>PDP checklist</t>
  </si>
  <si>
    <t>Content</t>
  </si>
  <si>
    <t>Common document rules</t>
  </si>
  <si>
    <t>Common review process check</t>
  </si>
  <si>
    <t>REQ checklist</t>
  </si>
  <si>
    <t>What to check</t>
  </si>
  <si>
    <t>How to rate the question</t>
  </si>
  <si>
    <t>Questions out of questions library</t>
  </si>
  <si>
    <r>
      <t xml:space="preserve">Justification
</t>
    </r>
    <r>
      <rPr>
        <sz val="10"/>
        <color theme="0"/>
        <rFont val="Arial"/>
        <family val="2"/>
      </rPr>
      <t>(if not OK)</t>
    </r>
  </si>
  <si>
    <t>Specific question for this checklist</t>
  </si>
  <si>
    <t>Questions generated by questions library tool</t>
  </si>
  <si>
    <r>
      <rPr>
        <b/>
        <sz val="10"/>
        <rFont val="Arial"/>
        <family val="2"/>
      </rPr>
      <t>NA</t>
    </r>
    <r>
      <rPr>
        <sz val="10"/>
        <rFont val="Arial"/>
        <family val="2"/>
      </rPr>
      <t xml:space="preserve">
No specific question for this checklist
(this question is usefull for the Question Library VBA script only)</t>
    </r>
  </si>
  <si>
    <t>Review criteria for
Software detailed design (SDD)</t>
  </si>
  <si>
    <t>Review criteria for
Code (CODE)</t>
  </si>
  <si>
    <r>
      <rPr>
        <b/>
        <sz val="10"/>
        <rFont val="Arial"/>
        <family val="2"/>
      </rPr>
      <t xml:space="preserve">Traceability
</t>
    </r>
    <r>
      <rPr>
        <sz val="10"/>
        <rFont val="Arial"/>
        <family val="2"/>
      </rPr>
      <t>Is the traceability done with module design and/or software specification?</t>
    </r>
  </si>
  <si>
    <r>
      <rPr>
        <b/>
        <sz val="10"/>
        <rFont val="Arial"/>
        <family val="2"/>
      </rPr>
      <t xml:space="preserve">Consistency
</t>
    </r>
    <r>
      <rPr>
        <sz val="10"/>
        <rFont val="Arial"/>
        <family val="2"/>
      </rPr>
      <t>Is the AAU consistent with the module design or software specification?</t>
    </r>
  </si>
  <si>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</si>
  <si>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</si>
  <si>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</si>
  <si>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</si>
  <si>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</si>
  <si>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</si>
  <si>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</si>
  <si>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</si>
  <si>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</si>
  <si>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</si>
  <si>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</si>
  <si>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</si>
  <si>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</si>
  <si>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</si>
  <si>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</si>
  <si>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</si>
  <si>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</si>
  <si>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</si>
  <si>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</si>
  <si>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</si>
  <si>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</si>
  <si>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</si>
  <si>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</si>
  <si>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</si>
  <si>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</si>
  <si>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</si>
  <si>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</si>
  <si>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</si>
  <si>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</si>
  <si>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</si>
  <si>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</si>
  <si>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Technical</t>
  </si>
  <si>
    <r>
      <rPr>
        <b/>
        <sz val="10"/>
        <rFont val="Arial"/>
        <family val="2"/>
      </rPr>
      <t>Diagram</t>
    </r>
    <r>
      <rPr>
        <sz val="10"/>
        <rFont val="Arial"/>
        <family val="2"/>
      </rPr>
      <t xml:space="preserve">
Is there a clear description (diagram/sequence/text) to explain each AAU functions role</t>
    </r>
  </si>
  <si>
    <r>
      <rPr>
        <b/>
        <sz val="10"/>
        <rFont val="Arial"/>
        <family val="2"/>
      </rPr>
      <t>Diagram</t>
    </r>
    <r>
      <rPr>
        <sz val="10"/>
        <rFont val="Arial"/>
        <family val="2"/>
      </rPr>
      <t xml:space="preserve">
Is created a function/sequence diagram for each function?</t>
    </r>
  </si>
  <si>
    <r>
      <rPr>
        <b/>
        <sz val="10"/>
        <rFont val="Arial"/>
        <family val="2"/>
      </rPr>
      <t>Design</t>
    </r>
    <r>
      <rPr>
        <sz val="10"/>
        <rFont val="Arial"/>
        <family val="2"/>
      </rPr>
      <t xml:space="preserve">
Does the SW AAU design conform to the SW requirements?</t>
    </r>
  </si>
  <si>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</si>
  <si>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r>
      <rPr>
        <b/>
        <sz val="10"/>
        <rFont val="Arial"/>
        <family val="2"/>
      </rPr>
      <t>Coding standard</t>
    </r>
    <r>
      <rPr>
        <sz val="10"/>
        <rFont val="Arial"/>
        <family val="2"/>
      </rPr>
      <t xml:space="preserve">
Does the SW AAU design conform to the SW coding standard ?</t>
    </r>
  </si>
  <si>
    <r>
      <rPr>
        <b/>
        <sz val="10"/>
        <rFont val="Arial"/>
        <family val="2"/>
      </rPr>
      <t>Testability</t>
    </r>
    <r>
      <rPr>
        <sz val="10"/>
        <rFont val="Arial"/>
        <family val="2"/>
      </rPr>
      <t xml:space="preserve">
Are software design requirements testable?</t>
    </r>
  </si>
  <si>
    <r>
      <rPr>
        <b/>
        <sz val="10"/>
        <rFont val="Arial"/>
        <family val="2"/>
      </rPr>
      <t>Traceability</t>
    </r>
    <r>
      <rPr>
        <sz val="10"/>
        <rFont val="Arial"/>
        <family val="2"/>
      </rPr>
      <t xml:space="preserve">
Do SW design requirements cover SW functional requirements using indirect and/or direct traceability ?</t>
    </r>
  </si>
  <si>
    <r>
      <rPr>
        <b/>
        <sz val="10"/>
        <rFont val="Arial"/>
        <family val="2"/>
      </rPr>
      <t>Variables</t>
    </r>
    <r>
      <rPr>
        <sz val="10"/>
        <rFont val="Arial"/>
        <family val="2"/>
      </rPr>
      <t xml:space="preserve">
Are shared variables protected with expected mechanisms (including initialization)?</t>
    </r>
  </si>
  <si>
    <r>
      <rPr>
        <b/>
        <sz val="10"/>
        <rFont val="Arial"/>
        <family val="2"/>
      </rPr>
      <t>Critical sections</t>
    </r>
    <r>
      <rPr>
        <sz val="10"/>
        <rFont val="Arial"/>
        <family val="2"/>
      </rPr>
      <t xml:space="preserve">
Are critical sections protected with expected mechanisms?</t>
    </r>
  </si>
  <si>
    <r>
      <rPr>
        <b/>
        <sz val="10"/>
        <rFont val="Arial"/>
        <family val="2"/>
      </rPr>
      <t>Critical data</t>
    </r>
    <r>
      <rPr>
        <sz val="10"/>
        <rFont val="Arial"/>
        <family val="2"/>
      </rPr>
      <t xml:space="preserve">
Are critical data protected with expected mechanisms?</t>
    </r>
  </si>
  <si>
    <r>
      <rPr>
        <b/>
        <sz val="10"/>
        <rFont val="Arial"/>
        <family val="2"/>
      </rPr>
      <t>MCU constraints</t>
    </r>
    <r>
      <rPr>
        <sz val="10"/>
        <rFont val="Arial"/>
        <family val="2"/>
      </rPr>
      <t xml:space="preserve">
Does the SW AAU design take into account the MCU resources constraints?</t>
    </r>
  </si>
  <si>
    <r>
      <rPr>
        <b/>
        <sz val="10"/>
        <rFont val="Arial"/>
        <family val="2"/>
      </rPr>
      <t>Coding standard</t>
    </r>
    <r>
      <rPr>
        <sz val="10"/>
        <rFont val="Arial"/>
        <family val="2"/>
      </rPr>
      <t xml:space="preserve">
Does the SW AAU Code conform to the SW coding standard ?</t>
    </r>
  </si>
  <si>
    <r>
      <rPr>
        <b/>
        <sz val="10"/>
        <rFont val="Arial"/>
        <family val="2"/>
      </rPr>
      <t>Static analysis</t>
    </r>
    <r>
      <rPr>
        <sz val="10"/>
        <rFont val="Arial"/>
        <family val="2"/>
      </rPr>
      <t xml:space="preserve">
Is static analysis performed and warnings corrected or justified?</t>
    </r>
  </si>
  <si>
    <r>
      <rPr>
        <b/>
        <sz val="10"/>
        <rFont val="Arial"/>
        <family val="2"/>
      </rPr>
      <t>Data structure</t>
    </r>
    <r>
      <rPr>
        <sz val="10"/>
        <rFont val="Arial"/>
        <family val="2"/>
      </rPr>
      <t xml:space="preserve">
Is Data structure organized in RAM (alignment, padding,..) verified?</t>
    </r>
  </si>
  <si>
    <r>
      <rPr>
        <b/>
        <sz val="10"/>
        <rFont val="Arial"/>
        <family val="2"/>
      </rPr>
      <t>Comments</t>
    </r>
    <r>
      <rPr>
        <sz val="10"/>
        <rFont val="Arial"/>
        <family val="2"/>
      </rPr>
      <t xml:space="preserve">
Are the comments sufficient for comprehensibility?</t>
    </r>
  </si>
  <si>
    <r>
      <rPr>
        <b/>
        <sz val="10"/>
        <rFont val="Arial"/>
        <family val="2"/>
      </rPr>
      <t>Execution</t>
    </r>
    <r>
      <rPr>
        <sz val="10"/>
        <rFont val="Arial"/>
        <family val="2"/>
      </rPr>
      <t xml:space="preserve">
Are SW loops (for, while) protected against infinite execution?</t>
    </r>
  </si>
  <si>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</si>
  <si>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</si>
  <si>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</si>
  <si>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</si>
  <si>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r>
      <rPr>
        <b/>
        <sz val="10"/>
        <rFont val="Arial"/>
        <family val="2"/>
      </rPr>
      <t>Stack</t>
    </r>
    <r>
      <rPr>
        <sz val="10"/>
        <rFont val="Arial"/>
        <family val="2"/>
      </rPr>
      <t xml:space="preserve">
Are the impacts on stack size been considered ?</t>
    </r>
  </si>
  <si>
    <r>
      <rPr>
        <b/>
        <sz val="10"/>
        <rFont val="Arial"/>
        <family val="2"/>
      </rPr>
      <t>Critical code</t>
    </r>
    <r>
      <rPr>
        <sz val="10"/>
        <rFont val="Arial"/>
        <family val="2"/>
      </rPr>
      <t xml:space="preserve">
Are the critical code sections optimized regarding CPU load budget (for example jitter that can be introduced by interrupt routine)?</t>
    </r>
  </si>
  <si>
    <r>
      <rPr>
        <b/>
        <sz val="10"/>
        <rFont val="Arial"/>
        <family val="2"/>
      </rPr>
      <t xml:space="preserve">Shared data </t>
    </r>
    <r>
      <rPr>
        <sz val="10"/>
        <rFont val="Arial"/>
        <family val="2"/>
      </rPr>
      <t xml:space="preserve">
Is the use of semaphores or locks to access shared data justified?</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</si>
  <si>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</si>
  <si>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</si>
  <si>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</si>
  <si>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</si>
  <si>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</si>
  <si>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</si>
  <si>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SW-R-COD-0587</t>
  </si>
  <si>
    <t>SW-R-COD-0588</t>
  </si>
  <si>
    <t>SW-R-COD-0782</t>
  </si>
  <si>
    <t>SW-R-COD-0783</t>
  </si>
  <si>
    <t>SW-R-COD-0784</t>
  </si>
  <si>
    <r>
      <rPr>
        <b/>
        <sz val="10"/>
        <rFont val="Arial"/>
        <family val="2"/>
      </rPr>
      <t>Design</t>
    </r>
    <r>
      <rPr>
        <sz val="10"/>
        <rFont val="Arial"/>
        <family val="2"/>
      </rPr>
      <t xml:space="preserve">
Is the SW Code compliant with design (naming, functions, variables, logic, …) ?</t>
    </r>
  </si>
  <si>
    <t>SW-R-COD-0995</t>
  </si>
  <si>
    <r>
      <rPr>
        <b/>
        <sz val="10"/>
        <rFont val="Arial"/>
        <family val="2"/>
      </rPr>
      <t>Operations overflows</t>
    </r>
    <r>
      <rPr>
        <sz val="10"/>
        <rFont val="Arial"/>
        <family val="2"/>
      </rPr>
      <t xml:space="preserve">
Does the SW code ensures that no overflow can occur while performing any + or * operation, either by design, either by a check performed before the operation ?
</t>
    </r>
    <r>
      <rPr>
        <i/>
        <sz val="10"/>
        <rFont val="Arial"/>
        <family val="2"/>
      </rPr>
      <t>COVERS: DES_015 from SW03OTH003 document</t>
    </r>
  </si>
  <si>
    <t>SW-R-COD-0996</t>
  </si>
  <si>
    <r>
      <rPr>
        <b/>
        <sz val="10"/>
        <rFont val="Arial"/>
        <family val="2"/>
      </rPr>
      <t>Operations underflows</t>
    </r>
    <r>
      <rPr>
        <sz val="10"/>
        <rFont val="Arial"/>
        <family val="2"/>
      </rPr>
      <t xml:space="preserve">
Does the SW code ensures that no underflow can occur while performing any - operation ? Either by using signed data or adding a check before if  unsigned data used ?
COVERS: DES_016, DES_017 from SW03OTH003 document</t>
    </r>
  </si>
  <si>
    <t>SW-R-COD-0785</t>
  </si>
  <si>
    <t>SW-R-COD-0786</t>
  </si>
  <si>
    <t>SW-R-COD-0787</t>
  </si>
  <si>
    <t>SW-R-COD-0788</t>
  </si>
  <si>
    <t>SW-R-COD-0789</t>
  </si>
  <si>
    <t>SW-R-COD-0790</t>
  </si>
  <si>
    <t>SW-R-COD-0791</t>
  </si>
  <si>
    <t>SW-R-COD-0792</t>
  </si>
  <si>
    <t>SW-R-COD-0916</t>
  </si>
  <si>
    <t>SW-R-COD-0917</t>
  </si>
  <si>
    <t>SW-R-CM-0396</t>
  </si>
  <si>
    <t>SW-R-PM-0397</t>
  </si>
  <si>
    <t>SW-R-PM-0398</t>
  </si>
  <si>
    <t>SW-R-CM-0399</t>
  </si>
  <si>
    <t>SW-R-REV-0400</t>
  </si>
  <si>
    <t>SW-R-REV-0401</t>
  </si>
  <si>
    <t>XX-X-ALL-0029</t>
  </si>
  <si>
    <t>Process Improvement team</t>
  </si>
  <si>
    <t>Light clean-up</t>
  </si>
  <si>
    <t>Full review of all review checklists</t>
  </si>
  <si>
    <t>Bug fix : the drop down menu for the review checklist evaluation has been fixed</t>
  </si>
  <si>
    <t>QT Seccond level review sheet - for peer to peer review for qualification tests
QT Import for PTC - support sheet to put all tests from PTC and information like revision...
QT First level review - used for first level of the qualification tests review</t>
  </si>
  <si>
    <t>Review and update safety question for the following - all the question from safety point of view are now in the master library :
 o System Architecture
 o Software Architecture
 o Software Detail Design
 o Code Checklist
 o Integration Test Specification
 o Unit test specification
 o Move the MDB Checklist to Master Library
 o Delete and open a user echo task for some question from ITSR:https://autoliv.userecho.com/en/communities/1/topics/150-update-integration-test-strategy
Add that a person cannot review its own documents</t>
  </si>
  <si>
    <t>In FrontPage, add a drop down menu to select the wished checklist</t>
  </si>
  <si>
    <t>Fix 2 minor questions mistakes (discipline issue and spelling)
Add SW-R-COD_0995 and SW-R-COD_0996 in regards to over/under flow detection</t>
  </si>
  <si>
    <t>AEM_PROCESS_1.20.01</t>
  </si>
  <si>
    <t>AEM_PROCESS_1.03.00</t>
  </si>
  <si>
    <t>AEM_PROCESS_1.11.00</t>
  </si>
  <si>
    <t>AEM_PROCESS_1.12.00</t>
  </si>
  <si>
    <t>AEM_PROCESS_1.13.00</t>
  </si>
  <si>
    <t>AEM_PROCESS_1.14.00</t>
  </si>
  <si>
    <t>AEM_PROCESS_1.16.00</t>
  </si>
  <si>
    <t>A</t>
  </si>
  <si>
    <r>
      <t xml:space="preserve">The following rules shall be respected to garantee tuieuiehe </t>
    </r>
    <r>
      <rPr>
        <sz val="10"/>
        <color indexed="17"/>
        <rFont val="Arial"/>
        <family val="2"/>
      </rPr>
      <t xml:space="preserve">Synthesis Charts </t>
    </r>
    <r>
      <rPr>
        <sz val="10"/>
        <rFont val="Arial"/>
        <family val="2"/>
      </rPr>
      <t>accuracy:</t>
    </r>
  </si>
  <si>
    <t>End of the table</t>
  </si>
  <si>
    <t>XX-R-REV-0579</t>
  </si>
  <si>
    <r>
      <rPr>
        <b/>
        <sz val="10"/>
        <rFont val="Arial"/>
        <family val="2"/>
      </rPr>
      <t>Consistency</t>
    </r>
    <r>
      <rPr>
        <sz val="10"/>
        <rFont val="Arial"/>
        <family val="2"/>
      </rPr>
      <t xml:space="preserve">
Is consistency of the traceability checked ?</t>
    </r>
  </si>
  <si>
    <t>SW-R-DSG-0767</t>
  </si>
  <si>
    <t>SW-R-DSG-0768</t>
  </si>
  <si>
    <t>SW-R-DSG-0769</t>
  </si>
  <si>
    <r>
      <rPr>
        <b/>
        <sz val="10"/>
        <rFont val="Arial"/>
        <family val="2"/>
      </rPr>
      <t>Interfaces</t>
    </r>
    <r>
      <rPr>
        <sz val="10"/>
        <rFont val="Arial"/>
        <family val="2"/>
      </rPr>
      <t xml:space="preserve">
Does the SW AAU design conform to the SW architecture (interfaces, naming, constraints)?</t>
    </r>
  </si>
  <si>
    <t>SW-R-DSG-0770</t>
  </si>
  <si>
    <t>SW-R-DSG-0771</t>
  </si>
  <si>
    <t>SW-R-DSG-0772</t>
  </si>
  <si>
    <t>SW-R-DSG-0773</t>
  </si>
  <si>
    <t>SW-R-DSG-0774</t>
  </si>
  <si>
    <t>SW-R-DSG-0775</t>
  </si>
  <si>
    <t>SW-R-DSG-0776</t>
  </si>
  <si>
    <r>
      <rPr>
        <b/>
        <sz val="10"/>
        <rFont val="Arial"/>
        <family val="2"/>
      </rPr>
      <t>Data structure</t>
    </r>
    <r>
      <rPr>
        <sz val="10"/>
        <rFont val="Arial"/>
        <family val="2"/>
      </rPr>
      <t xml:space="preserve">
Is the data structure organization clearly defined in the AAU design including the memory location (ROM, RAM, RAM_NO_INIT, NVM ...)?</t>
    </r>
  </si>
  <si>
    <t>SW-R-DSG-0777</t>
  </si>
  <si>
    <t>SW-R-DSG-0778</t>
  </si>
  <si>
    <t>SW-R-DSG-0779</t>
  </si>
  <si>
    <t>SW-R-DSG-0780</t>
  </si>
  <si>
    <t>SW-R-DSG-0781</t>
  </si>
  <si>
    <r>
      <rPr>
        <b/>
        <sz val="10"/>
        <rFont val="Arial"/>
        <family val="2"/>
      </rPr>
      <t>Dynamic behavior</t>
    </r>
    <r>
      <rPr>
        <sz val="10"/>
        <rFont val="Arial"/>
        <family val="2"/>
      </rPr>
      <t xml:space="preserve">
Is the behavior of the AAU properly described in each System phase (start-up, shutdown, limp mode)?</t>
    </r>
  </si>
  <si>
    <t>NA: There is no loop in .h file</t>
  </si>
  <si>
    <t>No additional questions</t>
  </si>
  <si>
    <t>NA: QAC not aplicable on header</t>
  </si>
  <si>
    <t>SAD - Peer Review Workbook.xlsm</t>
  </si>
  <si>
    <t>SAD_config.h</t>
  </si>
  <si>
    <t>Code review covered by 1.6 version.</t>
  </si>
  <si>
    <t>David Puscasu</t>
  </si>
  <si>
    <t>Template not according to the process.</t>
  </si>
  <si>
    <t>Add defines descriptions.</t>
  </si>
  <si>
    <t>Move local define to the specific source file.</t>
  </si>
  <si>
    <t>Remove unused defines.</t>
  </si>
  <si>
    <t>Delete unused external variables.</t>
  </si>
  <si>
    <t>Code review covered by 1.4 version.</t>
  </si>
  <si>
    <t>Update definition of function according to the coding guideline.</t>
  </si>
  <si>
    <t>Remove duplicate declaration of function SAD_runMainFunction().</t>
  </si>
  <si>
    <t>SAD.h</t>
  </si>
  <si>
    <t>Code review covered by 1.8 version.</t>
  </si>
  <si>
    <t>Remove duplicate includes.</t>
  </si>
  <si>
    <t>Move definition of local data types to the specific source file.</t>
  </si>
  <si>
    <t>Remove unused includes.</t>
  </si>
  <si>
    <t>Remove redundant includes.</t>
  </si>
  <si>
    <t>Rename defines according to the coding guideline.</t>
  </si>
  <si>
    <t>Add memory section.</t>
  </si>
  <si>
    <t>Add brief description to the functions.</t>
  </si>
  <si>
    <t>Rename in function local variables according to coding guidelines.</t>
  </si>
  <si>
    <t>Update brief description to the functions.</t>
  </si>
  <si>
    <t>Add architecture requirement to external functions.</t>
  </si>
  <si>
    <t>Local variablesv of functions shall be declared before code implementation.</t>
  </si>
  <si>
    <t>SAD_config.h - v1.6</t>
  </si>
  <si>
    <t>SAD.h - v1.4</t>
  </si>
  <si>
    <t>SAD_autotest.c - v1.8</t>
  </si>
  <si>
    <t>Lucian Ardeleanu</t>
  </si>
  <si>
    <t>SAD.c</t>
  </si>
  <si>
    <t>Code review covered by 1.9 version.</t>
  </si>
  <si>
    <t>Update brief description of variables.</t>
  </si>
  <si>
    <t>Rename variables according to the coding guideline.</t>
  </si>
  <si>
    <t>Variables shall be initialized with values of specific data types.</t>
  </si>
  <si>
    <t>If statements shall contain comparation of two parameters.</t>
  </si>
  <si>
    <t>Check if the coputation of duty cycle is correct in function sad_runSolenoidControl.</t>
  </si>
  <si>
    <t>In function sad_runSolenoidControl check the coputation of line sad_au16DutyCycle[u8SolenoidIdx] = (uint16) (sad_au16PrevDutyCycle[u8SolenoidIdx] + ((uint16)sad_as16PrevSlope[u8SolenoidIdx]));</t>
  </si>
  <si>
    <t>In function sad_runSolenoidControl if statements shall contain comparation of same data types.</t>
  </si>
  <si>
    <t>Replace all magic numbers with defines.</t>
  </si>
  <si>
    <t>Remove unnecesary casts.</t>
  </si>
  <si>
    <t>The first parameter of conditions shall be the constant value.</t>
  </si>
  <si>
    <t>Duplicate if statements can be merged. For example: if(sad_astStep[u8SolenoidIdx].b8IsRamp)</t>
  </si>
  <si>
    <t>Check computetion of line: sad_as16SlopeValue[u8SolenoidIdx] = (sint16) (((sint16) (((uint16) s32ScaledConsignValue) - sad_au8PrevDutyCycle[u8SolenoidIdx])) / ((sint32) sad_au16StepDuration[u8SolenoidIdx]))</t>
  </si>
  <si>
    <t>Remove sizeof() function from implementation.</t>
  </si>
  <si>
    <t>SAD.c - v1.9</t>
  </si>
  <si>
    <t>Template updated</t>
  </si>
  <si>
    <t>Ioan Repede</t>
  </si>
  <si>
    <t>Defines of description were added.</t>
  </si>
  <si>
    <t>Local defines were moved to the specific source files.</t>
  </si>
  <si>
    <t>Unused defines were removed.</t>
  </si>
  <si>
    <t>Local data types were moved to the specific source files.</t>
  </si>
  <si>
    <t>Unused external variables were removed.</t>
  </si>
  <si>
    <t>Defines were renamed.</t>
  </si>
  <si>
    <t>Definistion of the external functions were updated.</t>
  </si>
  <si>
    <t>Duplicate funxtion was removed.</t>
  </si>
  <si>
    <t>Duplicate include was removed.</t>
  </si>
  <si>
    <t>Unused include was removed.</t>
  </si>
  <si>
    <t>Redundant include was removed.</t>
  </si>
  <si>
    <t>Memory section added.</t>
  </si>
  <si>
    <t>Brief description added.</t>
  </si>
  <si>
    <t>Brief description updated.</t>
  </si>
  <si>
    <t>Architecture requirements added.</t>
  </si>
  <si>
    <t>In function local variables were updated.</t>
  </si>
  <si>
    <t>Local variable were declared at the start of the each function.</t>
  </si>
  <si>
    <t>If statements were updated.</t>
  </si>
  <si>
    <t>The brief description of the local variables were updated.</t>
  </si>
  <si>
    <t>Variables were renamed.</t>
  </si>
  <si>
    <t>Variables were reinitialized.</t>
  </si>
  <si>
    <t>The brief description of the functions were updated.</t>
  </si>
  <si>
    <t>Defines name were updated.</t>
  </si>
  <si>
    <t>External variables were updated.</t>
  </si>
  <si>
    <t>Optimization done.</t>
  </si>
  <si>
    <t>sizeof() method was replaced.</t>
  </si>
  <si>
    <t xml:space="preserve">The computation is correct. </t>
  </si>
  <si>
    <t>The computation is done correctly. The PWM duty cycle can decrease with the slope value calculated.</t>
  </si>
  <si>
    <t>Cast removed.</t>
  </si>
  <si>
    <t>Operation is done correctly.</t>
  </si>
  <si>
    <t>Magic numbers were removed</t>
  </si>
  <si>
    <t>Popina Victor</t>
  </si>
  <si>
    <t>Cornel Albu</t>
  </si>
  <si>
    <t>eCS_MCC.SAD.tmb - v1.1</t>
  </si>
  <si>
    <t>no traceability</t>
  </si>
  <si>
    <t>no 100% C0 and C1 coverage</t>
  </si>
  <si>
    <t>eCS_MCC.SAD.tmb</t>
  </si>
  <si>
    <t>medium</t>
  </si>
  <si>
    <t>Vlad Chioveanu</t>
  </si>
  <si>
    <t>Review criteria for
Unit Test specifications and report (UTSR)</t>
  </si>
  <si>
    <t>Tests preparation</t>
  </si>
  <si>
    <t>SW-R-XX-0592</t>
  </si>
  <si>
    <r>
      <rPr>
        <b/>
        <sz val="10"/>
        <rFont val="Arial"/>
        <family val="2"/>
      </rPr>
      <t xml:space="preserve">Purpose
</t>
    </r>
    <r>
      <rPr>
        <sz val="10"/>
        <rFont val="Arial"/>
        <family val="2"/>
      </rPr>
      <t>For each test, is the purpose clearly stated ?</t>
    </r>
  </si>
  <si>
    <t>SW-R-XX-0586</t>
  </si>
  <si>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</si>
  <si>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</si>
  <si>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t>SW-R-XX-0593</t>
  </si>
  <si>
    <r>
      <rPr>
        <b/>
        <sz val="10"/>
        <rFont val="Arial"/>
        <family val="2"/>
      </rPr>
      <t xml:space="preserve">Tests vs purpose
</t>
    </r>
    <r>
      <rPr>
        <sz val="10"/>
        <rFont val="Arial"/>
        <family val="2"/>
      </rPr>
      <t>For each test, are all test steps aligned with the test purpose?</t>
    </r>
  </si>
  <si>
    <t>SW-R-XX-0583</t>
  </si>
  <si>
    <r>
      <rPr>
        <b/>
        <sz val="10"/>
        <rFont val="Arial"/>
        <family val="2"/>
      </rPr>
      <t xml:space="preserve">Test id
</t>
    </r>
    <r>
      <rPr>
        <sz val="10"/>
        <rFont val="Arial"/>
        <family val="2"/>
      </rPr>
      <t>Is each test uniquely identified?</t>
    </r>
  </si>
  <si>
    <t>SW-R-XX-0611</t>
  </si>
  <si>
    <r>
      <rPr>
        <b/>
        <sz val="10"/>
        <rFont val="Arial"/>
        <family val="2"/>
      </rPr>
      <t xml:space="preserve">Equipment
</t>
    </r>
    <r>
      <rPr>
        <sz val="10"/>
        <rFont val="Arial"/>
        <family val="2"/>
      </rPr>
      <t>Are all equipement listed individually for every test bench with assigned owner?</t>
    </r>
  </si>
  <si>
    <t>Tests report</t>
  </si>
  <si>
    <t>SW-R-XX-0595</t>
  </si>
  <si>
    <r>
      <rPr>
        <b/>
        <sz val="10"/>
        <rFont val="Arial"/>
        <family val="2"/>
      </rPr>
      <t xml:space="preserve">Tests logs
</t>
    </r>
    <r>
      <rPr>
        <sz val="10"/>
        <rFont val="Arial"/>
        <family val="2"/>
      </rPr>
      <t>The test logs :
- are available
- includes the test id
- are archived following CM rules</t>
    </r>
  </si>
  <si>
    <t>XX-R-XX-0596</t>
  </si>
  <si>
    <r>
      <rPr>
        <b/>
        <sz val="10"/>
        <rFont val="Arial"/>
        <family val="2"/>
      </rPr>
      <t xml:space="preserve">Tests report
</t>
    </r>
    <r>
      <rPr>
        <sz val="10"/>
        <rFont val="Arial"/>
        <family val="2"/>
      </rPr>
      <t>A summary of the tests is :
- available
- archived
- communicated to the stakeholders</t>
    </r>
  </si>
  <si>
    <t>XX-R-XX-0597</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</si>
  <si>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</si>
  <si>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XX-R-XX-0598</t>
  </si>
  <si>
    <r>
      <rPr>
        <b/>
        <sz val="10"/>
        <rFont val="Arial"/>
        <family val="2"/>
      </rPr>
      <t xml:space="preserve">Issue for fail tests
</t>
    </r>
    <r>
      <rPr>
        <sz val="10"/>
        <rFont val="Arial"/>
        <family val="2"/>
      </rPr>
      <t>If not fixed now : do all failed tests have an associated Issue number ?</t>
    </r>
  </si>
  <si>
    <t>Traceability</t>
  </si>
  <si>
    <t>SW-R-UV-0796</t>
  </si>
  <si>
    <r>
      <rPr>
        <b/>
        <sz val="10"/>
        <rFont val="Arial"/>
        <family val="2"/>
      </rPr>
      <t>Traceability</t>
    </r>
    <r>
      <rPr>
        <sz val="10"/>
        <rFont val="Arial"/>
        <family val="2"/>
      </rPr>
      <t xml:space="preserve">
Are all software design requirements covered by the SW unit test cases according with the plan?</t>
    </r>
  </si>
  <si>
    <t>SW-R-UV-0797</t>
  </si>
  <si>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</si>
  <si>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t>Issue OpenProject: 1048949</t>
  </si>
  <si>
    <t>SW-R-UV-0798</t>
  </si>
  <si>
    <r>
      <rPr>
        <b/>
        <sz val="10"/>
        <rFont val="Arial"/>
        <family val="2"/>
      </rPr>
      <t>Minimum stabilization time</t>
    </r>
    <r>
      <rPr>
        <sz val="10"/>
        <rFont val="Arial"/>
        <family val="2"/>
      </rPr>
      <t xml:space="preserve">
Is the minimum stabilization time required in HSIS tested by unit test cases?
(at AAU level "in product environment, on target board")</t>
    </r>
  </si>
  <si>
    <t>SW-R-UV-0799</t>
  </si>
  <si>
    <r>
      <rPr>
        <b/>
        <sz val="10"/>
        <rFont val="Arial"/>
        <family val="2"/>
      </rPr>
      <t>RAM, ROM consumption</t>
    </r>
    <r>
      <rPr>
        <sz val="10"/>
        <rFont val="Arial"/>
        <family val="2"/>
      </rPr>
      <t xml:space="preserve">
Is the RAM and ROM consumption measured and conform to the budgets?
(at AAU level "in product environment, on target board")</t>
    </r>
  </si>
  <si>
    <t>SW-R-UV-0800</t>
  </si>
  <si>
    <r>
      <rPr>
        <b/>
        <sz val="10"/>
        <rFont val="Arial"/>
        <family val="2"/>
      </rPr>
      <t>Shared variables</t>
    </r>
    <r>
      <rPr>
        <sz val="10"/>
        <rFont val="Arial"/>
        <family val="2"/>
      </rPr>
      <t xml:space="preserve">
Are shared variables (existing in AAU scope only) and critical sections tested?
(at AAU level "in product environment, on target board")</t>
    </r>
  </si>
  <si>
    <t>SW-R-UV-0801</t>
  </si>
  <si>
    <r>
      <rPr>
        <b/>
        <sz val="10"/>
        <rFont val="Arial"/>
        <family val="2"/>
      </rPr>
      <t>Out of bounds</t>
    </r>
    <r>
      <rPr>
        <sz val="10"/>
        <rFont val="Arial"/>
        <family val="2"/>
      </rPr>
      <t xml:space="preserve">
Are out of bounds access (array, pointer) tested?</t>
    </r>
  </si>
  <si>
    <t>SW-R-UV-0802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</si>
  <si>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environment, on target board")</t>
    </r>
  </si>
  <si>
    <t>SW-R-UV-0803</t>
  </si>
  <si>
    <r>
      <rPr>
        <b/>
        <sz val="10"/>
        <rFont val="Arial"/>
        <family val="2"/>
      </rPr>
      <t>Structural coverage</t>
    </r>
    <r>
      <rPr>
        <sz val="10"/>
        <rFont val="Arial"/>
        <family val="2"/>
      </rPr>
      <t xml:space="preserve">
Are the structural coverage targets respected?</t>
    </r>
  </si>
  <si>
    <t>No findings</t>
  </si>
  <si>
    <t>Brief description of file shall be write in "Overview:" section.</t>
  </si>
  <si>
    <t>SAD_config.h - v1.7</t>
  </si>
  <si>
    <t>SAD.h - v1.5</t>
  </si>
  <si>
    <t>SAD_autotest.c - v1.9</t>
  </si>
  <si>
    <t>SAD.c - v1.12</t>
  </si>
  <si>
    <t>Template not updated according with process</t>
  </si>
  <si>
    <t>The document was full scope checked</t>
  </si>
  <si>
    <t>Author name not completed</t>
  </si>
  <si>
    <t>Project number and name and the other fields from header not completed</t>
  </si>
  <si>
    <t>SAD_SW_DetailedDesign.docx</t>
  </si>
  <si>
    <t>SAD_SW_DetailedDesign.docx - v1.1</t>
  </si>
  <si>
    <t>Open project no.1047503</t>
  </si>
  <si>
    <t>Code review covered by 1.12 version.</t>
  </si>
  <si>
    <t>SAD_autotest.c - v1.12</t>
  </si>
  <si>
    <t>Code review covered by 1.17 version.</t>
  </si>
  <si>
    <t>SAD.c - v1.17</t>
  </si>
  <si>
    <t>SAD.c - v1.18</t>
  </si>
  <si>
    <t>SAD_autotests.c - v1.12</t>
  </si>
  <si>
    <t>SAD_Config.h - v1.7</t>
  </si>
  <si>
    <t>SAD_autotests.c</t>
  </si>
  <si>
    <t>Gabriel Brasoveanu</t>
  </si>
  <si>
    <t>SAD_autotest.c - v1.13</t>
  </si>
  <si>
    <t>SAD_autotests.c - v1.13</t>
  </si>
  <si>
    <t>SAD.c - v1.19</t>
  </si>
  <si>
    <t>No findings between 1.5 and this version</t>
  </si>
  <si>
    <t>In sad_ExecuteShortToVBATCheck assure that  constants are first in If conditions</t>
  </si>
  <si>
    <t>Update architecture tags for sad_ExecutePinStateCheck function (Dio RTE calls)</t>
  </si>
  <si>
    <t>Include local function definitions in corresponding memory section (code)</t>
  </si>
  <si>
    <t>Add brief description to module types.</t>
  </si>
  <si>
    <t>Code review between 1.13 and 1.32 is covered by this version.</t>
  </si>
  <si>
    <t>Rename SAD_ab8PwmTargetReached according with code guideline</t>
  </si>
  <si>
    <t>Missing "LOCAL" keyword of SAD_u8SolenoidUsedBitMask and SAD_au8StepToExecute variables</t>
  </si>
  <si>
    <t>sad_u32CurrentTargetInMilliA variable is defined in wrong memory section</t>
  </si>
  <si>
    <t>Move SAD_ab8PwmTargetReached variable to EXPORTED VARIABLES section</t>
  </si>
  <si>
    <t>In sad_CalculatePWM, assure that first multiply operation in u16VBoostPwmTarget variable is casted to u32 before to make de div operation</t>
  </si>
  <si>
    <t>Code review between 1.19 and 1.43 is covered by this version.</t>
  </si>
  <si>
    <t>1.3.1.1.1.17</t>
  </si>
  <si>
    <t>eCS_SW_Arhitecture.eapx</t>
  </si>
  <si>
    <t>No revision and description found for the next provided ports: 
pseCheckPowerStage
pseCheckSolenoidOvervoltage
psrSolenoidElectricalCharacteristics
psrSolenoidOvervoltageStatus
psrSolenoidShortToVccStatus</t>
  </si>
  <si>
    <t>No revision and description found for the next required ports: 
pclEvtSolenoidOvervoltage</t>
  </si>
  <si>
    <t>Update archrequirement tags from brief description and Autosar Builder for:
SAD_Init
SAD_runMainFunction
sad_ControlStepExecution
sad_StepPreprocessing
sad_TriggerDiagProfile</t>
  </si>
  <si>
    <t>Update archrequirement tags from brief description and Autosar Builder for:
sad_ExecutePinStateCheck
SAD_checkActuatorState
SAD_CheckSolenoidOpenCircuitAutotest
SAD_CheckSolenoidShortToGNDAutotest
SAD_CheckSolenoidShortToVBATAutotest
SAD_CheckPowerStage
SAD_CheckSolenoidOvervoltage</t>
  </si>
  <si>
    <t>SAD.h - v1.8</t>
  </si>
  <si>
    <t>SAD_autotest.c - v1.32</t>
  </si>
  <si>
    <t>SAD.c - v1.43</t>
  </si>
  <si>
    <t>SAD_autotests.c - v1.32</t>
  </si>
  <si>
    <t>Architecture requirements updated.</t>
  </si>
  <si>
    <t>Description added.</t>
  </si>
  <si>
    <t>Variable renamed.</t>
  </si>
  <si>
    <t>"LOCAL" keyword added.</t>
  </si>
  <si>
    <t>Variable moved</t>
  </si>
  <si>
    <t>Constant was casted to uint32</t>
  </si>
  <si>
    <t>Arch requirement tags of the mentioned funections.</t>
  </si>
  <si>
    <t>Architecture requirements and tags were added.</t>
  </si>
  <si>
    <t>Description and revision details were added for all provided ports.</t>
  </si>
  <si>
    <t>Description and revision details were added for all required ports.</t>
  </si>
  <si>
    <t>Code review between 1.8 and 1.11 versions is covered by this version</t>
  </si>
  <si>
    <t>Dan Dustinta</t>
  </si>
  <si>
    <t>Assure that SEC_CONST_8_ASIL_A memory section is started properly</t>
  </si>
  <si>
    <t>SAD.h - v1.11</t>
  </si>
  <si>
    <t>Code review between 1.43 and 1.51 versions is covered by this version</t>
  </si>
  <si>
    <t>In SAD_runMainFunction assure that functions are not call in IF conditions prototype</t>
  </si>
  <si>
    <t>SAD.c - v1.51</t>
  </si>
  <si>
    <t>Code review between 1.32 and 1.43 versions is covered by this version</t>
  </si>
  <si>
    <t>SAD_autotest.c - v1.43</t>
  </si>
  <si>
    <t>SAD_autotests.c - v1.43</t>
  </si>
  <si>
    <t>Memory section updated.</t>
  </si>
  <si>
    <t>No function is call inside the IF condition.</t>
  </si>
  <si>
    <t>Code review between 1.11 and 1.14 version is covered by this version</t>
  </si>
  <si>
    <t>Code review between 1.43 and 1.49 version is covered by this version</t>
  </si>
  <si>
    <t>Code review between 1.51 and 1.55 version is covered by this version</t>
  </si>
  <si>
    <t>SAD_autotest.c - v1.49</t>
  </si>
  <si>
    <t>SAD.c - v1.55</t>
  </si>
  <si>
    <t>SAD.h - v1.14</t>
  </si>
  <si>
    <t>SAD_autotests.c - v1.49</t>
  </si>
  <si>
    <t>SAD_autotests.c - v1.50</t>
  </si>
  <si>
    <t>SAD.c - v1.56</t>
  </si>
  <si>
    <t>SAD_autotest.c - v1.50</t>
  </si>
  <si>
    <t>No findings between 1.56 and this version</t>
  </si>
  <si>
    <t>No findings between 1.50 and this version</t>
  </si>
  <si>
    <t>No findings between 1.14 and this version</t>
  </si>
  <si>
    <t>SAD.c - v1.58</t>
  </si>
  <si>
    <t>SAD_autotest.c - v1.54</t>
  </si>
  <si>
    <t>SAD.h - v1.16</t>
  </si>
  <si>
    <t>SAD_autotests.c - v1.54</t>
  </si>
  <si>
    <t>1.3.1.1.1.24</t>
  </si>
  <si>
    <t>Mihai Motoc</t>
  </si>
  <si>
    <t>eCS_SW_Arhitecture.eapx - v1.3.1.1.1.24</t>
  </si>
  <si>
    <t>eCS_MCC.SAD.tmb - v1.4</t>
  </si>
  <si>
    <t>Alexandru Nastase</t>
  </si>
  <si>
    <t>Adina Macaveiu</t>
  </si>
  <si>
    <t>Nastase Alexandru</t>
  </si>
  <si>
    <t>1.3.1.1.1.26</t>
  </si>
  <si>
    <t>No findings between 1.3.1.1.1.25 and 1.3.1.1.1.26</t>
  </si>
  <si>
    <t>eCS_SW_Arhitecture.eapx - v1.3.1.1.1.26</t>
  </si>
  <si>
    <t>31.07.2023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</si>
</sst>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17">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00B050"/>
      <name val="Arial"/>
      <family val="2"/>
    </font>
    <font>
      <b/>
      <sz val="10"/>
      <color rgb="FF00B05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2"/>
      <color rgb="FFFA7D00"/>
      <name val="Calibri"/>
      <family val="2"/>
      <scheme val="minor"/>
    </font>
    <font>
      <b/>
      <sz val="5"/>
      <color theme="0"/>
      <name val="Arial"/>
      <family val="2"/>
    </font>
    <font>
      <sz val="11"/>
      <color rgb="FF000000"/>
      <name val="Calibri"/>
      <family val="2"/>
    </font>
  </fonts>
  <fills count="38">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theme="6" tint="-0.249977111117893"/>
        <bgColor indexed="64"/>
      </patternFill>
    </fill>
    <fill>
      <patternFill patternType="solid">
        <fgColor theme="7"/>
        <bgColor indexed="64"/>
      </patternFill>
    </fill>
    <fill>
      <patternFill patternType="solid">
        <fgColor theme="9"/>
        <bgColor indexed="64"/>
      </patternFill>
    </fill>
    <fill>
      <patternFill patternType="solid">
        <fgColor rgb="FFC0C0C0"/>
        <bgColor rgb="FF000000"/>
      </patternFill>
    </fill>
    <fill>
      <patternFill patternType="solid">
        <fgColor theme="2"/>
        <bgColor indexed="64"/>
      </patternFill>
    </fill>
    <fill>
      <patternFill patternType="solid">
        <fgColor rgb="FF00FF00"/>
        <bgColor rgb="FF000000"/>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diagonal/>
    </border>
    <border>
      <left style="thin">
        <color rgb="FF4F81BD"/>
      </left>
      <right/>
      <top style="thin">
        <color rgb="FF4F81BD"/>
      </top>
      <bottom style="thin">
        <color rgb="FF4F81BD"/>
      </bottom>
      <diagonal/>
    </border>
    <border>
      <left/>
      <right/>
      <top style="thin">
        <color rgb="FF4F81BD"/>
      </top>
      <bottom style="thin">
        <color rgb="FF4F81BD"/>
      </bottom>
      <diagonal/>
    </border>
    <border>
      <left style="thin">
        <color theme="4"/>
      </left>
      <right/>
      <top style="thin">
        <color theme="4"/>
      </top>
      <bottom style="thin">
        <color theme="4"/>
      </bottom>
      <diagonal/>
    </border>
    <border>
      <left/>
      <right/>
      <top style="thin">
        <color theme="4"/>
      </top>
      <bottom style="thin">
        <color theme="4"/>
      </bottom>
      <diagonal/>
    </border>
  </borders>
  <cellStyleXfs count="60">
    <xf numFmtId="0" fontId="0" fillId="0" borderId="0"/>
    <xf numFmtId="0" fontId="66" fillId="6" borderId="14" applyNumberFormat="0" applyAlignment="0" applyProtection="0"/>
    <xf numFmtId="0" fontId="67" fillId="0" borderId="0" applyNumberFormat="0" applyFill="0" applyBorder="0" applyAlignment="0" applyProtection="0"/>
    <xf numFmtId="0" fontId="36" fillId="0" borderId="0"/>
    <xf numFmtId="0" fontId="61" fillId="0" borderId="0"/>
    <xf numFmtId="0" fontId="65" fillId="0" borderId="0"/>
    <xf numFmtId="0" fontId="36" fillId="0" borderId="0"/>
    <xf numFmtId="0" fontId="43" fillId="0" borderId="0"/>
    <xf numFmtId="0" fontId="68" fillId="6" borderId="15" applyNumberFormat="0" applyAlignment="0" applyProtection="0"/>
    <xf numFmtId="0" fontId="35" fillId="0" borderId="0"/>
    <xf numFmtId="0" fontId="34" fillId="0" borderId="0"/>
    <xf numFmtId="0" fontId="33" fillId="0" borderId="0"/>
    <xf numFmtId="0" fontId="93" fillId="25" borderId="14" applyNumberFormat="0" applyAlignment="0" applyProtection="0"/>
    <xf numFmtId="0" fontId="94" fillId="26" borderId="0" applyNumberFormat="0" applyBorder="0" applyAlignment="0" applyProtection="0"/>
    <xf numFmtId="0" fontId="32" fillId="27" borderId="0" applyNumberFormat="0" applyBorder="0" applyAlignment="0" applyProtection="0"/>
    <xf numFmtId="0" fontId="36" fillId="0" borderId="0"/>
    <xf numFmtId="0" fontId="31" fillId="27" borderId="0" applyNumberFormat="0" applyBorder="0" applyAlignment="0" applyProtection="0"/>
    <xf numFmtId="0" fontId="30" fillId="27" borderId="0" applyNumberFormat="0" applyBorder="0" applyAlignment="0" applyProtection="0"/>
    <xf numFmtId="0" fontId="29" fillId="27" borderId="0" applyNumberFormat="0" applyBorder="0" applyAlignment="0" applyProtection="0"/>
    <xf numFmtId="0" fontId="28" fillId="27" borderId="0" applyNumberFormat="0" applyBorder="0" applyAlignment="0" applyProtection="0"/>
    <xf numFmtId="0" fontId="27" fillId="27" borderId="0" applyNumberFormat="0" applyBorder="0" applyAlignment="0" applyProtection="0"/>
    <xf numFmtId="0" fontId="26" fillId="27" borderId="0" applyNumberFormat="0" applyBorder="0" applyAlignment="0" applyProtection="0"/>
    <xf numFmtId="0" fontId="25" fillId="27" borderId="0" applyNumberFormat="0" applyBorder="0" applyAlignment="0" applyProtection="0"/>
    <xf numFmtId="0" fontId="24" fillId="27" borderId="0" applyNumberFormat="0" applyBorder="0" applyAlignment="0" applyProtection="0"/>
    <xf numFmtId="0" fontId="23" fillId="27" borderId="0" applyNumberFormat="0" applyBorder="0" applyAlignment="0" applyProtection="0"/>
    <xf numFmtId="0" fontId="22" fillId="27" borderId="0" applyNumberFormat="0" applyBorder="0" applyAlignment="0" applyProtection="0"/>
    <xf numFmtId="0" fontId="21" fillId="27" borderId="0" applyNumberFormat="0" applyBorder="0" applyAlignment="0" applyProtection="0"/>
    <xf numFmtId="0" fontId="20" fillId="0" borderId="0"/>
    <xf numFmtId="0" fontId="19" fillId="27" borderId="0" applyNumberFormat="0" applyBorder="0" applyAlignment="0" applyProtection="0"/>
    <xf numFmtId="0" fontId="18" fillId="27" borderId="0" applyNumberFormat="0" applyBorder="0" applyAlignment="0" applyProtection="0"/>
    <xf numFmtId="0" fontId="113" fillId="0" borderId="0" applyNumberFormat="0" applyFill="0" applyBorder="0" applyAlignment="0" applyProtection="0"/>
    <xf numFmtId="0" fontId="17" fillId="27" borderId="0" applyNumberFormat="0" applyBorder="0" applyAlignment="0" applyProtection="0"/>
    <xf numFmtId="0" fontId="16" fillId="27" borderId="0" applyNumberFormat="0" applyBorder="0" applyAlignment="0" applyProtection="0"/>
    <xf numFmtId="0" fontId="15" fillId="27" borderId="0" applyNumberFormat="0" applyBorder="0" applyAlignment="0" applyProtection="0"/>
    <xf numFmtId="0" fontId="14" fillId="27" borderId="0" applyNumberFormat="0" applyBorder="0" applyAlignment="0" applyProtection="0"/>
    <xf numFmtId="0" fontId="11" fillId="27" borderId="0" applyNumberFormat="0" applyBorder="0" applyAlignment="0" applyProtection="0"/>
    <xf numFmtId="0" fontId="10" fillId="0" borderId="0"/>
    <xf numFmtId="0" fontId="10" fillId="0" borderId="0"/>
    <xf numFmtId="0" fontId="10" fillId="0" borderId="0"/>
    <xf numFmtId="0" fontId="10" fillId="0" borderId="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0" borderId="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cellStyleXfs>
  <cellXfs count="359">
    <xf numFmtId="0" fontId="0" fillId="0" borderId="0" xfId="0"/>
    <xf numFmtId="0" fontId="0" fillId="2" borderId="0" xfId="0" applyFill="1"/>
    <xf numFmtId="0" fontId="0" fillId="2" borderId="2" xfId="0" applyFill="1" applyBorder="1"/>
    <xf numFmtId="0" fontId="0" fillId="2" borderId="0"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0" fillId="2" borderId="1" xfId="0" applyNumberFormat="1" applyFill="1" applyBorder="1"/>
    <xf numFmtId="0" fontId="37" fillId="3" borderId="12" xfId="0" applyFont="1" applyFill="1" applyBorder="1" applyAlignment="1">
      <alignment horizontal="center" wrapText="1"/>
    </xf>
    <xf numFmtId="0" fontId="0" fillId="2" borderId="0" xfId="0" applyFill="1" applyAlignment="1">
      <alignment horizontal="center"/>
    </xf>
    <xf numFmtId="0" fontId="37"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Fill="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2" borderId="0" xfId="0" applyFill="1" applyBorder="1" applyAlignment="1">
      <alignment wrapText="1"/>
    </xf>
    <xf numFmtId="0" fontId="0" fillId="0" borderId="1" xfId="0" applyFill="1" applyBorder="1" applyAlignment="1">
      <alignment horizontal="center" vertical="center" wrapText="1"/>
    </xf>
    <xf numFmtId="0" fontId="36" fillId="0" borderId="1" xfId="0" applyFont="1" applyBorder="1" applyAlignment="1">
      <alignment vertical="center" wrapText="1"/>
    </xf>
    <xf numFmtId="0" fontId="36" fillId="3" borderId="1" xfId="0" applyFont="1" applyFill="1" applyBorder="1" applyAlignment="1">
      <alignment horizontal="center" vertical="center" wrapText="1"/>
    </xf>
    <xf numFmtId="0" fontId="36" fillId="2" borderId="0" xfId="0" applyFont="1" applyFill="1" applyBorder="1" applyAlignment="1">
      <alignment wrapText="1"/>
    </xf>
    <xf numFmtId="0" fontId="69" fillId="7" borderId="0" xfId="0" applyFont="1" applyFill="1" applyBorder="1" applyAlignment="1">
      <alignment horizontal="center" vertical="center" wrapText="1"/>
    </xf>
    <xf numFmtId="0" fontId="69" fillId="0" borderId="0" xfId="0" applyFont="1" applyFill="1" applyBorder="1" applyAlignment="1">
      <alignment horizontal="center" vertical="center" wrapText="1"/>
    </xf>
    <xf numFmtId="0" fontId="69" fillId="0" borderId="0" xfId="0" applyFont="1" applyFill="1" applyAlignment="1">
      <alignment vertical="center"/>
    </xf>
    <xf numFmtId="0" fontId="69" fillId="0" borderId="0" xfId="0" applyFont="1" applyFill="1" applyBorder="1" applyAlignment="1">
      <alignment vertical="center" wrapText="1"/>
    </xf>
    <xf numFmtId="0" fontId="58" fillId="2" borderId="2" xfId="0" applyFont="1" applyFill="1" applyBorder="1"/>
    <xf numFmtId="0" fontId="36" fillId="2" borderId="0" xfId="0" applyFont="1" applyFill="1" applyAlignment="1">
      <alignment horizontal="center"/>
    </xf>
    <xf numFmtId="0" fontId="0" fillId="8" borderId="0" xfId="0" applyFill="1" applyAlignment="1">
      <alignment horizontal="center"/>
    </xf>
    <xf numFmtId="0" fontId="36" fillId="2" borderId="1" xfId="0" applyFont="1" applyFill="1" applyBorder="1" applyAlignment="1">
      <alignment horizontal="center" wrapText="1"/>
    </xf>
    <xf numFmtId="0" fontId="36" fillId="2" borderId="1" xfId="0" applyFont="1" applyFill="1" applyBorder="1" applyAlignment="1">
      <alignment horizontal="center" vertical="center" wrapText="1"/>
    </xf>
    <xf numFmtId="0" fontId="36" fillId="0" borderId="1" xfId="0" applyFont="1" applyFill="1" applyBorder="1" applyAlignment="1">
      <alignment horizontal="center" vertical="center" wrapText="1"/>
    </xf>
    <xf numFmtId="0" fontId="0" fillId="2" borderId="5" xfId="0" applyFill="1" applyBorder="1" applyAlignment="1">
      <alignment wrapText="1"/>
    </xf>
    <xf numFmtId="0" fontId="36" fillId="2" borderId="0" xfId="0" applyFont="1" applyFill="1" applyBorder="1"/>
    <xf numFmtId="0" fontId="37" fillId="9" borderId="1" xfId="0" applyFont="1" applyFill="1" applyBorder="1" applyAlignment="1">
      <alignment horizontal="center" vertical="center" wrapText="1"/>
    </xf>
    <xf numFmtId="0" fontId="36" fillId="2" borderId="10" xfId="0" applyFont="1" applyFill="1" applyBorder="1"/>
    <xf numFmtId="0" fontId="69" fillId="7" borderId="0" xfId="0" applyFont="1" applyFill="1" applyBorder="1" applyAlignment="1">
      <alignment horizontal="center" vertical="center"/>
    </xf>
    <xf numFmtId="0" fontId="0" fillId="0" borderId="0" xfId="0" applyBorder="1" applyAlignment="1">
      <alignment horizontal="center" wrapText="1"/>
    </xf>
    <xf numFmtId="0" fontId="0" fillId="0" borderId="0" xfId="0" applyBorder="1" applyAlignment="1">
      <alignment wrapText="1"/>
    </xf>
    <xf numFmtId="14" fontId="0" fillId="0" borderId="0" xfId="0" applyNumberFormat="1" applyBorder="1" applyAlignment="1">
      <alignment horizontal="center" wrapText="1"/>
    </xf>
    <xf numFmtId="0" fontId="0" fillId="0" borderId="0" xfId="0" applyBorder="1" applyAlignment="1">
      <alignment horizontal="center"/>
    </xf>
    <xf numFmtId="0" fontId="36" fillId="8" borderId="0" xfId="0" applyFont="1" applyFill="1" applyBorder="1" applyAlignment="1">
      <alignment horizontal="center" vertical="center"/>
    </xf>
    <xf numFmtId="0" fontId="36" fillId="8" borderId="1" xfId="0" applyFont="1" applyFill="1" applyBorder="1" applyAlignment="1">
      <alignment horizontal="center" vertical="center"/>
    </xf>
    <xf numFmtId="0" fontId="36" fillId="13" borderId="1" xfId="0" applyFont="1" applyFill="1" applyBorder="1" applyAlignment="1">
      <alignment horizontal="center" vertical="center" wrapText="1"/>
    </xf>
    <xf numFmtId="0" fontId="36" fillId="0" borderId="0" xfId="0" applyFont="1" applyBorder="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69" fillId="8" borderId="0" xfId="0" applyFont="1" applyFill="1" applyBorder="1" applyAlignment="1">
      <alignment horizontal="center" vertical="center" wrapText="1"/>
    </xf>
    <xf numFmtId="0" fontId="69" fillId="8" borderId="0" xfId="0" applyFont="1" applyFill="1" applyAlignment="1">
      <alignment horizontal="center" vertical="center" wrapText="1"/>
    </xf>
    <xf numFmtId="0" fontId="69" fillId="8" borderId="0" xfId="0" applyFont="1" applyFill="1" applyAlignment="1">
      <alignment vertical="center"/>
    </xf>
    <xf numFmtId="0" fontId="0" fillId="8" borderId="0" xfId="0" applyFill="1" applyAlignment="1">
      <alignment vertical="center"/>
    </xf>
    <xf numFmtId="0" fontId="0" fillId="8" borderId="0" xfId="0" applyFill="1"/>
    <xf numFmtId="0" fontId="39" fillId="14" borderId="1" xfId="0" applyFont="1" applyFill="1" applyBorder="1" applyAlignment="1">
      <alignment horizontal="center" vertical="center" wrapText="1"/>
    </xf>
    <xf numFmtId="0" fontId="69" fillId="0" borderId="0" xfId="0" applyFont="1" applyFill="1" applyBorder="1" applyAlignment="1">
      <alignment horizontal="center" vertical="center"/>
    </xf>
    <xf numFmtId="14" fontId="0" fillId="0" borderId="0" xfId="0" applyNumberFormat="1" applyFill="1" applyBorder="1" applyAlignment="1">
      <alignment horizontal="center" wrapText="1"/>
    </xf>
    <xf numFmtId="0" fontId="0" fillId="0" borderId="0" xfId="0" applyFill="1" applyBorder="1" applyAlignment="1">
      <alignment horizontal="center" wrapText="1"/>
    </xf>
    <xf numFmtId="14" fontId="0" fillId="13" borderId="1" xfId="0" applyNumberFormat="1" applyFill="1" applyBorder="1" applyAlignment="1">
      <alignment horizontal="center" vertical="center" wrapText="1"/>
    </xf>
    <xf numFmtId="0" fontId="42" fillId="13" borderId="1" xfId="0" applyFont="1" applyFill="1" applyBorder="1" applyAlignment="1">
      <alignment horizontal="center" vertical="center" wrapText="1"/>
    </xf>
    <xf numFmtId="0" fontId="0" fillId="0" borderId="0" xfId="0" applyFill="1" applyBorder="1" applyAlignment="1">
      <alignment horizontal="center"/>
    </xf>
    <xf numFmtId="0" fontId="36" fillId="13" borderId="1" xfId="0" applyFont="1" applyFill="1" applyBorder="1" applyAlignment="1">
      <alignment horizontal="center" vertical="center"/>
    </xf>
    <xf numFmtId="0" fontId="0" fillId="13" borderId="1" xfId="0" applyFill="1" applyBorder="1" applyAlignment="1">
      <alignment horizontal="center" vertical="center"/>
    </xf>
    <xf numFmtId="0" fontId="36" fillId="2" borderId="5" xfId="0" applyFont="1" applyFill="1" applyBorder="1" applyAlignment="1">
      <alignment wrapText="1"/>
    </xf>
    <xf numFmtId="0" fontId="36" fillId="10" borderId="0" xfId="0" applyFont="1" applyFill="1" applyBorder="1" applyAlignment="1">
      <alignment horizontal="left" vertical="center"/>
    </xf>
    <xf numFmtId="0" fontId="36" fillId="12" borderId="0" xfId="0" applyFont="1" applyFill="1" applyBorder="1" applyAlignment="1">
      <alignment horizontal="left" vertical="center"/>
    </xf>
    <xf numFmtId="0" fontId="36" fillId="15" borderId="0" xfId="0" applyFont="1" applyFill="1" applyBorder="1" applyAlignment="1">
      <alignment horizontal="left" vertical="center"/>
    </xf>
    <xf numFmtId="0" fontId="36" fillId="13" borderId="0" xfId="0" applyFont="1" applyFill="1" applyBorder="1" applyAlignment="1">
      <alignment horizontal="left" vertical="center"/>
    </xf>
    <xf numFmtId="0" fontId="36" fillId="2" borderId="1" xfId="0" applyFont="1" applyFill="1" applyBorder="1"/>
    <xf numFmtId="0" fontId="36" fillId="0" borderId="1" xfId="0" applyFont="1" applyBorder="1" applyAlignment="1">
      <alignment horizontal="center" vertical="center"/>
    </xf>
    <xf numFmtId="0" fontId="0" fillId="2" borderId="0" xfId="0" applyFill="1" applyAlignment="1">
      <alignment horizontal="center" wrapText="1"/>
    </xf>
    <xf numFmtId="0" fontId="36" fillId="3" borderId="12" xfId="0" applyFont="1" applyFill="1" applyBorder="1" applyAlignment="1">
      <alignment horizontal="center" vertical="center" wrapText="1"/>
    </xf>
    <xf numFmtId="0" fontId="66" fillId="6" borderId="1" xfId="1" applyFont="1" applyBorder="1" applyAlignment="1">
      <alignment horizontal="center"/>
    </xf>
    <xf numFmtId="0" fontId="70" fillId="6" borderId="15" xfId="8" applyFont="1" applyAlignment="1">
      <alignment horizontal="center"/>
    </xf>
    <xf numFmtId="0" fontId="70" fillId="6" borderId="17" xfId="8" applyFont="1" applyBorder="1" applyAlignment="1">
      <alignment horizontal="center"/>
    </xf>
    <xf numFmtId="0" fontId="66" fillId="6" borderId="1" xfId="1" applyBorder="1" applyAlignment="1">
      <alignment horizontal="center" vertical="center"/>
    </xf>
    <xf numFmtId="0" fontId="36" fillId="2" borderId="1" xfId="0" applyFont="1" applyFill="1" applyBorder="1" applyAlignment="1">
      <alignment horizontal="center"/>
    </xf>
    <xf numFmtId="0" fontId="36" fillId="2" borderId="1" xfId="0" applyNumberFormat="1" applyFont="1" applyFill="1" applyBorder="1"/>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36" fillId="2" borderId="8" xfId="0" applyFont="1" applyFill="1" applyBorder="1" applyAlignment="1">
      <alignment wrapText="1" shrinkToFit="1"/>
    </xf>
    <xf numFmtId="0" fontId="36" fillId="2" borderId="0" xfId="0" applyFont="1" applyFill="1"/>
    <xf numFmtId="0" fontId="36" fillId="2" borderId="0" xfId="0" applyFont="1" applyFill="1" applyAlignment="1">
      <alignment vertical="top"/>
    </xf>
    <xf numFmtId="0" fontId="36" fillId="0" borderId="0" xfId="3" applyAlignment="1">
      <alignment vertical="center"/>
    </xf>
    <xf numFmtId="0" fontId="40" fillId="0" borderId="0" xfId="3" applyFont="1" applyAlignment="1">
      <alignment vertical="center" wrapText="1"/>
    </xf>
    <xf numFmtId="164" fontId="40" fillId="0" borderId="0" xfId="3" applyNumberFormat="1" applyFont="1" applyAlignment="1">
      <alignment horizontal="center" vertical="center" wrapText="1"/>
    </xf>
    <xf numFmtId="20" fontId="40" fillId="0" borderId="0" xfId="3" applyNumberFormat="1" applyFont="1" applyAlignment="1">
      <alignment vertical="center" wrapText="1"/>
    </xf>
    <xf numFmtId="0" fontId="40" fillId="0" borderId="0" xfId="3" applyFont="1" applyAlignment="1">
      <alignment horizontal="left" vertical="center" wrapText="1"/>
    </xf>
    <xf numFmtId="0" fontId="71" fillId="0" borderId="0" xfId="3" quotePrefix="1" applyFont="1" applyAlignment="1">
      <alignment horizontal="right" vertical="center"/>
    </xf>
    <xf numFmtId="0" fontId="41" fillId="0" borderId="0" xfId="3" applyFont="1" applyAlignment="1">
      <alignment horizontal="left" vertical="center" wrapText="1"/>
    </xf>
    <xf numFmtId="0" fontId="36" fillId="0" borderId="0" xfId="3" applyAlignment="1">
      <alignment vertical="center" shrinkToFit="1"/>
    </xf>
    <xf numFmtId="0" fontId="73" fillId="0" borderId="0" xfId="3" applyFont="1" applyAlignment="1">
      <alignment horizontal="left" vertical="center" shrinkToFit="1"/>
    </xf>
    <xf numFmtId="0" fontId="37" fillId="0" borderId="0" xfId="3" applyFont="1" applyAlignment="1">
      <alignment horizontal="left" vertical="center" shrinkToFit="1"/>
    </xf>
    <xf numFmtId="0" fontId="36" fillId="0" borderId="0" xfId="3" applyAlignment="1" applyProtection="1">
      <alignment vertical="center"/>
      <protection locked="0"/>
    </xf>
    <xf numFmtId="0" fontId="36" fillId="0" borderId="0" xfId="3" applyAlignment="1" applyProtection="1">
      <alignment vertical="center" shrinkToFit="1"/>
      <protection locked="0"/>
    </xf>
    <xf numFmtId="0" fontId="78" fillId="0" borderId="2" xfId="3" applyFont="1" applyBorder="1" applyAlignment="1" applyProtection="1">
      <alignment horizontal="left" vertical="center" wrapText="1" shrinkToFit="1"/>
      <protection locked="0"/>
    </xf>
    <xf numFmtId="0" fontId="79" fillId="0" borderId="0" xfId="3" applyFont="1" applyAlignment="1" applyProtection="1">
      <alignment horizontal="left" vertical="center" shrinkToFit="1"/>
      <protection locked="0"/>
    </xf>
    <xf numFmtId="0" fontId="78" fillId="0" borderId="0" xfId="3" applyFont="1" applyAlignment="1" applyProtection="1">
      <alignment horizontal="left" vertical="center" wrapText="1" shrinkToFit="1"/>
      <protection locked="0"/>
    </xf>
    <xf numFmtId="0" fontId="79" fillId="0" borderId="3" xfId="3" applyFont="1" applyBorder="1" applyAlignment="1" applyProtection="1">
      <alignment horizontal="left" vertical="center" shrinkToFit="1"/>
      <protection locked="0"/>
    </xf>
    <xf numFmtId="0" fontId="82" fillId="0" borderId="0" xfId="3" applyFont="1" applyAlignment="1" applyProtection="1">
      <alignment vertical="center"/>
      <protection locked="0"/>
    </xf>
    <xf numFmtId="0" fontId="83" fillId="0" borderId="0" xfId="3" applyFont="1" applyAlignment="1" applyProtection="1">
      <alignment horizontal="center" vertical="center"/>
      <protection locked="0"/>
    </xf>
    <xf numFmtId="0" fontId="35" fillId="8" borderId="0" xfId="9" applyFill="1"/>
    <xf numFmtId="0" fontId="84" fillId="0" borderId="0" xfId="3" applyFont="1" applyAlignment="1">
      <alignment horizontal="right" vertical="center"/>
    </xf>
    <xf numFmtId="0" fontId="85" fillId="0" borderId="18" xfId="3" applyFont="1" applyBorder="1" applyAlignment="1" applyProtection="1">
      <alignment vertical="center"/>
      <protection locked="0"/>
    </xf>
    <xf numFmtId="0" fontId="36" fillId="0" borderId="18" xfId="3" applyBorder="1" applyAlignment="1" applyProtection="1">
      <alignment vertical="center"/>
      <protection locked="0"/>
    </xf>
    <xf numFmtId="0" fontId="86" fillId="0" borderId="0" xfId="3" applyFont="1" applyAlignment="1" applyProtection="1">
      <alignment horizontal="left" vertical="center"/>
      <protection locked="0"/>
    </xf>
    <xf numFmtId="0" fontId="45" fillId="0" borderId="0" xfId="3" applyFont="1" applyAlignment="1" applyProtection="1">
      <alignment horizontal="left" vertical="center"/>
      <protection locked="0"/>
    </xf>
    <xf numFmtId="0" fontId="64" fillId="0" borderId="0" xfId="3" applyFont="1" applyAlignment="1" applyProtection="1">
      <alignment vertical="center"/>
      <protection locked="0"/>
    </xf>
    <xf numFmtId="0" fontId="37" fillId="0" borderId="0" xfId="3" applyFont="1" applyAlignment="1" applyProtection="1">
      <alignment vertical="center"/>
      <protection locked="0"/>
    </xf>
    <xf numFmtId="49" fontId="87" fillId="0" borderId="0" xfId="3" applyNumberFormat="1" applyFont="1" applyAlignment="1" applyProtection="1">
      <alignment horizontal="left" vertical="center"/>
      <protection locked="0"/>
    </xf>
    <xf numFmtId="49" fontId="36" fillId="0" borderId="0" xfId="3" applyNumberFormat="1" applyAlignment="1">
      <alignment horizontal="center" vertical="center" wrapText="1"/>
    </xf>
    <xf numFmtId="49" fontId="36" fillId="0" borderId="0" xfId="3" applyNumberFormat="1" applyAlignment="1" applyProtection="1">
      <alignment horizontal="left" vertical="center" wrapText="1"/>
      <protection locked="0"/>
    </xf>
    <xf numFmtId="49" fontId="36" fillId="0" borderId="0" xfId="3" applyNumberFormat="1" applyAlignment="1">
      <alignment horizontal="left" vertical="center" wrapText="1"/>
    </xf>
    <xf numFmtId="14" fontId="36" fillId="0" borderId="0" xfId="3" applyNumberFormat="1" applyAlignment="1" applyProtection="1">
      <alignment vertical="center"/>
      <protection locked="0"/>
    </xf>
    <xf numFmtId="0" fontId="88" fillId="0" borderId="0" xfId="3" applyFont="1" applyAlignment="1" applyProtection="1">
      <alignment horizontal="left" vertical="center"/>
      <protection locked="0"/>
    </xf>
    <xf numFmtId="0" fontId="36" fillId="0" borderId="0" xfId="3" applyAlignment="1">
      <alignment horizontal="left" vertical="center" wrapText="1"/>
    </xf>
    <xf numFmtId="0" fontId="85" fillId="0" borderId="5" xfId="3" applyFont="1" applyBorder="1" applyAlignment="1" applyProtection="1">
      <alignment vertical="center"/>
      <protection locked="0"/>
    </xf>
    <xf numFmtId="49" fontId="36" fillId="0" borderId="5" xfId="3" applyNumberFormat="1" applyBorder="1" applyAlignment="1" applyProtection="1">
      <alignment horizontal="left" vertical="center" wrapText="1"/>
      <protection locked="0"/>
    </xf>
    <xf numFmtId="0" fontId="36" fillId="0" borderId="5" xfId="3" applyBorder="1" applyAlignment="1">
      <alignment horizontal="left" vertical="center" wrapText="1"/>
    </xf>
    <xf numFmtId="0" fontId="85" fillId="0" borderId="0" xfId="3" applyFont="1" applyAlignment="1" applyProtection="1">
      <alignment vertical="center"/>
      <protection locked="0"/>
    </xf>
    <xf numFmtId="49" fontId="36" fillId="0" borderId="0" xfId="3" applyNumberFormat="1" applyAlignment="1" applyProtection="1">
      <alignment horizontal="left" vertical="center"/>
      <protection locked="0"/>
    </xf>
    <xf numFmtId="0" fontId="36" fillId="0" borderId="0" xfId="3" applyAlignment="1">
      <alignment horizontal="left" vertical="center"/>
    </xf>
    <xf numFmtId="0" fontId="37" fillId="2" borderId="1" xfId="0" applyNumberFormat="1" applyFont="1" applyFill="1" applyBorder="1" applyAlignment="1">
      <alignment horizontal="center" vertical="center"/>
    </xf>
    <xf numFmtId="0" fontId="36" fillId="21" borderId="0" xfId="0" applyFont="1" applyFill="1" applyBorder="1" applyAlignment="1">
      <alignment horizontal="left" vertical="top" wrapText="1"/>
    </xf>
    <xf numFmtId="0" fontId="36" fillId="21" borderId="0" xfId="0" applyFont="1" applyFill="1" applyBorder="1" applyAlignment="1">
      <alignment wrapText="1"/>
    </xf>
    <xf numFmtId="0" fontId="0" fillId="21" borderId="0" xfId="0" applyFill="1" applyBorder="1" applyAlignment="1">
      <alignment wrapText="1"/>
    </xf>
    <xf numFmtId="0" fontId="36" fillId="9" borderId="0" xfId="0" applyFont="1" applyFill="1" applyBorder="1" applyAlignment="1">
      <alignment wrapText="1"/>
    </xf>
    <xf numFmtId="0" fontId="0" fillId="9" borderId="0" xfId="0" applyFill="1" applyBorder="1" applyAlignment="1">
      <alignment wrapText="1"/>
    </xf>
    <xf numFmtId="0" fontId="36" fillId="2" borderId="2" xfId="0" applyFont="1" applyFill="1" applyBorder="1" applyAlignment="1">
      <alignment horizontal="right"/>
    </xf>
    <xf numFmtId="0" fontId="0" fillId="2" borderId="4" xfId="0" applyFill="1" applyBorder="1" applyAlignment="1">
      <alignment horizontal="right"/>
    </xf>
    <xf numFmtId="0" fontId="33" fillId="0" borderId="0" xfId="11"/>
    <xf numFmtId="0" fontId="39" fillId="10" borderId="1" xfId="0" applyFont="1" applyFill="1" applyBorder="1" applyAlignment="1">
      <alignment horizontal="center" vertical="center" wrapText="1"/>
    </xf>
    <xf numFmtId="0" fontId="95" fillId="12" borderId="1" xfId="0" applyFont="1" applyFill="1" applyBorder="1" applyAlignment="1">
      <alignment horizontal="center" vertical="center" wrapText="1"/>
    </xf>
    <xf numFmtId="0" fontId="39" fillId="11" borderId="1" xfId="0" applyFont="1" applyFill="1" applyBorder="1" applyAlignment="1">
      <alignment horizontal="center" vertical="center" wrapText="1"/>
    </xf>
    <xf numFmtId="14" fontId="39" fillId="11" borderId="1" xfId="0" applyNumberFormat="1" applyFont="1" applyFill="1" applyBorder="1" applyAlignment="1">
      <alignment horizontal="center" vertical="center" wrapText="1"/>
    </xf>
    <xf numFmtId="0" fontId="60" fillId="8" borderId="0" xfId="0" applyFont="1" applyFill="1" applyAlignment="1">
      <alignment horizontal="center" vertical="center"/>
    </xf>
    <xf numFmtId="0" fontId="60" fillId="8" borderId="0" xfId="0" applyFont="1" applyFill="1" applyAlignment="1">
      <alignment vertical="center"/>
    </xf>
    <xf numFmtId="0" fontId="60" fillId="0" borderId="0" xfId="0" applyFont="1" applyAlignment="1">
      <alignment vertical="center"/>
    </xf>
    <xf numFmtId="0" fontId="39" fillId="0" borderId="0" xfId="0" applyFont="1" applyFill="1" applyAlignment="1">
      <alignment vertical="center"/>
    </xf>
    <xf numFmtId="0" fontId="97" fillId="29" borderId="20" xfId="14" applyFont="1" applyFill="1" applyBorder="1" applyAlignment="1" applyProtection="1">
      <alignment horizontal="center" vertical="center" wrapText="1"/>
      <protection locked="0"/>
    </xf>
    <xf numFmtId="0" fontId="98" fillId="13" borderId="20" xfId="14" applyFont="1" applyFill="1" applyBorder="1" applyAlignment="1" applyProtection="1">
      <alignment horizontal="center" vertical="center" wrapText="1"/>
    </xf>
    <xf numFmtId="0" fontId="97" fillId="7" borderId="1" xfId="14" applyFont="1" applyFill="1" applyBorder="1" applyAlignment="1">
      <alignment horizontal="left" vertical="center"/>
    </xf>
    <xf numFmtId="0" fontId="93" fillId="25" borderId="14" xfId="12" applyAlignment="1">
      <alignment horizontal="center" vertical="center"/>
    </xf>
    <xf numFmtId="0" fontId="97" fillId="7" borderId="1" xfId="14" applyFont="1" applyFill="1" applyBorder="1" applyAlignment="1">
      <alignment horizontal="center" vertical="center"/>
    </xf>
    <xf numFmtId="0" fontId="36" fillId="5" borderId="0" xfId="15" applyFill="1" applyAlignment="1">
      <alignment vertical="center"/>
    </xf>
    <xf numFmtId="0" fontId="36" fillId="5" borderId="0" xfId="15" applyFill="1" applyAlignment="1">
      <alignment vertical="center" wrapText="1"/>
    </xf>
    <xf numFmtId="0" fontId="38" fillId="5" borderId="0" xfId="15" applyFont="1" applyFill="1" applyAlignment="1">
      <alignment vertical="center"/>
    </xf>
    <xf numFmtId="0" fontId="74" fillId="30" borderId="10" xfId="15" applyFont="1" applyFill="1" applyBorder="1" applyAlignment="1">
      <alignment vertical="center"/>
    </xf>
    <xf numFmtId="0" fontId="103" fillId="30" borderId="19" xfId="15" applyFont="1" applyFill="1" applyBorder="1" applyAlignment="1">
      <alignment vertical="center" wrapText="1"/>
    </xf>
    <xf numFmtId="0" fontId="36" fillId="5" borderId="1" xfId="15" applyFill="1" applyBorder="1" applyAlignment="1">
      <alignment vertical="center"/>
    </xf>
    <xf numFmtId="0" fontId="104" fillId="5" borderId="1" xfId="15" applyFont="1" applyFill="1" applyBorder="1" applyAlignment="1">
      <alignment horizontal="center" vertical="center"/>
    </xf>
    <xf numFmtId="0" fontId="74" fillId="31" borderId="10" xfId="15" applyFont="1" applyFill="1" applyBorder="1" applyAlignment="1">
      <alignment vertical="center"/>
    </xf>
    <xf numFmtId="0" fontId="46" fillId="31" borderId="8" xfId="15" applyFont="1" applyFill="1" applyBorder="1" applyAlignment="1">
      <alignment horizontal="center" vertical="center" wrapText="1"/>
    </xf>
    <xf numFmtId="0" fontId="103" fillId="31" borderId="19" xfId="15" applyFont="1" applyFill="1" applyBorder="1" applyAlignment="1">
      <alignment vertical="center" wrapText="1"/>
    </xf>
    <xf numFmtId="0" fontId="103" fillId="31" borderId="11" xfId="15" applyFont="1" applyFill="1" applyBorder="1" applyAlignment="1">
      <alignment vertical="center" wrapText="1"/>
    </xf>
    <xf numFmtId="0" fontId="46" fillId="30" borderId="19" xfId="15" applyFont="1" applyFill="1" applyBorder="1" applyAlignment="1">
      <alignment vertical="center" wrapText="1"/>
    </xf>
    <xf numFmtId="0" fontId="0" fillId="0" borderId="0" xfId="0" applyAlignment="1" applyProtection="1">
      <alignment vertical="center"/>
      <protection locked="0"/>
    </xf>
    <xf numFmtId="0" fontId="86" fillId="0" borderId="0" xfId="0" applyFont="1" applyAlignment="1" applyProtection="1">
      <alignment horizontal="left" vertical="center"/>
      <protection locked="0"/>
    </xf>
    <xf numFmtId="0" fontId="36" fillId="0" borderId="1" xfId="15" applyBorder="1" applyAlignment="1">
      <alignment vertical="center" wrapText="1"/>
    </xf>
    <xf numFmtId="0" fontId="110" fillId="0" borderId="2" xfId="0" applyFont="1" applyBorder="1" applyAlignment="1">
      <alignment horizontal="right" vertical="center"/>
    </xf>
    <xf numFmtId="0" fontId="112" fillId="0" borderId="0" xfId="0" applyFont="1" applyBorder="1" applyAlignment="1">
      <alignment wrapText="1"/>
    </xf>
    <xf numFmtId="0" fontId="94" fillId="7" borderId="1" xfId="14" applyFont="1" applyFill="1" applyBorder="1" applyAlignment="1">
      <alignment horizontal="center" vertical="center"/>
    </xf>
    <xf numFmtId="0" fontId="113" fillId="8" borderId="0" xfId="30" applyFill="1" applyAlignment="1">
      <alignment horizontal="center" wrapText="1"/>
    </xf>
    <xf numFmtId="0" fontId="39" fillId="3" borderId="12" xfId="0" applyFont="1" applyFill="1" applyBorder="1" applyAlignment="1">
      <alignment horizontal="center" vertical="center" wrapText="1"/>
    </xf>
    <xf numFmtId="0" fontId="39" fillId="3" borderId="16" xfId="0" applyFont="1" applyFill="1" applyBorder="1" applyAlignment="1">
      <alignment horizontal="center" vertical="center" wrapText="1"/>
    </xf>
    <xf numFmtId="0" fontId="39" fillId="3" borderId="1" xfId="0" applyFont="1" applyFill="1" applyBorder="1" applyAlignment="1">
      <alignment horizontal="center" vertical="center" wrapText="1"/>
    </xf>
    <xf numFmtId="0" fontId="66" fillId="6" borderId="16" xfId="1" applyFont="1" applyBorder="1" applyAlignment="1">
      <alignment horizontal="center" vertical="center"/>
    </xf>
    <xf numFmtId="0" fontId="66" fillId="6" borderId="1" xfId="1" applyFont="1" applyBorder="1" applyAlignment="1">
      <alignment horizontal="center" vertical="center"/>
    </xf>
    <xf numFmtId="0" fontId="37" fillId="2" borderId="1" xfId="0" applyFont="1" applyFill="1" applyBorder="1" applyAlignment="1">
      <alignment horizontal="center"/>
    </xf>
    <xf numFmtId="0" fontId="74" fillId="33" borderId="12" xfId="15" applyFont="1" applyFill="1" applyBorder="1" applyAlignment="1">
      <alignment horizontal="center" vertical="center" textRotation="45" wrapText="1"/>
    </xf>
    <xf numFmtId="0" fontId="101" fillId="33" borderId="12" xfId="15" applyFont="1" applyFill="1" applyBorder="1" applyAlignment="1">
      <alignment horizontal="center" vertical="center" wrapText="1"/>
    </xf>
    <xf numFmtId="0" fontId="89" fillId="33" borderId="1" xfId="15" applyFont="1" applyFill="1" applyBorder="1" applyAlignment="1">
      <alignment horizontal="center" vertical="center" textRotation="45" wrapText="1"/>
    </xf>
    <xf numFmtId="0" fontId="89" fillId="33" borderId="1" xfId="15" applyFont="1" applyFill="1" applyBorder="1" applyAlignment="1">
      <alignment horizontal="center" vertical="center" wrapText="1"/>
    </xf>
    <xf numFmtId="0" fontId="74" fillId="33" borderId="13" xfId="15" applyFont="1" applyFill="1" applyBorder="1" applyAlignment="1">
      <alignment horizontal="center" vertical="center"/>
    </xf>
    <xf numFmtId="0" fontId="102" fillId="33" borderId="13" xfId="15" applyFont="1" applyFill="1" applyBorder="1" applyAlignment="1">
      <alignment horizontal="center" vertical="center" wrapText="1"/>
    </xf>
    <xf numFmtId="9" fontId="114" fillId="6" borderId="14" xfId="1" applyNumberFormat="1" applyFont="1" applyAlignment="1">
      <alignment horizontal="center" vertical="center" wrapText="1"/>
    </xf>
    <xf numFmtId="0" fontId="74" fillId="33" borderId="7" xfId="15" applyFont="1" applyFill="1" applyBorder="1" applyAlignment="1">
      <alignment horizontal="center" vertical="center"/>
    </xf>
    <xf numFmtId="0" fontId="105" fillId="33" borderId="8" xfId="15" applyFont="1" applyFill="1" applyBorder="1" applyAlignment="1">
      <alignment horizontal="center" vertical="center" wrapText="1"/>
    </xf>
    <xf numFmtId="0" fontId="102" fillId="33" borderId="8" xfId="15" applyFont="1" applyFill="1" applyBorder="1" applyAlignment="1">
      <alignment horizontal="center" vertical="center" wrapText="1"/>
    </xf>
    <xf numFmtId="0" fontId="102" fillId="33" borderId="9" xfId="15" applyFont="1" applyFill="1" applyBorder="1" applyAlignment="1">
      <alignment horizontal="center" vertical="center" wrapText="1"/>
    </xf>
    <xf numFmtId="0" fontId="0" fillId="0" borderId="12" xfId="0" applyBorder="1" applyAlignment="1">
      <alignment vertical="center"/>
    </xf>
    <xf numFmtId="0" fontId="0" fillId="0" borderId="7" xfId="0" applyBorder="1" applyAlignment="1">
      <alignment vertical="center"/>
    </xf>
    <xf numFmtId="0" fontId="0" fillId="34" borderId="1" xfId="0" applyFill="1" applyBorder="1" applyAlignment="1">
      <alignment horizontal="center" vertical="center"/>
    </xf>
    <xf numFmtId="0" fontId="0" fillId="0" borderId="1" xfId="0" applyBorder="1" applyAlignment="1">
      <alignment vertical="center"/>
    </xf>
    <xf numFmtId="0" fontId="46" fillId="15" borderId="0" xfId="0" applyFont="1" applyFill="1" applyAlignment="1">
      <alignment horizontal="center" wrapText="1"/>
    </xf>
    <xf numFmtId="0" fontId="58" fillId="15" borderId="0" xfId="0" applyFont="1" applyFill="1" applyAlignment="1">
      <alignment horizontal="center" wrapText="1"/>
    </xf>
    <xf numFmtId="0" fontId="46" fillId="7" borderId="0" xfId="0" applyFont="1" applyFill="1" applyAlignment="1">
      <alignment horizontal="center" wrapText="1"/>
    </xf>
    <xf numFmtId="0" fontId="115" fillId="7" borderId="0" xfId="0" applyFont="1" applyFill="1" applyAlignment="1">
      <alignment horizontal="center" vertical="center" wrapText="1"/>
    </xf>
    <xf numFmtId="0" fontId="97" fillId="29" borderId="12" xfId="34" applyFont="1" applyFill="1" applyBorder="1" applyAlignment="1">
      <alignment horizontal="center" vertical="center" wrapText="1"/>
    </xf>
    <xf numFmtId="0" fontId="46" fillId="7" borderId="0" xfId="3" applyFont="1" applyFill="1" applyAlignment="1">
      <alignment horizontal="center" wrapText="1"/>
    </xf>
    <xf numFmtId="0" fontId="115" fillId="7" borderId="0" xfId="3" applyFont="1" applyFill="1" applyAlignment="1">
      <alignment horizontal="center" vertical="center" wrapText="1"/>
    </xf>
    <xf numFmtId="0" fontId="36" fillId="0" borderId="1" xfId="0" applyFont="1" applyBorder="1" applyAlignment="1">
      <alignment vertical="center"/>
    </xf>
    <xf numFmtId="0" fontId="36" fillId="0" borderId="1" xfId="0" applyFont="1" applyBorder="1" applyAlignment="1">
      <alignment horizontal="center" vertical="center" wrapText="1"/>
    </xf>
    <xf numFmtId="0" fontId="36" fillId="35" borderId="1" xfId="0" applyFont="1" applyFill="1" applyBorder="1" applyAlignment="1">
      <alignment vertical="center" wrapText="1"/>
    </xf>
    <xf numFmtId="14" fontId="0" fillId="0" borderId="1" xfId="0" applyNumberFormat="1" applyBorder="1" applyAlignment="1">
      <alignment horizontal="center" vertical="center" wrapText="1"/>
    </xf>
    <xf numFmtId="14" fontId="36" fillId="0" borderId="1" xfId="0" applyNumberFormat="1" applyFont="1" applyBorder="1" applyAlignment="1">
      <alignment horizontal="center" vertical="center" wrapText="1"/>
    </xf>
    <xf numFmtId="14" fontId="13" fillId="0" borderId="0" xfId="11" applyNumberFormat="1" applyFont="1"/>
    <xf numFmtId="0" fontId="12" fillId="0" borderId="0" xfId="11" applyFont="1"/>
    <xf numFmtId="0" fontId="33" fillId="0" borderId="0" xfId="11" applyFill="1" applyBorder="1"/>
    <xf numFmtId="0" fontId="66" fillId="6" borderId="21" xfId="1" applyBorder="1"/>
    <xf numFmtId="0" fontId="0" fillId="0" borderId="0" xfId="0" applyBorder="1" applyAlignment="1">
      <alignment vertical="center" wrapText="1"/>
    </xf>
    <xf numFmtId="0" fontId="11" fillId="0" borderId="1" xfId="11" applyFont="1" applyBorder="1"/>
    <xf numFmtId="0" fontId="33" fillId="0" borderId="1" xfId="11" applyBorder="1"/>
    <xf numFmtId="14" fontId="11" fillId="0" borderId="1" xfId="11" applyNumberFormat="1" applyFont="1" applyBorder="1" applyAlignment="1">
      <alignment horizontal="right"/>
    </xf>
    <xf numFmtId="0" fontId="36" fillId="0" borderId="12" xfId="3" applyBorder="1" applyAlignment="1">
      <alignment vertical="center"/>
    </xf>
    <xf numFmtId="0" fontId="97" fillId="29" borderId="12" xfId="35" applyFont="1" applyFill="1" applyBorder="1" applyAlignment="1">
      <alignment horizontal="center" vertical="center" wrapText="1"/>
    </xf>
    <xf numFmtId="0" fontId="36" fillId="0" borderId="7" xfId="3" applyBorder="1" applyAlignment="1">
      <alignment vertical="center"/>
    </xf>
    <xf numFmtId="0" fontId="36" fillId="34" borderId="1" xfId="3" applyFill="1" applyBorder="1" applyAlignment="1">
      <alignment horizontal="center" vertical="center"/>
    </xf>
    <xf numFmtId="0" fontId="36" fillId="0" borderId="1" xfId="3" applyBorder="1" applyAlignment="1">
      <alignment vertical="center"/>
    </xf>
    <xf numFmtId="0" fontId="36" fillId="5" borderId="1" xfId="15" applyFill="1" applyBorder="1" applyAlignment="1">
      <alignment vertical="center" wrapText="1"/>
    </xf>
    <xf numFmtId="0" fontId="46" fillId="15" borderId="0" xfId="3" applyFont="1" applyFill="1" applyAlignment="1">
      <alignment horizontal="center" wrapText="1"/>
    </xf>
    <xf numFmtId="0" fontId="58" fillId="15" borderId="0" xfId="3" applyFont="1" applyFill="1" applyAlignment="1">
      <alignment horizontal="center" wrapText="1"/>
    </xf>
    <xf numFmtId="2" fontId="0" fillId="0" borderId="1" xfId="0" applyNumberFormat="1" applyFill="1" applyBorder="1" applyAlignment="1">
      <alignment horizontal="center" vertical="center" wrapText="1"/>
    </xf>
    <xf numFmtId="0" fontId="10" fillId="0" borderId="0" xfId="11" applyFont="1"/>
    <xf numFmtId="0" fontId="36" fillId="5" borderId="0" xfId="15" applyFill="1" applyAlignment="1">
      <alignment vertical="center"/>
    </xf>
    <xf numFmtId="0" fontId="103" fillId="30" borderId="19" xfId="15" applyFont="1" applyFill="1" applyBorder="1" applyAlignment="1">
      <alignment vertical="center" wrapText="1"/>
    </xf>
    <xf numFmtId="0" fontId="103" fillId="31" borderId="19" xfId="15" applyFont="1" applyFill="1" applyBorder="1" applyAlignment="1">
      <alignment vertical="center" wrapText="1"/>
    </xf>
    <xf numFmtId="0" fontId="89" fillId="33" borderId="1" xfId="15" applyFont="1" applyFill="1" applyBorder="1" applyAlignment="1">
      <alignment horizontal="center" vertical="center" textRotation="45" wrapText="1"/>
    </xf>
    <xf numFmtId="9" fontId="114" fillId="6" borderId="14" xfId="1" applyNumberFormat="1" applyFont="1" applyAlignment="1">
      <alignment horizontal="center" vertical="center" wrapText="1"/>
    </xf>
    <xf numFmtId="0" fontId="102" fillId="33" borderId="8" xfId="15" applyFont="1" applyFill="1" applyBorder="1" applyAlignment="1">
      <alignment horizontal="center" vertical="center" wrapText="1"/>
    </xf>
    <xf numFmtId="0" fontId="46" fillId="7" borderId="0" xfId="3" applyFont="1" applyFill="1" applyAlignment="1">
      <alignment horizontal="center" wrapText="1"/>
    </xf>
    <xf numFmtId="0" fontId="36" fillId="35" borderId="1" xfId="3" applyFont="1" applyFill="1" applyBorder="1" applyAlignment="1">
      <alignment vertical="center" wrapText="1"/>
    </xf>
    <xf numFmtId="0" fontId="66" fillId="6" borderId="21" xfId="1" applyBorder="1"/>
    <xf numFmtId="0" fontId="9" fillId="0" borderId="0" xfId="11" applyFont="1"/>
    <xf numFmtId="0" fontId="8" fillId="0" borderId="0" xfId="11" applyFont="1"/>
    <xf numFmtId="0" fontId="0" fillId="36" borderId="1" xfId="0" applyFill="1" applyBorder="1" applyAlignment="1">
      <alignment horizontal="center" vertical="center" wrapText="1"/>
    </xf>
    <xf numFmtId="0" fontId="7" fillId="0" borderId="0" xfId="11" applyFont="1"/>
    <xf numFmtId="0" fontId="6" fillId="0" borderId="0" xfId="11" applyFont="1"/>
    <xf numFmtId="0" fontId="5" fillId="0" borderId="0" xfId="11" applyFont="1"/>
    <xf numFmtId="0" fontId="4" fillId="0" borderId="0" xfId="11" applyFont="1"/>
    <xf numFmtId="0" fontId="3" fillId="0" borderId="0" xfId="11" applyFont="1"/>
    <xf numFmtId="0" fontId="2" fillId="0" borderId="0" xfId="11" applyFont="1"/>
    <xf numFmtId="0" fontId="36" fillId="35" borderId="1" xfId="0" applyFont="1" applyFill="1" applyBorder="1" applyAlignment="1">
      <alignment horizontal="center" vertical="center" wrapText="1"/>
    </xf>
    <xf numFmtId="0" fontId="36" fillId="35" borderId="11" xfId="0" applyFont="1" applyFill="1" applyBorder="1" applyAlignment="1">
      <alignment horizontal="center" vertical="center" wrapText="1"/>
    </xf>
    <xf numFmtId="0" fontId="36" fillId="35" borderId="11" xfId="0" applyFont="1" applyFill="1" applyBorder="1" applyAlignment="1">
      <alignment vertical="center" wrapText="1"/>
    </xf>
    <xf numFmtId="14" fontId="36" fillId="35" borderId="11" xfId="0" applyNumberFormat="1" applyFont="1" applyFill="1" applyBorder="1" applyAlignment="1">
      <alignment horizontal="center" vertical="center" wrapText="1"/>
    </xf>
    <xf numFmtId="0" fontId="36" fillId="35" borderId="11" xfId="0" applyFont="1" applyFill="1" applyBorder="1" applyAlignment="1">
      <alignment horizontal="center" vertical="center"/>
    </xf>
    <xf numFmtId="0" fontId="36" fillId="0" borderId="11" xfId="0" applyFont="1" applyBorder="1" applyAlignment="1">
      <alignment horizontal="center" vertical="center"/>
    </xf>
    <xf numFmtId="0" fontId="36" fillId="37" borderId="11" xfId="0" applyFont="1" applyFill="1" applyBorder="1" applyAlignment="1">
      <alignment horizontal="center" vertical="center"/>
    </xf>
    <xf numFmtId="0" fontId="116" fillId="0" borderId="22" xfId="0" applyFont="1" applyBorder="1"/>
    <xf numFmtId="0" fontId="116" fillId="0" borderId="23" xfId="0" applyFont="1" applyBorder="1"/>
    <xf numFmtId="14" fontId="116" fillId="0" borderId="23" xfId="0" applyNumberFormat="1" applyFont="1" applyBorder="1" applyAlignment="1">
      <alignment horizontal="right"/>
    </xf>
    <xf numFmtId="0" fontId="1" fillId="0" borderId="1" xfId="11" applyFont="1" applyBorder="1"/>
    <xf numFmtId="0" fontId="83" fillId="0" borderId="0" xfId="3" applyFont="1" applyAlignment="1" applyProtection="1">
      <alignment horizontal="center" vertical="center" wrapText="1"/>
      <protection locked="0"/>
    </xf>
    <xf numFmtId="0" fontId="36" fillId="0" borderId="0" xfId="3" applyAlignment="1">
      <alignment vertical="center" wrapText="1"/>
    </xf>
    <xf numFmtId="0" fontId="74" fillId="16" borderId="2" xfId="3" applyFont="1" applyFill="1" applyBorder="1" applyAlignment="1" applyProtection="1">
      <alignment horizontal="center" vertical="center" shrinkToFit="1"/>
      <protection locked="0"/>
    </xf>
    <xf numFmtId="0" fontId="74" fillId="16" borderId="0" xfId="3" applyFont="1" applyFill="1" applyAlignment="1" applyProtection="1">
      <alignment horizontal="center" vertical="center" shrinkToFit="1"/>
      <protection locked="0"/>
    </xf>
    <xf numFmtId="0" fontId="74" fillId="16" borderId="3" xfId="3" applyFont="1" applyFill="1" applyBorder="1" applyAlignment="1" applyProtection="1">
      <alignment horizontal="center" vertical="center" shrinkToFit="1"/>
      <protection locked="0"/>
    </xf>
    <xf numFmtId="0" fontId="36" fillId="0" borderId="4" xfId="3" applyBorder="1" applyAlignment="1" applyProtection="1">
      <alignment horizontal="right" vertical="top" wrapText="1" shrinkToFit="1"/>
      <protection locked="0"/>
    </xf>
    <xf numFmtId="0" fontId="36" fillId="0" borderId="5" xfId="3" applyBorder="1" applyAlignment="1" applyProtection="1">
      <alignment horizontal="right" vertical="top" wrapText="1" shrinkToFit="1"/>
      <protection locked="0"/>
    </xf>
    <xf numFmtId="0" fontId="75" fillId="0" borderId="5" xfId="0" applyFont="1" applyBorder="1" applyAlignment="1" applyProtection="1">
      <alignment horizontal="left" vertical="top" wrapText="1" shrinkToFit="1"/>
      <protection locked="0"/>
    </xf>
    <xf numFmtId="0" fontId="75" fillId="0" borderId="6" xfId="0" applyFont="1" applyBorder="1" applyAlignment="1" applyProtection="1">
      <alignment horizontal="left" vertical="top" wrapText="1" shrinkToFit="1"/>
      <protection locked="0"/>
    </xf>
    <xf numFmtId="0" fontId="38" fillId="0" borderId="5" xfId="3" applyFont="1" applyBorder="1" applyAlignment="1" applyProtection="1">
      <alignment horizontal="left" vertical="top" wrapText="1" shrinkToFit="1"/>
      <protection locked="0"/>
    </xf>
    <xf numFmtId="0" fontId="77" fillId="0" borderId="5" xfId="3" applyFont="1" applyBorder="1" applyAlignment="1" applyProtection="1">
      <alignment horizontal="left" vertical="top" shrinkToFit="1"/>
      <protection locked="0"/>
    </xf>
    <xf numFmtId="0" fontId="77" fillId="0" borderId="6" xfId="3" applyFont="1" applyBorder="1" applyAlignment="1" applyProtection="1">
      <alignment horizontal="left" vertical="top" shrinkToFit="1"/>
      <protection locked="0"/>
    </xf>
    <xf numFmtId="0" fontId="74" fillId="16" borderId="7" xfId="3" applyFont="1" applyFill="1" applyBorder="1" applyAlignment="1" applyProtection="1">
      <alignment horizontal="center" vertical="center" shrinkToFit="1"/>
      <protection locked="0"/>
    </xf>
    <xf numFmtId="0" fontId="74" fillId="16" borderId="8" xfId="3" applyFont="1" applyFill="1" applyBorder="1" applyAlignment="1" applyProtection="1">
      <alignment horizontal="center" vertical="center" shrinkToFit="1"/>
      <protection locked="0"/>
    </xf>
    <xf numFmtId="0" fontId="74" fillId="16" borderId="9" xfId="3" applyFont="1" applyFill="1" applyBorder="1" applyAlignment="1" applyProtection="1">
      <alignment horizontal="center" vertical="center" shrinkToFit="1"/>
      <protection locked="0"/>
    </xf>
    <xf numFmtId="0" fontId="36" fillId="0" borderId="4" xfId="3" applyBorder="1" applyAlignment="1" applyProtection="1">
      <alignment horizontal="center" vertical="top" wrapText="1" shrinkToFit="1"/>
      <protection locked="0"/>
    </xf>
    <xf numFmtId="0" fontId="36" fillId="0" borderId="5" xfId="3" applyBorder="1" applyAlignment="1" applyProtection="1">
      <alignment horizontal="center" vertical="top" wrapText="1" shrinkToFit="1"/>
      <protection locked="0"/>
    </xf>
    <xf numFmtId="0" fontId="36" fillId="0" borderId="6" xfId="3" applyBorder="1" applyAlignment="1" applyProtection="1">
      <alignment horizontal="center" vertical="top" wrapText="1" shrinkToFit="1"/>
      <protection locked="0"/>
    </xf>
    <xf numFmtId="0" fontId="74" fillId="16" borderId="8" xfId="3" applyFont="1" applyFill="1" applyBorder="1" applyAlignment="1" applyProtection="1">
      <alignment horizontal="center" vertical="center" wrapText="1"/>
      <protection locked="0"/>
    </xf>
    <xf numFmtId="0" fontId="74" fillId="16" borderId="0" xfId="3" applyFont="1" applyFill="1" applyAlignment="1" applyProtection="1">
      <alignment horizontal="center" vertical="center" wrapText="1"/>
      <protection locked="0"/>
    </xf>
    <xf numFmtId="0" fontId="36" fillId="0" borderId="7" xfId="3" applyBorder="1" applyAlignment="1" applyProtection="1">
      <alignment horizontal="left" vertical="top"/>
      <protection locked="0"/>
    </xf>
    <xf numFmtId="0" fontId="36" fillId="0" borderId="8" xfId="3" applyBorder="1" applyAlignment="1" applyProtection="1">
      <alignment horizontal="left" vertical="top"/>
      <protection locked="0"/>
    </xf>
    <xf numFmtId="0" fontId="36" fillId="0" borderId="9" xfId="3" applyBorder="1" applyAlignment="1" applyProtection="1">
      <alignment horizontal="left" vertical="top"/>
      <protection locked="0"/>
    </xf>
    <xf numFmtId="0" fontId="36" fillId="0" borderId="4" xfId="3" applyBorder="1" applyAlignment="1" applyProtection="1">
      <alignment horizontal="left" vertical="top"/>
      <protection locked="0"/>
    </xf>
    <xf numFmtId="0" fontId="36" fillId="0" borderId="5" xfId="3" applyBorder="1" applyAlignment="1" applyProtection="1">
      <alignment horizontal="left" vertical="top"/>
      <protection locked="0"/>
    </xf>
    <xf numFmtId="0" fontId="36" fillId="0" borderId="6" xfId="3" applyBorder="1" applyAlignment="1" applyProtection="1">
      <alignment horizontal="left" vertical="top"/>
      <protection locked="0"/>
    </xf>
    <xf numFmtId="0" fontId="74" fillId="16" borderId="2" xfId="3" applyFont="1" applyFill="1" applyBorder="1" applyAlignment="1" applyProtection="1">
      <alignment horizontal="center" vertical="center" wrapText="1" shrinkToFit="1"/>
      <protection locked="0"/>
    </xf>
    <xf numFmtId="0" fontId="74" fillId="16" borderId="0" xfId="3" applyFont="1" applyFill="1" applyAlignment="1" applyProtection="1">
      <alignment horizontal="center" vertical="center" wrapText="1" shrinkToFit="1"/>
      <protection locked="0"/>
    </xf>
    <xf numFmtId="0" fontId="93" fillId="25" borderId="14" xfId="12" applyAlignment="1" applyProtection="1">
      <alignment horizontal="center" vertical="center"/>
      <protection locked="0"/>
    </xf>
    <xf numFmtId="0" fontId="41" fillId="0" borderId="7" xfId="3" applyFont="1" applyBorder="1" applyAlignment="1">
      <alignment horizontal="left" vertical="center" wrapText="1"/>
    </xf>
    <xf numFmtId="0" fontId="41" fillId="0" borderId="8" xfId="3" applyFont="1" applyBorder="1" applyAlignment="1">
      <alignment horizontal="left" vertical="center" wrapText="1"/>
    </xf>
    <xf numFmtId="0" fontId="41" fillId="0" borderId="9" xfId="3" applyFont="1" applyBorder="1" applyAlignment="1">
      <alignment horizontal="left" vertical="center" wrapText="1"/>
    </xf>
    <xf numFmtId="0" fontId="41" fillId="0" borderId="7" xfId="3" applyFont="1" applyBorder="1" applyAlignment="1">
      <alignment horizontal="left" vertical="center" shrinkToFit="1"/>
    </xf>
    <xf numFmtId="0" fontId="41" fillId="0" borderId="8" xfId="3" applyFont="1" applyBorder="1" applyAlignment="1">
      <alignment horizontal="left" vertical="center" shrinkToFit="1"/>
    </xf>
    <xf numFmtId="0" fontId="41" fillId="0" borderId="9" xfId="3" applyFont="1" applyBorder="1" applyAlignment="1">
      <alignment horizontal="left" vertical="center" shrinkToFit="1"/>
    </xf>
    <xf numFmtId="0" fontId="72" fillId="0" borderId="4" xfId="0" applyFont="1" applyBorder="1" applyAlignment="1">
      <alignment horizontal="left" vertical="center" shrinkToFit="1"/>
    </xf>
    <xf numFmtId="0" fontId="72" fillId="0" borderId="5" xfId="0" applyFont="1" applyBorder="1" applyAlignment="1">
      <alignment horizontal="left" vertical="center" shrinkToFit="1"/>
    </xf>
    <xf numFmtId="0" fontId="72" fillId="0" borderId="6" xfId="0" applyFont="1" applyBorder="1" applyAlignment="1">
      <alignment horizontal="left" vertical="center" shrinkToFit="1"/>
    </xf>
    <xf numFmtId="0" fontId="72" fillId="0" borderId="4" xfId="3" applyFont="1" applyBorder="1" applyAlignment="1">
      <alignment horizontal="left" vertical="center" shrinkToFit="1"/>
    </xf>
    <xf numFmtId="0" fontId="72" fillId="0" borderId="5" xfId="3" applyFont="1" applyBorder="1" applyAlignment="1">
      <alignment horizontal="left" vertical="center" shrinkToFit="1"/>
    </xf>
    <xf numFmtId="0" fontId="72" fillId="0" borderId="6" xfId="3" applyFont="1" applyBorder="1" applyAlignment="1">
      <alignment horizontal="left" vertical="center" shrinkToFit="1"/>
    </xf>
    <xf numFmtId="49" fontId="36" fillId="0" borderId="10" xfId="3" applyNumberFormat="1" applyBorder="1" applyAlignment="1" applyProtection="1">
      <alignment horizontal="center" vertical="center" wrapText="1"/>
      <protection locked="0"/>
    </xf>
    <xf numFmtId="49" fontId="36" fillId="0" borderId="19" xfId="3" applyNumberFormat="1" applyBorder="1" applyAlignment="1" applyProtection="1">
      <alignment horizontal="center" vertical="center" wrapText="1"/>
      <protection locked="0"/>
    </xf>
    <xf numFmtId="49" fontId="36" fillId="0" borderId="11" xfId="3" applyNumberFormat="1" applyBorder="1" applyAlignment="1" applyProtection="1">
      <alignment horizontal="center" vertical="center" wrapText="1"/>
      <protection locked="0"/>
    </xf>
    <xf numFmtId="0" fontId="36" fillId="0" borderId="10" xfId="3" applyBorder="1" applyAlignment="1">
      <alignment horizontal="left" vertical="center" wrapText="1"/>
    </xf>
    <xf numFmtId="0" fontId="36" fillId="0" borderId="19" xfId="3" applyBorder="1" applyAlignment="1">
      <alignment horizontal="left" vertical="center" wrapText="1"/>
    </xf>
    <xf numFmtId="0" fontId="36" fillId="0" borderId="11" xfId="3" applyBorder="1" applyAlignment="1">
      <alignment horizontal="left" vertical="center" wrapText="1"/>
    </xf>
    <xf numFmtId="0" fontId="67" fillId="0" borderId="10" xfId="2" applyBorder="1" applyAlignment="1">
      <alignment horizontal="left" vertical="center" wrapText="1"/>
    </xf>
    <xf numFmtId="49" fontId="36" fillId="0" borderId="1" xfId="3" applyNumberFormat="1" applyBorder="1" applyAlignment="1" applyProtection="1">
      <alignment horizontal="left" vertical="center" wrapText="1"/>
      <protection locked="0"/>
    </xf>
    <xf numFmtId="0" fontId="36" fillId="0" borderId="1" xfId="3" applyBorder="1" applyAlignment="1">
      <alignment horizontal="left" vertical="center" wrapText="1"/>
    </xf>
    <xf numFmtId="49" fontId="36" fillId="0" borderId="1" xfId="3" applyNumberFormat="1" applyBorder="1" applyAlignment="1" applyProtection="1">
      <alignment vertical="center" wrapText="1"/>
      <protection locked="0"/>
    </xf>
    <xf numFmtId="0" fontId="55" fillId="18" borderId="1" xfId="3" applyFont="1" applyFill="1" applyBorder="1" applyAlignment="1" applyProtection="1">
      <alignment horizontal="center" vertical="center" wrapText="1"/>
      <protection locked="0"/>
    </xf>
    <xf numFmtId="0" fontId="89" fillId="20" borderId="1" xfId="3" applyFont="1" applyFill="1" applyBorder="1" applyAlignment="1">
      <alignment horizontal="center" vertical="center" wrapText="1"/>
    </xf>
    <xf numFmtId="0" fontId="36" fillId="0" borderId="1" xfId="3" applyBorder="1" applyAlignment="1">
      <alignment horizontal="center" vertical="center" wrapText="1"/>
    </xf>
    <xf numFmtId="14" fontId="36" fillId="0" borderId="10" xfId="3" applyNumberFormat="1" applyBorder="1" applyAlignment="1" applyProtection="1">
      <alignment horizontal="left" vertical="center" wrapText="1"/>
      <protection locked="0"/>
    </xf>
    <xf numFmtId="14" fontId="36" fillId="0" borderId="19" xfId="3" applyNumberFormat="1" applyBorder="1" applyAlignment="1" applyProtection="1">
      <alignment horizontal="left" vertical="center" wrapText="1"/>
      <protection locked="0"/>
    </xf>
    <xf numFmtId="14" fontId="36" fillId="0" borderId="11" xfId="3" applyNumberFormat="1" applyBorder="1" applyAlignment="1" applyProtection="1">
      <alignment horizontal="left" vertical="center" wrapText="1"/>
      <protection locked="0"/>
    </xf>
    <xf numFmtId="49" fontId="36" fillId="0" borderId="1" xfId="3" applyNumberFormat="1" applyBorder="1" applyAlignment="1">
      <alignment horizontal="left" vertical="center" wrapText="1"/>
    </xf>
    <xf numFmtId="49" fontId="36" fillId="0" borderId="1" xfId="3" applyNumberFormat="1" applyBorder="1" applyAlignment="1" applyProtection="1">
      <alignment horizontal="center" vertical="center" wrapText="1"/>
      <protection locked="0"/>
    </xf>
    <xf numFmtId="49" fontId="36" fillId="0" borderId="1" xfId="3" applyNumberFormat="1" applyBorder="1" applyAlignment="1">
      <alignment horizontal="center" vertical="center" wrapText="1"/>
    </xf>
    <xf numFmtId="49" fontId="36" fillId="22" borderId="1" xfId="3" applyNumberFormat="1" applyFill="1" applyBorder="1" applyAlignment="1" applyProtection="1">
      <alignment horizontal="center" vertical="center" wrapText="1"/>
      <protection locked="0"/>
    </xf>
    <xf numFmtId="49" fontId="36" fillId="32" borderId="1" xfId="3" applyNumberFormat="1" applyFont="1" applyFill="1" applyBorder="1" applyAlignment="1" applyProtection="1">
      <alignment horizontal="center" vertical="center" wrapText="1"/>
      <protection locked="0"/>
    </xf>
    <xf numFmtId="49" fontId="69" fillId="24" borderId="1" xfId="3" applyNumberFormat="1" applyFont="1" applyFill="1" applyBorder="1" applyAlignment="1" applyProtection="1">
      <alignment horizontal="center" vertical="center" wrapText="1"/>
      <protection locked="0"/>
    </xf>
    <xf numFmtId="0" fontId="41" fillId="17" borderId="7" xfId="3" applyFont="1" applyFill="1" applyBorder="1" applyAlignment="1">
      <alignment horizontal="left" vertical="center" shrinkToFit="1"/>
    </xf>
    <xf numFmtId="0" fontId="41" fillId="17" borderId="8" xfId="3" applyFont="1" applyFill="1" applyBorder="1" applyAlignment="1">
      <alignment horizontal="left" vertical="center" shrinkToFit="1"/>
    </xf>
    <xf numFmtId="0" fontId="41" fillId="17" borderId="9" xfId="3" applyFont="1" applyFill="1" applyBorder="1" applyAlignment="1">
      <alignment horizontal="left" vertical="center" shrinkToFit="1"/>
    </xf>
    <xf numFmtId="0" fontId="73" fillId="17" borderId="4" xfId="3" applyFont="1" applyFill="1" applyBorder="1" applyAlignment="1">
      <alignment horizontal="left" vertical="center" shrinkToFit="1"/>
    </xf>
    <xf numFmtId="0" fontId="73" fillId="17" borderId="5" xfId="3" applyFont="1" applyFill="1" applyBorder="1" applyAlignment="1">
      <alignment horizontal="left" vertical="center" shrinkToFit="1"/>
    </xf>
    <xf numFmtId="0" fontId="73" fillId="17" borderId="6" xfId="3" applyFont="1" applyFill="1" applyBorder="1" applyAlignment="1">
      <alignment horizontal="left" vertical="center" shrinkToFit="1"/>
    </xf>
    <xf numFmtId="0" fontId="36" fillId="18" borderId="1" xfId="3" applyFill="1" applyBorder="1" applyAlignment="1" applyProtection="1">
      <alignment horizontal="center" vertical="center" wrapText="1"/>
      <protection locked="0"/>
    </xf>
    <xf numFmtId="49" fontId="36" fillId="19" borderId="1" xfId="3" applyNumberFormat="1" applyFill="1" applyBorder="1" applyAlignment="1" applyProtection="1">
      <alignment horizontal="center" vertical="center" wrapText="1"/>
      <protection locked="0"/>
    </xf>
    <xf numFmtId="0" fontId="41" fillId="17" borderId="7" xfId="3" applyFont="1" applyFill="1" applyBorder="1" applyAlignment="1">
      <alignment horizontal="left" vertical="center" wrapText="1"/>
    </xf>
    <xf numFmtId="0" fontId="41" fillId="17" borderId="8" xfId="3" applyFont="1" applyFill="1" applyBorder="1" applyAlignment="1">
      <alignment horizontal="left" vertical="center" wrapText="1"/>
    </xf>
    <xf numFmtId="0" fontId="41" fillId="17" borderId="9" xfId="3" applyFont="1" applyFill="1" applyBorder="1" applyAlignment="1">
      <alignment horizontal="left" vertical="center" wrapText="1"/>
    </xf>
    <xf numFmtId="0" fontId="72" fillId="17" borderId="4" xfId="3" applyFont="1" applyFill="1" applyBorder="1" applyAlignment="1">
      <alignment horizontal="left" vertical="center" shrinkToFit="1"/>
    </xf>
    <xf numFmtId="0" fontId="72" fillId="17" borderId="5" xfId="3" applyFont="1" applyFill="1" applyBorder="1" applyAlignment="1">
      <alignment horizontal="left" vertical="center" shrinkToFit="1"/>
    </xf>
    <xf numFmtId="0" fontId="72" fillId="17" borderId="6" xfId="3" applyFont="1" applyFill="1" applyBorder="1" applyAlignment="1">
      <alignment horizontal="left" vertical="center" shrinkToFit="1"/>
    </xf>
    <xf numFmtId="49" fontId="36" fillId="23" borderId="1" xfId="3" applyNumberFormat="1" applyFill="1" applyBorder="1" applyAlignment="1" applyProtection="1">
      <alignment horizontal="center" vertical="center" wrapText="1"/>
      <protection locked="0"/>
    </xf>
    <xf numFmtId="0" fontId="107" fillId="2" borderId="10" xfId="7" applyFont="1" applyFill="1" applyBorder="1" applyAlignment="1">
      <alignment horizontal="center" vertical="center"/>
    </xf>
    <xf numFmtId="0" fontId="107" fillId="2" borderId="19" xfId="7" applyFont="1" applyFill="1" applyBorder="1" applyAlignment="1">
      <alignment horizontal="center" vertical="center"/>
    </xf>
    <xf numFmtId="0" fontId="107" fillId="2" borderId="11" xfId="7" applyFont="1" applyFill="1" applyBorder="1" applyAlignment="1">
      <alignment horizontal="center" vertical="center"/>
    </xf>
    <xf numFmtId="0" fontId="43" fillId="2" borderId="10" xfId="7" applyFill="1" applyBorder="1" applyAlignment="1">
      <alignment horizontal="justify" vertical="center" wrapText="1"/>
    </xf>
    <xf numFmtId="0" fontId="43" fillId="2" borderId="19" xfId="7" applyFill="1" applyBorder="1" applyAlignment="1">
      <alignment horizontal="justify" vertical="center" wrapText="1"/>
    </xf>
    <xf numFmtId="0" fontId="43" fillId="2" borderId="11" xfId="7" applyFill="1" applyBorder="1" applyAlignment="1">
      <alignment horizontal="justify" vertical="center" wrapText="1"/>
    </xf>
    <xf numFmtId="0" fontId="37" fillId="21" borderId="2" xfId="0" applyFont="1" applyFill="1" applyBorder="1" applyAlignment="1">
      <alignment horizontal="center" vertical="top" textRotation="45"/>
    </xf>
    <xf numFmtId="0" fontId="37" fillId="9" borderId="2" xfId="0" applyFont="1" applyFill="1" applyBorder="1" applyAlignment="1">
      <alignment horizontal="center" vertical="center" textRotation="45"/>
    </xf>
    <xf numFmtId="0" fontId="44" fillId="3" borderId="7" xfId="7" applyFont="1" applyFill="1" applyBorder="1" applyAlignment="1">
      <alignment horizontal="center" vertical="distributed"/>
    </xf>
    <xf numFmtId="0" fontId="44" fillId="3" borderId="8" xfId="7" applyFont="1" applyFill="1" applyBorder="1" applyAlignment="1">
      <alignment horizontal="center" vertical="distributed"/>
    </xf>
    <xf numFmtId="0" fontId="44" fillId="3" borderId="9" xfId="7" applyFont="1" applyFill="1" applyBorder="1" applyAlignment="1">
      <alignment horizontal="center" vertical="distributed"/>
    </xf>
    <xf numFmtId="0" fontId="37" fillId="3" borderId="7" xfId="0" applyFont="1" applyFill="1" applyBorder="1" applyAlignment="1">
      <alignment horizontal="center" wrapText="1"/>
    </xf>
    <xf numFmtId="0" fontId="37" fillId="3" borderId="8" xfId="0" applyFont="1" applyFill="1" applyBorder="1" applyAlignment="1">
      <alignment horizontal="center" wrapText="1"/>
    </xf>
    <xf numFmtId="0" fontId="37" fillId="3" borderId="9" xfId="0" applyFont="1" applyFill="1" applyBorder="1" applyAlignment="1">
      <alignment horizontal="center" wrapText="1"/>
    </xf>
    <xf numFmtId="0" fontId="36" fillId="2" borderId="10" xfId="0" applyFont="1" applyFill="1" applyBorder="1" applyAlignment="1">
      <alignment horizontal="left" vertical="center" wrapText="1" shrinkToFit="1"/>
    </xf>
    <xf numFmtId="0" fontId="36" fillId="2" borderId="11" xfId="0" applyFont="1" applyFill="1" applyBorder="1" applyAlignment="1">
      <alignment horizontal="left" vertical="center" wrapText="1" shrinkToFit="1"/>
    </xf>
    <xf numFmtId="0" fontId="96" fillId="28" borderId="4" xfId="13" applyFont="1" applyFill="1" applyBorder="1" applyAlignment="1" applyProtection="1">
      <alignment horizontal="center" vertical="center" wrapText="1"/>
      <protection locked="0"/>
    </xf>
    <xf numFmtId="0" fontId="96" fillId="28" borderId="5" xfId="13" applyFont="1" applyFill="1" applyBorder="1" applyAlignment="1" applyProtection="1">
      <alignment horizontal="center" vertical="center" wrapText="1"/>
      <protection locked="0"/>
    </xf>
    <xf numFmtId="0" fontId="96" fillId="28" borderId="6" xfId="13" applyFont="1" applyFill="1" applyBorder="1" applyAlignment="1" applyProtection="1">
      <alignment horizontal="center" vertical="center" wrapText="1"/>
      <protection locked="0"/>
    </xf>
    <xf numFmtId="0" fontId="96" fillId="16" borderId="4" xfId="13" applyFont="1" applyFill="1" applyBorder="1" applyAlignment="1" applyProtection="1">
      <alignment horizontal="center" vertical="center" wrapText="1"/>
    </xf>
    <xf numFmtId="0" fontId="96" fillId="16" borderId="5" xfId="13" applyFont="1" applyFill="1" applyBorder="1" applyAlignment="1" applyProtection="1">
      <alignment horizontal="center" vertical="center" wrapText="1"/>
    </xf>
    <xf numFmtId="0" fontId="93" fillId="25" borderId="14" xfId="12" applyAlignment="1">
      <alignment horizontal="left" vertical="center"/>
    </xf>
    <xf numFmtId="0" fontId="46" fillId="8" borderId="5" xfId="0" applyFont="1" applyFill="1" applyBorder="1" applyAlignment="1">
      <alignment horizontal="center" vertical="center"/>
    </xf>
    <xf numFmtId="0" fontId="46" fillId="8" borderId="6" xfId="0" applyFont="1" applyFill="1" applyBorder="1" applyAlignment="1">
      <alignment horizontal="center" vertical="center"/>
    </xf>
    <xf numFmtId="0" fontId="101" fillId="28" borderId="10" xfId="2" applyFont="1" applyFill="1" applyBorder="1" applyAlignment="1" applyProtection="1">
      <alignment horizontal="center" vertical="center" wrapText="1"/>
      <protection locked="0"/>
    </xf>
    <xf numFmtId="0" fontId="101" fillId="28" borderId="11" xfId="2" applyFont="1" applyFill="1" applyBorder="1" applyAlignment="1" applyProtection="1">
      <alignment horizontal="center" vertical="center" wrapText="1"/>
      <protection locked="0"/>
    </xf>
    <xf numFmtId="0" fontId="33" fillId="0" borderId="24" xfId="11" applyBorder="1"/>
    <xf numFmtId="0" fontId="33" fillId="0" borderId="25" xfId="11" applyBorder="1"/>
    <xf numFmtId="0" fontId="33" fillId="0" borderId="25" xfId="11" applyBorder="1" applyAlignment="1">
      <alignment horizontal="left"/>
    </xf>
  </cellXfs>
  <cellStyles count="60">
    <cellStyle name="40% - Accent5" xfId="14" builtinId="47"/>
    <cellStyle name="40% - Accent5 10" xfId="24" xr:uid="{71FE0213-9191-4153-A5D2-33B8E56BD405}"/>
    <cellStyle name="40% - Accent5 10 2" xfId="49" xr:uid="{898B1971-E3E0-48C6-91B4-70902D3925A2}"/>
    <cellStyle name="40% - Accent5 11" xfId="25" xr:uid="{F369736D-7287-4981-8DF2-BA2D29733ACB}"/>
    <cellStyle name="40% - Accent5 11 2" xfId="50" xr:uid="{E5606BC6-A519-41EF-8365-DBEFD4B05B64}"/>
    <cellStyle name="40% - Accent5 12" xfId="26" xr:uid="{489C2876-813A-48F8-96C1-6D03DD0506F8}"/>
    <cellStyle name="40% - Accent5 12 2" xfId="51" xr:uid="{1F2DDE8C-2142-48B9-A9EE-3A6D9E5B6E76}"/>
    <cellStyle name="40% - Accent5 13" xfId="28" xr:uid="{EA2CC223-53D7-4809-B657-51EE9B011B78}"/>
    <cellStyle name="40% - Accent5 13 2" xfId="53" xr:uid="{BA2A0C79-E28A-4563-A15E-6067F2F40AA3}"/>
    <cellStyle name="40% - Accent5 14" xfId="29" xr:uid="{8B88F9F9-74D1-48B7-BDB3-89F9CBB24CBE}"/>
    <cellStyle name="40% - Accent5 14 2" xfId="54" xr:uid="{7306ECB5-049D-4787-A771-0BE133986699}"/>
    <cellStyle name="40% - Accent5 15" xfId="31" xr:uid="{C5D1F1AF-68CA-44BB-AB3D-316AC0451B5A}"/>
    <cellStyle name="40% - Accent5 15 2" xfId="55" xr:uid="{C523519C-4C56-4FCF-9A9C-D0DCA31538B3}"/>
    <cellStyle name="40% - Accent5 16" xfId="32" xr:uid="{4916647B-0F3E-4C24-B0D2-6AA1A457DEA6}"/>
    <cellStyle name="40% - Accent5 16 2" xfId="56" xr:uid="{6364BC78-6CBC-4FCC-A8A4-51CB40831BB5}"/>
    <cellStyle name="40% - Accent5 17" xfId="33" xr:uid="{85D57254-7C8E-4F6B-BD70-ECBC9D53E427}"/>
    <cellStyle name="40% - Accent5 17 2" xfId="57" xr:uid="{3359EC30-206F-44BB-AAAE-BA7C8F331FE5}"/>
    <cellStyle name="40% - Accent5 18" xfId="34" xr:uid="{57165348-EDD8-4AD1-9ACE-3306CF237454}"/>
    <cellStyle name="40% - Accent5 18 2" xfId="35" xr:uid="{43196027-E1C3-4533-A7E2-FE10166A416F}"/>
    <cellStyle name="40% - Accent5 18 2 2" xfId="59" xr:uid="{3B77821D-F3B1-4217-8F21-E360F8A2E6DF}"/>
    <cellStyle name="40% - Accent5 18 3" xfId="58" xr:uid="{CF05E6AA-C9A8-46E1-847D-484F0C355C15}"/>
    <cellStyle name="40% - Accent5 19" xfId="40" xr:uid="{A689C61D-AA0A-4F90-B41B-390192DBEDFE}"/>
    <cellStyle name="40% - Accent5 2" xfId="16" xr:uid="{E02BD580-0412-40C4-AFB1-B8E78FEEA965}"/>
    <cellStyle name="40% - Accent5 2 2" xfId="41" xr:uid="{27A725B8-9DBA-4FD5-AD3B-59F43257D44E}"/>
    <cellStyle name="40% - Accent5 3" xfId="17" xr:uid="{CD09EDFE-0A90-4BBD-A61A-76527B03F746}"/>
    <cellStyle name="40% - Accent5 3 2" xfId="42" xr:uid="{4BF0F1A6-4327-47A5-94D7-013149FC12C1}"/>
    <cellStyle name="40% - Accent5 4" xfId="18" xr:uid="{11F07AEA-9B6E-47DA-8798-70CCEDB37012}"/>
    <cellStyle name="40% - Accent5 4 2" xfId="43" xr:uid="{BAF112BB-03F9-4AB2-98E9-D2BD249CB5D6}"/>
    <cellStyle name="40% - Accent5 5" xfId="19" xr:uid="{3D42A060-751E-49BE-AB77-50870AEEF818}"/>
    <cellStyle name="40% - Accent5 5 2" xfId="44" xr:uid="{2280B696-793F-48A0-A6C1-50ACB11BF2ED}"/>
    <cellStyle name="40% - Accent5 6" xfId="20" xr:uid="{D7C1948A-9FF2-41D0-8C88-E40F62306856}"/>
    <cellStyle name="40% - Accent5 6 2" xfId="45" xr:uid="{FB7E0D48-FBD5-4BAA-A53F-1CAD20A862D5}"/>
    <cellStyle name="40% - Accent5 7" xfId="21" xr:uid="{D7852DCF-5584-44C4-A0CC-F2B2052A96D6}"/>
    <cellStyle name="40% - Accent5 7 2" xfId="46" xr:uid="{5C339D50-8ED0-4F86-849D-885CF76A5428}"/>
    <cellStyle name="40% - Accent5 8" xfId="22" xr:uid="{A894F195-D861-4AA9-8383-6A31E5FE71A5}"/>
    <cellStyle name="40% - Accent5 8 2" xfId="47" xr:uid="{323E0F16-C10F-43D6-B97C-05D4267753E4}"/>
    <cellStyle name="40% - Accent5 9" xfId="23" xr:uid="{D11E9EA3-7956-4AEF-AEC6-ACE93170BD8C}"/>
    <cellStyle name="40% - Accent5 9 2" xfId="48" xr:uid="{504BA99D-5313-4E0E-95FC-977E614D7EFC}"/>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2 3 2" xfId="37" xr:uid="{ED690D53-144E-4F09-82B7-4876FAB398B1}"/>
    <cellStyle name="Normal 3" xfId="5" xr:uid="{00000000-0005-0000-0000-000005000000}"/>
    <cellStyle name="Normal 3 2" xfId="6" xr:uid="{00000000-0005-0000-0000-000006000000}"/>
    <cellStyle name="Normal 3 3" xfId="10" xr:uid="{2D8F856E-DEBA-4A4D-A0B8-A8833DC84CF2}"/>
    <cellStyle name="Normal 3 3 2" xfId="38" xr:uid="{2C09FAEF-3A1B-4D87-BE82-1C848446E9AC}"/>
    <cellStyle name="Normal 3 4" xfId="36" xr:uid="{19F6D287-AD96-4E7A-B1F4-08DF7C6EF3E2}"/>
    <cellStyle name="Normal 4" xfId="11" xr:uid="{FA03DA3C-6890-48A9-8E15-AF189BAA96E6}"/>
    <cellStyle name="Normal 4 2" xfId="39" xr:uid="{EC4329AA-2237-4F76-8366-5ED9F3F86D87}"/>
    <cellStyle name="Normal 5" xfId="27" xr:uid="{26A5E151-93E7-4FA5-8CB5-3BFAC1804680}"/>
    <cellStyle name="Normal 5 2" xfId="52" xr:uid="{B34CD678-381E-4227-8448-A994AD99F4AF}"/>
    <cellStyle name="Normal_AEF 0XXX M - MA Process Evaluation Form - v2 - draft" xfId="7" xr:uid="{00000000-0005-0000-0000-000007000000}"/>
    <cellStyle name="Output" xfId="8" builtinId="21"/>
    <cellStyle name="Title" xfId="30" builtinId="15"/>
  </cellStyles>
  <dxfs count="2346">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numFmt numFmtId="0" formatCode="General"/>
    </dxf>
    <dxf>
      <font>
        <b val="0"/>
        <i val="0"/>
        <strike val="0"/>
        <condense val="0"/>
        <extend val="0"/>
        <outline val="0"/>
        <shadow val="0"/>
        <u val="none"/>
        <vertAlign val="baseline"/>
        <sz val="11"/>
        <color theme="1"/>
        <name val="Calibri"/>
        <family val="2"/>
        <scheme val="minor"/>
      </font>
      <numFmt numFmtId="19" formatCode="m/d/yyyy"/>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06/relationships/vbaProject" Target="vbaProject.bin"/><Relationship Id="rId10" Type="http://schemas.openxmlformats.org/officeDocument/2006/relationships/externalLink" Target="externalLinks/externalLink1.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dLbls>
            <c:spPr>
              <a:noFill/>
              <a:ln>
                <a:noFill/>
              </a:ln>
              <a:effectLst/>
            </c:spPr>
            <c:txPr>
              <a:bodyPr wrap="square" lIns="38100" tIns="19050" rIns="38100" bIns="19050" anchor="ctr">
                <a:spAutoFit/>
              </a:bodyPr>
              <a:lstStyle/>
              <a:p>
                <a:pPr>
                  <a:defRPr sz="2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Metrics!$C$25:$C$26</c:f>
              <c:strCache>
                <c:ptCount val="2"/>
                <c:pt idx="0">
                  <c:v>Conformities</c:v>
                </c:pt>
                <c:pt idx="1">
                  <c:v>Non conformities</c:v>
                </c:pt>
              </c:strCache>
            </c:strRef>
          </c:cat>
          <c:val>
            <c:numRef>
              <c:f>Metrics!$D$25:$D$26</c:f>
              <c:numCache>
                <c:formatCode>General</c:formatCode>
                <c:ptCount val="2"/>
                <c:pt idx="0">
                  <c:v>54</c:v>
                </c:pt>
                <c:pt idx="1">
                  <c:v>9</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Metrics!$C$32:$C$36</c:f>
              <c:strCache>
                <c:ptCount val="5"/>
                <c:pt idx="0">
                  <c:v>Open</c:v>
                </c:pt>
                <c:pt idx="1">
                  <c:v>To be fixed</c:v>
                </c:pt>
                <c:pt idx="2">
                  <c:v>Fixed</c:v>
                </c:pt>
                <c:pt idx="3">
                  <c:v>Postponed</c:v>
                </c:pt>
                <c:pt idx="4">
                  <c:v>Will not fixed (or invalid)</c:v>
                </c:pt>
              </c:strCache>
            </c:strRef>
          </c:cat>
          <c:val>
            <c:numRef>
              <c:f>Metrics!$D$32:$D$36</c:f>
              <c:numCache>
                <c:formatCode>General</c:formatCode>
                <c:ptCount val="5"/>
                <c:pt idx="0">
                  <c:v>0</c:v>
                </c:pt>
                <c:pt idx="1">
                  <c:v>0</c:v>
                </c:pt>
                <c:pt idx="2">
                  <c:v>56</c:v>
                </c:pt>
                <c:pt idx="3">
                  <c:v>7</c:v>
                </c:pt>
                <c:pt idx="4">
                  <c:v>39</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Metrics!$C$41:$C$43</c:f>
              <c:strCache>
                <c:ptCount val="3"/>
                <c:pt idx="0">
                  <c:v>Approved (closed)</c:v>
                </c:pt>
                <c:pt idx="1">
                  <c:v>Postponed and approved</c:v>
                </c:pt>
                <c:pt idx="2">
                  <c:v>Not approved</c:v>
                </c:pt>
              </c:strCache>
            </c:strRef>
          </c:cat>
          <c:val>
            <c:numRef>
              <c:f>Metrics!$D$41:$D$43</c:f>
              <c:numCache>
                <c:formatCode>General</c:formatCode>
                <c:ptCount val="3"/>
                <c:pt idx="0">
                  <c:v>82</c:v>
                </c:pt>
                <c:pt idx="1">
                  <c:v>7</c:v>
                </c:pt>
                <c:pt idx="2">
                  <c:v>13</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6524625</xdr:colOff>
          <xdr:row>117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victor.popina/Downloads/AEF1007%20-%20Peer%20Review%20Workbook%20(PRWB).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lucian.ardeleanu/AppData/Roaming/Microsoft/AddIns/alvDoc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Audit"/>
      <sheetName val="Template.Review"/>
      <sheetName val="Quality criteria"/>
      <sheetName val="TEM486 - Master questions libra"/>
      <sheetName val="template.MilestoneOld"/>
    </sheetNames>
    <sheetDataSet>
      <sheetData sheetId="0">
        <row r="3">
          <cell r="AD3" t="str">
            <v>AEF1007 - Peer Review Workbook.xlsm</v>
          </cell>
        </row>
      </sheetData>
      <sheetData sheetId="1">
        <row r="62">
          <cell r="V62">
            <v>1</v>
          </cell>
        </row>
        <row r="63">
          <cell r="V63">
            <v>0.7</v>
          </cell>
        </row>
        <row r="64">
          <cell r="V64">
            <v>0.4</v>
          </cell>
        </row>
        <row r="65">
          <cell r="V65">
            <v>0</v>
          </cell>
        </row>
        <row r="73">
          <cell r="B73" t="str">
            <v>Next Id</v>
          </cell>
          <cell r="AJ73" t="str">
            <v>Acronyms</v>
          </cell>
          <cell r="AM73" t="str">
            <v>Acronyms</v>
          </cell>
          <cell r="AO73" t="str">
            <v>Milestone name</v>
          </cell>
          <cell r="AR73" t="str">
            <v>Process</v>
          </cell>
          <cell r="AS73" t="str">
            <v>Acronyms</v>
          </cell>
          <cell r="AU73" t="str">
            <v>Review / work-product</v>
          </cell>
        </row>
        <row r="74">
          <cell r="AI74" t="str">
            <v>Hardware</v>
          </cell>
          <cell r="AJ74" t="str">
            <v>HW</v>
          </cell>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Audit</v>
          </cell>
          <cell r="AM75" t="str">
            <v>A</v>
          </cell>
          <cell r="AO75" t="str">
            <v>All milestones</v>
          </cell>
          <cell r="AR75" t="str">
            <v>All</v>
          </cell>
          <cell r="AS75" t="str">
            <v>ALL</v>
          </cell>
          <cell r="AU75" t="str">
            <v>Configuration Management Plan</v>
          </cell>
          <cell r="BA75" t="str">
            <v>High</v>
          </cell>
          <cell r="BJ75" t="str">
            <v>Draft</v>
          </cell>
          <cell r="BM75" t="str">
            <v>AEF1128 - MM Checklists.xlsm</v>
          </cell>
          <cell r="BO75" t="str">
            <v>delete this row</v>
          </cell>
        </row>
        <row r="76">
          <cell r="AI76" t="str">
            <v>All</v>
          </cell>
          <cell r="AJ76" t="str">
            <v>ALL</v>
          </cell>
          <cell r="AL76" t="str">
            <v>Work-Product audit</v>
          </cell>
          <cell r="AM76" t="str">
            <v>W</v>
          </cell>
          <cell r="AO76" t="str">
            <v>swM0 - Planning</v>
          </cell>
          <cell r="AR76" t="str">
            <v>Architecture</v>
          </cell>
          <cell r="AS76" t="str">
            <v>ARC</v>
          </cell>
          <cell r="AU76" t="str">
            <v>Code</v>
          </cell>
          <cell r="BA76" t="str">
            <v>Medium</v>
          </cell>
          <cell r="BJ76" t="str">
            <v>Released</v>
          </cell>
          <cell r="BM76" t="str">
            <v>AEF1128 - Major Milestones (MM) checklists.xlsm</v>
          </cell>
          <cell r="BO76" t="str">
            <v>MM</v>
          </cell>
        </row>
        <row r="77">
          <cell r="AI77" t="str">
            <v xml:space="preserve">Cyber Security </v>
          </cell>
          <cell r="AJ77" t="str">
            <v>CS</v>
          </cell>
          <cell r="AL77" t="str">
            <v>Milestone</v>
          </cell>
          <cell r="AM77" t="str">
            <v>M</v>
          </cell>
          <cell r="AO77" t="str">
            <v>swM1 - Qualification preparation</v>
          </cell>
          <cell r="AR77" t="str">
            <v>Configuration management</v>
          </cell>
          <cell r="AS77" t="str">
            <v>CM</v>
          </cell>
          <cell r="AU77" t="str">
            <v>Schedules (PS, DS, SPS, QS)</v>
          </cell>
          <cell r="BA77" t="str">
            <v>Low</v>
          </cell>
          <cell r="BM77" t="str">
            <v>TEM479 - System and software milestones checklist.xlsm</v>
          </cell>
          <cell r="BO77" t="str">
            <v>sysM</v>
          </cell>
        </row>
        <row r="78">
          <cell r="AI78" t="str">
            <v>Functional safety</v>
          </cell>
          <cell r="AJ78" t="str">
            <v>SA</v>
          </cell>
          <cell r="AO78" t="str">
            <v>swM2 - Qualification execution</v>
          </cell>
          <cell r="AR78" t="str">
            <v>Construction</v>
          </cell>
          <cell r="AS78" t="str">
            <v>COD</v>
          </cell>
          <cell r="AU78" t="str">
            <v>Integration test plan (SW/SYS)</v>
          </cell>
          <cell r="BO78" t="str">
            <v>swM</v>
          </cell>
        </row>
        <row r="79">
          <cell r="AI79" t="str">
            <v>Mechanical</v>
          </cell>
          <cell r="AJ79" t="str">
            <v>ME</v>
          </cell>
          <cell r="AO79" t="str">
            <v>swM3 - End of release</v>
          </cell>
          <cell r="AR79" t="str">
            <v>Delivery and release</v>
          </cell>
          <cell r="AS79" t="str">
            <v>DLV</v>
          </cell>
          <cell r="AU79" t="str">
            <v>Integration tests specifications and report</v>
          </cell>
          <cell r="BO79" t="str">
            <v>saM</v>
          </cell>
        </row>
        <row r="80">
          <cell r="AI80" t="str">
            <v>Product</v>
          </cell>
          <cell r="AJ80" t="str">
            <v>PD</v>
          </cell>
          <cell r="AO80" t="str">
            <v>sysMD - Delivery</v>
          </cell>
          <cell r="AR80" t="str">
            <v>Design</v>
          </cell>
          <cell r="AS80" t="str">
            <v>DSG</v>
          </cell>
          <cell r="AU80" t="str">
            <v>Model-Based Design</v>
          </cell>
        </row>
        <row r="81">
          <cell r="AI81" t="str">
            <v>Project</v>
          </cell>
          <cell r="AJ81" t="str">
            <v>PJ</v>
          </cell>
          <cell r="AO81" t="str">
            <v>sysMD - Delivery</v>
          </cell>
          <cell r="AR81" t="str">
            <v>Functional Safety</v>
          </cell>
          <cell r="AS81" t="str">
            <v>FUSA</v>
          </cell>
          <cell r="AU81" t="str">
            <v>Project Development Plan</v>
          </cell>
        </row>
        <row r="82">
          <cell r="AI82" t="str">
            <v>Quality assurance</v>
          </cell>
          <cell r="AJ82" t="str">
            <v>QA</v>
          </cell>
          <cell r="AO82" t="str">
            <v>sysMP - Planning</v>
          </cell>
          <cell r="AR82" t="str">
            <v>Integration tests</v>
          </cell>
          <cell r="AS82" t="str">
            <v>INT</v>
          </cell>
          <cell r="AU82" t="str">
            <v>Qualification plan (SW/SYS)</v>
          </cell>
        </row>
        <row r="83">
          <cell r="AI83" t="str">
            <v>Software</v>
          </cell>
          <cell r="AJ83" t="str">
            <v>SW</v>
          </cell>
          <cell r="AO83" t="str">
            <v>sysMR - End of release</v>
          </cell>
          <cell r="AR83" t="str">
            <v>Project management</v>
          </cell>
          <cell r="AS83" t="str">
            <v>PM</v>
          </cell>
          <cell r="AU83" t="str">
            <v>Qualification Specification and Report</v>
          </cell>
        </row>
        <row r="84">
          <cell r="AO84" t="str">
            <v>Major milestone 1.1</v>
          </cell>
          <cell r="AR84" t="str">
            <v>Qualification</v>
          </cell>
          <cell r="AS84" t="str">
            <v>QAF</v>
          </cell>
          <cell r="AU84" t="str">
            <v>Quality assurance plan</v>
          </cell>
        </row>
        <row r="85">
          <cell r="AO85" t="str">
            <v>Major milestone 1.1</v>
          </cell>
          <cell r="AR85" t="str">
            <v>Quality assurance</v>
          </cell>
          <cell r="AS85" t="str">
            <v>QA</v>
          </cell>
          <cell r="AU85" t="str">
            <v>Requirements</v>
          </cell>
        </row>
        <row r="86">
          <cell r="AI86" t="str">
            <v>Software</v>
          </cell>
          <cell r="AO86" t="str">
            <v>Major milestone 1.2</v>
          </cell>
          <cell r="AR86" t="str">
            <v>Requirement management</v>
          </cell>
          <cell r="AS86" t="str">
            <v>RQM</v>
          </cell>
          <cell r="AU86" t="str">
            <v>Reuse strategy definition / reuse plan</v>
          </cell>
        </row>
        <row r="87">
          <cell r="AO87" t="str">
            <v>Major milestone 2.1</v>
          </cell>
          <cell r="AR87" t="str">
            <v>ReUse</v>
          </cell>
          <cell r="AS87" t="str">
            <v>REU</v>
          </cell>
          <cell r="AU87" t="str">
            <v>Software detailed design</v>
          </cell>
        </row>
        <row r="88">
          <cell r="AO88" t="str">
            <v>Major milestone 2.2</v>
          </cell>
          <cell r="AR88" t="str">
            <v>Review</v>
          </cell>
          <cell r="AS88" t="str">
            <v>REV</v>
          </cell>
          <cell r="AU88" t="str">
            <v>Software architecture</v>
          </cell>
        </row>
        <row r="89">
          <cell r="AO89" t="str">
            <v>Major milestone 3.1</v>
          </cell>
          <cell r="AR89" t="str">
            <v>Risk Management</v>
          </cell>
          <cell r="AS89" t="str">
            <v>RSK</v>
          </cell>
          <cell r="AU89" t="str">
            <v>Software development plan</v>
          </cell>
        </row>
        <row r="90">
          <cell r="AO90" t="str">
            <v>Major milestone 3.2</v>
          </cell>
          <cell r="AR90" t="str">
            <v>Supplier Management</v>
          </cell>
          <cell r="AS90" t="str">
            <v>SM</v>
          </cell>
          <cell r="AU90" t="str">
            <v>Software work-product follow-up</v>
          </cell>
        </row>
        <row r="91">
          <cell r="AO91" t="str">
            <v>FUSA - Safety Milestone for TG1</v>
          </cell>
          <cell r="AR91" t="str">
            <v>Unit verification</v>
          </cell>
          <cell r="AS91" t="str">
            <v>UV</v>
          </cell>
          <cell r="AU91" t="str">
            <v>System architecture</v>
          </cell>
        </row>
        <row r="92">
          <cell r="AO92" t="str">
            <v>FuSa milestone for TG1</v>
          </cell>
          <cell r="AU92" t="str">
            <v>Unit Test specifications and report</v>
          </cell>
        </row>
        <row r="93">
          <cell r="AO93" t="str">
            <v>FuSa milestone for MM2.1</v>
          </cell>
        </row>
        <row r="94">
          <cell r="AO94" t="str">
            <v>FuSa milestone for TG2</v>
          </cell>
          <cell r="AU94" t="str">
            <v>Process assets (procedure, method and template)</v>
          </cell>
        </row>
        <row r="95">
          <cell r="AU95" t="str">
            <v>Process assets (procedure, method and template)</v>
          </cell>
        </row>
        <row r="96">
          <cell r="AU96" t="str">
            <v>Process assets (procedure, method and template)</v>
          </cell>
        </row>
        <row r="97">
          <cell r="AO97" t="str">
            <v>Current milestone</v>
          </cell>
          <cell r="AU97" t="str">
            <v>Other documents (when no specific checklist exists)</v>
          </cell>
        </row>
        <row r="98">
          <cell r="AO98" t="str">
            <v>Current milestone</v>
          </cell>
        </row>
        <row r="100">
          <cell r="AU100" t="str">
            <v>Current review</v>
          </cell>
        </row>
        <row r="101">
          <cell r="AU101" t="str">
            <v>Current review</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TEM479 - System and software milestones checklist.xlsm</v>
          </cell>
          <cell r="J23" t="str">
            <v>TEM482 - Process audits.xlsm</v>
          </cell>
          <cell r="Q23" t="str">
            <v>AEF1007 - Peer Review Workbook (PRWB).xlsm</v>
          </cell>
        </row>
      </sheetData>
      <sheetData sheetId="4"/>
      <sheetData sheetId="5" refreshError="1"/>
      <sheetData sheetId="6">
        <row r="6">
          <cell r="H6" t="str">
            <v xml:space="preserve">Check :
o There are review evidence (list of comments with date and reviewers names)
o If the list of reviewers is consistent with the Project Master Document (PMD) 
o If there is an agreement on all comments between reviews and author (Meaning all comments are "treated")
o if the checklist it is properly completed
o if the "N/A" or "NO" answers are justified in the checklist
o if the correct version of the document is reviewed
</v>
          </cell>
        </row>
      </sheetData>
      <sheetData sheetId="7" refreshError="1"/>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refreshError="1"/>
      <sheetData sheetId="12" refreshError="1"/>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Help"/>
      <sheetName val="Metrics"/>
      <sheetName val="Overview"/>
      <sheetName val="Review"/>
      <sheetName val="QT First level review"/>
      <sheetName val="QT Second level review"/>
      <sheetName val="QT Import for PTC"/>
      <sheetName val="SDP checklist"/>
      <sheetName val="QAP checklist"/>
      <sheetName val="PDP checklist"/>
      <sheetName val="CMP checklist"/>
      <sheetName val="QP checklist"/>
      <sheetName val="ITP checklist"/>
      <sheetName val="REQ checklist"/>
      <sheetName val="SyAD checklist"/>
      <sheetName val="SAD checklist"/>
      <sheetName val="Reuse checklist"/>
      <sheetName val="PS - DS - SPS - QS checklist"/>
      <sheetName val="OTH checklist"/>
      <sheetName val="MBD checklist"/>
      <sheetName val="SDD checklist"/>
      <sheetName val="CODE checklist"/>
      <sheetName val="ITSR checklist"/>
      <sheetName val="UTSR checklist"/>
      <sheetName val="QSR checklist"/>
      <sheetName val="SWPF checklist"/>
      <sheetName val="PA checklist"/>
    </sheetNames>
    <sheetDataSet>
      <sheetData sheetId="0">
        <row r="3">
          <cell r="AD3" t="str">
            <v>AEF1007 - Peer Review Workbook (PRWB).xlsm</v>
          </cell>
        </row>
        <row r="7">
          <cell r="E7" t="str">
            <v>Peer Review Workbook (PRWB)</v>
          </cell>
          <cell r="W7" t="str">
            <v>AEF1007</v>
          </cell>
        </row>
      </sheetData>
      <sheetData sheetId="1">
        <row r="84">
          <cell r="AJ84" t="str">
            <v>All checklists</v>
          </cell>
        </row>
        <row r="85">
          <cell r="AI85" t="str">
            <v>Yes</v>
          </cell>
          <cell r="AJ85" t="str">
            <v>SDP checklist</v>
          </cell>
        </row>
        <row r="86">
          <cell r="AI86" t="str">
            <v>No</v>
          </cell>
          <cell r="AJ86" t="str">
            <v>QAP checklist</v>
          </cell>
        </row>
        <row r="87">
          <cell r="AI87" t="str">
            <v>NA</v>
          </cell>
          <cell r="AJ87" t="str">
            <v>PDP checklist</v>
          </cell>
        </row>
        <row r="88">
          <cell r="AJ88" t="str">
            <v>CMP checklist</v>
          </cell>
        </row>
        <row r="89">
          <cell r="AJ89" t="str">
            <v>QP checklist</v>
          </cell>
        </row>
        <row r="90">
          <cell r="AJ90" t="str">
            <v>ITP checklist</v>
          </cell>
        </row>
        <row r="91">
          <cell r="AJ91" t="str">
            <v>REQ checklist</v>
          </cell>
        </row>
        <row r="92">
          <cell r="AJ92" t="str">
            <v>SyAD checklist</v>
          </cell>
        </row>
        <row r="93">
          <cell r="AJ93" t="str">
            <v>SAD checklist</v>
          </cell>
        </row>
        <row r="94">
          <cell r="AJ94" t="str">
            <v>Reuse checklist</v>
          </cell>
        </row>
        <row r="95">
          <cell r="AJ95" t="str">
            <v>PS - DS - SPS - QS checklist</v>
          </cell>
        </row>
        <row r="96">
          <cell r="AJ96" t="str">
            <v>OTH checklist</v>
          </cell>
        </row>
        <row r="97">
          <cell r="AJ97" t="str">
            <v>MBD checklist</v>
          </cell>
        </row>
        <row r="98">
          <cell r="AJ98" t="str">
            <v>SDD checklist</v>
          </cell>
        </row>
        <row r="99">
          <cell r="AJ99" t="str">
            <v>CODE checklist</v>
          </cell>
        </row>
        <row r="100">
          <cell r="AJ100" t="str">
            <v>ITSR checklist</v>
          </cell>
        </row>
        <row r="101">
          <cell r="AJ101" t="str">
            <v>UTSR checklist</v>
          </cell>
        </row>
        <row r="102">
          <cell r="AJ102" t="str">
            <v>QSR checklist</v>
          </cell>
        </row>
        <row r="103">
          <cell r="AJ103" t="str">
            <v>SWPF checklist</v>
          </cell>
        </row>
        <row r="104">
          <cell r="AJ104" t="str">
            <v>PA checklist</v>
          </cell>
        </row>
        <row r="105">
          <cell r="AJ105" t="str">
            <v>CODE checklist</v>
          </cell>
        </row>
      </sheetData>
      <sheetData sheetId="2"/>
      <sheetData sheetId="3"/>
      <sheetData sheetId="4"/>
      <sheetData sheetId="5">
        <row r="2">
          <cell r="L2">
            <v>12</v>
          </cell>
          <cell r="M2">
            <v>0</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s>
    <definedNames>
      <definedName name="alvDocProperty"/>
    </definedNames>
    <sheetDataSet>
      <sheetData sheetId="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4" totalsRowShown="0" headerRowDxfId="2345" headerRowBorderDxfId="2344" tableBorderDxfId="2343" headerRowCellStyle="40% - Accent5" dataCellStyle="Normal 4">
  <autoFilter ref="A2:O4"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DxfId="2342" dataCellStyle="Normal 4"/>
    <tableColumn id="5" xr3:uid="{A7E8DB5D-2E5B-4D50-802A-7373C2649DB9}" name="Effort (in mn)" dataDxfId="2341" dataCellStyle="Calculation">
      <calculatedColumnFormula>SUM(F3:O3)</calculatedColumnFormula>
    </tableColumn>
    <tableColumn id="6" xr3:uid="{DD9655BE-E53F-4CA5-885B-7FC10F8D2395}" name="David Puscasu" dataCellStyle="Normal 4"/>
    <tableColumn id="7" xr3:uid="{525D8884-0C8A-4478-BF05-7E1372CD45F9}" name="Lucian Ardeleanu" dataCellStyle="Normal 4"/>
    <tableColumn id="8" xr3:uid="{967B83B5-4BDD-455D-9479-4517937966AE}" name="Popina Victor" dataCellStyle="Normal 4"/>
    <tableColumn id="9" xr3:uid="{B1B837F4-0787-4CAA-BD5D-A6B2F7E9368A}" name="Cornel Albu" dataCellStyle="Normal 4"/>
    <tableColumn id="10" xr3:uid="{4B029EAF-CE65-4128-A016-A786C51E5D01}" name="Gabriel Brasoveanu" dataCellStyle="Normal 4"/>
    <tableColumn id="11" xr3:uid="{5B3D026C-0D6F-4D5D-949A-921EED9750D8}" name="Ioan Repede" dataCellStyle="Normal 4"/>
    <tableColumn id="12" xr3:uid="{F47E4945-FC46-4596-99F8-6868803682F5}" name="Dan Dustinta" dataCellStyle="Normal 4"/>
    <tableColumn id="13" xr3:uid="{5139BD5E-7132-4168-905C-F6084CD7F3D0}" name="Alexandru Nastase" dataCellStyle="Normal 4"/>
    <tableColumn id="14" xr3:uid="{209C6056-7295-438E-8AAC-53D245A1A566}" name="Vlad Chioveanu"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zoomScale="130" zoomScaleNormal="130" workbookViewId="0">
      <selection activeCell="AC3" sqref="AC3"/>
    </sheetView>
  </sheetViews>
  <sheetFormatPr defaultColWidth="0" defaultRowHeight="12.75" customHeight="1" zeroHeight="1"/>
  <cols>
    <col min="1" max="3" width="2.85546875" style="102" customWidth="1"/>
    <col min="4" max="4" width="3.28515625" style="102" customWidth="1"/>
    <col min="5" max="33" width="2.85546875" style="102" customWidth="1"/>
    <col min="34" max="34" width="1.28515625" style="102" customWidth="1"/>
    <col min="35" max="60" width="3.28515625" style="102" hidden="1" customWidth="1"/>
    <col min="61" max="16384" width="0" style="102" hidden="1"/>
  </cols>
  <sheetData>
    <row r="1" spans="1:37" s="92" customFormat="1">
      <c r="C1" s="93"/>
      <c r="D1" s="93"/>
      <c r="E1" s="93"/>
      <c r="F1" s="93"/>
      <c r="G1" s="94"/>
      <c r="H1" s="95"/>
      <c r="I1" s="95"/>
      <c r="J1" s="95"/>
      <c r="K1" s="95"/>
      <c r="L1" s="95"/>
      <c r="M1" s="95"/>
      <c r="N1" s="95"/>
      <c r="O1" s="95"/>
      <c r="P1" s="96"/>
      <c r="Q1" s="96"/>
      <c r="R1" s="96"/>
      <c r="S1" s="96"/>
      <c r="T1" s="96"/>
      <c r="U1" s="96"/>
      <c r="V1" s="96"/>
      <c r="W1" s="96"/>
      <c r="X1" s="96"/>
      <c r="Y1" s="96"/>
      <c r="Z1" s="96"/>
      <c r="AA1" s="96"/>
      <c r="AB1" s="96"/>
      <c r="AC1" s="96"/>
      <c r="AD1" s="96"/>
      <c r="AE1" s="96"/>
      <c r="AF1" s="96"/>
      <c r="AG1" s="96"/>
      <c r="AH1" s="96"/>
      <c r="AI1" s="96"/>
      <c r="AJ1" s="96"/>
      <c r="AK1" s="96"/>
    </row>
    <row r="2" spans="1:37" s="92" customFormat="1"/>
    <row r="3" spans="1:37" s="92" customFormat="1">
      <c r="AD3" s="97" t="s">
        <v>360</v>
      </c>
    </row>
    <row r="4" spans="1:37" s="92" customFormat="1" ht="11.1" customHeight="1">
      <c r="A4" s="284" t="s">
        <v>5</v>
      </c>
      <c r="B4" s="285"/>
      <c r="C4" s="285"/>
      <c r="D4" s="285"/>
      <c r="E4" s="285"/>
      <c r="F4" s="285"/>
      <c r="G4" s="285"/>
      <c r="H4" s="285"/>
      <c r="I4" s="285"/>
      <c r="J4" s="285"/>
      <c r="K4" s="285"/>
      <c r="L4" s="285"/>
      <c r="M4" s="285"/>
      <c r="N4" s="285"/>
      <c r="O4" s="285"/>
      <c r="P4" s="285"/>
      <c r="Q4" s="286"/>
      <c r="R4" s="281" t="s">
        <v>12</v>
      </c>
      <c r="S4" s="282"/>
      <c r="T4" s="282"/>
      <c r="U4" s="282"/>
      <c r="V4" s="283"/>
      <c r="W4" s="281" t="s">
        <v>6</v>
      </c>
      <c r="X4" s="282"/>
      <c r="Y4" s="282"/>
      <c r="Z4" s="282"/>
      <c r="AA4" s="283"/>
      <c r="AB4" s="284" t="s">
        <v>136</v>
      </c>
      <c r="AC4" s="285"/>
      <c r="AD4" s="285"/>
      <c r="AE4" s="285"/>
      <c r="AF4" s="285"/>
      <c r="AG4" s="286"/>
      <c r="AH4" s="98"/>
      <c r="AI4" s="98"/>
      <c r="AJ4" s="98"/>
    </row>
    <row r="5" spans="1:37" s="99" customFormat="1" ht="12.75" customHeight="1">
      <c r="A5" s="287" t="str">
        <f ca="1" xml:space="preserve"> IFERROR(IF([4]!alvDocProperty("MXAuthority")="","272502 VW VWA VN 41S1_NAR EL SB",[4]!alvDocProperty("MXAuthority")),"272502 VW VWA VN 41S1_NAR EL SB")</f>
        <v>272502 VW VWA VN 41S1_NAR EL SB</v>
      </c>
      <c r="B5" s="288"/>
      <c r="C5" s="288"/>
      <c r="D5" s="288"/>
      <c r="E5" s="288"/>
      <c r="F5" s="288"/>
      <c r="G5" s="288"/>
      <c r="H5" s="288"/>
      <c r="I5" s="288"/>
      <c r="J5" s="288"/>
      <c r="K5" s="288"/>
      <c r="L5" s="288"/>
      <c r="M5" s="288"/>
      <c r="N5" s="288"/>
      <c r="O5" s="288"/>
      <c r="P5" s="288"/>
      <c r="Q5" s="289"/>
      <c r="R5" s="287" t="s">
        <v>137</v>
      </c>
      <c r="S5" s="288"/>
      <c r="T5" s="288"/>
      <c r="U5" s="288"/>
      <c r="V5" s="289"/>
      <c r="W5" s="287" t="str">
        <f ca="1" xml:space="preserve"> IFERROR(IF([4]!alvDocProperty("MXCurrent.Localized")="","Template released",[4]!alvDocProperty("MXCurrent.Localized")),"Template released")</f>
        <v>Template released</v>
      </c>
      <c r="X5" s="288"/>
      <c r="Y5" s="288"/>
      <c r="Z5" s="288"/>
      <c r="AA5" s="289"/>
      <c r="AB5" s="287" t="str">
        <f ca="1" xml:space="preserve"> IFERROR(IF([4]!alvDocProperty("MXActual_state_Released")="","2022-07",[4]!alvDocProperty("MXActual_state_Released")),"2022-07")</f>
        <v>2022-07</v>
      </c>
      <c r="AC5" s="288"/>
      <c r="AD5" s="288"/>
      <c r="AE5" s="288"/>
      <c r="AF5" s="288"/>
      <c r="AG5" s="289"/>
    </row>
    <row r="6" spans="1:37" s="92" customFormat="1" ht="11.1" customHeight="1">
      <c r="A6" s="281" t="s">
        <v>7</v>
      </c>
      <c r="B6" s="282"/>
      <c r="C6" s="282"/>
      <c r="D6" s="283"/>
      <c r="E6" s="281" t="s">
        <v>8</v>
      </c>
      <c r="F6" s="282"/>
      <c r="G6" s="282"/>
      <c r="H6" s="282"/>
      <c r="I6" s="282"/>
      <c r="J6" s="282"/>
      <c r="K6" s="282"/>
      <c r="L6" s="282"/>
      <c r="M6" s="282"/>
      <c r="N6" s="282"/>
      <c r="O6" s="282"/>
      <c r="P6" s="282"/>
      <c r="Q6" s="282"/>
      <c r="R6" s="282"/>
      <c r="S6" s="282"/>
      <c r="T6" s="282"/>
      <c r="U6" s="282"/>
      <c r="V6" s="283"/>
      <c r="W6" s="284" t="s">
        <v>10</v>
      </c>
      <c r="X6" s="285"/>
      <c r="Y6" s="285"/>
      <c r="Z6" s="285"/>
      <c r="AA6" s="286"/>
      <c r="AB6" s="281" t="s">
        <v>34</v>
      </c>
      <c r="AC6" s="282"/>
      <c r="AD6" s="283"/>
      <c r="AE6" s="281" t="s">
        <v>9</v>
      </c>
      <c r="AF6" s="282"/>
      <c r="AG6" s="283"/>
    </row>
    <row r="7" spans="1:37" s="99" customFormat="1" ht="12.75" customHeight="1">
      <c r="A7" s="287" t="str">
        <f ca="1" xml:space="preserve"> IFERROR(IF([4]!alvDocProperty("MXName")="","TBD",[4]!alvDocProperty("MXName")),"TBD")</f>
        <v>TBD</v>
      </c>
      <c r="B7" s="288"/>
      <c r="C7" s="288"/>
      <c r="D7" s="289"/>
      <c r="E7" s="287" t="str">
        <f ca="1" xml:space="preserve"> IFERROR(IF([4]!alvDocProperty("MXTitle")="","SAD - Peer Review Workbook (PRWB)",[4]!alvDocProperty("MXTitle")),"SAD - Peer Review Workbook (PRWB)")</f>
        <v>SAD - Peer Review Workbook</v>
      </c>
      <c r="F7" s="288"/>
      <c r="G7" s="288"/>
      <c r="H7" s="288"/>
      <c r="I7" s="288"/>
      <c r="J7" s="288"/>
      <c r="K7" s="288"/>
      <c r="L7" s="288"/>
      <c r="M7" s="288"/>
      <c r="N7" s="288"/>
      <c r="O7" s="288"/>
      <c r="P7" s="288"/>
      <c r="Q7" s="288"/>
      <c r="R7" s="288"/>
      <c r="S7" s="288"/>
      <c r="T7" s="288"/>
      <c r="U7" s="288"/>
      <c r="V7" s="289"/>
      <c r="W7" s="290" t="str">
        <f ca="1" xml:space="preserve"> IFERROR(IF([4]!alvDocProperty("MXDocTemplate_Name")="","AEF1007",[4]!alvDocProperty("MXDocTemplate_Name")),"AEF1007")</f>
        <v>AEF1007</v>
      </c>
      <c r="X7" s="291"/>
      <c r="Y7" s="291"/>
      <c r="Z7" s="291"/>
      <c r="AA7" s="292"/>
      <c r="AB7" s="287" t="str">
        <f ca="1" xml:space="preserve"> IFERROR(IF([4]!alvDocProperty("MXRevision")="","TBD",[4]!alvDocProperty("MXRevision")),"TBD")</f>
        <v>TBD</v>
      </c>
      <c r="AC7" s="288"/>
      <c r="AD7" s="289"/>
      <c r="AE7" s="287" t="str">
        <f ca="1" xml:space="preserve"> IFERROR(IF([4]!alvDocProperty("MXVersion")="","TBD",[4]!alvDocProperty("MXVersion")),"TBD")</f>
        <v>TBD</v>
      </c>
      <c r="AF7" s="288"/>
      <c r="AG7" s="289"/>
    </row>
    <row r="8" spans="1:37" s="99" customFormat="1">
      <c r="A8" s="100"/>
      <c r="B8" s="100"/>
      <c r="C8" s="100"/>
      <c r="D8" s="100"/>
      <c r="E8" s="100"/>
      <c r="F8" s="100"/>
      <c r="G8" s="100"/>
      <c r="H8" s="100"/>
      <c r="I8" s="100"/>
      <c r="J8" s="100"/>
      <c r="K8" s="100"/>
      <c r="L8" s="100"/>
      <c r="M8" s="100"/>
      <c r="N8" s="100"/>
      <c r="O8" s="100"/>
      <c r="P8" s="100"/>
      <c r="Q8" s="100"/>
      <c r="R8" s="100"/>
      <c r="S8" s="100"/>
      <c r="T8" s="100"/>
      <c r="U8" s="100"/>
      <c r="V8" s="100"/>
      <c r="W8" s="101"/>
      <c r="X8" s="101"/>
      <c r="Y8" s="101"/>
      <c r="Z8" s="101"/>
      <c r="AA8" s="101"/>
      <c r="AB8" s="100"/>
      <c r="AC8" s="100"/>
      <c r="AD8" s="100"/>
      <c r="AE8" s="100"/>
      <c r="AF8" s="100"/>
      <c r="AG8" s="100"/>
    </row>
    <row r="9" spans="1:37" ht="11.1" customHeight="1">
      <c r="A9" s="254" t="s">
        <v>60</v>
      </c>
      <c r="B9" s="255"/>
      <c r="C9" s="255"/>
      <c r="D9" s="255"/>
      <c r="E9" s="255"/>
      <c r="F9" s="255"/>
      <c r="G9" s="255"/>
      <c r="H9" s="255"/>
      <c r="I9" s="255"/>
      <c r="J9" s="255"/>
      <c r="K9" s="256"/>
      <c r="L9" s="254" t="s">
        <v>12</v>
      </c>
      <c r="M9" s="255"/>
      <c r="N9" s="255"/>
      <c r="O9" s="255"/>
      <c r="P9" s="255"/>
      <c r="Q9" s="255"/>
      <c r="R9" s="255"/>
      <c r="S9" s="255"/>
      <c r="T9" s="255"/>
      <c r="U9" s="255"/>
      <c r="V9" s="256"/>
      <c r="W9" s="254" t="s">
        <v>17</v>
      </c>
      <c r="X9" s="255"/>
      <c r="Y9" s="255"/>
      <c r="Z9" s="255"/>
      <c r="AA9" s="255"/>
      <c r="AB9" s="255"/>
      <c r="AC9" s="255"/>
      <c r="AD9" s="255"/>
      <c r="AE9" s="255"/>
      <c r="AF9" s="255"/>
      <c r="AG9" s="256"/>
    </row>
    <row r="10" spans="1:37" s="103" customFormat="1" ht="39" customHeight="1">
      <c r="A10" s="257" t="s">
        <v>138</v>
      </c>
      <c r="B10" s="258"/>
      <c r="C10" s="258"/>
      <c r="D10" s="258"/>
      <c r="E10" s="258"/>
      <c r="F10" s="259" t="str">
        <f ca="1" xml:space="preserve"> IFERROR(IF([4]!alvDocProperty("MXUser")="","Vlad Chioveanu",[4]!alvDocProperty("MXUser")),"David Puscasu")</f>
        <v>David Puscasu</v>
      </c>
      <c r="G10" s="259"/>
      <c r="H10" s="259"/>
      <c r="I10" s="259"/>
      <c r="J10" s="259"/>
      <c r="K10" s="260"/>
      <c r="L10" s="261" t="s">
        <v>139</v>
      </c>
      <c r="M10" s="262"/>
      <c r="N10" s="262"/>
      <c r="O10" s="262"/>
      <c r="P10" s="262"/>
      <c r="Q10" s="262"/>
      <c r="R10" s="262"/>
      <c r="S10" s="262"/>
      <c r="T10" s="262"/>
      <c r="U10" s="262"/>
      <c r="V10" s="263"/>
      <c r="W10" s="261" t="s">
        <v>139</v>
      </c>
      <c r="X10" s="262"/>
      <c r="Y10" s="262"/>
      <c r="Z10" s="262"/>
      <c r="AA10" s="262"/>
      <c r="AB10" s="262"/>
      <c r="AC10" s="262"/>
      <c r="AD10" s="262"/>
      <c r="AE10" s="262"/>
      <c r="AF10" s="262"/>
      <c r="AG10" s="263"/>
    </row>
    <row r="11" spans="1:37" s="103" customFormat="1" ht="4.5" customHeight="1">
      <c r="A11" s="104"/>
      <c r="B11" s="105"/>
      <c r="C11" s="105"/>
      <c r="D11" s="105"/>
      <c r="E11" s="105"/>
      <c r="F11" s="105"/>
      <c r="G11" s="105"/>
      <c r="H11" s="105"/>
      <c r="I11" s="105"/>
      <c r="J11" s="105"/>
      <c r="K11" s="105"/>
      <c r="L11" s="106"/>
      <c r="M11" s="105"/>
      <c r="N11" s="105"/>
      <c r="O11" s="105"/>
      <c r="P11" s="105"/>
      <c r="Q11" s="105"/>
      <c r="R11" s="105"/>
      <c r="S11" s="105"/>
      <c r="T11" s="105"/>
      <c r="U11" s="105"/>
      <c r="V11" s="105"/>
      <c r="W11" s="106"/>
      <c r="X11" s="105"/>
      <c r="Y11" s="105"/>
      <c r="Z11" s="105"/>
      <c r="AA11" s="105"/>
      <c r="AB11" s="105"/>
      <c r="AC11" s="105"/>
      <c r="AD11" s="105"/>
      <c r="AE11" s="105"/>
      <c r="AF11" s="105"/>
      <c r="AG11" s="107"/>
    </row>
    <row r="12" spans="1:37" ht="11.1" customHeight="1">
      <c r="A12" s="264" t="s">
        <v>140</v>
      </c>
      <c r="B12" s="265"/>
      <c r="C12" s="265"/>
      <c r="D12" s="265"/>
      <c r="E12" s="265"/>
      <c r="F12" s="265"/>
      <c r="G12" s="265"/>
      <c r="H12" s="265"/>
      <c r="I12" s="265"/>
      <c r="J12" s="265"/>
      <c r="K12" s="265"/>
      <c r="L12" s="265"/>
      <c r="M12" s="265"/>
      <c r="N12" s="265"/>
      <c r="O12" s="265"/>
      <c r="P12" s="265"/>
      <c r="Q12" s="265"/>
      <c r="R12" s="265"/>
      <c r="S12" s="265"/>
      <c r="T12" s="265"/>
      <c r="U12" s="265"/>
      <c r="V12" s="265"/>
      <c r="W12" s="265"/>
      <c r="X12" s="265"/>
      <c r="Y12" s="265"/>
      <c r="Z12" s="265"/>
      <c r="AA12" s="265"/>
      <c r="AB12" s="265"/>
      <c r="AC12" s="265"/>
      <c r="AD12" s="265"/>
      <c r="AE12" s="265"/>
      <c r="AF12" s="265"/>
      <c r="AG12" s="266"/>
    </row>
    <row r="13" spans="1:37" s="103" customFormat="1" ht="28.5" customHeight="1">
      <c r="A13" s="267" t="s">
        <v>141</v>
      </c>
      <c r="B13" s="268"/>
      <c r="C13" s="268"/>
      <c r="D13" s="268"/>
      <c r="E13" s="268"/>
      <c r="F13" s="268"/>
      <c r="G13" s="268"/>
      <c r="H13" s="268"/>
      <c r="I13" s="268"/>
      <c r="J13" s="268"/>
      <c r="K13" s="268"/>
      <c r="L13" s="268"/>
      <c r="M13" s="268"/>
      <c r="N13" s="268"/>
      <c r="O13" s="268"/>
      <c r="P13" s="268"/>
      <c r="Q13" s="268"/>
      <c r="R13" s="268"/>
      <c r="S13" s="268"/>
      <c r="T13" s="268"/>
      <c r="U13" s="268"/>
      <c r="V13" s="268"/>
      <c r="W13" s="268"/>
      <c r="X13" s="268"/>
      <c r="Y13" s="268"/>
      <c r="Z13" s="268"/>
      <c r="AA13" s="268"/>
      <c r="AB13" s="268"/>
      <c r="AC13" s="268"/>
      <c r="AD13" s="268"/>
      <c r="AE13" s="268"/>
      <c r="AF13" s="268"/>
      <c r="AG13" s="269"/>
    </row>
    <row r="14" spans="1:37" s="103" customFormat="1" ht="4.5" customHeight="1">
      <c r="A14" s="106"/>
      <c r="B14" s="105"/>
      <c r="C14" s="105"/>
      <c r="D14" s="105"/>
      <c r="E14" s="105"/>
      <c r="F14" s="105"/>
      <c r="G14" s="105"/>
      <c r="H14" s="105"/>
      <c r="I14" s="105"/>
      <c r="J14" s="105"/>
      <c r="K14" s="105"/>
      <c r="L14" s="106"/>
      <c r="M14" s="105"/>
      <c r="N14" s="105"/>
      <c r="O14" s="105"/>
      <c r="P14" s="105"/>
      <c r="Q14" s="105"/>
      <c r="R14" s="105"/>
      <c r="S14" s="105"/>
      <c r="T14" s="105"/>
      <c r="U14" s="105"/>
      <c r="V14" s="105"/>
      <c r="W14" s="106"/>
      <c r="X14" s="105"/>
      <c r="Y14" s="105"/>
      <c r="Z14" s="105"/>
      <c r="AA14" s="105"/>
      <c r="AB14" s="105"/>
      <c r="AC14" s="105"/>
      <c r="AD14" s="105"/>
      <c r="AE14" s="105"/>
      <c r="AF14" s="105"/>
      <c r="AG14" s="105"/>
    </row>
    <row r="15" spans="1:37" ht="37.5" customHeight="1">
      <c r="A15" s="270" t="s">
        <v>142</v>
      </c>
      <c r="B15" s="270"/>
      <c r="C15" s="270"/>
      <c r="D15" s="270"/>
      <c r="E15" s="272"/>
      <c r="F15" s="273"/>
      <c r="G15" s="273"/>
      <c r="H15" s="273"/>
      <c r="I15" s="273"/>
      <c r="J15" s="273"/>
      <c r="K15" s="273"/>
      <c r="L15" s="273"/>
      <c r="M15" s="273"/>
      <c r="N15" s="273"/>
      <c r="O15" s="273"/>
      <c r="P15" s="273"/>
      <c r="Q15" s="273"/>
      <c r="R15" s="273"/>
      <c r="S15" s="273"/>
      <c r="T15" s="273"/>
      <c r="U15" s="273"/>
      <c r="V15" s="273"/>
      <c r="W15" s="273"/>
      <c r="X15" s="273"/>
      <c r="Y15" s="273"/>
      <c r="Z15" s="273"/>
      <c r="AA15" s="273"/>
      <c r="AB15" s="273"/>
      <c r="AC15" s="273"/>
      <c r="AD15" s="273"/>
      <c r="AE15" s="273"/>
      <c r="AF15" s="273"/>
      <c r="AG15" s="274"/>
    </row>
    <row r="16" spans="1:37" ht="37.5" customHeight="1">
      <c r="A16" s="271"/>
      <c r="B16" s="271"/>
      <c r="C16" s="271"/>
      <c r="D16" s="271"/>
      <c r="E16" s="275"/>
      <c r="F16" s="276"/>
      <c r="G16" s="276"/>
      <c r="H16" s="276"/>
      <c r="I16" s="276"/>
      <c r="J16" s="276"/>
      <c r="K16" s="276"/>
      <c r="L16" s="276"/>
      <c r="M16" s="276"/>
      <c r="N16" s="276"/>
      <c r="O16" s="276"/>
      <c r="P16" s="276"/>
      <c r="Q16" s="276"/>
      <c r="R16" s="276"/>
      <c r="S16" s="276"/>
      <c r="T16" s="276"/>
      <c r="U16" s="276"/>
      <c r="V16" s="276"/>
      <c r="W16" s="276"/>
      <c r="X16" s="276"/>
      <c r="Y16" s="276"/>
      <c r="Z16" s="276"/>
      <c r="AA16" s="276"/>
      <c r="AB16" s="276"/>
      <c r="AC16" s="276"/>
      <c r="AD16" s="276"/>
      <c r="AE16" s="276"/>
      <c r="AF16" s="276"/>
      <c r="AG16" s="277"/>
    </row>
    <row r="17" spans="1:33">
      <c r="A17" s="108"/>
    </row>
    <row r="18" spans="1:33" ht="26.25" customHeight="1">
      <c r="A18" s="278" t="s">
        <v>291</v>
      </c>
      <c r="B18" s="279"/>
      <c r="C18" s="279"/>
      <c r="D18" s="279"/>
      <c r="E18" s="280" t="s">
        <v>290</v>
      </c>
      <c r="F18" s="280"/>
      <c r="G18" s="280"/>
      <c r="H18" s="280"/>
      <c r="I18" s="280"/>
      <c r="J18" s="280"/>
      <c r="K18" s="280"/>
      <c r="L18" s="280"/>
      <c r="M18" s="280"/>
      <c r="N18" s="280"/>
      <c r="O18" s="280"/>
      <c r="P18" s="280"/>
    </row>
    <row r="19" spans="1:33"/>
    <row r="20" spans="1:33"/>
    <row r="21" spans="1:33" ht="15.75" customHeight="1">
      <c r="Q21" s="109"/>
    </row>
    <row r="22" spans="1:33" ht="12" customHeight="1">
      <c r="Q22" s="109"/>
    </row>
    <row r="23" spans="1:33" ht="60" customHeight="1">
      <c r="A23" s="252" t="str">
        <f ca="1">MXTitle</f>
        <v>SAD - Peer Review Workbook</v>
      </c>
      <c r="B23" s="253"/>
      <c r="C23" s="253"/>
      <c r="D23" s="253"/>
      <c r="E23" s="253"/>
      <c r="F23" s="253"/>
      <c r="G23" s="253"/>
      <c r="H23" s="253"/>
      <c r="I23" s="253"/>
      <c r="J23" s="253"/>
      <c r="K23" s="253"/>
      <c r="L23" s="253"/>
      <c r="M23" s="253"/>
      <c r="N23" s="253"/>
      <c r="O23" s="253"/>
      <c r="P23" s="253"/>
      <c r="Q23" s="253"/>
      <c r="R23" s="253"/>
      <c r="S23" s="253"/>
      <c r="T23" s="253"/>
      <c r="U23" s="253"/>
      <c r="V23" s="253"/>
      <c r="W23" s="253"/>
      <c r="X23" s="253"/>
      <c r="Y23" s="253"/>
      <c r="Z23" s="253"/>
      <c r="AA23" s="253"/>
      <c r="AB23" s="253"/>
      <c r="AC23" s="253"/>
      <c r="AD23" s="253"/>
      <c r="AE23" s="253"/>
      <c r="AF23" s="253"/>
      <c r="AG23" s="253"/>
    </row>
    <row r="24" spans="1:33" ht="25.5">
      <c r="Q24" s="109"/>
    </row>
    <row r="25" spans="1:33"/>
    <row r="26" spans="1:33"/>
  </sheetData>
  <sheetProtection formatCells="0" formatRows="0" insertColumns="0" insertRows="0" insertHyperlinks="0" deleteRows="0" selectLockedCells="1" sort="0" autoFilter="0" pivotTables="0"/>
  <dataConsolidate/>
  <mergeCells count="33">
    <mergeCell ref="A4:Q4"/>
    <mergeCell ref="R4:V4"/>
    <mergeCell ref="W4:AA4"/>
    <mergeCell ref="AB4:AG4"/>
    <mergeCell ref="A5:Q5"/>
    <mergeCell ref="R5:V5"/>
    <mergeCell ref="W5:AA5"/>
    <mergeCell ref="AB5:AG5"/>
    <mergeCell ref="A7:D7"/>
    <mergeCell ref="E7:V7"/>
    <mergeCell ref="W7:AA7"/>
    <mergeCell ref="AB7:AD7"/>
    <mergeCell ref="AE7:AG7"/>
    <mergeCell ref="A6:D6"/>
    <mergeCell ref="E6:V6"/>
    <mergeCell ref="W6:AA6"/>
    <mergeCell ref="AB6:AD6"/>
    <mergeCell ref="AE6:AG6"/>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s>
  <phoneticPr fontId="90" type="noConversion"/>
  <conditionalFormatting sqref="W5">
    <cfRule type="cellIs" dxfId="2340" priority="21" operator="equal">
      <formula>"draft"</formula>
    </cfRule>
  </conditionalFormatting>
  <conditionalFormatting sqref="W5:AA5">
    <cfRule type="cellIs" dxfId="2339" priority="1" operator="equal">
      <formula>"In-Work"</formula>
    </cfRule>
    <cfRule type="cellIs" dxfId="2338" priority="2" stopIfTrue="1" operator="equal">
      <formula>"draft"</formula>
    </cfRule>
    <cfRule type="cellIs" dxfId="2337" priority="3" operator="equal">
      <formula>"In-Work"</formula>
    </cfRule>
    <cfRule type="cellIs" dxfId="2336" priority="4" stopIfTrue="1" operator="equal">
      <formula>"draft"</formula>
    </cfRule>
    <cfRule type="cellIs" dxfId="2335" priority="5" operator="equal">
      <formula>"In-Work"</formula>
    </cfRule>
    <cfRule type="cellIs" dxfId="2334" priority="6" stopIfTrue="1" operator="equal">
      <formula>"draft"</formula>
    </cfRule>
    <cfRule type="cellIs" dxfId="2333" priority="7" operator="equal">
      <formula>"In-Work"</formula>
    </cfRule>
    <cfRule type="cellIs" dxfId="2332" priority="8" stopIfTrue="1" operator="equal">
      <formula>"draft"</formula>
    </cfRule>
    <cfRule type="cellIs" dxfId="2331" priority="9" operator="equal">
      <formula>"In-Work"</formula>
    </cfRule>
    <cfRule type="cellIs" dxfId="2330" priority="10" stopIfTrue="1" operator="equal">
      <formula>"draft"</formula>
    </cfRule>
    <cfRule type="cellIs" dxfId="2329" priority="11" operator="equal">
      <formula>"In-Work"</formula>
    </cfRule>
    <cfRule type="cellIs" dxfId="2328" priority="12" stopIfTrue="1" operator="equal">
      <formula>"draft"</formula>
    </cfRule>
    <cfRule type="cellIs" dxfId="2327" priority="13" operator="equal">
      <formula>"In-Work"</formula>
    </cfRule>
    <cfRule type="cellIs" dxfId="2326" priority="14" stopIfTrue="1" operator="equal">
      <formula>"draft"</formula>
    </cfRule>
    <cfRule type="cellIs" dxfId="2325" priority="15" operator="equal">
      <formula>"In-Work"</formula>
    </cfRule>
    <cfRule type="cellIs" dxfId="2324" priority="16" stopIfTrue="1" operator="equal">
      <formula>"draft"</formula>
    </cfRule>
    <cfRule type="cellIs" dxfId="2323" priority="17" operator="equal">
      <formula>"In-Work"</formula>
    </cfRule>
    <cfRule type="cellIs" dxfId="2322" priority="18" stopIfTrue="1" operator="equal">
      <formula>"draft"</formula>
    </cfRule>
    <cfRule type="cellIs" dxfId="2321" priority="19" operator="equal">
      <formula>"In-Work"</formula>
    </cfRule>
    <cfRule type="cellIs" dxfId="2320" priority="20"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105"/>
  <sheetViews>
    <sheetView showGridLines="0" topLeftCell="A43" zoomScaleNormal="100" workbookViewId="0"/>
  </sheetViews>
  <sheetFormatPr defaultColWidth="9.140625" defaultRowHeight="15"/>
  <cols>
    <col min="1" max="34" width="2.85546875" style="110" customWidth="1"/>
    <col min="35" max="35" width="9.140625" style="110"/>
    <col min="36" max="36" width="22" style="110" customWidth="1"/>
    <col min="37" max="16384" width="9.140625" style="110"/>
  </cols>
  <sheetData>
    <row r="1" spans="1:34">
      <c r="A1" s="92"/>
      <c r="B1" s="92"/>
      <c r="C1" s="93"/>
      <c r="D1" s="93"/>
      <c r="E1" s="93"/>
      <c r="F1" s="93"/>
      <c r="G1" s="94"/>
      <c r="H1" s="95"/>
      <c r="I1" s="95"/>
      <c r="J1" s="95"/>
      <c r="K1" s="95"/>
      <c r="L1" s="95"/>
      <c r="M1" s="95"/>
      <c r="N1" s="95"/>
      <c r="O1" s="95"/>
      <c r="P1" s="96"/>
      <c r="Q1" s="96"/>
      <c r="R1" s="96"/>
      <c r="S1" s="96"/>
      <c r="T1" s="96"/>
      <c r="U1" s="96"/>
      <c r="V1" s="96"/>
      <c r="W1" s="96"/>
      <c r="X1" s="96"/>
      <c r="Y1" s="96"/>
      <c r="Z1" s="96"/>
      <c r="AA1" s="96"/>
      <c r="AB1" s="96"/>
      <c r="AC1" s="96"/>
      <c r="AD1" s="96"/>
      <c r="AE1" s="96"/>
      <c r="AF1" s="96"/>
      <c r="AG1" s="96"/>
      <c r="AH1" s="96"/>
    </row>
    <row r="2" spans="1:34">
      <c r="A2" s="92"/>
      <c r="B2" s="92"/>
      <c r="C2" s="92"/>
      <c r="D2" s="92"/>
      <c r="E2" s="92"/>
      <c r="F2" s="92"/>
      <c r="G2" s="92"/>
      <c r="H2" s="92"/>
      <c r="I2" s="92"/>
      <c r="J2" s="92"/>
      <c r="K2" s="92"/>
      <c r="L2" s="92"/>
      <c r="M2" s="92"/>
      <c r="N2" s="92"/>
      <c r="O2" s="92"/>
      <c r="P2" s="92"/>
      <c r="Q2" s="92"/>
      <c r="R2" s="92"/>
      <c r="S2" s="92"/>
      <c r="T2" s="92"/>
      <c r="U2" s="92"/>
      <c r="V2" s="92"/>
      <c r="W2" s="92"/>
      <c r="X2" s="92"/>
      <c r="Y2" s="92"/>
      <c r="Z2" s="92"/>
      <c r="AA2" s="92"/>
      <c r="AB2" s="92"/>
      <c r="AC2" s="92"/>
      <c r="AD2" s="92"/>
      <c r="AE2" s="92"/>
      <c r="AF2" s="92"/>
      <c r="AG2" s="92"/>
      <c r="AH2" s="92"/>
    </row>
    <row r="3" spans="1:34">
      <c r="A3" s="92"/>
      <c r="B3" s="92"/>
      <c r="C3" s="92"/>
      <c r="D3" s="92"/>
      <c r="E3" s="92"/>
      <c r="F3" s="92"/>
      <c r="G3" s="92"/>
      <c r="H3" s="92"/>
      <c r="I3" s="92"/>
      <c r="J3" s="92"/>
      <c r="K3" s="92"/>
      <c r="L3" s="92"/>
      <c r="M3" s="92"/>
      <c r="N3" s="92"/>
      <c r="O3" s="92"/>
      <c r="P3" s="92"/>
      <c r="Q3" s="92"/>
      <c r="R3" s="92"/>
      <c r="S3" s="92"/>
      <c r="T3" s="92"/>
      <c r="U3" s="92"/>
      <c r="V3" s="92"/>
      <c r="W3" s="92"/>
      <c r="X3" s="92"/>
      <c r="Y3" s="92"/>
      <c r="Z3" s="92"/>
      <c r="AA3" s="92"/>
      <c r="AB3" s="92"/>
      <c r="AC3" s="92"/>
      <c r="AD3" s="111" t="str">
        <f>FileName</f>
        <v>SAD - Peer Review Workbook.xlsm</v>
      </c>
      <c r="AE3" s="92"/>
      <c r="AF3" s="92"/>
      <c r="AG3" s="92"/>
      <c r="AH3" s="92"/>
    </row>
    <row r="4" spans="1:34">
      <c r="A4" s="284" t="s">
        <v>5</v>
      </c>
      <c r="B4" s="285"/>
      <c r="C4" s="285"/>
      <c r="D4" s="285"/>
      <c r="E4" s="285"/>
      <c r="F4" s="285"/>
      <c r="G4" s="285"/>
      <c r="H4" s="285"/>
      <c r="I4" s="285"/>
      <c r="J4" s="285"/>
      <c r="K4" s="285"/>
      <c r="L4" s="285"/>
      <c r="M4" s="285"/>
      <c r="N4" s="285"/>
      <c r="O4" s="285"/>
      <c r="P4" s="285"/>
      <c r="Q4" s="285"/>
      <c r="R4" s="285"/>
      <c r="S4" s="285"/>
      <c r="T4" s="285"/>
      <c r="U4" s="285"/>
      <c r="V4" s="286"/>
      <c r="W4" s="323" t="s">
        <v>6</v>
      </c>
      <c r="X4" s="324"/>
      <c r="Y4" s="324"/>
      <c r="Z4" s="324"/>
      <c r="AA4" s="325"/>
      <c r="AB4" s="284" t="s">
        <v>136</v>
      </c>
      <c r="AC4" s="285"/>
      <c r="AD4" s="285"/>
      <c r="AE4" s="285"/>
      <c r="AF4" s="285"/>
      <c r="AG4" s="286"/>
      <c r="AH4" s="98"/>
    </row>
    <row r="5" spans="1:34">
      <c r="A5" s="290" t="s">
        <v>202</v>
      </c>
      <c r="B5" s="291"/>
      <c r="C5" s="291"/>
      <c r="D5" s="291"/>
      <c r="E5" s="291"/>
      <c r="F5" s="291"/>
      <c r="G5" s="291"/>
      <c r="H5" s="291"/>
      <c r="I5" s="291"/>
      <c r="J5" s="291"/>
      <c r="K5" s="291"/>
      <c r="L5" s="291"/>
      <c r="M5" s="291"/>
      <c r="N5" s="291"/>
      <c r="O5" s="291"/>
      <c r="P5" s="291"/>
      <c r="Q5" s="291"/>
      <c r="R5" s="291"/>
      <c r="S5" s="291"/>
      <c r="T5" s="291"/>
      <c r="U5" s="291"/>
      <c r="V5" s="292"/>
      <c r="W5" s="326" t="s">
        <v>201</v>
      </c>
      <c r="X5" s="327"/>
      <c r="Y5" s="327"/>
      <c r="Z5" s="327"/>
      <c r="AA5" s="328"/>
      <c r="AB5" s="290" t="s">
        <v>200</v>
      </c>
      <c r="AC5" s="291"/>
      <c r="AD5" s="291"/>
      <c r="AE5" s="291"/>
      <c r="AF5" s="291"/>
      <c r="AG5" s="292"/>
      <c r="AH5" s="99"/>
    </row>
    <row r="6" spans="1:34">
      <c r="A6" s="315" t="s">
        <v>7</v>
      </c>
      <c r="B6" s="316"/>
      <c r="C6" s="316"/>
      <c r="D6" s="317"/>
      <c r="E6" s="315" t="s">
        <v>8</v>
      </c>
      <c r="F6" s="316"/>
      <c r="G6" s="316"/>
      <c r="H6" s="316"/>
      <c r="I6" s="316"/>
      <c r="J6" s="316"/>
      <c r="K6" s="316"/>
      <c r="L6" s="316"/>
      <c r="M6" s="316"/>
      <c r="N6" s="316"/>
      <c r="O6" s="316"/>
      <c r="P6" s="316"/>
      <c r="Q6" s="316"/>
      <c r="R6" s="316"/>
      <c r="S6" s="316"/>
      <c r="T6" s="316"/>
      <c r="U6" s="316"/>
      <c r="V6" s="317"/>
      <c r="W6" s="284" t="s">
        <v>10</v>
      </c>
      <c r="X6" s="285"/>
      <c r="Y6" s="285"/>
      <c r="Z6" s="285"/>
      <c r="AA6" s="286"/>
      <c r="AB6" s="323" t="s">
        <v>34</v>
      </c>
      <c r="AC6" s="324"/>
      <c r="AD6" s="325"/>
      <c r="AE6" s="323" t="s">
        <v>9</v>
      </c>
      <c r="AF6" s="324"/>
      <c r="AG6" s="325"/>
      <c r="AH6" s="92"/>
    </row>
    <row r="7" spans="1:34">
      <c r="A7" s="326" t="s">
        <v>199</v>
      </c>
      <c r="B7" s="327"/>
      <c r="C7" s="327"/>
      <c r="D7" s="328"/>
      <c r="E7" s="326" t="s">
        <v>204</v>
      </c>
      <c r="F7" s="327"/>
      <c r="G7" s="327"/>
      <c r="H7" s="327"/>
      <c r="I7" s="327"/>
      <c r="J7" s="327"/>
      <c r="K7" s="327"/>
      <c r="L7" s="327"/>
      <c r="M7" s="327"/>
      <c r="N7" s="327"/>
      <c r="O7" s="327"/>
      <c r="P7" s="327"/>
      <c r="Q7" s="327"/>
      <c r="R7" s="327"/>
      <c r="S7" s="327"/>
      <c r="T7" s="327"/>
      <c r="U7" s="327"/>
      <c r="V7" s="328"/>
      <c r="W7" s="326" t="str">
        <f ca="1">TemplateRef</f>
        <v>AEF1007</v>
      </c>
      <c r="X7" s="327"/>
      <c r="Y7" s="327"/>
      <c r="Z7" s="327"/>
      <c r="AA7" s="328"/>
      <c r="AB7" s="326" t="s">
        <v>203</v>
      </c>
      <c r="AC7" s="327"/>
      <c r="AD7" s="328"/>
      <c r="AE7" s="326" t="s">
        <v>203</v>
      </c>
      <c r="AF7" s="327"/>
      <c r="AG7" s="328"/>
      <c r="AH7" s="99"/>
    </row>
    <row r="8" spans="1:34">
      <c r="A8" s="315" t="s">
        <v>143</v>
      </c>
      <c r="B8" s="316"/>
      <c r="C8" s="316"/>
      <c r="D8" s="316"/>
      <c r="E8" s="316"/>
      <c r="F8" s="316"/>
      <c r="G8" s="316"/>
      <c r="H8" s="316"/>
      <c r="I8" s="316"/>
      <c r="J8" s="316"/>
      <c r="K8" s="316"/>
      <c r="L8" s="316"/>
      <c r="M8" s="316"/>
      <c r="N8" s="316"/>
      <c r="O8" s="316"/>
      <c r="P8" s="316"/>
      <c r="Q8" s="316"/>
      <c r="R8" s="316"/>
      <c r="S8" s="316"/>
      <c r="T8" s="316"/>
      <c r="U8" s="316"/>
      <c r="V8" s="316"/>
      <c r="W8" s="316"/>
      <c r="X8" s="316"/>
      <c r="Y8" s="316"/>
      <c r="Z8" s="316"/>
      <c r="AA8" s="316"/>
      <c r="AB8" s="316"/>
      <c r="AC8" s="316"/>
      <c r="AD8" s="316"/>
      <c r="AE8" s="316"/>
      <c r="AF8" s="316"/>
      <c r="AG8" s="317"/>
      <c r="AH8" s="102"/>
    </row>
    <row r="9" spans="1:34">
      <c r="A9" s="318" t="s">
        <v>144</v>
      </c>
      <c r="B9" s="319"/>
      <c r="C9" s="319"/>
      <c r="D9" s="319"/>
      <c r="E9" s="319"/>
      <c r="F9" s="319"/>
      <c r="G9" s="319"/>
      <c r="H9" s="319"/>
      <c r="I9" s="319"/>
      <c r="J9" s="319"/>
      <c r="K9" s="319"/>
      <c r="L9" s="319"/>
      <c r="M9" s="319"/>
      <c r="N9" s="319"/>
      <c r="O9" s="319"/>
      <c r="P9" s="319"/>
      <c r="Q9" s="319"/>
      <c r="R9" s="319"/>
      <c r="S9" s="319"/>
      <c r="T9" s="319"/>
      <c r="U9" s="319"/>
      <c r="V9" s="319"/>
      <c r="W9" s="319"/>
      <c r="X9" s="319"/>
      <c r="Y9" s="319"/>
      <c r="Z9" s="319"/>
      <c r="AA9" s="319"/>
      <c r="AB9" s="319"/>
      <c r="AC9" s="319"/>
      <c r="AD9" s="319"/>
      <c r="AE9" s="319"/>
      <c r="AF9" s="319"/>
      <c r="AG9" s="320"/>
      <c r="AH9" s="102"/>
    </row>
    <row r="10" spans="1:34">
      <c r="A10" s="102"/>
      <c r="B10" s="102"/>
      <c r="C10" s="102"/>
      <c r="D10" s="102"/>
      <c r="E10" s="102"/>
      <c r="F10" s="102"/>
      <c r="G10" s="102"/>
      <c r="H10" s="102"/>
      <c r="I10" s="102"/>
      <c r="J10" s="102"/>
      <c r="K10" s="102"/>
      <c r="L10" s="102"/>
      <c r="M10" s="102"/>
      <c r="N10" s="102"/>
      <c r="O10" s="102"/>
      <c r="P10" s="102"/>
      <c r="Q10" s="102"/>
      <c r="R10" s="102"/>
      <c r="S10" s="102"/>
      <c r="T10" s="102"/>
      <c r="U10" s="102"/>
      <c r="V10" s="102"/>
      <c r="W10" s="102"/>
      <c r="X10" s="102"/>
      <c r="Y10" s="102"/>
      <c r="Z10" s="102"/>
      <c r="AA10" s="102"/>
      <c r="AB10" s="102"/>
      <c r="AC10" s="102"/>
      <c r="AD10" s="102"/>
      <c r="AE10" s="102"/>
      <c r="AF10" s="102"/>
      <c r="AG10" s="102"/>
      <c r="AH10" s="102"/>
    </row>
    <row r="11" spans="1:34">
      <c r="A11" s="102"/>
      <c r="B11" s="102"/>
      <c r="C11" s="102"/>
      <c r="D11" s="102"/>
      <c r="E11" s="102"/>
      <c r="F11" s="102"/>
      <c r="G11" s="102"/>
      <c r="H11" s="102"/>
      <c r="I11" s="102"/>
      <c r="J11" s="102"/>
      <c r="K11" s="102"/>
      <c r="L11" s="102"/>
      <c r="M11" s="102"/>
      <c r="N11" s="102"/>
      <c r="O11" s="102"/>
      <c r="P11" s="102"/>
      <c r="Q11" s="102"/>
      <c r="R11" s="102"/>
      <c r="S11" s="102"/>
      <c r="T11" s="102"/>
      <c r="U11" s="102"/>
      <c r="V11" s="102"/>
      <c r="W11" s="102"/>
      <c r="X11" s="102"/>
      <c r="Y11" s="102"/>
      <c r="Z11" s="102"/>
      <c r="AA11" s="102"/>
      <c r="AB11" s="102"/>
      <c r="AC11" s="102"/>
      <c r="AD11" s="102"/>
      <c r="AE11" s="102"/>
      <c r="AF11" s="102"/>
      <c r="AG11" s="102"/>
      <c r="AH11" s="102"/>
    </row>
    <row r="12" spans="1:34" ht="26.25">
      <c r="A12" s="102"/>
      <c r="B12" s="112" t="s">
        <v>145</v>
      </c>
      <c r="C12" s="113"/>
      <c r="D12" s="113"/>
      <c r="E12" s="113"/>
      <c r="F12" s="113"/>
      <c r="G12" s="113"/>
      <c r="H12" s="113"/>
      <c r="I12" s="113"/>
      <c r="J12" s="113"/>
      <c r="K12" s="113"/>
      <c r="L12" s="113"/>
      <c r="M12" s="113"/>
      <c r="N12" s="113"/>
      <c r="O12" s="113"/>
      <c r="P12" s="113"/>
      <c r="Q12" s="113"/>
      <c r="R12" s="113"/>
      <c r="S12" s="113"/>
      <c r="T12" s="113"/>
      <c r="U12" s="113"/>
      <c r="V12" s="113"/>
      <c r="W12" s="113"/>
      <c r="X12" s="113"/>
      <c r="Y12" s="113"/>
      <c r="Z12" s="113"/>
      <c r="AA12" s="113"/>
      <c r="AB12" s="113"/>
      <c r="AC12" s="113"/>
      <c r="AD12" s="113"/>
      <c r="AE12" s="113"/>
      <c r="AF12" s="113"/>
      <c r="AG12" s="102"/>
      <c r="AH12" s="102"/>
    </row>
    <row r="13" spans="1:34">
      <c r="A13" s="102"/>
      <c r="B13" s="102"/>
      <c r="C13" s="102"/>
      <c r="D13" s="102"/>
      <c r="E13" s="102"/>
      <c r="F13" s="102"/>
      <c r="G13" s="102"/>
      <c r="H13" s="102"/>
      <c r="I13" s="102"/>
      <c r="J13" s="102"/>
      <c r="K13" s="102"/>
      <c r="L13" s="102"/>
      <c r="M13" s="102"/>
      <c r="N13" s="102"/>
      <c r="O13" s="102"/>
      <c r="P13" s="102"/>
      <c r="Q13" s="102"/>
      <c r="R13" s="102"/>
      <c r="S13" s="102"/>
      <c r="T13" s="102"/>
      <c r="U13" s="102"/>
      <c r="V13" s="102"/>
      <c r="W13" s="102"/>
      <c r="X13" s="102"/>
      <c r="Y13" s="102"/>
      <c r="Z13" s="102"/>
      <c r="AA13" s="102"/>
      <c r="AB13" s="102"/>
      <c r="AC13" s="102"/>
      <c r="AD13" s="102"/>
      <c r="AE13" s="102"/>
      <c r="AF13" s="102"/>
      <c r="AG13" s="102"/>
      <c r="AH13" s="102"/>
    </row>
    <row r="14" spans="1:34" ht="20.25">
      <c r="A14" s="102"/>
      <c r="B14" s="114" t="s">
        <v>146</v>
      </c>
      <c r="C14" s="115"/>
      <c r="D14" s="102"/>
      <c r="E14" s="102"/>
      <c r="F14" s="102"/>
      <c r="G14" s="102"/>
      <c r="H14" s="102"/>
      <c r="I14" s="102"/>
      <c r="J14" s="102"/>
      <c r="K14" s="102"/>
      <c r="L14" s="102"/>
      <c r="M14" s="102"/>
      <c r="N14" s="102"/>
      <c r="O14" s="102"/>
      <c r="P14" s="102"/>
      <c r="Q14" s="102"/>
      <c r="R14" s="102"/>
      <c r="S14" s="102"/>
      <c r="T14" s="102"/>
      <c r="U14" s="102"/>
      <c r="V14" s="102"/>
      <c r="W14" s="102"/>
      <c r="X14" s="102"/>
      <c r="Y14" s="102"/>
      <c r="Z14" s="102"/>
      <c r="AA14" s="102"/>
      <c r="AB14" s="102"/>
      <c r="AC14" s="102"/>
      <c r="AD14" s="102"/>
      <c r="AE14" s="102"/>
      <c r="AF14" s="102"/>
      <c r="AG14" s="102"/>
      <c r="AH14" s="102"/>
    </row>
    <row r="15" spans="1:34">
      <c r="A15" s="102"/>
      <c r="B15" s="303" t="s">
        <v>147</v>
      </c>
      <c r="C15" s="321"/>
      <c r="D15" s="321"/>
      <c r="E15" s="321"/>
      <c r="F15" s="321"/>
      <c r="G15" s="303" t="s">
        <v>148</v>
      </c>
      <c r="H15" s="303"/>
      <c r="I15" s="303"/>
      <c r="J15" s="303"/>
      <c r="K15" s="303"/>
      <c r="L15" s="303"/>
      <c r="M15" s="303"/>
      <c r="N15" s="303"/>
      <c r="O15" s="303"/>
      <c r="P15" s="303"/>
      <c r="Q15" s="303"/>
      <c r="R15" s="303"/>
      <c r="S15" s="303"/>
      <c r="T15" s="303"/>
      <c r="U15" s="303"/>
      <c r="V15" s="303"/>
      <c r="W15" s="303"/>
      <c r="X15" s="303"/>
      <c r="Y15" s="303"/>
      <c r="Z15" s="303"/>
      <c r="AA15" s="303"/>
      <c r="AB15" s="303"/>
      <c r="AC15" s="303"/>
      <c r="AD15" s="303"/>
      <c r="AE15" s="303"/>
      <c r="AF15" s="303"/>
      <c r="AG15" s="102"/>
      <c r="AH15" s="102"/>
    </row>
    <row r="16" spans="1:34" ht="55.5" customHeight="1">
      <c r="A16" s="102"/>
      <c r="B16" s="322" t="s">
        <v>149</v>
      </c>
      <c r="C16" s="322"/>
      <c r="D16" s="322"/>
      <c r="E16" s="322"/>
      <c r="F16" s="322"/>
      <c r="G16" s="300" t="s">
        <v>150</v>
      </c>
      <c r="H16" s="300"/>
      <c r="I16" s="300"/>
      <c r="J16" s="300"/>
      <c r="K16" s="300"/>
      <c r="L16" s="300"/>
      <c r="M16" s="300"/>
      <c r="N16" s="300"/>
      <c r="O16" s="300"/>
      <c r="P16" s="300"/>
      <c r="Q16" s="300"/>
      <c r="R16" s="300"/>
      <c r="S16" s="300"/>
      <c r="T16" s="300"/>
      <c r="U16" s="300"/>
      <c r="V16" s="300"/>
      <c r="W16" s="300"/>
      <c r="X16" s="300"/>
      <c r="Y16" s="300"/>
      <c r="Z16" s="300"/>
      <c r="AA16" s="300"/>
      <c r="AB16" s="300"/>
      <c r="AC16" s="300"/>
      <c r="AD16" s="300"/>
      <c r="AE16" s="300"/>
      <c r="AF16" s="300"/>
      <c r="AG16" s="102"/>
      <c r="AH16" s="102"/>
    </row>
    <row r="17" spans="1:34">
      <c r="A17" s="102"/>
      <c r="B17" s="322" t="s">
        <v>151</v>
      </c>
      <c r="C17" s="322"/>
      <c r="D17" s="322"/>
      <c r="E17" s="322"/>
      <c r="F17" s="322"/>
      <c r="G17" s="300" t="s">
        <v>152</v>
      </c>
      <c r="H17" s="300"/>
      <c r="I17" s="300"/>
      <c r="J17" s="300"/>
      <c r="K17" s="300"/>
      <c r="L17" s="300"/>
      <c r="M17" s="300"/>
      <c r="N17" s="300"/>
      <c r="O17" s="300"/>
      <c r="P17" s="300"/>
      <c r="Q17" s="300"/>
      <c r="R17" s="300"/>
      <c r="S17" s="300"/>
      <c r="T17" s="300"/>
      <c r="U17" s="300"/>
      <c r="V17" s="300"/>
      <c r="W17" s="300"/>
      <c r="X17" s="300"/>
      <c r="Y17" s="300"/>
      <c r="Z17" s="300"/>
      <c r="AA17" s="300"/>
      <c r="AB17" s="300"/>
      <c r="AC17" s="300"/>
      <c r="AD17" s="300"/>
      <c r="AE17" s="300"/>
      <c r="AF17" s="300"/>
      <c r="AG17" s="102"/>
      <c r="AH17" s="102"/>
    </row>
    <row r="18" spans="1:34" ht="15" customHeight="1">
      <c r="A18" s="102"/>
      <c r="B18" s="322" t="s">
        <v>15</v>
      </c>
      <c r="C18" s="322"/>
      <c r="D18" s="322"/>
      <c r="E18" s="322"/>
      <c r="F18" s="322"/>
      <c r="G18" s="300" t="s">
        <v>153</v>
      </c>
      <c r="H18" s="300"/>
      <c r="I18" s="300"/>
      <c r="J18" s="300"/>
      <c r="K18" s="300"/>
      <c r="L18" s="300"/>
      <c r="M18" s="300"/>
      <c r="N18" s="300"/>
      <c r="O18" s="300"/>
      <c r="P18" s="300"/>
      <c r="Q18" s="300"/>
      <c r="R18" s="300"/>
      <c r="S18" s="300"/>
      <c r="T18" s="300"/>
      <c r="U18" s="300"/>
      <c r="V18" s="300"/>
      <c r="W18" s="300"/>
      <c r="X18" s="300"/>
      <c r="Y18" s="300"/>
      <c r="Z18" s="300"/>
      <c r="AA18" s="300"/>
      <c r="AB18" s="300"/>
      <c r="AC18" s="300"/>
      <c r="AD18" s="300"/>
      <c r="AE18" s="300"/>
      <c r="AF18" s="300"/>
      <c r="AG18" s="102"/>
      <c r="AH18" s="102"/>
    </row>
    <row r="19" spans="1:34" ht="24" customHeight="1">
      <c r="A19" s="102"/>
      <c r="B19" s="312" t="s">
        <v>188</v>
      </c>
      <c r="C19" s="312"/>
      <c r="D19" s="312"/>
      <c r="E19" s="312"/>
      <c r="F19" s="312"/>
      <c r="G19" s="300" t="s">
        <v>153</v>
      </c>
      <c r="H19" s="300"/>
      <c r="I19" s="300"/>
      <c r="J19" s="300"/>
      <c r="K19" s="300"/>
      <c r="L19" s="300"/>
      <c r="M19" s="300"/>
      <c r="N19" s="300"/>
      <c r="O19" s="300"/>
      <c r="P19" s="300"/>
      <c r="Q19" s="300"/>
      <c r="R19" s="300"/>
      <c r="S19" s="300"/>
      <c r="T19" s="300"/>
      <c r="U19" s="300"/>
      <c r="V19" s="300"/>
      <c r="W19" s="300"/>
      <c r="X19" s="300"/>
      <c r="Y19" s="300"/>
      <c r="Z19" s="300"/>
      <c r="AA19" s="300"/>
      <c r="AB19" s="300"/>
      <c r="AC19" s="300"/>
      <c r="AD19" s="300"/>
      <c r="AE19" s="300"/>
      <c r="AF19" s="300"/>
      <c r="AG19" s="102"/>
      <c r="AH19" s="102"/>
    </row>
    <row r="20" spans="1:34">
      <c r="A20" s="102"/>
      <c r="B20" s="329" t="s">
        <v>189</v>
      </c>
      <c r="C20" s="329"/>
      <c r="D20" s="329"/>
      <c r="E20" s="329"/>
      <c r="F20" s="329"/>
      <c r="G20" s="300" t="s">
        <v>153</v>
      </c>
      <c r="H20" s="300"/>
      <c r="I20" s="300"/>
      <c r="J20" s="300"/>
      <c r="K20" s="300"/>
      <c r="L20" s="300"/>
      <c r="M20" s="300"/>
      <c r="N20" s="300"/>
      <c r="O20" s="300"/>
      <c r="P20" s="300"/>
      <c r="Q20" s="300"/>
      <c r="R20" s="300"/>
      <c r="S20" s="300"/>
      <c r="T20" s="300"/>
      <c r="U20" s="300"/>
      <c r="V20" s="300"/>
      <c r="W20" s="300"/>
      <c r="X20" s="300"/>
      <c r="Y20" s="300"/>
      <c r="Z20" s="300"/>
      <c r="AA20" s="300"/>
      <c r="AB20" s="300"/>
      <c r="AC20" s="300"/>
      <c r="AD20" s="300"/>
      <c r="AE20" s="300"/>
      <c r="AF20" s="300"/>
      <c r="AG20" s="102"/>
      <c r="AH20" s="102"/>
    </row>
    <row r="21" spans="1:34" ht="35.25" customHeight="1">
      <c r="A21" s="102"/>
      <c r="B21" s="313" t="s">
        <v>256</v>
      </c>
      <c r="C21" s="313"/>
      <c r="D21" s="313"/>
      <c r="E21" s="313"/>
      <c r="F21" s="313"/>
      <c r="G21" s="300" t="s">
        <v>257</v>
      </c>
      <c r="H21" s="300"/>
      <c r="I21" s="300"/>
      <c r="J21" s="300"/>
      <c r="K21" s="300"/>
      <c r="L21" s="300"/>
      <c r="M21" s="300"/>
      <c r="N21" s="300"/>
      <c r="O21" s="300"/>
      <c r="P21" s="300"/>
      <c r="Q21" s="300"/>
      <c r="R21" s="300"/>
      <c r="S21" s="300"/>
      <c r="T21" s="300"/>
      <c r="U21" s="300"/>
      <c r="V21" s="300"/>
      <c r="W21" s="300"/>
      <c r="X21" s="300"/>
      <c r="Y21" s="300"/>
      <c r="Z21" s="300"/>
      <c r="AA21" s="300"/>
      <c r="AB21" s="300"/>
      <c r="AC21" s="300"/>
      <c r="AD21" s="300"/>
      <c r="AE21" s="300"/>
      <c r="AF21" s="300"/>
      <c r="AG21" s="102"/>
      <c r="AH21" s="102"/>
    </row>
    <row r="22" spans="1:34" ht="28.5" customHeight="1">
      <c r="A22" s="102"/>
      <c r="B22" s="313" t="s">
        <v>258</v>
      </c>
      <c r="C22" s="313"/>
      <c r="D22" s="313"/>
      <c r="E22" s="313"/>
      <c r="F22" s="313"/>
      <c r="G22" s="300" t="s">
        <v>259</v>
      </c>
      <c r="H22" s="300"/>
      <c r="I22" s="300"/>
      <c r="J22" s="300"/>
      <c r="K22" s="300"/>
      <c r="L22" s="300"/>
      <c r="M22" s="300"/>
      <c r="N22" s="300"/>
      <c r="O22" s="300"/>
      <c r="P22" s="300"/>
      <c r="Q22" s="300"/>
      <c r="R22" s="300"/>
      <c r="S22" s="300"/>
      <c r="T22" s="300"/>
      <c r="U22" s="300"/>
      <c r="V22" s="300"/>
      <c r="W22" s="300"/>
      <c r="X22" s="300"/>
      <c r="Y22" s="300"/>
      <c r="Z22" s="300"/>
      <c r="AA22" s="300"/>
      <c r="AB22" s="300"/>
      <c r="AC22" s="300"/>
      <c r="AD22" s="300"/>
      <c r="AE22" s="300"/>
      <c r="AF22" s="300"/>
      <c r="AG22" s="102"/>
      <c r="AH22" s="102"/>
    </row>
    <row r="23" spans="1:34" ht="22.5" customHeight="1">
      <c r="A23" s="102"/>
      <c r="B23" s="313" t="s">
        <v>260</v>
      </c>
      <c r="C23" s="313"/>
      <c r="D23" s="313"/>
      <c r="E23" s="313"/>
      <c r="F23" s="313"/>
      <c r="G23" s="300" t="s">
        <v>261</v>
      </c>
      <c r="H23" s="300"/>
      <c r="I23" s="300"/>
      <c r="J23" s="300"/>
      <c r="K23" s="300"/>
      <c r="L23" s="300"/>
      <c r="M23" s="300"/>
      <c r="N23" s="300"/>
      <c r="O23" s="300"/>
      <c r="P23" s="300"/>
      <c r="Q23" s="300"/>
      <c r="R23" s="300"/>
      <c r="S23" s="300"/>
      <c r="T23" s="300"/>
      <c r="U23" s="300"/>
      <c r="V23" s="300"/>
      <c r="W23" s="300"/>
      <c r="X23" s="300"/>
      <c r="Y23" s="300"/>
      <c r="Z23" s="300"/>
      <c r="AA23" s="300"/>
      <c r="AB23" s="300"/>
      <c r="AC23" s="300"/>
      <c r="AD23" s="300"/>
      <c r="AE23" s="300"/>
      <c r="AF23" s="300"/>
      <c r="AG23" s="102"/>
      <c r="AH23" s="102"/>
    </row>
    <row r="24" spans="1:34" ht="45" customHeight="1">
      <c r="A24" s="102"/>
      <c r="B24" s="314" t="s">
        <v>190</v>
      </c>
      <c r="C24" s="314"/>
      <c r="D24" s="314"/>
      <c r="E24" s="314"/>
      <c r="F24" s="314"/>
      <c r="G24" s="300" t="s">
        <v>288</v>
      </c>
      <c r="H24" s="300"/>
      <c r="I24" s="300"/>
      <c r="J24" s="300"/>
      <c r="K24" s="300"/>
      <c r="L24" s="300"/>
      <c r="M24" s="300"/>
      <c r="N24" s="300"/>
      <c r="O24" s="300"/>
      <c r="P24" s="300"/>
      <c r="Q24" s="300"/>
      <c r="R24" s="300"/>
      <c r="S24" s="300"/>
      <c r="T24" s="300"/>
      <c r="U24" s="300"/>
      <c r="V24" s="300"/>
      <c r="W24" s="300"/>
      <c r="X24" s="300"/>
      <c r="Y24" s="300"/>
      <c r="Z24" s="300"/>
      <c r="AA24" s="300"/>
      <c r="AB24" s="300"/>
      <c r="AC24" s="300"/>
      <c r="AD24" s="300"/>
      <c r="AE24" s="300"/>
      <c r="AF24" s="300"/>
      <c r="AG24" s="102"/>
      <c r="AH24" s="102"/>
    </row>
    <row r="25" spans="1:34">
      <c r="A25" s="102"/>
      <c r="B25" s="102"/>
      <c r="C25" s="116"/>
      <c r="D25" s="102"/>
      <c r="E25" s="102"/>
      <c r="F25" s="102"/>
      <c r="G25" s="102"/>
      <c r="H25" s="102"/>
      <c r="I25" s="117"/>
      <c r="J25" s="102"/>
      <c r="K25" s="102"/>
      <c r="L25" s="102"/>
      <c r="M25" s="102"/>
      <c r="N25" s="102"/>
      <c r="O25" s="102"/>
      <c r="P25" s="102"/>
      <c r="Q25" s="102"/>
      <c r="R25" s="102"/>
      <c r="S25" s="102"/>
      <c r="T25" s="102"/>
      <c r="U25" s="102"/>
      <c r="V25" s="102"/>
      <c r="W25" s="102"/>
      <c r="X25" s="102"/>
      <c r="Y25" s="102"/>
      <c r="Z25" s="102"/>
      <c r="AA25" s="102"/>
      <c r="AB25" s="102"/>
      <c r="AC25" s="102"/>
      <c r="AD25" s="102"/>
      <c r="AE25" s="102"/>
      <c r="AF25" s="102"/>
      <c r="AG25" s="102"/>
      <c r="AH25" s="102"/>
    </row>
    <row r="26" spans="1:34" ht="20.25">
      <c r="A26" s="114"/>
      <c r="B26" s="114" t="s">
        <v>154</v>
      </c>
      <c r="C26" s="116"/>
      <c r="D26" s="102"/>
      <c r="E26" s="102"/>
      <c r="F26" s="102"/>
      <c r="G26" s="102"/>
      <c r="H26" s="102"/>
      <c r="I26" s="117"/>
      <c r="J26" s="102"/>
      <c r="K26" s="102"/>
      <c r="L26" s="102"/>
      <c r="M26" s="102"/>
      <c r="N26" s="102"/>
      <c r="O26" s="102"/>
      <c r="P26" s="102"/>
      <c r="Q26" s="102"/>
      <c r="R26" s="102"/>
      <c r="S26" s="102"/>
      <c r="T26" s="102"/>
      <c r="U26" s="102"/>
      <c r="V26" s="102"/>
      <c r="W26" s="102"/>
      <c r="X26" s="102"/>
      <c r="Y26" s="102"/>
      <c r="Z26" s="102"/>
      <c r="AA26" s="102"/>
      <c r="AB26" s="102"/>
      <c r="AC26" s="102"/>
      <c r="AD26" s="102"/>
      <c r="AE26" s="102"/>
      <c r="AF26" s="102"/>
      <c r="AG26" s="102"/>
      <c r="AH26" s="102"/>
    </row>
    <row r="27" spans="1:34">
      <c r="A27" s="102"/>
      <c r="B27" s="303" t="s">
        <v>34</v>
      </c>
      <c r="C27" s="305"/>
      <c r="D27" s="305"/>
      <c r="E27" s="303" t="s">
        <v>92</v>
      </c>
      <c r="F27" s="303"/>
      <c r="G27" s="303"/>
      <c r="H27" s="303"/>
      <c r="I27" s="303" t="s">
        <v>155</v>
      </c>
      <c r="J27" s="305"/>
      <c r="K27" s="305"/>
      <c r="L27" s="305"/>
      <c r="M27" s="305"/>
      <c r="N27" s="305"/>
      <c r="O27" s="305"/>
      <c r="P27" s="305"/>
      <c r="Q27" s="305"/>
      <c r="R27" s="303" t="s">
        <v>156</v>
      </c>
      <c r="S27" s="303"/>
      <c r="T27" s="303"/>
      <c r="U27" s="303"/>
      <c r="V27" s="303"/>
      <c r="W27" s="303"/>
      <c r="X27" s="303"/>
      <c r="Y27" s="303"/>
      <c r="Z27" s="303"/>
      <c r="AA27" s="303"/>
      <c r="AB27" s="303"/>
      <c r="AC27" s="303"/>
      <c r="AD27" s="303"/>
      <c r="AE27" s="303"/>
      <c r="AF27" s="303"/>
      <c r="AG27" s="102"/>
      <c r="AH27" s="102"/>
    </row>
    <row r="28" spans="1:34" ht="40.5" customHeight="1">
      <c r="A28" s="102"/>
      <c r="B28" s="293" t="s">
        <v>334</v>
      </c>
      <c r="C28" s="294" t="s">
        <v>3</v>
      </c>
      <c r="D28" s="295" t="s">
        <v>3</v>
      </c>
      <c r="E28" s="306"/>
      <c r="F28" s="307"/>
      <c r="G28" s="307"/>
      <c r="H28" s="308"/>
      <c r="I28" s="300"/>
      <c r="J28" s="309"/>
      <c r="K28" s="309"/>
      <c r="L28" s="309"/>
      <c r="M28" s="309"/>
      <c r="N28" s="309"/>
      <c r="O28" s="309"/>
      <c r="P28" s="309"/>
      <c r="Q28" s="309"/>
      <c r="R28" s="300" t="s">
        <v>14</v>
      </c>
      <c r="S28" s="300" t="s">
        <v>14</v>
      </c>
      <c r="T28" s="300" t="s">
        <v>14</v>
      </c>
      <c r="U28" s="300" t="s">
        <v>14</v>
      </c>
      <c r="V28" s="300" t="s">
        <v>14</v>
      </c>
      <c r="W28" s="300" t="s">
        <v>14</v>
      </c>
      <c r="X28" s="300" t="s">
        <v>14</v>
      </c>
      <c r="Y28" s="300" t="s">
        <v>14</v>
      </c>
      <c r="Z28" s="300" t="s">
        <v>14</v>
      </c>
      <c r="AA28" s="300" t="s">
        <v>14</v>
      </c>
      <c r="AB28" s="300" t="s">
        <v>14</v>
      </c>
      <c r="AC28" s="300" t="s">
        <v>14</v>
      </c>
      <c r="AD28" s="300" t="s">
        <v>14</v>
      </c>
      <c r="AE28" s="300" t="s">
        <v>14</v>
      </c>
      <c r="AF28" s="300" t="s">
        <v>14</v>
      </c>
      <c r="AG28" s="102"/>
      <c r="AH28" s="102"/>
    </row>
    <row r="29" spans="1:34" ht="60" customHeight="1">
      <c r="A29" s="102"/>
      <c r="B29" s="293" t="s">
        <v>18</v>
      </c>
      <c r="C29" s="294" t="s">
        <v>18</v>
      </c>
      <c r="D29" s="295" t="s">
        <v>18</v>
      </c>
      <c r="E29" s="306">
        <v>40591.490486111114</v>
      </c>
      <c r="F29" s="307">
        <v>40591.490486111114</v>
      </c>
      <c r="G29" s="307">
        <v>40591.490486111114</v>
      </c>
      <c r="H29" s="308">
        <v>40591.490486111114</v>
      </c>
      <c r="I29" s="300" t="s">
        <v>4</v>
      </c>
      <c r="J29" s="309" t="s">
        <v>4</v>
      </c>
      <c r="K29" s="309" t="s">
        <v>4</v>
      </c>
      <c r="L29" s="309" t="s">
        <v>4</v>
      </c>
      <c r="M29" s="309" t="s">
        <v>4</v>
      </c>
      <c r="N29" s="309" t="s">
        <v>4</v>
      </c>
      <c r="O29" s="309" t="s">
        <v>4</v>
      </c>
      <c r="P29" s="309" t="s">
        <v>4</v>
      </c>
      <c r="Q29" s="309" t="s">
        <v>4</v>
      </c>
      <c r="R29" s="300" t="s">
        <v>35</v>
      </c>
      <c r="S29" s="300" t="s">
        <v>35</v>
      </c>
      <c r="T29" s="300" t="s">
        <v>35</v>
      </c>
      <c r="U29" s="300" t="s">
        <v>35</v>
      </c>
      <c r="V29" s="300" t="s">
        <v>35</v>
      </c>
      <c r="W29" s="300" t="s">
        <v>35</v>
      </c>
      <c r="X29" s="300" t="s">
        <v>35</v>
      </c>
      <c r="Y29" s="300" t="s">
        <v>35</v>
      </c>
      <c r="Z29" s="300" t="s">
        <v>35</v>
      </c>
      <c r="AA29" s="300" t="s">
        <v>35</v>
      </c>
      <c r="AB29" s="300" t="s">
        <v>35</v>
      </c>
      <c r="AC29" s="300" t="s">
        <v>35</v>
      </c>
      <c r="AD29" s="300" t="s">
        <v>35</v>
      </c>
      <c r="AE29" s="300" t="s">
        <v>35</v>
      </c>
      <c r="AF29" s="300" t="s">
        <v>35</v>
      </c>
      <c r="AG29" s="102"/>
      <c r="AH29" s="102"/>
    </row>
    <row r="30" spans="1:34" ht="291" customHeight="1">
      <c r="A30" s="102"/>
      <c r="B30" s="293" t="s">
        <v>98</v>
      </c>
      <c r="C30" s="294" t="s">
        <v>98</v>
      </c>
      <c r="D30" s="295" t="s">
        <v>98</v>
      </c>
      <c r="E30" s="306">
        <v>41071.656145833331</v>
      </c>
      <c r="F30" s="307">
        <v>41071.656145833331</v>
      </c>
      <c r="G30" s="307">
        <v>41071.656145833331</v>
      </c>
      <c r="H30" s="308">
        <v>41071.656145833331</v>
      </c>
      <c r="I30" s="300" t="s">
        <v>4</v>
      </c>
      <c r="J30" s="309" t="s">
        <v>4</v>
      </c>
      <c r="K30" s="309" t="s">
        <v>4</v>
      </c>
      <c r="L30" s="309" t="s">
        <v>4</v>
      </c>
      <c r="M30" s="309" t="s">
        <v>4</v>
      </c>
      <c r="N30" s="309" t="s">
        <v>4</v>
      </c>
      <c r="O30" s="309" t="s">
        <v>4</v>
      </c>
      <c r="P30" s="309" t="s">
        <v>4</v>
      </c>
      <c r="Q30" s="309" t="s">
        <v>4</v>
      </c>
      <c r="R30" s="300" t="s">
        <v>129</v>
      </c>
      <c r="S30" s="300" t="s">
        <v>129</v>
      </c>
      <c r="T30" s="300" t="s">
        <v>129</v>
      </c>
      <c r="U30" s="300" t="s">
        <v>129</v>
      </c>
      <c r="V30" s="300" t="s">
        <v>129</v>
      </c>
      <c r="W30" s="300" t="s">
        <v>129</v>
      </c>
      <c r="X30" s="300" t="s">
        <v>129</v>
      </c>
      <c r="Y30" s="300" t="s">
        <v>129</v>
      </c>
      <c r="Z30" s="300" t="s">
        <v>129</v>
      </c>
      <c r="AA30" s="300" t="s">
        <v>129</v>
      </c>
      <c r="AB30" s="300" t="s">
        <v>129</v>
      </c>
      <c r="AC30" s="300" t="s">
        <v>129</v>
      </c>
      <c r="AD30" s="300" t="s">
        <v>129</v>
      </c>
      <c r="AE30" s="300" t="s">
        <v>129</v>
      </c>
      <c r="AF30" s="300" t="s">
        <v>129</v>
      </c>
      <c r="AG30" s="102"/>
      <c r="AH30" s="102"/>
    </row>
    <row r="31" spans="1:34" ht="40.5" customHeight="1">
      <c r="A31" s="102"/>
      <c r="B31" s="293" t="s">
        <v>86</v>
      </c>
      <c r="C31" s="294" t="s">
        <v>86</v>
      </c>
      <c r="D31" s="295" t="s">
        <v>86</v>
      </c>
      <c r="E31" s="306">
        <v>41071.656145833331</v>
      </c>
      <c r="F31" s="307">
        <v>41071.656145833331</v>
      </c>
      <c r="G31" s="307">
        <v>41071.656145833331</v>
      </c>
      <c r="H31" s="308">
        <v>41071.656145833331</v>
      </c>
      <c r="I31" s="300" t="s">
        <v>87</v>
      </c>
      <c r="J31" s="309" t="s">
        <v>87</v>
      </c>
      <c r="K31" s="309" t="s">
        <v>87</v>
      </c>
      <c r="L31" s="309" t="s">
        <v>87</v>
      </c>
      <c r="M31" s="309" t="s">
        <v>87</v>
      </c>
      <c r="N31" s="309" t="s">
        <v>87</v>
      </c>
      <c r="O31" s="309" t="s">
        <v>87</v>
      </c>
      <c r="P31" s="309" t="s">
        <v>87</v>
      </c>
      <c r="Q31" s="309" t="s">
        <v>87</v>
      </c>
      <c r="R31" s="300" t="s">
        <v>100</v>
      </c>
      <c r="S31" s="300" t="s">
        <v>100</v>
      </c>
      <c r="T31" s="300" t="s">
        <v>100</v>
      </c>
      <c r="U31" s="300" t="s">
        <v>100</v>
      </c>
      <c r="V31" s="300" t="s">
        <v>100</v>
      </c>
      <c r="W31" s="300" t="s">
        <v>100</v>
      </c>
      <c r="X31" s="300" t="s">
        <v>100</v>
      </c>
      <c r="Y31" s="300" t="s">
        <v>100</v>
      </c>
      <c r="Z31" s="300" t="s">
        <v>100</v>
      </c>
      <c r="AA31" s="300" t="s">
        <v>100</v>
      </c>
      <c r="AB31" s="300" t="s">
        <v>100</v>
      </c>
      <c r="AC31" s="300" t="s">
        <v>100</v>
      </c>
      <c r="AD31" s="300" t="s">
        <v>100</v>
      </c>
      <c r="AE31" s="300" t="s">
        <v>100</v>
      </c>
      <c r="AF31" s="300" t="s">
        <v>100</v>
      </c>
      <c r="AG31" s="102"/>
      <c r="AH31" s="102"/>
    </row>
    <row r="32" spans="1:34" ht="121.5" customHeight="1">
      <c r="A32" s="102"/>
      <c r="B32" s="293"/>
      <c r="C32" s="294"/>
      <c r="D32" s="295"/>
      <c r="E32" s="306">
        <v>42195</v>
      </c>
      <c r="F32" s="307">
        <v>42195</v>
      </c>
      <c r="G32" s="307">
        <v>42195</v>
      </c>
      <c r="H32" s="308">
        <v>42195</v>
      </c>
      <c r="I32" s="300" t="s">
        <v>99</v>
      </c>
      <c r="J32" s="309" t="s">
        <v>99</v>
      </c>
      <c r="K32" s="309" t="s">
        <v>99</v>
      </c>
      <c r="L32" s="309" t="s">
        <v>99</v>
      </c>
      <c r="M32" s="309" t="s">
        <v>99</v>
      </c>
      <c r="N32" s="309" t="s">
        <v>99</v>
      </c>
      <c r="O32" s="309" t="s">
        <v>99</v>
      </c>
      <c r="P32" s="309" t="s">
        <v>99</v>
      </c>
      <c r="Q32" s="309" t="s">
        <v>99</v>
      </c>
      <c r="R32" s="300" t="s">
        <v>102</v>
      </c>
      <c r="S32" s="300" t="s">
        <v>102</v>
      </c>
      <c r="T32" s="300" t="s">
        <v>102</v>
      </c>
      <c r="U32" s="300" t="s">
        <v>102</v>
      </c>
      <c r="V32" s="300" t="s">
        <v>102</v>
      </c>
      <c r="W32" s="300" t="s">
        <v>102</v>
      </c>
      <c r="X32" s="300" t="s">
        <v>102</v>
      </c>
      <c r="Y32" s="300" t="s">
        <v>102</v>
      </c>
      <c r="Z32" s="300" t="s">
        <v>102</v>
      </c>
      <c r="AA32" s="300" t="s">
        <v>102</v>
      </c>
      <c r="AB32" s="300" t="s">
        <v>102</v>
      </c>
      <c r="AC32" s="300" t="s">
        <v>102</v>
      </c>
      <c r="AD32" s="300" t="s">
        <v>102</v>
      </c>
      <c r="AE32" s="300" t="s">
        <v>102</v>
      </c>
      <c r="AF32" s="300" t="s">
        <v>102</v>
      </c>
      <c r="AG32" s="102"/>
      <c r="AH32" s="102"/>
    </row>
    <row r="33" spans="1:34" ht="114" customHeight="1">
      <c r="A33" s="102"/>
      <c r="B33" s="293" t="s">
        <v>103</v>
      </c>
      <c r="C33" s="294" t="s">
        <v>103</v>
      </c>
      <c r="D33" s="295" t="s">
        <v>103</v>
      </c>
      <c r="E33" s="306">
        <v>42391.634837962964</v>
      </c>
      <c r="F33" s="307">
        <v>42391.634837962964</v>
      </c>
      <c r="G33" s="307">
        <v>42391.634837962964</v>
      </c>
      <c r="H33" s="308">
        <v>42391.634837962964</v>
      </c>
      <c r="I33" s="300" t="s">
        <v>104</v>
      </c>
      <c r="J33" s="309" t="s">
        <v>104</v>
      </c>
      <c r="K33" s="309" t="s">
        <v>104</v>
      </c>
      <c r="L33" s="309" t="s">
        <v>104</v>
      </c>
      <c r="M33" s="309" t="s">
        <v>104</v>
      </c>
      <c r="N33" s="309" t="s">
        <v>104</v>
      </c>
      <c r="O33" s="309" t="s">
        <v>104</v>
      </c>
      <c r="P33" s="309" t="s">
        <v>104</v>
      </c>
      <c r="Q33" s="309" t="s">
        <v>104</v>
      </c>
      <c r="R33" s="300" t="s">
        <v>128</v>
      </c>
      <c r="S33" s="300" t="s">
        <v>128</v>
      </c>
      <c r="T33" s="300" t="s">
        <v>128</v>
      </c>
      <c r="U33" s="300" t="s">
        <v>128</v>
      </c>
      <c r="V33" s="300" t="s">
        <v>128</v>
      </c>
      <c r="W33" s="300" t="s">
        <v>128</v>
      </c>
      <c r="X33" s="300" t="s">
        <v>128</v>
      </c>
      <c r="Y33" s="300" t="s">
        <v>128</v>
      </c>
      <c r="Z33" s="300" t="s">
        <v>128</v>
      </c>
      <c r="AA33" s="300" t="s">
        <v>128</v>
      </c>
      <c r="AB33" s="300" t="s">
        <v>128</v>
      </c>
      <c r="AC33" s="300" t="s">
        <v>128</v>
      </c>
      <c r="AD33" s="300" t="s">
        <v>128</v>
      </c>
      <c r="AE33" s="300" t="s">
        <v>128</v>
      </c>
      <c r="AF33" s="300" t="s">
        <v>128</v>
      </c>
      <c r="AG33" s="102"/>
      <c r="AH33" s="102"/>
    </row>
    <row r="34" spans="1:34" ht="40.5" customHeight="1">
      <c r="A34" s="102"/>
      <c r="B34" s="310" t="s">
        <v>328</v>
      </c>
      <c r="C34" s="311"/>
      <c r="D34" s="311"/>
      <c r="E34" s="306"/>
      <c r="F34" s="307"/>
      <c r="G34" s="307"/>
      <c r="H34" s="308"/>
      <c r="I34" s="300" t="s">
        <v>319</v>
      </c>
      <c r="J34" s="309"/>
      <c r="K34" s="309"/>
      <c r="L34" s="309"/>
      <c r="M34" s="309"/>
      <c r="N34" s="309"/>
      <c r="O34" s="309"/>
      <c r="P34" s="309"/>
      <c r="Q34" s="309"/>
      <c r="R34" s="300" t="s">
        <v>320</v>
      </c>
      <c r="S34" s="300"/>
      <c r="T34" s="300"/>
      <c r="U34" s="300"/>
      <c r="V34" s="300"/>
      <c r="W34" s="300"/>
      <c r="X34" s="300"/>
      <c r="Y34" s="300"/>
      <c r="Z34" s="300"/>
      <c r="AA34" s="300"/>
      <c r="AB34" s="300"/>
      <c r="AC34" s="300"/>
      <c r="AD34" s="300"/>
      <c r="AE34" s="300"/>
      <c r="AF34" s="300"/>
      <c r="AG34" s="102"/>
      <c r="AH34" s="102"/>
    </row>
    <row r="35" spans="1:34" ht="40.5" customHeight="1">
      <c r="A35" s="102"/>
      <c r="B35" s="310" t="s">
        <v>329</v>
      </c>
      <c r="C35" s="311"/>
      <c r="D35" s="311"/>
      <c r="E35" s="306"/>
      <c r="F35" s="307"/>
      <c r="G35" s="307"/>
      <c r="H35" s="308"/>
      <c r="I35" s="300" t="s">
        <v>319</v>
      </c>
      <c r="J35" s="309"/>
      <c r="K35" s="309"/>
      <c r="L35" s="309"/>
      <c r="M35" s="309"/>
      <c r="N35" s="309"/>
      <c r="O35" s="309"/>
      <c r="P35" s="309"/>
      <c r="Q35" s="309"/>
      <c r="R35" s="300" t="s">
        <v>321</v>
      </c>
      <c r="S35" s="300"/>
      <c r="T35" s="300"/>
      <c r="U35" s="300"/>
      <c r="V35" s="300"/>
      <c r="W35" s="300"/>
      <c r="X35" s="300"/>
      <c r="Y35" s="300"/>
      <c r="Z35" s="300"/>
      <c r="AA35" s="300"/>
      <c r="AB35" s="300"/>
      <c r="AC35" s="300"/>
      <c r="AD35" s="300"/>
      <c r="AE35" s="300"/>
      <c r="AF35" s="300"/>
      <c r="AG35" s="102"/>
      <c r="AH35" s="102"/>
    </row>
    <row r="36" spans="1:34" ht="40.5" customHeight="1">
      <c r="A36" s="102"/>
      <c r="B36" s="310" t="s">
        <v>330</v>
      </c>
      <c r="C36" s="311"/>
      <c r="D36" s="311"/>
      <c r="E36" s="306"/>
      <c r="F36" s="307"/>
      <c r="G36" s="307"/>
      <c r="H36" s="308"/>
      <c r="I36" s="300" t="s">
        <v>319</v>
      </c>
      <c r="J36" s="309"/>
      <c r="K36" s="309"/>
      <c r="L36" s="309"/>
      <c r="M36" s="309"/>
      <c r="N36" s="309"/>
      <c r="O36" s="309"/>
      <c r="P36" s="309"/>
      <c r="Q36" s="309"/>
      <c r="R36" s="300" t="s">
        <v>322</v>
      </c>
      <c r="S36" s="300"/>
      <c r="T36" s="300"/>
      <c r="U36" s="300"/>
      <c r="V36" s="300"/>
      <c r="W36" s="300"/>
      <c r="X36" s="300"/>
      <c r="Y36" s="300"/>
      <c r="Z36" s="300"/>
      <c r="AA36" s="300"/>
      <c r="AB36" s="300"/>
      <c r="AC36" s="300"/>
      <c r="AD36" s="300"/>
      <c r="AE36" s="300"/>
      <c r="AF36" s="300"/>
      <c r="AG36" s="102"/>
      <c r="AH36" s="102"/>
    </row>
    <row r="37" spans="1:34" ht="102" customHeight="1">
      <c r="A37" s="102"/>
      <c r="B37" s="310" t="s">
        <v>331</v>
      </c>
      <c r="C37" s="311"/>
      <c r="D37" s="311"/>
      <c r="E37" s="306"/>
      <c r="F37" s="307"/>
      <c r="G37" s="307"/>
      <c r="H37" s="308"/>
      <c r="I37" s="300" t="s">
        <v>319</v>
      </c>
      <c r="J37" s="309"/>
      <c r="K37" s="309"/>
      <c r="L37" s="309"/>
      <c r="M37" s="309"/>
      <c r="N37" s="309"/>
      <c r="O37" s="309"/>
      <c r="P37" s="309"/>
      <c r="Q37" s="309"/>
      <c r="R37" s="300" t="s">
        <v>323</v>
      </c>
      <c r="S37" s="300"/>
      <c r="T37" s="300"/>
      <c r="U37" s="300"/>
      <c r="V37" s="300"/>
      <c r="W37" s="300"/>
      <c r="X37" s="300"/>
      <c r="Y37" s="300"/>
      <c r="Z37" s="300"/>
      <c r="AA37" s="300"/>
      <c r="AB37" s="300"/>
      <c r="AC37" s="300"/>
      <c r="AD37" s="300"/>
      <c r="AE37" s="300"/>
      <c r="AF37" s="300"/>
      <c r="AG37" s="102"/>
      <c r="AH37" s="102"/>
    </row>
    <row r="38" spans="1:34" ht="217.5" customHeight="1">
      <c r="A38" s="102"/>
      <c r="B38" s="310" t="s">
        <v>332</v>
      </c>
      <c r="C38" s="311"/>
      <c r="D38" s="311"/>
      <c r="E38" s="306"/>
      <c r="F38" s="307"/>
      <c r="G38" s="307"/>
      <c r="H38" s="308"/>
      <c r="I38" s="300" t="s">
        <v>319</v>
      </c>
      <c r="J38" s="309"/>
      <c r="K38" s="309"/>
      <c r="L38" s="309"/>
      <c r="M38" s="309"/>
      <c r="N38" s="309"/>
      <c r="O38" s="309"/>
      <c r="P38" s="309"/>
      <c r="Q38" s="309"/>
      <c r="R38" s="300" t="s">
        <v>324</v>
      </c>
      <c r="S38" s="300"/>
      <c r="T38" s="300"/>
      <c r="U38" s="300"/>
      <c r="V38" s="300"/>
      <c r="W38" s="300"/>
      <c r="X38" s="300"/>
      <c r="Y38" s="300"/>
      <c r="Z38" s="300"/>
      <c r="AA38" s="300"/>
      <c r="AB38" s="300"/>
      <c r="AC38" s="300"/>
      <c r="AD38" s="300"/>
      <c r="AE38" s="300"/>
      <c r="AF38" s="300"/>
      <c r="AG38" s="102"/>
      <c r="AH38" s="102"/>
    </row>
    <row r="39" spans="1:34" ht="40.5" customHeight="1">
      <c r="A39" s="102"/>
      <c r="B39" s="310" t="s">
        <v>333</v>
      </c>
      <c r="C39" s="311"/>
      <c r="D39" s="311"/>
      <c r="E39" s="306"/>
      <c r="F39" s="307"/>
      <c r="G39" s="307"/>
      <c r="H39" s="308"/>
      <c r="I39" s="300" t="s">
        <v>319</v>
      </c>
      <c r="J39" s="309"/>
      <c r="K39" s="309"/>
      <c r="L39" s="309"/>
      <c r="M39" s="309"/>
      <c r="N39" s="309"/>
      <c r="O39" s="309"/>
      <c r="P39" s="309"/>
      <c r="Q39" s="309"/>
      <c r="R39" s="300" t="s">
        <v>325</v>
      </c>
      <c r="S39" s="300"/>
      <c r="T39" s="300"/>
      <c r="U39" s="300"/>
      <c r="V39" s="300"/>
      <c r="W39" s="300"/>
      <c r="X39" s="300"/>
      <c r="Y39" s="300"/>
      <c r="Z39" s="300"/>
      <c r="AA39" s="300"/>
      <c r="AB39" s="300"/>
      <c r="AC39" s="300"/>
      <c r="AD39" s="300"/>
      <c r="AE39" s="300"/>
      <c r="AF39" s="300"/>
      <c r="AG39" s="102"/>
      <c r="AH39" s="102"/>
    </row>
    <row r="40" spans="1:34" ht="69" customHeight="1">
      <c r="A40" s="102"/>
      <c r="B40" s="310" t="s">
        <v>327</v>
      </c>
      <c r="C40" s="311"/>
      <c r="D40" s="311"/>
      <c r="E40" s="306">
        <v>44562</v>
      </c>
      <c r="F40" s="307"/>
      <c r="G40" s="307"/>
      <c r="H40" s="308"/>
      <c r="I40" s="300" t="s">
        <v>319</v>
      </c>
      <c r="J40" s="309"/>
      <c r="K40" s="309"/>
      <c r="L40" s="309"/>
      <c r="M40" s="309"/>
      <c r="N40" s="309"/>
      <c r="O40" s="309"/>
      <c r="P40" s="309"/>
      <c r="Q40" s="309"/>
      <c r="R40" s="300" t="s">
        <v>326</v>
      </c>
      <c r="S40" s="300"/>
      <c r="T40" s="300"/>
      <c r="U40" s="300"/>
      <c r="V40" s="300"/>
      <c r="W40" s="300"/>
      <c r="X40" s="300"/>
      <c r="Y40" s="300"/>
      <c r="Z40" s="300"/>
      <c r="AA40" s="300"/>
      <c r="AB40" s="300"/>
      <c r="AC40" s="300"/>
      <c r="AD40" s="300"/>
      <c r="AE40" s="300"/>
      <c r="AF40" s="300"/>
      <c r="AG40" s="102"/>
      <c r="AH40" s="102"/>
    </row>
    <row r="41" spans="1:34">
      <c r="A41" s="102"/>
      <c r="B41" s="118" t="s">
        <v>157</v>
      </c>
      <c r="C41" s="119"/>
      <c r="D41" s="119"/>
      <c r="E41" s="120"/>
      <c r="F41" s="120"/>
      <c r="G41" s="120"/>
      <c r="H41" s="120"/>
      <c r="I41" s="120"/>
      <c r="J41" s="121"/>
      <c r="K41" s="121"/>
      <c r="L41" s="121"/>
      <c r="M41" s="121"/>
      <c r="N41" s="121"/>
      <c r="O41" s="121"/>
      <c r="P41" s="121"/>
      <c r="Q41" s="121"/>
      <c r="R41" s="120"/>
      <c r="S41" s="120"/>
      <c r="T41" s="120"/>
      <c r="U41" s="120"/>
      <c r="V41" s="120"/>
      <c r="W41" s="120"/>
      <c r="X41" s="120"/>
      <c r="Y41" s="120"/>
      <c r="Z41" s="120"/>
      <c r="AA41" s="120"/>
      <c r="AB41" s="120"/>
      <c r="AC41" s="120"/>
      <c r="AD41" s="120"/>
      <c r="AE41" s="120"/>
      <c r="AF41" s="120"/>
      <c r="AG41" s="102"/>
      <c r="AH41" s="102"/>
    </row>
    <row r="42" spans="1:34">
      <c r="A42" s="102"/>
      <c r="B42" s="102"/>
      <c r="C42" s="116"/>
      <c r="D42" s="102"/>
      <c r="E42" s="102"/>
      <c r="F42" s="102"/>
      <c r="G42" s="102"/>
      <c r="H42" s="102"/>
      <c r="I42" s="117"/>
      <c r="J42" s="102"/>
      <c r="K42" s="102"/>
      <c r="L42" s="102"/>
      <c r="M42" s="102"/>
      <c r="N42" s="102"/>
      <c r="O42" s="102"/>
      <c r="P42" s="102"/>
      <c r="Q42" s="102"/>
      <c r="R42" s="102"/>
      <c r="S42" s="102"/>
      <c r="T42" s="102"/>
      <c r="U42" s="102"/>
      <c r="V42" s="102"/>
      <c r="W42" s="102"/>
      <c r="X42" s="102"/>
      <c r="Y42" s="102"/>
      <c r="Z42" s="102"/>
      <c r="AA42" s="102"/>
      <c r="AB42" s="102"/>
      <c r="AC42" s="102"/>
      <c r="AD42" s="102"/>
      <c r="AE42" s="102"/>
      <c r="AF42" s="102"/>
      <c r="AG42" s="102"/>
      <c r="AH42" s="102"/>
    </row>
    <row r="43" spans="1:34">
      <c r="A43" s="102"/>
      <c r="B43" s="102"/>
      <c r="C43" s="102"/>
      <c r="D43" s="102"/>
      <c r="E43" s="102"/>
      <c r="F43" s="102"/>
      <c r="G43" s="102"/>
      <c r="H43" s="102"/>
      <c r="I43" s="102"/>
      <c r="J43" s="122"/>
      <c r="K43" s="102"/>
      <c r="L43" s="102"/>
      <c r="M43" s="102"/>
      <c r="N43" s="102"/>
      <c r="O43" s="102"/>
      <c r="P43" s="102"/>
      <c r="Q43" s="102"/>
      <c r="R43" s="102"/>
      <c r="S43" s="102"/>
      <c r="T43" s="102"/>
      <c r="U43" s="102"/>
      <c r="V43" s="102"/>
      <c r="W43" s="102"/>
      <c r="X43" s="102"/>
      <c r="Y43" s="102"/>
      <c r="Z43" s="102"/>
      <c r="AA43" s="102"/>
      <c r="AB43" s="102"/>
      <c r="AC43" s="102"/>
      <c r="AD43" s="102"/>
      <c r="AE43" s="102"/>
      <c r="AF43" s="102"/>
      <c r="AG43" s="102"/>
      <c r="AH43" s="102"/>
    </row>
    <row r="44" spans="1:34" ht="20.25">
      <c r="A44" s="102"/>
      <c r="B44" s="114" t="s">
        <v>158</v>
      </c>
      <c r="C44" s="115"/>
      <c r="D44" s="102"/>
      <c r="E44" s="102"/>
      <c r="F44" s="102"/>
      <c r="G44" s="102"/>
      <c r="H44" s="102"/>
      <c r="I44" s="117"/>
      <c r="J44" s="102"/>
      <c r="K44" s="102"/>
      <c r="L44" s="102"/>
      <c r="M44" s="102"/>
      <c r="N44" s="102"/>
      <c r="O44" s="102"/>
      <c r="P44" s="102"/>
      <c r="Q44" s="102"/>
      <c r="R44" s="102"/>
      <c r="S44" s="102"/>
      <c r="T44" s="102"/>
      <c r="U44" s="102"/>
      <c r="V44" s="102"/>
      <c r="W44" s="102"/>
      <c r="X44" s="102"/>
      <c r="Y44" s="102"/>
      <c r="Z44" s="102"/>
      <c r="AA44" s="102"/>
      <c r="AB44" s="102"/>
      <c r="AC44" s="102"/>
      <c r="AD44" s="102"/>
      <c r="AE44" s="102"/>
      <c r="AF44" s="102"/>
      <c r="AG44" s="102"/>
      <c r="AH44" s="102"/>
    </row>
    <row r="45" spans="1:34" ht="18.75">
      <c r="A45" s="102"/>
      <c r="B45" s="123" t="s">
        <v>159</v>
      </c>
      <c r="C45" s="115"/>
      <c r="D45" s="102"/>
      <c r="E45" s="102"/>
      <c r="F45" s="102"/>
      <c r="G45" s="102"/>
      <c r="H45" s="102"/>
      <c r="I45" s="117"/>
      <c r="J45" s="102"/>
      <c r="K45" s="102"/>
      <c r="L45" s="102"/>
      <c r="M45" s="102"/>
      <c r="N45" s="102"/>
      <c r="O45" s="102"/>
      <c r="P45" s="102"/>
      <c r="Q45" s="102"/>
      <c r="R45" s="102"/>
      <c r="S45" s="102"/>
      <c r="T45" s="102"/>
      <c r="U45" s="102"/>
      <c r="V45" s="102"/>
      <c r="W45" s="102"/>
      <c r="X45" s="102"/>
      <c r="Y45" s="102"/>
      <c r="Z45" s="102"/>
      <c r="AA45" s="102"/>
      <c r="AB45" s="102"/>
      <c r="AC45" s="102"/>
      <c r="AD45" s="102"/>
      <c r="AE45" s="102"/>
      <c r="AF45" s="102"/>
      <c r="AG45" s="102"/>
      <c r="AH45" s="102"/>
    </row>
    <row r="46" spans="1:34">
      <c r="A46" s="102"/>
      <c r="B46" s="303" t="s">
        <v>160</v>
      </c>
      <c r="C46" s="303"/>
      <c r="D46" s="303"/>
      <c r="E46" s="303" t="s">
        <v>161</v>
      </c>
      <c r="F46" s="305"/>
      <c r="G46" s="305"/>
      <c r="H46" s="305"/>
      <c r="I46" s="305"/>
      <c r="J46" s="305"/>
      <c r="K46" s="305"/>
      <c r="L46" s="305"/>
      <c r="M46" s="305"/>
      <c r="N46" s="305"/>
      <c r="O46" s="305"/>
      <c r="P46" s="305"/>
      <c r="Q46" s="305"/>
      <c r="R46" s="305"/>
      <c r="S46" s="305"/>
      <c r="T46" s="305"/>
      <c r="U46" s="305"/>
      <c r="V46" s="305"/>
      <c r="W46" s="305"/>
      <c r="X46" s="305"/>
      <c r="Y46" s="303" t="s">
        <v>162</v>
      </c>
      <c r="Z46" s="303"/>
      <c r="AA46" s="303"/>
      <c r="AB46" s="303"/>
      <c r="AC46" s="303"/>
      <c r="AD46" s="303"/>
      <c r="AE46" s="303"/>
      <c r="AF46" s="303"/>
      <c r="AG46" s="102"/>
      <c r="AH46" s="102"/>
    </row>
    <row r="47" spans="1:34">
      <c r="A47" s="102"/>
      <c r="B47" s="302"/>
      <c r="C47" s="302"/>
      <c r="D47" s="302"/>
      <c r="E47" s="300"/>
      <c r="F47" s="301"/>
      <c r="G47" s="301"/>
      <c r="H47" s="301"/>
      <c r="I47" s="301"/>
      <c r="J47" s="301"/>
      <c r="K47" s="301"/>
      <c r="L47" s="301"/>
      <c r="M47" s="301"/>
      <c r="N47" s="301"/>
      <c r="O47" s="301"/>
      <c r="P47" s="301"/>
      <c r="Q47" s="301"/>
      <c r="R47" s="301"/>
      <c r="S47" s="301"/>
      <c r="T47" s="301"/>
      <c r="U47" s="301"/>
      <c r="V47" s="301"/>
      <c r="W47" s="301"/>
      <c r="X47" s="301"/>
      <c r="Y47" s="300"/>
      <c r="Z47" s="301"/>
      <c r="AA47" s="301"/>
      <c r="AB47" s="301"/>
      <c r="AC47" s="301"/>
      <c r="AD47" s="301"/>
      <c r="AE47" s="301"/>
      <c r="AF47" s="301"/>
      <c r="AG47" s="102"/>
      <c r="AH47" s="102"/>
    </row>
    <row r="48" spans="1:34">
      <c r="A48" s="102"/>
      <c r="B48" s="302"/>
      <c r="C48" s="302"/>
      <c r="D48" s="302"/>
      <c r="E48" s="300"/>
      <c r="F48" s="301"/>
      <c r="G48" s="301"/>
      <c r="H48" s="301"/>
      <c r="I48" s="301"/>
      <c r="J48" s="301"/>
      <c r="K48" s="301"/>
      <c r="L48" s="301"/>
      <c r="M48" s="301"/>
      <c r="N48" s="301"/>
      <c r="O48" s="301"/>
      <c r="P48" s="301"/>
      <c r="Q48" s="301"/>
      <c r="R48" s="301"/>
      <c r="S48" s="301"/>
      <c r="T48" s="301"/>
      <c r="U48" s="301"/>
      <c r="V48" s="301"/>
      <c r="W48" s="301"/>
      <c r="X48" s="301"/>
      <c r="Y48" s="300"/>
      <c r="Z48" s="301"/>
      <c r="AA48" s="301"/>
      <c r="AB48" s="301"/>
      <c r="AC48" s="301"/>
      <c r="AD48" s="301"/>
      <c r="AE48" s="301"/>
      <c r="AF48" s="301"/>
      <c r="AG48" s="102"/>
      <c r="AH48" s="102"/>
    </row>
    <row r="49" spans="1:34">
      <c r="A49" s="102"/>
      <c r="B49" s="302"/>
      <c r="C49" s="302"/>
      <c r="D49" s="302"/>
      <c r="E49" s="300"/>
      <c r="F49" s="301"/>
      <c r="G49" s="301"/>
      <c r="H49" s="301"/>
      <c r="I49" s="301"/>
      <c r="J49" s="301"/>
      <c r="K49" s="301"/>
      <c r="L49" s="301"/>
      <c r="M49" s="301"/>
      <c r="N49" s="301"/>
      <c r="O49" s="301"/>
      <c r="P49" s="301"/>
      <c r="Q49" s="301"/>
      <c r="R49" s="301"/>
      <c r="S49" s="301"/>
      <c r="T49" s="301"/>
      <c r="U49" s="301"/>
      <c r="V49" s="301"/>
      <c r="W49" s="301"/>
      <c r="X49" s="301"/>
      <c r="Y49" s="300"/>
      <c r="Z49" s="301"/>
      <c r="AA49" s="301"/>
      <c r="AB49" s="301"/>
      <c r="AC49" s="301"/>
      <c r="AD49" s="301"/>
      <c r="AE49" s="301"/>
      <c r="AF49" s="301"/>
      <c r="AG49" s="102"/>
      <c r="AH49" s="102"/>
    </row>
    <row r="50" spans="1:34">
      <c r="A50" s="102"/>
      <c r="B50" s="302"/>
      <c r="C50" s="302"/>
      <c r="D50" s="302"/>
      <c r="E50" s="300"/>
      <c r="F50" s="301"/>
      <c r="G50" s="301"/>
      <c r="H50" s="301"/>
      <c r="I50" s="301"/>
      <c r="J50" s="301"/>
      <c r="K50" s="301"/>
      <c r="L50" s="301"/>
      <c r="M50" s="301"/>
      <c r="N50" s="301"/>
      <c r="O50" s="301"/>
      <c r="P50" s="301"/>
      <c r="Q50" s="301"/>
      <c r="R50" s="301"/>
      <c r="S50" s="301"/>
      <c r="T50" s="301"/>
      <c r="U50" s="301"/>
      <c r="V50" s="301"/>
      <c r="W50" s="301"/>
      <c r="X50" s="301"/>
      <c r="Y50" s="300"/>
      <c r="Z50" s="301"/>
      <c r="AA50" s="301"/>
      <c r="AB50" s="301"/>
      <c r="AC50" s="301"/>
      <c r="AD50" s="301"/>
      <c r="AE50" s="301"/>
      <c r="AF50" s="301"/>
      <c r="AG50" s="102"/>
      <c r="AH50" s="102"/>
    </row>
    <row r="51" spans="1:34" ht="18.75">
      <c r="A51" s="102"/>
      <c r="B51" s="123" t="s">
        <v>163</v>
      </c>
      <c r="C51" s="115"/>
      <c r="D51" s="102"/>
      <c r="E51" s="102"/>
      <c r="F51" s="102"/>
      <c r="G51" s="102"/>
      <c r="H51" s="102"/>
      <c r="I51" s="117"/>
      <c r="J51" s="102"/>
      <c r="K51" s="102"/>
      <c r="L51" s="102"/>
      <c r="M51" s="102"/>
      <c r="N51" s="102"/>
      <c r="O51" s="102"/>
      <c r="P51" s="102"/>
      <c r="Q51" s="102"/>
      <c r="R51" s="102"/>
      <c r="S51" s="102"/>
      <c r="T51" s="102"/>
      <c r="U51" s="102"/>
      <c r="V51" s="102"/>
      <c r="W51" s="102"/>
      <c r="X51" s="102"/>
      <c r="Y51" s="102"/>
      <c r="Z51" s="102"/>
      <c r="AA51" s="102"/>
      <c r="AB51" s="102"/>
      <c r="AC51" s="102"/>
      <c r="AD51" s="102"/>
      <c r="AE51" s="102"/>
      <c r="AF51" s="102"/>
      <c r="AG51" s="102"/>
      <c r="AH51" s="102"/>
    </row>
    <row r="52" spans="1:34">
      <c r="A52" s="102"/>
      <c r="B52" s="303" t="s">
        <v>160</v>
      </c>
      <c r="C52" s="303"/>
      <c r="D52" s="303"/>
      <c r="E52" s="303" t="s">
        <v>161</v>
      </c>
      <c r="F52" s="305"/>
      <c r="G52" s="305"/>
      <c r="H52" s="305"/>
      <c r="I52" s="305"/>
      <c r="J52" s="305"/>
      <c r="K52" s="305"/>
      <c r="L52" s="305"/>
      <c r="M52" s="305"/>
      <c r="N52" s="305"/>
      <c r="O52" s="305"/>
      <c r="P52" s="305"/>
      <c r="Q52" s="305"/>
      <c r="R52" s="305"/>
      <c r="S52" s="305"/>
      <c r="T52" s="305"/>
      <c r="U52" s="305"/>
      <c r="V52" s="305"/>
      <c r="W52" s="305"/>
      <c r="X52" s="305"/>
      <c r="Y52" s="303" t="s">
        <v>162</v>
      </c>
      <c r="Z52" s="303"/>
      <c r="AA52" s="303"/>
      <c r="AB52" s="303"/>
      <c r="AC52" s="303"/>
      <c r="AD52" s="303"/>
      <c r="AE52" s="303"/>
      <c r="AF52" s="303"/>
      <c r="AG52" s="102"/>
      <c r="AH52" s="102"/>
    </row>
    <row r="53" spans="1:34">
      <c r="A53" s="102"/>
      <c r="B53" s="302"/>
      <c r="C53" s="302"/>
      <c r="D53" s="302"/>
      <c r="E53" s="300"/>
      <c r="F53" s="301"/>
      <c r="G53" s="301"/>
      <c r="H53" s="301"/>
      <c r="I53" s="301"/>
      <c r="J53" s="301"/>
      <c r="K53" s="301"/>
      <c r="L53" s="301"/>
      <c r="M53" s="301"/>
      <c r="N53" s="301"/>
      <c r="O53" s="301"/>
      <c r="P53" s="301"/>
      <c r="Q53" s="301"/>
      <c r="R53" s="301"/>
      <c r="S53" s="301"/>
      <c r="T53" s="301"/>
      <c r="U53" s="301"/>
      <c r="V53" s="301"/>
      <c r="W53" s="301"/>
      <c r="X53" s="301"/>
      <c r="Y53" s="300"/>
      <c r="Z53" s="301"/>
      <c r="AA53" s="301"/>
      <c r="AB53" s="301"/>
      <c r="AC53" s="301"/>
      <c r="AD53" s="301"/>
      <c r="AE53" s="301"/>
      <c r="AF53" s="301"/>
      <c r="AG53" s="102"/>
      <c r="AH53" s="102"/>
    </row>
    <row r="54" spans="1:34">
      <c r="A54" s="102"/>
      <c r="B54" s="302"/>
      <c r="C54" s="302"/>
      <c r="D54" s="302"/>
      <c r="E54" s="300"/>
      <c r="F54" s="301"/>
      <c r="G54" s="301"/>
      <c r="H54" s="301"/>
      <c r="I54" s="301"/>
      <c r="J54" s="301"/>
      <c r="K54" s="301"/>
      <c r="L54" s="301"/>
      <c r="M54" s="301"/>
      <c r="N54" s="301"/>
      <c r="O54" s="301"/>
      <c r="P54" s="301"/>
      <c r="Q54" s="301"/>
      <c r="R54" s="301"/>
      <c r="S54" s="301"/>
      <c r="T54" s="301"/>
      <c r="U54" s="301"/>
      <c r="V54" s="301"/>
      <c r="W54" s="301"/>
      <c r="X54" s="301"/>
      <c r="Y54" s="300"/>
      <c r="Z54" s="301"/>
      <c r="AA54" s="301"/>
      <c r="AB54" s="301"/>
      <c r="AC54" s="301"/>
      <c r="AD54" s="301"/>
      <c r="AE54" s="301"/>
      <c r="AF54" s="301"/>
      <c r="AG54" s="102"/>
      <c r="AH54" s="102"/>
    </row>
    <row r="55" spans="1:34">
      <c r="A55" s="102"/>
      <c r="B55" s="302"/>
      <c r="C55" s="302"/>
      <c r="D55" s="302"/>
      <c r="E55" s="300"/>
      <c r="F55" s="301"/>
      <c r="G55" s="301"/>
      <c r="H55" s="301"/>
      <c r="I55" s="301"/>
      <c r="J55" s="301"/>
      <c r="K55" s="301"/>
      <c r="L55" s="301"/>
      <c r="M55" s="301"/>
      <c r="N55" s="301"/>
      <c r="O55" s="301"/>
      <c r="P55" s="301"/>
      <c r="Q55" s="301"/>
      <c r="R55" s="301"/>
      <c r="S55" s="301"/>
      <c r="T55" s="301"/>
      <c r="U55" s="301"/>
      <c r="V55" s="301"/>
      <c r="W55" s="301"/>
      <c r="X55" s="301"/>
      <c r="Y55" s="300"/>
      <c r="Z55" s="301"/>
      <c r="AA55" s="301"/>
      <c r="AB55" s="301"/>
      <c r="AC55" s="301"/>
      <c r="AD55" s="301"/>
      <c r="AE55" s="301"/>
      <c r="AF55" s="301"/>
      <c r="AG55" s="102"/>
      <c r="AH55" s="102"/>
    </row>
    <row r="56" spans="1:34">
      <c r="A56" s="102"/>
      <c r="B56" s="302"/>
      <c r="C56" s="302"/>
      <c r="D56" s="302"/>
      <c r="E56" s="300"/>
      <c r="F56" s="301"/>
      <c r="G56" s="301"/>
      <c r="H56" s="301"/>
      <c r="I56" s="301"/>
      <c r="J56" s="301"/>
      <c r="K56" s="301"/>
      <c r="L56" s="301"/>
      <c r="M56" s="301"/>
      <c r="N56" s="301"/>
      <c r="O56" s="301"/>
      <c r="P56" s="301"/>
      <c r="Q56" s="301"/>
      <c r="R56" s="301"/>
      <c r="S56" s="301"/>
      <c r="T56" s="301"/>
      <c r="U56" s="301"/>
      <c r="V56" s="301"/>
      <c r="W56" s="301"/>
      <c r="X56" s="301"/>
      <c r="Y56" s="300"/>
      <c r="Z56" s="301"/>
      <c r="AA56" s="301"/>
      <c r="AB56" s="301"/>
      <c r="AC56" s="301"/>
      <c r="AD56" s="301"/>
      <c r="AE56" s="301"/>
      <c r="AF56" s="301"/>
      <c r="AG56" s="102"/>
      <c r="AH56" s="102"/>
    </row>
    <row r="57" spans="1:34">
      <c r="A57" s="102"/>
      <c r="B57" s="102"/>
      <c r="C57" s="116"/>
      <c r="D57" s="102"/>
      <c r="E57" s="102"/>
      <c r="F57" s="102"/>
      <c r="G57" s="102"/>
      <c r="H57" s="102"/>
      <c r="I57" s="117"/>
      <c r="J57" s="102"/>
      <c r="K57" s="102"/>
      <c r="L57" s="102"/>
      <c r="M57" s="102"/>
      <c r="N57" s="102"/>
      <c r="O57" s="102"/>
      <c r="P57" s="102"/>
      <c r="Q57" s="102"/>
      <c r="R57" s="102"/>
      <c r="S57" s="102"/>
      <c r="T57" s="102"/>
      <c r="U57" s="102"/>
      <c r="V57" s="102"/>
      <c r="W57" s="102"/>
      <c r="X57" s="102"/>
      <c r="Y57" s="102"/>
      <c r="Z57" s="102"/>
      <c r="AA57" s="102"/>
      <c r="AB57" s="102"/>
      <c r="AC57" s="102"/>
      <c r="AD57" s="102"/>
      <c r="AE57" s="102"/>
      <c r="AF57" s="102"/>
      <c r="AG57" s="102"/>
      <c r="AH57" s="102"/>
    </row>
    <row r="58" spans="1:34" ht="20.25">
      <c r="A58" s="102"/>
      <c r="B58" s="114" t="s">
        <v>164</v>
      </c>
      <c r="C58" s="115"/>
      <c r="D58" s="102"/>
      <c r="E58" s="102"/>
      <c r="F58" s="102"/>
      <c r="G58" s="102"/>
      <c r="H58" s="102"/>
      <c r="I58" s="117"/>
      <c r="J58" s="102"/>
      <c r="K58" s="102"/>
      <c r="L58" s="102"/>
      <c r="M58" s="102"/>
      <c r="N58" s="102"/>
      <c r="O58" s="102"/>
      <c r="P58" s="102"/>
      <c r="Q58" s="102"/>
      <c r="R58" s="102"/>
      <c r="S58" s="102"/>
      <c r="T58" s="102"/>
      <c r="U58" s="102"/>
      <c r="V58" s="102"/>
      <c r="W58" s="102"/>
      <c r="X58" s="102"/>
      <c r="Y58" s="102"/>
      <c r="Z58" s="102"/>
      <c r="AA58" s="102"/>
      <c r="AB58" s="102"/>
      <c r="AC58" s="102"/>
      <c r="AD58" s="102"/>
      <c r="AE58" s="102"/>
      <c r="AF58" s="102"/>
      <c r="AG58" s="102"/>
      <c r="AH58" s="102"/>
    </row>
    <row r="59" spans="1:34">
      <c r="A59" s="102"/>
      <c r="B59" s="303" t="s">
        <v>165</v>
      </c>
      <c r="C59" s="303"/>
      <c r="D59" s="303"/>
      <c r="E59" s="303"/>
      <c r="F59" s="303"/>
      <c r="G59" s="303"/>
      <c r="H59" s="304"/>
      <c r="I59" s="304"/>
      <c r="J59" s="304"/>
      <c r="K59" s="304"/>
      <c r="L59" s="304"/>
      <c r="M59" s="304"/>
      <c r="N59" s="304"/>
      <c r="O59" s="304"/>
      <c r="P59" s="304"/>
      <c r="Q59" s="304"/>
      <c r="R59" s="304"/>
      <c r="S59" s="304"/>
      <c r="T59" s="304"/>
      <c r="U59" s="304"/>
      <c r="V59" s="304"/>
      <c r="W59" s="304"/>
      <c r="X59" s="304"/>
      <c r="Y59" s="304"/>
      <c r="Z59" s="304"/>
      <c r="AA59" s="304"/>
      <c r="AB59" s="304"/>
      <c r="AC59" s="304"/>
      <c r="AD59" s="304"/>
      <c r="AE59" s="304"/>
      <c r="AF59" s="304"/>
      <c r="AG59" s="102"/>
      <c r="AH59" s="102"/>
    </row>
    <row r="60" spans="1:34" ht="27.75" customHeight="1">
      <c r="A60" s="102"/>
      <c r="B60" s="293" t="s">
        <v>166</v>
      </c>
      <c r="C60" s="294"/>
      <c r="D60" s="294"/>
      <c r="E60" s="294"/>
      <c r="F60" s="294"/>
      <c r="G60" s="295"/>
      <c r="H60" s="299" t="s">
        <v>167</v>
      </c>
      <c r="I60" s="297"/>
      <c r="J60" s="297"/>
      <c r="K60" s="297"/>
      <c r="L60" s="297"/>
      <c r="M60" s="297"/>
      <c r="N60" s="297"/>
      <c r="O60" s="297"/>
      <c r="P60" s="297"/>
      <c r="Q60" s="297"/>
      <c r="R60" s="297"/>
      <c r="S60" s="297"/>
      <c r="T60" s="297"/>
      <c r="U60" s="297"/>
      <c r="V60" s="297"/>
      <c r="W60" s="297"/>
      <c r="X60" s="297"/>
      <c r="Y60" s="297"/>
      <c r="Z60" s="297"/>
      <c r="AA60" s="297"/>
      <c r="AB60" s="297"/>
      <c r="AC60" s="297"/>
      <c r="AD60" s="297"/>
      <c r="AE60" s="297"/>
      <c r="AF60" s="298"/>
      <c r="AG60" s="102"/>
      <c r="AH60" s="102"/>
    </row>
    <row r="61" spans="1:34">
      <c r="A61" s="102"/>
      <c r="B61" s="293"/>
      <c r="C61" s="294"/>
      <c r="D61" s="294"/>
      <c r="E61" s="294"/>
      <c r="F61" s="294"/>
      <c r="G61" s="295"/>
      <c r="H61" s="296"/>
      <c r="I61" s="297"/>
      <c r="J61" s="297"/>
      <c r="K61" s="297"/>
      <c r="L61" s="297"/>
      <c r="M61" s="297"/>
      <c r="N61" s="297"/>
      <c r="O61" s="297"/>
      <c r="P61" s="297"/>
      <c r="Q61" s="297"/>
      <c r="R61" s="297"/>
      <c r="S61" s="297"/>
      <c r="T61" s="297"/>
      <c r="U61" s="297"/>
      <c r="V61" s="297"/>
      <c r="W61" s="297"/>
      <c r="X61" s="297"/>
      <c r="Y61" s="297"/>
      <c r="Z61" s="297"/>
      <c r="AA61" s="297"/>
      <c r="AB61" s="297"/>
      <c r="AC61" s="297"/>
      <c r="AD61" s="297"/>
      <c r="AE61" s="297"/>
      <c r="AF61" s="298"/>
      <c r="AG61" s="102"/>
      <c r="AH61" s="102"/>
    </row>
    <row r="62" spans="1:34">
      <c r="A62" s="102"/>
      <c r="B62" s="293"/>
      <c r="C62" s="294"/>
      <c r="D62" s="294"/>
      <c r="E62" s="294"/>
      <c r="F62" s="294"/>
      <c r="G62" s="295"/>
      <c r="H62" s="296"/>
      <c r="I62" s="297"/>
      <c r="J62" s="297"/>
      <c r="K62" s="297"/>
      <c r="L62" s="297"/>
      <c r="M62" s="297"/>
      <c r="N62" s="297"/>
      <c r="O62" s="297"/>
      <c r="P62" s="297"/>
      <c r="Q62" s="297"/>
      <c r="R62" s="297"/>
      <c r="S62" s="297"/>
      <c r="T62" s="297"/>
      <c r="U62" s="297"/>
      <c r="V62" s="297"/>
      <c r="W62" s="297"/>
      <c r="X62" s="297"/>
      <c r="Y62" s="297"/>
      <c r="Z62" s="297"/>
      <c r="AA62" s="297"/>
      <c r="AB62" s="297"/>
      <c r="AC62" s="297"/>
      <c r="AD62" s="297"/>
      <c r="AE62" s="297"/>
      <c r="AF62" s="298"/>
      <c r="AG62" s="102"/>
      <c r="AH62" s="102"/>
    </row>
    <row r="63" spans="1:34">
      <c r="A63" s="102"/>
      <c r="B63" s="293"/>
      <c r="C63" s="294"/>
      <c r="D63" s="294"/>
      <c r="E63" s="294"/>
      <c r="F63" s="294"/>
      <c r="G63" s="295"/>
      <c r="H63" s="296"/>
      <c r="I63" s="297"/>
      <c r="J63" s="297"/>
      <c r="K63" s="297"/>
      <c r="L63" s="297"/>
      <c r="M63" s="297"/>
      <c r="N63" s="297"/>
      <c r="O63" s="297"/>
      <c r="P63" s="297"/>
      <c r="Q63" s="297"/>
      <c r="R63" s="297"/>
      <c r="S63" s="297"/>
      <c r="T63" s="297"/>
      <c r="U63" s="297"/>
      <c r="V63" s="297"/>
      <c r="W63" s="297"/>
      <c r="X63" s="297"/>
      <c r="Y63" s="297"/>
      <c r="Z63" s="297"/>
      <c r="AA63" s="297"/>
      <c r="AB63" s="297"/>
      <c r="AC63" s="297"/>
      <c r="AD63" s="297"/>
      <c r="AE63" s="297"/>
      <c r="AF63" s="298"/>
      <c r="AG63" s="102"/>
      <c r="AH63" s="102"/>
    </row>
    <row r="64" spans="1:34">
      <c r="A64" s="102"/>
      <c r="B64" s="293"/>
      <c r="C64" s="294"/>
      <c r="D64" s="294"/>
      <c r="E64" s="294"/>
      <c r="F64" s="294"/>
      <c r="G64" s="295"/>
      <c r="H64" s="296"/>
      <c r="I64" s="297"/>
      <c r="J64" s="297"/>
      <c r="K64" s="297"/>
      <c r="L64" s="297"/>
      <c r="M64" s="297"/>
      <c r="N64" s="297"/>
      <c r="O64" s="297"/>
      <c r="P64" s="297"/>
      <c r="Q64" s="297"/>
      <c r="R64" s="297"/>
      <c r="S64" s="297"/>
      <c r="T64" s="297"/>
      <c r="U64" s="297"/>
      <c r="V64" s="297"/>
      <c r="W64" s="297"/>
      <c r="X64" s="297"/>
      <c r="Y64" s="297"/>
      <c r="Z64" s="297"/>
      <c r="AA64" s="297"/>
      <c r="AB64" s="297"/>
      <c r="AC64" s="297"/>
      <c r="AD64" s="297"/>
      <c r="AE64" s="297"/>
      <c r="AF64" s="298"/>
      <c r="AG64" s="102"/>
      <c r="AH64" s="102"/>
    </row>
    <row r="65" spans="1:34">
      <c r="A65" s="102"/>
      <c r="B65" s="120"/>
      <c r="C65" s="120"/>
      <c r="D65" s="120"/>
      <c r="E65" s="120"/>
      <c r="F65" s="120"/>
      <c r="G65" s="120"/>
      <c r="H65" s="124"/>
      <c r="I65" s="124"/>
      <c r="J65" s="124"/>
      <c r="K65" s="124"/>
      <c r="L65" s="124"/>
      <c r="M65" s="124"/>
      <c r="N65" s="124"/>
      <c r="O65" s="124"/>
      <c r="P65" s="124"/>
      <c r="Q65" s="124"/>
      <c r="R65" s="124"/>
      <c r="S65" s="124"/>
      <c r="T65" s="124"/>
      <c r="U65" s="124"/>
      <c r="V65" s="124"/>
      <c r="W65" s="124"/>
      <c r="X65" s="124"/>
      <c r="Y65" s="124"/>
      <c r="Z65" s="124"/>
      <c r="AA65" s="124"/>
      <c r="AB65" s="124"/>
      <c r="AC65" s="124"/>
      <c r="AD65" s="124"/>
      <c r="AE65" s="124"/>
      <c r="AF65" s="124"/>
      <c r="AG65" s="102"/>
      <c r="AH65" s="102"/>
    </row>
    <row r="66" spans="1:34">
      <c r="A66" s="102"/>
      <c r="B66" s="120"/>
      <c r="C66" s="120"/>
      <c r="D66" s="120"/>
      <c r="E66" s="120"/>
      <c r="F66" s="120"/>
      <c r="G66" s="120"/>
      <c r="H66" s="124"/>
      <c r="I66" s="124"/>
      <c r="J66" s="124"/>
      <c r="K66" s="124"/>
      <c r="L66" s="124"/>
      <c r="M66" s="124"/>
      <c r="N66" s="124"/>
      <c r="O66" s="124"/>
      <c r="P66" s="124"/>
      <c r="Q66" s="124"/>
      <c r="R66" s="124"/>
      <c r="S66" s="124"/>
      <c r="T66" s="124"/>
      <c r="U66" s="124"/>
      <c r="V66" s="124"/>
      <c r="W66" s="124"/>
      <c r="X66" s="124"/>
      <c r="Y66" s="124"/>
      <c r="Z66" s="124"/>
      <c r="AA66" s="124"/>
      <c r="AB66" s="124"/>
      <c r="AC66" s="124"/>
      <c r="AD66" s="124"/>
      <c r="AE66" s="124"/>
      <c r="AF66" s="124"/>
      <c r="AG66" s="102"/>
      <c r="AH66" s="102"/>
    </row>
    <row r="67" spans="1:34" ht="26.25">
      <c r="A67" s="102"/>
      <c r="B67" s="125" t="s">
        <v>168</v>
      </c>
      <c r="C67" s="126"/>
      <c r="D67" s="126"/>
      <c r="E67" s="126"/>
      <c r="F67" s="126"/>
      <c r="G67" s="126"/>
      <c r="H67" s="127"/>
      <c r="I67" s="127"/>
      <c r="J67" s="127"/>
      <c r="K67" s="127"/>
      <c r="L67" s="127"/>
      <c r="M67" s="127"/>
      <c r="N67" s="127"/>
      <c r="O67" s="127"/>
      <c r="P67" s="127"/>
      <c r="Q67" s="127"/>
      <c r="R67" s="127"/>
      <c r="S67" s="127"/>
      <c r="T67" s="127"/>
      <c r="U67" s="127"/>
      <c r="V67" s="127"/>
      <c r="W67" s="127"/>
      <c r="X67" s="127"/>
      <c r="Y67" s="127"/>
      <c r="Z67" s="127"/>
      <c r="AA67" s="127"/>
      <c r="AB67" s="127"/>
      <c r="AC67" s="127"/>
      <c r="AD67" s="127"/>
      <c r="AE67" s="127"/>
      <c r="AF67" s="127"/>
      <c r="AG67" s="102"/>
      <c r="AH67" s="102"/>
    </row>
    <row r="68" spans="1:34" ht="26.25">
      <c r="A68" s="102"/>
      <c r="B68" s="128"/>
      <c r="C68" s="120"/>
      <c r="D68" s="120"/>
      <c r="E68" s="120"/>
      <c r="F68" s="120"/>
      <c r="G68" s="120"/>
      <c r="H68" s="124"/>
      <c r="I68" s="124"/>
      <c r="J68" s="124"/>
      <c r="K68" s="124"/>
      <c r="L68" s="124"/>
      <c r="M68" s="124"/>
      <c r="N68" s="124"/>
      <c r="O68" s="124"/>
      <c r="P68" s="124"/>
      <c r="Q68" s="124"/>
      <c r="R68" s="124"/>
      <c r="S68" s="124"/>
      <c r="T68" s="124"/>
      <c r="U68" s="124"/>
      <c r="V68" s="124"/>
      <c r="W68" s="124"/>
      <c r="X68" s="124"/>
      <c r="Y68" s="124"/>
      <c r="Z68" s="124"/>
      <c r="AA68" s="124"/>
      <c r="AB68" s="124"/>
      <c r="AC68" s="124"/>
      <c r="AD68" s="124"/>
      <c r="AE68" s="124"/>
      <c r="AF68" s="124"/>
      <c r="AG68" s="102"/>
      <c r="AH68" s="102"/>
    </row>
    <row r="69" spans="1:34" s="165" customFormat="1" ht="20.25">
      <c r="B69" s="166" t="s">
        <v>241</v>
      </c>
    </row>
    <row r="70" spans="1:34">
      <c r="A70" s="102"/>
      <c r="B70" s="129"/>
      <c r="C70" s="129"/>
      <c r="D70" s="129"/>
      <c r="E70" s="129"/>
      <c r="F70" s="129"/>
      <c r="G70" s="129"/>
      <c r="H70" s="130"/>
      <c r="I70" s="130"/>
      <c r="J70" s="130"/>
      <c r="K70" s="130"/>
      <c r="L70" s="130"/>
      <c r="M70" s="130"/>
      <c r="N70" s="130"/>
      <c r="O70" s="130"/>
      <c r="P70" s="130"/>
      <c r="Q70" s="130"/>
      <c r="R70" s="130"/>
      <c r="S70" s="130"/>
      <c r="T70" s="130"/>
      <c r="U70" s="130"/>
      <c r="V70" s="130"/>
      <c r="W70" s="130"/>
      <c r="X70" s="130"/>
      <c r="Y70" s="130"/>
      <c r="Z70" s="130"/>
      <c r="AA70" s="130"/>
      <c r="AB70" s="130"/>
      <c r="AC70" s="130"/>
      <c r="AD70" s="130"/>
      <c r="AE70" s="130"/>
      <c r="AF70" s="130"/>
      <c r="AG70" s="102"/>
      <c r="AH70" s="102"/>
    </row>
    <row r="71" spans="1:34" ht="52.5" customHeight="1">
      <c r="A71" s="102"/>
      <c r="B71" s="330" t="s">
        <v>237</v>
      </c>
      <c r="C71" s="331"/>
      <c r="D71" s="331"/>
      <c r="E71" s="331"/>
      <c r="F71" s="331"/>
      <c r="G71" s="332"/>
      <c r="H71" s="333" t="s">
        <v>232</v>
      </c>
      <c r="I71" s="334"/>
      <c r="J71" s="334"/>
      <c r="K71" s="334"/>
      <c r="L71" s="334"/>
      <c r="M71" s="334"/>
      <c r="N71" s="334"/>
      <c r="O71" s="334"/>
      <c r="P71" s="334"/>
      <c r="Q71" s="334"/>
      <c r="R71" s="334"/>
      <c r="S71" s="334"/>
      <c r="T71" s="334"/>
      <c r="U71" s="334"/>
      <c r="V71" s="334"/>
      <c r="W71" s="334"/>
      <c r="X71" s="334"/>
      <c r="Y71" s="334"/>
      <c r="Z71" s="334"/>
      <c r="AA71" s="334"/>
      <c r="AB71" s="334"/>
      <c r="AC71" s="334"/>
      <c r="AD71" s="334"/>
      <c r="AE71" s="334"/>
      <c r="AF71" s="335"/>
      <c r="AG71" s="102"/>
      <c r="AH71" s="102"/>
    </row>
    <row r="72" spans="1:34" ht="111" customHeight="1">
      <c r="A72" s="102"/>
      <c r="B72" s="330" t="s">
        <v>238</v>
      </c>
      <c r="C72" s="331"/>
      <c r="D72" s="331"/>
      <c r="E72" s="331"/>
      <c r="F72" s="331"/>
      <c r="G72" s="332"/>
      <c r="H72" s="333" t="s">
        <v>234</v>
      </c>
      <c r="I72" s="334"/>
      <c r="J72" s="334"/>
      <c r="K72" s="334"/>
      <c r="L72" s="334"/>
      <c r="M72" s="334"/>
      <c r="N72" s="334"/>
      <c r="O72" s="334"/>
      <c r="P72" s="334"/>
      <c r="Q72" s="334"/>
      <c r="R72" s="334"/>
      <c r="S72" s="334"/>
      <c r="T72" s="334"/>
      <c r="U72" s="334"/>
      <c r="V72" s="334"/>
      <c r="W72" s="334"/>
      <c r="X72" s="334"/>
      <c r="Y72" s="334"/>
      <c r="Z72" s="334"/>
      <c r="AA72" s="334"/>
      <c r="AB72" s="334"/>
      <c r="AC72" s="334"/>
      <c r="AD72" s="334"/>
      <c r="AE72" s="334"/>
      <c r="AF72" s="335"/>
      <c r="AG72" s="102"/>
      <c r="AH72" s="102"/>
    </row>
    <row r="73" spans="1:34" ht="52.5" customHeight="1">
      <c r="A73" s="102"/>
      <c r="B73" s="330" t="s">
        <v>239</v>
      </c>
      <c r="C73" s="331"/>
      <c r="D73" s="331"/>
      <c r="E73" s="331"/>
      <c r="F73" s="331"/>
      <c r="G73" s="332"/>
      <c r="H73" s="333" t="s">
        <v>242</v>
      </c>
      <c r="I73" s="334"/>
      <c r="J73" s="334"/>
      <c r="K73" s="334"/>
      <c r="L73" s="334"/>
      <c r="M73" s="334"/>
      <c r="N73" s="334"/>
      <c r="O73" s="334"/>
      <c r="P73" s="334"/>
      <c r="Q73" s="334"/>
      <c r="R73" s="334"/>
      <c r="S73" s="334"/>
      <c r="T73" s="334"/>
      <c r="U73" s="334"/>
      <c r="V73" s="334"/>
      <c r="W73" s="334"/>
      <c r="X73" s="334"/>
      <c r="Y73" s="334"/>
      <c r="Z73" s="334"/>
      <c r="AA73" s="334"/>
      <c r="AB73" s="334"/>
      <c r="AC73" s="334"/>
      <c r="AD73" s="334"/>
      <c r="AE73" s="334"/>
      <c r="AF73" s="335"/>
      <c r="AG73" s="102"/>
      <c r="AH73" s="102"/>
    </row>
    <row r="74" spans="1:34" ht="52.5" customHeight="1">
      <c r="A74" s="102"/>
      <c r="B74" s="330" t="s">
        <v>231</v>
      </c>
      <c r="C74" s="331"/>
      <c r="D74" s="331"/>
      <c r="E74" s="331"/>
      <c r="F74" s="331"/>
      <c r="G74" s="332"/>
      <c r="H74" s="333" t="s">
        <v>235</v>
      </c>
      <c r="I74" s="334"/>
      <c r="J74" s="334"/>
      <c r="K74" s="334"/>
      <c r="L74" s="334"/>
      <c r="M74" s="334"/>
      <c r="N74" s="334"/>
      <c r="O74" s="334"/>
      <c r="P74" s="334"/>
      <c r="Q74" s="334"/>
      <c r="R74" s="334"/>
      <c r="S74" s="334"/>
      <c r="T74" s="334"/>
      <c r="U74" s="334"/>
      <c r="V74" s="334"/>
      <c r="W74" s="334"/>
      <c r="X74" s="334"/>
      <c r="Y74" s="334"/>
      <c r="Z74" s="334"/>
      <c r="AA74" s="334"/>
      <c r="AB74" s="334"/>
      <c r="AC74" s="334"/>
      <c r="AD74" s="334"/>
      <c r="AE74" s="334"/>
      <c r="AF74" s="335"/>
      <c r="AG74" s="102"/>
      <c r="AH74" s="102"/>
    </row>
    <row r="75" spans="1:34" ht="81" customHeight="1">
      <c r="A75" s="102"/>
      <c r="B75" s="330" t="s">
        <v>240</v>
      </c>
      <c r="C75" s="331"/>
      <c r="D75" s="331"/>
      <c r="E75" s="331"/>
      <c r="F75" s="331"/>
      <c r="G75" s="332"/>
      <c r="H75" s="333" t="s">
        <v>243</v>
      </c>
      <c r="I75" s="334"/>
      <c r="J75" s="334"/>
      <c r="K75" s="334"/>
      <c r="L75" s="334"/>
      <c r="M75" s="334"/>
      <c r="N75" s="334"/>
      <c r="O75" s="334"/>
      <c r="P75" s="334"/>
      <c r="Q75" s="334"/>
      <c r="R75" s="334"/>
      <c r="S75" s="334"/>
      <c r="T75" s="334"/>
      <c r="U75" s="334"/>
      <c r="V75" s="334"/>
      <c r="W75" s="334"/>
      <c r="X75" s="334"/>
      <c r="Y75" s="334"/>
      <c r="Z75" s="334"/>
      <c r="AA75" s="334"/>
      <c r="AB75" s="334"/>
      <c r="AC75" s="334"/>
      <c r="AD75" s="334"/>
      <c r="AE75" s="334"/>
      <c r="AF75" s="335"/>
      <c r="AG75" s="102"/>
      <c r="AH75" s="102"/>
    </row>
    <row r="76" spans="1:34" ht="97.5" customHeight="1">
      <c r="A76" s="102"/>
      <c r="B76" s="330" t="s">
        <v>233</v>
      </c>
      <c r="C76" s="331"/>
      <c r="D76" s="331"/>
      <c r="E76" s="331"/>
      <c r="F76" s="331"/>
      <c r="G76" s="332"/>
      <c r="H76" s="333" t="s">
        <v>236</v>
      </c>
      <c r="I76" s="334"/>
      <c r="J76" s="334"/>
      <c r="K76" s="334"/>
      <c r="L76" s="334"/>
      <c r="M76" s="334"/>
      <c r="N76" s="334"/>
      <c r="O76" s="334"/>
      <c r="P76" s="334"/>
      <c r="Q76" s="334"/>
      <c r="R76" s="334"/>
      <c r="S76" s="334"/>
      <c r="T76" s="334"/>
      <c r="U76" s="334"/>
      <c r="V76" s="334"/>
      <c r="W76" s="334"/>
      <c r="X76" s="334"/>
      <c r="Y76" s="334"/>
      <c r="Z76" s="334"/>
      <c r="AA76" s="334"/>
      <c r="AB76" s="334"/>
      <c r="AC76" s="334"/>
      <c r="AD76" s="334"/>
      <c r="AE76" s="334"/>
      <c r="AF76" s="335"/>
      <c r="AG76" s="102"/>
      <c r="AH76" s="102"/>
    </row>
    <row r="77" spans="1:34">
      <c r="A77" s="102"/>
      <c r="B77" s="129"/>
      <c r="C77" s="129"/>
      <c r="D77" s="129"/>
      <c r="E77" s="129"/>
      <c r="F77" s="129"/>
      <c r="G77" s="129"/>
      <c r="H77" s="130"/>
      <c r="I77" s="130"/>
      <c r="J77" s="130"/>
      <c r="K77" s="130"/>
      <c r="L77" s="130"/>
      <c r="M77" s="130"/>
      <c r="N77" s="130"/>
      <c r="O77" s="130"/>
      <c r="P77" s="130"/>
      <c r="Q77" s="130"/>
      <c r="R77" s="130"/>
      <c r="S77" s="130"/>
      <c r="T77" s="130"/>
      <c r="U77" s="130"/>
      <c r="V77" s="130"/>
      <c r="W77" s="130"/>
      <c r="X77" s="130"/>
      <c r="Y77" s="130"/>
      <c r="Z77" s="130"/>
      <c r="AA77" s="130"/>
      <c r="AB77" s="130"/>
      <c r="AC77" s="130"/>
      <c r="AD77" s="130"/>
      <c r="AE77" s="130"/>
      <c r="AF77" s="130"/>
      <c r="AG77" s="102"/>
      <c r="AH77" s="102"/>
    </row>
    <row r="78" spans="1:34">
      <c r="A78" s="102"/>
      <c r="B78" s="129"/>
      <c r="C78" s="129"/>
      <c r="D78" s="129"/>
      <c r="E78" s="129"/>
      <c r="F78" s="129"/>
      <c r="G78" s="129"/>
      <c r="H78" s="130"/>
      <c r="I78" s="130"/>
      <c r="J78" s="130"/>
      <c r="K78" s="130"/>
      <c r="L78" s="130"/>
      <c r="M78" s="130"/>
      <c r="N78" s="130"/>
      <c r="O78" s="130"/>
      <c r="P78" s="130"/>
      <c r="Q78" s="130"/>
      <c r="R78" s="130"/>
      <c r="S78" s="130"/>
      <c r="T78" s="130"/>
      <c r="U78" s="130"/>
      <c r="V78" s="130"/>
      <c r="W78" s="130"/>
      <c r="X78" s="130"/>
      <c r="Y78" s="130"/>
      <c r="Z78" s="130"/>
      <c r="AA78" s="130"/>
      <c r="AB78" s="130"/>
      <c r="AC78" s="130"/>
      <c r="AD78" s="130"/>
      <c r="AE78" s="130"/>
      <c r="AF78" s="130"/>
      <c r="AG78" s="102"/>
      <c r="AH78" s="102"/>
    </row>
    <row r="79" spans="1:34">
      <c r="A79" s="102"/>
      <c r="B79" s="129"/>
      <c r="C79" s="129"/>
      <c r="D79" s="129"/>
      <c r="E79" s="129"/>
      <c r="F79" s="129"/>
      <c r="G79" s="129"/>
      <c r="H79" s="130"/>
      <c r="I79" s="130"/>
      <c r="J79" s="130"/>
      <c r="K79" s="130"/>
      <c r="L79" s="130"/>
      <c r="M79" s="130"/>
      <c r="N79" s="130"/>
      <c r="O79" s="130"/>
      <c r="P79" s="130"/>
      <c r="Q79" s="130"/>
      <c r="R79" s="130"/>
      <c r="S79" s="130"/>
      <c r="T79" s="130"/>
      <c r="U79" s="130"/>
      <c r="V79" s="130"/>
      <c r="W79" s="130"/>
      <c r="X79" s="130"/>
      <c r="Y79" s="130"/>
      <c r="Z79" s="130"/>
      <c r="AA79" s="130"/>
      <c r="AB79" s="130"/>
      <c r="AC79" s="130"/>
      <c r="AD79" s="130"/>
      <c r="AE79" s="130"/>
      <c r="AF79" s="130"/>
      <c r="AG79" s="102"/>
      <c r="AH79" s="102"/>
    </row>
    <row r="80" spans="1:34" ht="26.25">
      <c r="A80" s="102"/>
      <c r="B80" s="125" t="s">
        <v>169</v>
      </c>
      <c r="C80" s="126"/>
      <c r="D80" s="126"/>
      <c r="E80" s="126"/>
      <c r="F80" s="126"/>
      <c r="G80" s="126"/>
      <c r="H80" s="127"/>
      <c r="I80" s="127"/>
      <c r="J80" s="127"/>
      <c r="K80" s="127"/>
      <c r="L80" s="127"/>
      <c r="M80" s="127"/>
      <c r="N80" s="127"/>
      <c r="O80" s="127"/>
      <c r="P80" s="127"/>
      <c r="Q80" s="127"/>
      <c r="R80" s="127"/>
      <c r="S80" s="127"/>
      <c r="T80" s="127"/>
      <c r="U80" s="127"/>
      <c r="V80" s="127"/>
      <c r="W80" s="127"/>
      <c r="X80" s="127"/>
      <c r="Y80" s="127"/>
      <c r="Z80" s="127"/>
      <c r="AA80" s="127"/>
      <c r="AB80" s="127"/>
      <c r="AC80" s="127"/>
      <c r="AD80" s="127"/>
      <c r="AE80" s="127"/>
      <c r="AF80" s="127"/>
      <c r="AG80" s="102"/>
      <c r="AH80" s="102"/>
    </row>
    <row r="81" spans="1:36">
      <c r="A81" s="102"/>
      <c r="B81" s="129"/>
      <c r="C81" s="129"/>
      <c r="D81" s="129"/>
      <c r="E81" s="129"/>
      <c r="F81" s="129"/>
      <c r="G81" s="129"/>
      <c r="H81" s="130"/>
      <c r="I81" s="130"/>
      <c r="J81" s="130"/>
      <c r="K81" s="130"/>
      <c r="L81" s="130"/>
      <c r="M81" s="130"/>
      <c r="N81" s="130"/>
      <c r="O81" s="130"/>
      <c r="P81" s="130"/>
      <c r="Q81" s="130"/>
      <c r="R81" s="130"/>
      <c r="S81" s="130"/>
      <c r="T81" s="130"/>
      <c r="U81" s="130"/>
      <c r="V81" s="130"/>
      <c r="W81" s="130"/>
      <c r="X81" s="130"/>
      <c r="Y81" s="130"/>
      <c r="Z81" s="130"/>
      <c r="AA81" s="130"/>
      <c r="AB81" s="130"/>
      <c r="AC81" s="130"/>
      <c r="AD81" s="130"/>
      <c r="AE81" s="130"/>
      <c r="AF81" s="130"/>
      <c r="AG81" s="102"/>
      <c r="AH81" s="102"/>
    </row>
    <row r="82" spans="1:36">
      <c r="A82" s="102"/>
      <c r="B82" s="129" t="s">
        <v>170</v>
      </c>
      <c r="C82" s="129"/>
      <c r="D82" s="129"/>
      <c r="E82" s="129"/>
      <c r="F82" s="129"/>
      <c r="G82" s="129"/>
      <c r="H82" s="130"/>
      <c r="I82" s="130"/>
      <c r="J82" s="130"/>
      <c r="K82" s="130"/>
      <c r="L82" s="130"/>
      <c r="M82" s="130"/>
      <c r="N82" s="130"/>
      <c r="O82" s="130"/>
      <c r="P82" s="130"/>
      <c r="Q82" s="130"/>
      <c r="R82" s="130"/>
      <c r="S82" s="130"/>
      <c r="T82" s="130"/>
      <c r="U82" s="130"/>
      <c r="V82" s="130"/>
      <c r="W82" s="130"/>
      <c r="X82" s="130"/>
      <c r="Y82" s="130"/>
      <c r="Z82" s="130"/>
      <c r="AA82" s="130"/>
      <c r="AB82" s="130"/>
      <c r="AC82" s="130"/>
      <c r="AD82" s="130"/>
      <c r="AE82" s="130"/>
      <c r="AF82" s="130"/>
      <c r="AG82" s="102"/>
      <c r="AH82" s="102"/>
    </row>
    <row r="83" spans="1:36" ht="67.5">
      <c r="A83" s="102"/>
      <c r="B83" s="129"/>
      <c r="C83" s="129"/>
      <c r="D83" s="129"/>
      <c r="E83" s="129"/>
      <c r="F83" s="129"/>
      <c r="G83" s="129"/>
      <c r="H83" s="130"/>
      <c r="I83" s="130"/>
      <c r="J83" s="130"/>
      <c r="K83" s="130"/>
      <c r="L83" s="130"/>
      <c r="M83" s="130"/>
      <c r="N83" s="130"/>
      <c r="O83" s="130"/>
      <c r="P83" s="130"/>
      <c r="Q83" s="130"/>
      <c r="R83" s="130"/>
      <c r="S83" s="130"/>
      <c r="T83" s="130"/>
      <c r="U83" s="130"/>
      <c r="V83" s="130"/>
      <c r="W83" s="130"/>
      <c r="X83" s="130"/>
      <c r="Y83" s="130"/>
      <c r="Z83" s="130"/>
      <c r="AA83" s="130"/>
      <c r="AB83" s="130"/>
      <c r="AC83" s="130"/>
      <c r="AD83" s="130"/>
      <c r="AE83" s="130"/>
      <c r="AF83" s="130"/>
      <c r="AG83" s="102"/>
      <c r="AH83" s="102"/>
      <c r="AJ83" s="171" t="s">
        <v>289</v>
      </c>
    </row>
    <row r="84" spans="1:36" ht="18.75">
      <c r="A84" s="102"/>
      <c r="C84" s="129"/>
      <c r="D84" s="129"/>
      <c r="E84" s="129"/>
      <c r="F84" s="129"/>
      <c r="G84" s="129"/>
      <c r="H84" s="130"/>
      <c r="I84" s="130"/>
      <c r="J84" s="130"/>
      <c r="K84" s="130"/>
      <c r="L84" s="130"/>
      <c r="M84" s="130"/>
      <c r="N84" s="130"/>
      <c r="O84" s="130"/>
      <c r="P84" s="130"/>
      <c r="Q84" s="130"/>
      <c r="R84" s="130"/>
      <c r="S84" s="130"/>
      <c r="T84" s="130"/>
      <c r="U84" s="130"/>
      <c r="V84" s="130"/>
      <c r="W84" s="130"/>
      <c r="X84" s="130"/>
      <c r="Y84" s="130"/>
      <c r="Z84" s="130"/>
      <c r="AA84" s="130"/>
      <c r="AB84" s="130"/>
      <c r="AC84" s="130"/>
      <c r="AD84" s="130"/>
      <c r="AE84" s="130"/>
      <c r="AF84" s="130"/>
      <c r="AG84" s="102"/>
      <c r="AH84" s="102"/>
      <c r="AI84" s="150"/>
      <c r="AJ84" s="170" t="s">
        <v>290</v>
      </c>
    </row>
    <row r="85" spans="1:36">
      <c r="A85" s="102"/>
      <c r="C85" s="129"/>
      <c r="D85" s="129"/>
      <c r="E85" s="129"/>
      <c r="F85" s="129"/>
      <c r="G85" s="129"/>
      <c r="H85" s="130"/>
      <c r="I85" s="130"/>
      <c r="J85" s="130"/>
      <c r="K85" s="130"/>
      <c r="L85" s="130"/>
      <c r="M85" s="130"/>
      <c r="N85" s="130"/>
      <c r="O85" s="130"/>
      <c r="P85" s="130"/>
      <c r="Q85" s="130"/>
      <c r="R85" s="130"/>
      <c r="S85" s="130"/>
      <c r="T85" s="130"/>
      <c r="U85" s="130"/>
      <c r="V85" s="130"/>
      <c r="W85" s="130"/>
      <c r="X85" s="130"/>
      <c r="Y85" s="130"/>
      <c r="Z85" s="130"/>
      <c r="AA85" s="130"/>
      <c r="AB85" s="130"/>
      <c r="AC85" s="130"/>
      <c r="AD85" s="130"/>
      <c r="AE85" s="130"/>
      <c r="AF85" s="130"/>
      <c r="AG85" s="102"/>
      <c r="AH85" s="102"/>
      <c r="AI85" s="151" t="s">
        <v>213</v>
      </c>
      <c r="AJ85" s="151" t="s">
        <v>171</v>
      </c>
    </row>
    <row r="86" spans="1:36">
      <c r="A86" s="102"/>
      <c r="C86" s="129"/>
      <c r="D86" s="129"/>
      <c r="E86" s="129"/>
      <c r="F86" s="129"/>
      <c r="G86" s="129"/>
      <c r="H86" s="130"/>
      <c r="I86" s="130"/>
      <c r="J86" s="130"/>
      <c r="K86" s="130"/>
      <c r="L86" s="130"/>
      <c r="M86" s="130"/>
      <c r="N86" s="130"/>
      <c r="O86" s="130"/>
      <c r="P86" s="130"/>
      <c r="Q86" s="130"/>
      <c r="R86" s="130"/>
      <c r="S86" s="130"/>
      <c r="T86" s="130"/>
      <c r="U86" s="130"/>
      <c r="V86" s="130"/>
      <c r="W86" s="130"/>
      <c r="X86" s="130"/>
      <c r="Y86" s="130"/>
      <c r="Z86" s="130"/>
      <c r="AA86" s="130"/>
      <c r="AB86" s="130"/>
      <c r="AC86" s="130"/>
      <c r="AD86" s="130"/>
      <c r="AE86" s="130"/>
      <c r="AF86" s="130"/>
      <c r="AG86" s="102"/>
      <c r="AH86" s="102"/>
      <c r="AI86" s="151" t="s">
        <v>23</v>
      </c>
      <c r="AJ86" s="151" t="s">
        <v>173</v>
      </c>
    </row>
    <row r="87" spans="1:36">
      <c r="A87" s="102"/>
      <c r="C87" s="129"/>
      <c r="D87" s="129"/>
      <c r="E87" s="129"/>
      <c r="F87" s="129"/>
      <c r="G87" s="129"/>
      <c r="H87" s="130"/>
      <c r="I87" s="130"/>
      <c r="J87" s="130"/>
      <c r="K87" s="130"/>
      <c r="L87" s="130"/>
      <c r="M87" s="130"/>
      <c r="N87" s="130"/>
      <c r="O87" s="130"/>
      <c r="P87" s="130"/>
      <c r="Q87" s="130"/>
      <c r="R87" s="130"/>
      <c r="S87" s="130"/>
      <c r="T87" s="130"/>
      <c r="U87" s="130"/>
      <c r="V87" s="130"/>
      <c r="W87" s="130"/>
      <c r="X87" s="130"/>
      <c r="Y87" s="130"/>
      <c r="Z87" s="130"/>
      <c r="AA87" s="130"/>
      <c r="AB87" s="130"/>
      <c r="AC87" s="130"/>
      <c r="AD87" s="130"/>
      <c r="AE87" s="130"/>
      <c r="AF87" s="130"/>
      <c r="AG87" s="102"/>
      <c r="AH87" s="102"/>
      <c r="AI87" s="151" t="s">
        <v>11</v>
      </c>
      <c r="AJ87" s="151" t="s">
        <v>215</v>
      </c>
    </row>
    <row r="88" spans="1:36" ht="18.75">
      <c r="A88" s="102"/>
      <c r="C88" s="129"/>
      <c r="D88" s="129"/>
      <c r="E88" s="129"/>
      <c r="F88" s="129"/>
      <c r="G88" s="129"/>
      <c r="H88" s="130"/>
      <c r="I88" s="130"/>
      <c r="J88" s="130"/>
      <c r="K88" s="130"/>
      <c r="L88" s="130"/>
      <c r="M88" s="130"/>
      <c r="N88" s="130"/>
      <c r="O88" s="130"/>
      <c r="P88" s="130"/>
      <c r="Q88" s="130"/>
      <c r="R88" s="130"/>
      <c r="S88" s="130"/>
      <c r="T88" s="130"/>
      <c r="U88" s="130"/>
      <c r="V88" s="130"/>
      <c r="W88" s="130"/>
      <c r="X88" s="130"/>
      <c r="Y88" s="130"/>
      <c r="Z88" s="130"/>
      <c r="AA88" s="130"/>
      <c r="AB88" s="130"/>
      <c r="AC88" s="130"/>
      <c r="AD88" s="130"/>
      <c r="AE88" s="130"/>
      <c r="AF88" s="130"/>
      <c r="AG88" s="102"/>
      <c r="AH88" s="102"/>
      <c r="AI88" s="152"/>
      <c r="AJ88" s="151" t="s">
        <v>174</v>
      </c>
    </row>
    <row r="89" spans="1:36">
      <c r="A89" s="102"/>
      <c r="B89" s="129"/>
      <c r="C89" s="129"/>
      <c r="D89" s="129"/>
      <c r="E89" s="129"/>
      <c r="F89" s="129"/>
      <c r="G89" s="129"/>
      <c r="H89" s="130"/>
      <c r="I89" s="130"/>
      <c r="J89" s="130"/>
      <c r="K89" s="130"/>
      <c r="L89" s="130"/>
      <c r="M89" s="130"/>
      <c r="N89" s="130"/>
      <c r="O89" s="130"/>
      <c r="P89" s="130"/>
      <c r="Q89" s="130"/>
      <c r="R89" s="130"/>
      <c r="S89" s="130"/>
      <c r="T89" s="130"/>
      <c r="U89" s="130"/>
      <c r="V89" s="130"/>
      <c r="W89" s="130"/>
      <c r="X89" s="130"/>
      <c r="Y89" s="130"/>
      <c r="Z89" s="130"/>
      <c r="AA89" s="130"/>
      <c r="AB89" s="130"/>
      <c r="AC89" s="130"/>
      <c r="AD89" s="130"/>
      <c r="AE89" s="130"/>
      <c r="AF89" s="130"/>
      <c r="AG89" s="102"/>
      <c r="AH89" s="102"/>
      <c r="AJ89" s="151" t="s">
        <v>244</v>
      </c>
    </row>
    <row r="90" spans="1:36">
      <c r="A90" s="102"/>
      <c r="B90" s="102"/>
      <c r="C90" s="102"/>
      <c r="D90" s="102"/>
      <c r="E90" s="102"/>
      <c r="F90" s="102"/>
      <c r="G90" s="102"/>
      <c r="H90" s="102"/>
      <c r="I90" s="102"/>
      <c r="J90" s="102"/>
      <c r="K90" s="102"/>
      <c r="L90" s="102"/>
      <c r="M90" s="102"/>
      <c r="N90" s="102"/>
      <c r="O90" s="102"/>
      <c r="P90" s="102"/>
      <c r="Q90" s="102"/>
      <c r="R90" s="102"/>
      <c r="S90" s="102"/>
      <c r="T90" s="102"/>
      <c r="U90" s="102"/>
      <c r="V90" s="102"/>
      <c r="W90" s="102"/>
      <c r="X90" s="102"/>
      <c r="Y90" s="102"/>
      <c r="Z90" s="102"/>
      <c r="AA90" s="102"/>
      <c r="AB90" s="102"/>
      <c r="AC90" s="102"/>
      <c r="AD90" s="102"/>
      <c r="AE90" s="102"/>
      <c r="AF90" s="102"/>
      <c r="AG90" s="102"/>
      <c r="AH90" s="102"/>
      <c r="AJ90" s="151" t="s">
        <v>172</v>
      </c>
    </row>
    <row r="91" spans="1:36">
      <c r="AJ91" s="151" t="s">
        <v>219</v>
      </c>
    </row>
    <row r="92" spans="1:36">
      <c r="AJ92" s="151" t="s">
        <v>245</v>
      </c>
    </row>
    <row r="93" spans="1:36">
      <c r="AJ93" s="151" t="s">
        <v>246</v>
      </c>
    </row>
    <row r="94" spans="1:36">
      <c r="AJ94" s="151" t="s">
        <v>247</v>
      </c>
    </row>
    <row r="95" spans="1:36">
      <c r="AJ95" s="151" t="s">
        <v>248</v>
      </c>
    </row>
    <row r="96" spans="1:36">
      <c r="AJ96" s="151" t="s">
        <v>254</v>
      </c>
    </row>
    <row r="97" spans="36:36">
      <c r="AJ97" s="151" t="s">
        <v>175</v>
      </c>
    </row>
    <row r="98" spans="36:36">
      <c r="AJ98" s="151" t="s">
        <v>249</v>
      </c>
    </row>
    <row r="99" spans="36:36">
      <c r="AJ99" s="151" t="s">
        <v>250</v>
      </c>
    </row>
    <row r="100" spans="36:36">
      <c r="AJ100" s="151" t="s">
        <v>251</v>
      </c>
    </row>
    <row r="101" spans="36:36">
      <c r="AJ101" s="151" t="s">
        <v>252</v>
      </c>
    </row>
    <row r="102" spans="36:36">
      <c r="AJ102" s="151" t="s">
        <v>253</v>
      </c>
    </row>
    <row r="103" spans="36:36">
      <c r="AJ103" s="151" t="s">
        <v>176</v>
      </c>
    </row>
    <row r="104" spans="36:36">
      <c r="AJ104" s="151" t="s">
        <v>255</v>
      </c>
    </row>
    <row r="105" spans="36:36" ht="18.75">
      <c r="AJ105" s="152" t="s">
        <v>250</v>
      </c>
    </row>
  </sheetData>
  <mergeCells count="148">
    <mergeCell ref="E38:H38"/>
    <mergeCell ref="I38:Q38"/>
    <mergeCell ref="R38:AF38"/>
    <mergeCell ref="B39:D39"/>
    <mergeCell ref="E39:H39"/>
    <mergeCell ref="I39:Q39"/>
    <mergeCell ref="R39:AF39"/>
    <mergeCell ref="B37:D37"/>
    <mergeCell ref="E37:H37"/>
    <mergeCell ref="I37:Q37"/>
    <mergeCell ref="R37:AF37"/>
    <mergeCell ref="B38:D38"/>
    <mergeCell ref="B40:D40"/>
    <mergeCell ref="E40:H40"/>
    <mergeCell ref="I40:Q40"/>
    <mergeCell ref="R40:AF40"/>
    <mergeCell ref="B76:G76"/>
    <mergeCell ref="H76:AF76"/>
    <mergeCell ref="B71:G71"/>
    <mergeCell ref="H71:AF71"/>
    <mergeCell ref="B72:G72"/>
    <mergeCell ref="H72:AF72"/>
    <mergeCell ref="B73:G73"/>
    <mergeCell ref="H73:AF73"/>
    <mergeCell ref="B74:G74"/>
    <mergeCell ref="H74:AF74"/>
    <mergeCell ref="B75:G75"/>
    <mergeCell ref="H75:AF75"/>
    <mergeCell ref="B46:D46"/>
    <mergeCell ref="E46:X46"/>
    <mergeCell ref="Y46:AF46"/>
    <mergeCell ref="B47:D47"/>
    <mergeCell ref="E47:X47"/>
    <mergeCell ref="Y47:AF47"/>
    <mergeCell ref="B48:D48"/>
    <mergeCell ref="E48:X48"/>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16:F16"/>
    <mergeCell ref="G16:AF16"/>
    <mergeCell ref="B17:F17"/>
    <mergeCell ref="G17:AF17"/>
    <mergeCell ref="B18:F18"/>
    <mergeCell ref="G18:AF18"/>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B33:D33"/>
    <mergeCell ref="E33:H33"/>
    <mergeCell ref="I33:Q33"/>
    <mergeCell ref="R33:AF33"/>
    <mergeCell ref="B34:D34"/>
    <mergeCell ref="E34:H34"/>
    <mergeCell ref="I34:Q34"/>
    <mergeCell ref="R34:AF34"/>
    <mergeCell ref="B36:D36"/>
    <mergeCell ref="E36:H36"/>
    <mergeCell ref="I36:Q36"/>
    <mergeCell ref="R36:AF36"/>
    <mergeCell ref="B35:D35"/>
    <mergeCell ref="E35:H35"/>
    <mergeCell ref="I35:Q35"/>
    <mergeCell ref="R35:AF35"/>
    <mergeCell ref="Y48:AF48"/>
    <mergeCell ref="B49:D49"/>
    <mergeCell ref="E49:X49"/>
    <mergeCell ref="Y49:AF49"/>
    <mergeCell ref="B59:G59"/>
    <mergeCell ref="H59:AF59"/>
    <mergeCell ref="B50:D50"/>
    <mergeCell ref="E50:X50"/>
    <mergeCell ref="Y50:AF50"/>
    <mergeCell ref="B52:D52"/>
    <mergeCell ref="E52:X52"/>
    <mergeCell ref="Y52:AF52"/>
    <mergeCell ref="B53:D53"/>
    <mergeCell ref="E53:X53"/>
    <mergeCell ref="Y53:AF53"/>
    <mergeCell ref="B54:D54"/>
    <mergeCell ref="E54:X54"/>
    <mergeCell ref="Y54:AF54"/>
    <mergeCell ref="B55:D55"/>
    <mergeCell ref="E55:X55"/>
    <mergeCell ref="Y55:AF55"/>
    <mergeCell ref="B56:D56"/>
    <mergeCell ref="E56:X56"/>
    <mergeCell ref="Y56:AF56"/>
    <mergeCell ref="B64:G64"/>
    <mergeCell ref="H64:AF64"/>
    <mergeCell ref="B61:G61"/>
    <mergeCell ref="H61:AF61"/>
    <mergeCell ref="B62:G62"/>
    <mergeCell ref="H62:AF62"/>
    <mergeCell ref="B63:G63"/>
    <mergeCell ref="H63:AF63"/>
    <mergeCell ref="B60:G60"/>
    <mergeCell ref="H60:AF60"/>
  </mergeCells>
  <phoneticPr fontId="90" type="noConversion"/>
  <hyperlinks>
    <hyperlink ref="H60"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2" activePane="bottomLeft" state="frozenSplit"/>
      <selection pane="bottomLeft" sqref="A1:D1"/>
    </sheetView>
  </sheetViews>
  <sheetFormatPr defaultColWidth="9.140625" defaultRowHeight="12.75"/>
  <cols>
    <col min="1" max="1" width="3.7109375" style="1" customWidth="1"/>
    <col min="2" max="2" width="19.42578125" style="1" customWidth="1"/>
    <col min="3" max="3" width="100.7109375" style="1" customWidth="1"/>
    <col min="4" max="16384" width="9.140625" style="1"/>
  </cols>
  <sheetData>
    <row r="1" spans="1:8" ht="19.5">
      <c r="A1" s="338" t="s">
        <v>15</v>
      </c>
      <c r="B1" s="339"/>
      <c r="C1" s="339"/>
      <c r="D1" s="340"/>
    </row>
    <row r="3" spans="1:8">
      <c r="B3" s="341" t="s">
        <v>16</v>
      </c>
      <c r="C3" s="342"/>
      <c r="D3" s="343"/>
    </row>
    <row r="4" spans="1:8">
      <c r="B4" s="85" t="s">
        <v>96</v>
      </c>
      <c r="C4" s="44" t="s">
        <v>97</v>
      </c>
      <c r="D4" s="13"/>
    </row>
    <row r="5" spans="1:8">
      <c r="B5" s="14" t="s">
        <v>36</v>
      </c>
      <c r="C5" s="12" t="s">
        <v>40</v>
      </c>
      <c r="D5" s="13"/>
    </row>
    <row r="6" spans="1:8">
      <c r="B6" s="14" t="s">
        <v>39</v>
      </c>
      <c r="C6" s="12" t="s">
        <v>41</v>
      </c>
      <c r="D6" s="13"/>
    </row>
    <row r="7" spans="1:8">
      <c r="B7" s="14" t="s">
        <v>38</v>
      </c>
      <c r="C7" s="12" t="s">
        <v>42</v>
      </c>
      <c r="D7" s="13"/>
    </row>
    <row r="8" spans="1:8">
      <c r="B8" s="11" t="s">
        <v>37</v>
      </c>
      <c r="C8" s="12" t="s">
        <v>43</v>
      </c>
      <c r="D8" s="13"/>
    </row>
    <row r="9" spans="1:8">
      <c r="B9" s="76" t="s">
        <v>83</v>
      </c>
      <c r="C9" s="44" t="s">
        <v>84</v>
      </c>
      <c r="D9" s="13"/>
    </row>
    <row r="10" spans="1:8">
      <c r="B10" s="76" t="s">
        <v>57</v>
      </c>
      <c r="C10" s="44" t="s">
        <v>58</v>
      </c>
      <c r="D10" s="13"/>
    </row>
    <row r="11" spans="1:8">
      <c r="B11" s="3"/>
      <c r="C11" s="3"/>
      <c r="D11" s="3"/>
    </row>
    <row r="12" spans="1:8">
      <c r="B12" s="341" t="s">
        <v>184</v>
      </c>
      <c r="C12" s="342"/>
      <c r="D12" s="343"/>
    </row>
    <row r="13" spans="1:8" ht="24.75" customHeight="1">
      <c r="B13" s="131" t="s">
        <v>179</v>
      </c>
      <c r="C13" s="344" t="s">
        <v>181</v>
      </c>
      <c r="D13" s="345"/>
    </row>
    <row r="14" spans="1:8" ht="25.5" customHeight="1">
      <c r="B14" s="131" t="s">
        <v>106</v>
      </c>
      <c r="C14" s="344" t="s">
        <v>182</v>
      </c>
      <c r="D14" s="345"/>
      <c r="E14" s="86"/>
      <c r="F14" s="86"/>
      <c r="G14" s="86"/>
      <c r="H14" s="86"/>
    </row>
    <row r="15" spans="1:8" ht="49.5" customHeight="1">
      <c r="B15" s="131" t="s">
        <v>180</v>
      </c>
      <c r="C15" s="344" t="s">
        <v>183</v>
      </c>
      <c r="D15" s="345"/>
      <c r="F15" s="90" t="s">
        <v>135</v>
      </c>
    </row>
    <row r="17" spans="2:6">
      <c r="B17" s="341" t="s">
        <v>13</v>
      </c>
      <c r="C17" s="342"/>
      <c r="D17" s="343"/>
    </row>
    <row r="18" spans="2:6">
      <c r="B18" s="2"/>
      <c r="C18" s="3"/>
      <c r="D18" s="4"/>
      <c r="F18" s="90" t="s">
        <v>132</v>
      </c>
    </row>
    <row r="19" spans="2:6" s="87" customFormat="1" ht="38.25">
      <c r="B19" s="336" t="s">
        <v>185</v>
      </c>
      <c r="C19" s="132" t="s">
        <v>107</v>
      </c>
      <c r="D19" s="88"/>
      <c r="F19" s="91" t="s">
        <v>133</v>
      </c>
    </row>
    <row r="20" spans="2:6">
      <c r="B20" s="336"/>
      <c r="C20" s="133"/>
      <c r="D20" s="4"/>
      <c r="F20" s="90" t="s">
        <v>134</v>
      </c>
    </row>
    <row r="21" spans="2:6" ht="25.5">
      <c r="B21" s="336"/>
      <c r="C21" s="134" t="s">
        <v>108</v>
      </c>
      <c r="D21" s="4"/>
    </row>
    <row r="22" spans="2:6" ht="25.5">
      <c r="B22" s="336"/>
      <c r="C22" s="134" t="s">
        <v>0</v>
      </c>
      <c r="D22" s="4"/>
    </row>
    <row r="23" spans="2:6">
      <c r="B23" s="336"/>
      <c r="C23" s="134" t="s">
        <v>1</v>
      </c>
      <c r="D23" s="4"/>
    </row>
    <row r="24" spans="2:6">
      <c r="B24" s="2"/>
      <c r="C24" s="26"/>
      <c r="D24" s="4"/>
    </row>
    <row r="25" spans="2:6">
      <c r="B25" s="337" t="s">
        <v>186</v>
      </c>
      <c r="C25" s="135" t="s">
        <v>335</v>
      </c>
      <c r="D25" s="4"/>
    </row>
    <row r="26" spans="2:6" ht="25.5">
      <c r="B26" s="337"/>
      <c r="C26" s="136" t="s">
        <v>2</v>
      </c>
      <c r="D26" s="4"/>
    </row>
    <row r="27" spans="2:6">
      <c r="B27" s="337"/>
      <c r="C27" s="135" t="s">
        <v>130</v>
      </c>
      <c r="D27" s="4"/>
    </row>
    <row r="28" spans="2:6">
      <c r="B28" s="2"/>
      <c r="C28" s="26"/>
      <c r="D28" s="4"/>
    </row>
    <row r="29" spans="2:6">
      <c r="B29" s="5"/>
      <c r="C29" s="6"/>
      <c r="D29" s="7"/>
    </row>
    <row r="30" spans="2:6">
      <c r="B30" s="3"/>
      <c r="C30" s="3"/>
      <c r="D30" s="3"/>
    </row>
    <row r="32" spans="2:6">
      <c r="B32" s="15" t="s">
        <v>52</v>
      </c>
    </row>
    <row r="33" spans="2:4">
      <c r="B33" s="8"/>
      <c r="C33" s="9"/>
      <c r="D33" s="10"/>
    </row>
    <row r="34" spans="2:4" ht="18">
      <c r="B34" s="35" t="s">
        <v>55</v>
      </c>
      <c r="C34" s="3"/>
      <c r="D34" s="4"/>
    </row>
    <row r="35" spans="2:4" ht="25.5">
      <c r="B35" s="2"/>
      <c r="C35" s="30" t="s">
        <v>53</v>
      </c>
      <c r="D35" s="4"/>
    </row>
    <row r="36" spans="2:4">
      <c r="B36" s="5"/>
      <c r="C36" s="71"/>
      <c r="D36" s="7"/>
    </row>
    <row r="37" spans="2:4">
      <c r="B37" s="2"/>
      <c r="C37" s="30"/>
      <c r="D37" s="4"/>
    </row>
    <row r="38" spans="2:4" ht="18">
      <c r="B38" s="35" t="s">
        <v>88</v>
      </c>
      <c r="C38" s="30"/>
      <c r="D38" s="4"/>
    </row>
    <row r="39" spans="2:4" ht="18">
      <c r="B39" s="35"/>
      <c r="C39" s="30"/>
      <c r="D39" s="4"/>
    </row>
    <row r="40" spans="2:4" ht="18">
      <c r="B40" s="35"/>
      <c r="C40" s="30"/>
      <c r="D40" s="4"/>
    </row>
    <row r="41" spans="2:4" ht="18">
      <c r="B41" s="35"/>
      <c r="C41" s="30"/>
      <c r="D41" s="4"/>
    </row>
    <row r="42" spans="2:4" ht="18">
      <c r="B42" s="35"/>
      <c r="C42" s="30"/>
      <c r="D42" s="4"/>
    </row>
    <row r="43" spans="2:4">
      <c r="B43" s="2"/>
      <c r="C43" s="30"/>
      <c r="D43" s="4"/>
    </row>
    <row r="44" spans="2:4">
      <c r="B44" s="2"/>
      <c r="C44" s="30"/>
      <c r="D44" s="4"/>
    </row>
    <row r="45" spans="2:4">
      <c r="B45" s="2"/>
      <c r="C45" s="30"/>
      <c r="D45" s="4"/>
    </row>
    <row r="46" spans="2:4">
      <c r="B46" s="2"/>
      <c r="C46" s="30"/>
      <c r="D46" s="4"/>
    </row>
    <row r="47" spans="2:4">
      <c r="B47" s="2"/>
      <c r="C47" s="30"/>
      <c r="D47" s="4"/>
    </row>
    <row r="48" spans="2:4">
      <c r="B48" s="2"/>
      <c r="C48" s="30"/>
      <c r="D48" s="4"/>
    </row>
    <row r="49" spans="2:4">
      <c r="B49" s="2"/>
      <c r="C49" s="30"/>
      <c r="D49" s="4"/>
    </row>
    <row r="50" spans="2:4" ht="34.5">
      <c r="B50" s="168" t="s">
        <v>286</v>
      </c>
      <c r="C50" s="169" t="s">
        <v>287</v>
      </c>
      <c r="D50" s="4"/>
    </row>
    <row r="51" spans="2:4">
      <c r="B51" s="5"/>
      <c r="C51" s="41"/>
      <c r="D51" s="7"/>
    </row>
    <row r="52" spans="2:4">
      <c r="B52" s="2"/>
      <c r="C52" s="30"/>
      <c r="D52" s="4"/>
    </row>
    <row r="53" spans="2:4" ht="18">
      <c r="B53" s="35" t="s">
        <v>82</v>
      </c>
      <c r="C53" s="30"/>
      <c r="D53" s="4"/>
    </row>
    <row r="54" spans="2:4">
      <c r="B54" s="2"/>
      <c r="C54" s="72" t="s">
        <v>59</v>
      </c>
      <c r="D54" s="4"/>
    </row>
    <row r="55" spans="2:4">
      <c r="B55" s="2"/>
      <c r="C55" s="73" t="s">
        <v>60</v>
      </c>
      <c r="D55" s="4"/>
    </row>
    <row r="56" spans="2:4">
      <c r="B56" s="2"/>
      <c r="C56" s="74" t="s">
        <v>61</v>
      </c>
      <c r="D56" s="4"/>
    </row>
    <row r="57" spans="2:4">
      <c r="B57" s="2"/>
      <c r="C57" s="75" t="s">
        <v>131</v>
      </c>
      <c r="D57" s="4"/>
    </row>
    <row r="58" spans="2:4">
      <c r="B58" s="5"/>
      <c r="C58" s="41"/>
      <c r="D58" s="7"/>
    </row>
    <row r="59" spans="2:4">
      <c r="B59" s="2"/>
      <c r="C59" s="26"/>
      <c r="D59" s="4"/>
    </row>
    <row r="60" spans="2:4" ht="18">
      <c r="B60" s="35" t="s">
        <v>54</v>
      </c>
      <c r="C60" s="26"/>
      <c r="D60" s="4"/>
    </row>
    <row r="61" spans="2:4">
      <c r="B61" s="2"/>
      <c r="C61" s="26"/>
      <c r="D61" s="4"/>
    </row>
    <row r="62" spans="2:4">
      <c r="B62" s="2"/>
      <c r="C62" s="26"/>
      <c r="D62" s="4"/>
    </row>
    <row r="63" spans="2:4">
      <c r="B63" s="2"/>
      <c r="C63" s="26"/>
      <c r="D63" s="4"/>
    </row>
    <row r="64" spans="2:4">
      <c r="B64" s="2"/>
      <c r="C64" s="26"/>
      <c r="D64" s="4"/>
    </row>
    <row r="65" spans="2:4">
      <c r="B65" s="2"/>
      <c r="C65" s="26"/>
      <c r="D65" s="4"/>
    </row>
    <row r="66" spans="2:4">
      <c r="B66" s="2"/>
      <c r="C66" s="26"/>
      <c r="D66" s="4"/>
    </row>
    <row r="67" spans="2:4">
      <c r="B67" s="2"/>
      <c r="C67" s="26"/>
      <c r="D67" s="4"/>
    </row>
    <row r="68" spans="2:4">
      <c r="B68" s="2"/>
      <c r="C68" s="26"/>
      <c r="D68" s="4"/>
    </row>
    <row r="69" spans="2:4">
      <c r="B69" s="2"/>
      <c r="C69" s="26"/>
      <c r="D69" s="4"/>
    </row>
    <row r="70" spans="2:4">
      <c r="B70" s="2"/>
      <c r="C70" s="26"/>
      <c r="D70" s="4"/>
    </row>
    <row r="71" spans="2:4">
      <c r="B71" s="2"/>
      <c r="C71" s="26"/>
      <c r="D71" s="4"/>
    </row>
    <row r="72" spans="2:4">
      <c r="B72" s="2"/>
      <c r="C72" s="26"/>
      <c r="D72" s="4"/>
    </row>
    <row r="73" spans="2:4">
      <c r="B73" s="2"/>
      <c r="C73" s="26"/>
      <c r="D73" s="4"/>
    </row>
    <row r="74" spans="2:4">
      <c r="B74" s="2"/>
      <c r="C74" s="26"/>
      <c r="D74" s="4"/>
    </row>
    <row r="75" spans="2:4">
      <c r="B75" s="2"/>
      <c r="C75" s="26"/>
      <c r="D75" s="4"/>
    </row>
    <row r="76" spans="2:4">
      <c r="B76" s="2"/>
      <c r="C76" s="26"/>
      <c r="D76" s="4"/>
    </row>
    <row r="77" spans="2:4">
      <c r="B77" s="2"/>
      <c r="C77" s="26"/>
      <c r="D77" s="4"/>
    </row>
    <row r="78" spans="2:4">
      <c r="B78" s="2"/>
      <c r="C78" s="26"/>
      <c r="D78" s="4"/>
    </row>
    <row r="79" spans="2:4">
      <c r="B79" s="2"/>
      <c r="C79" s="26"/>
      <c r="D79" s="4"/>
    </row>
    <row r="80" spans="2:4">
      <c r="B80" s="2"/>
      <c r="C80" s="26"/>
      <c r="D80" s="4"/>
    </row>
    <row r="81" spans="2:4">
      <c r="B81" s="2"/>
      <c r="C81" s="26"/>
      <c r="D81" s="4"/>
    </row>
    <row r="82" spans="2:4">
      <c r="B82" s="2"/>
      <c r="C82" s="26"/>
      <c r="D82" s="4"/>
    </row>
    <row r="83" spans="2:4">
      <c r="B83" s="2"/>
      <c r="C83" s="26"/>
      <c r="D83" s="4"/>
    </row>
    <row r="84" spans="2:4">
      <c r="B84" s="2"/>
      <c r="C84" s="26"/>
      <c r="D84" s="4"/>
    </row>
    <row r="85" spans="2:4">
      <c r="B85" s="2"/>
      <c r="C85" s="26"/>
      <c r="D85" s="4"/>
    </row>
    <row r="86" spans="2:4">
      <c r="B86" s="2"/>
      <c r="C86" s="26"/>
      <c r="D86" s="4"/>
    </row>
    <row r="87" spans="2:4">
      <c r="B87" s="2"/>
      <c r="C87" s="26"/>
      <c r="D87" s="4"/>
    </row>
    <row r="88" spans="2:4">
      <c r="B88" s="2"/>
      <c r="C88" s="26"/>
      <c r="D88" s="4"/>
    </row>
    <row r="89" spans="2:4">
      <c r="B89" s="2"/>
      <c r="C89" s="26"/>
      <c r="D89" s="4"/>
    </row>
    <row r="90" spans="2:4">
      <c r="B90" s="2"/>
      <c r="C90" s="26"/>
      <c r="D90" s="4"/>
    </row>
    <row r="91" spans="2:4">
      <c r="B91" s="2"/>
      <c r="C91" s="26"/>
      <c r="D91" s="4"/>
    </row>
    <row r="92" spans="2:4">
      <c r="B92" s="2"/>
      <c r="C92" s="26"/>
      <c r="D92" s="4"/>
    </row>
    <row r="93" spans="2:4">
      <c r="B93" s="2"/>
      <c r="C93" s="26"/>
      <c r="D93" s="4"/>
    </row>
    <row r="94" spans="2:4">
      <c r="B94" s="2"/>
      <c r="C94" s="26"/>
      <c r="D94" s="4"/>
    </row>
    <row r="95" spans="2:4">
      <c r="B95" s="2"/>
      <c r="C95" s="26"/>
      <c r="D95" s="4"/>
    </row>
    <row r="96" spans="2:4">
      <c r="B96" s="2"/>
      <c r="C96" s="26"/>
      <c r="D96" s="4"/>
    </row>
    <row r="97" spans="2:4">
      <c r="B97" s="2"/>
      <c r="C97" s="26"/>
      <c r="D97" s="4"/>
    </row>
    <row r="98" spans="2:4">
      <c r="B98" s="2"/>
      <c r="C98" s="26"/>
      <c r="D98" s="4"/>
    </row>
    <row r="99" spans="2:4">
      <c r="B99" s="2"/>
      <c r="C99" s="26"/>
      <c r="D99" s="4"/>
    </row>
    <row r="100" spans="2:4">
      <c r="B100" s="2"/>
      <c r="C100" s="26"/>
      <c r="D100" s="4"/>
    </row>
    <row r="101" spans="2:4">
      <c r="B101" s="2"/>
      <c r="C101" s="26"/>
      <c r="D101" s="4"/>
    </row>
    <row r="102" spans="2:4">
      <c r="B102" s="2"/>
      <c r="C102" s="26"/>
      <c r="D102" s="4"/>
    </row>
    <row r="103" spans="2:4">
      <c r="B103" s="2"/>
      <c r="C103" s="26"/>
      <c r="D103" s="4"/>
    </row>
    <row r="104" spans="2:4">
      <c r="B104" s="2"/>
      <c r="C104" s="26"/>
      <c r="D104" s="4"/>
    </row>
    <row r="105" spans="2:4">
      <c r="B105" s="2"/>
      <c r="C105" s="26"/>
      <c r="D105" s="4"/>
    </row>
    <row r="106" spans="2:4">
      <c r="B106" s="2"/>
      <c r="C106" s="26"/>
      <c r="D106" s="4"/>
    </row>
    <row r="107" spans="2:4">
      <c r="B107" s="2"/>
      <c r="C107" s="26"/>
      <c r="D107" s="4"/>
    </row>
    <row r="108" spans="2:4">
      <c r="B108" s="5"/>
      <c r="C108" s="41"/>
      <c r="D108" s="7"/>
    </row>
    <row r="111" spans="2:4" ht="25.5">
      <c r="B111" s="15" t="s">
        <v>56</v>
      </c>
    </row>
    <row r="112" spans="2:4">
      <c r="B112" s="8"/>
      <c r="C112" s="9"/>
      <c r="D112" s="10"/>
    </row>
    <row r="113" spans="2:4">
      <c r="B113" s="2"/>
      <c r="C113" s="3"/>
      <c r="D113" s="4"/>
    </row>
    <row r="114" spans="2:4">
      <c r="B114" s="2"/>
      <c r="C114" s="3"/>
      <c r="D114" s="4"/>
    </row>
    <row r="115" spans="2:4">
      <c r="B115" s="2"/>
      <c r="C115" s="42" t="s">
        <v>85</v>
      </c>
      <c r="D115" s="4"/>
    </row>
    <row r="116" spans="2:4">
      <c r="B116" s="2"/>
      <c r="C116" s="3"/>
      <c r="D116" s="4"/>
    </row>
    <row r="117" spans="2:4" ht="12.75" customHeight="1">
      <c r="B117" s="2"/>
      <c r="C117" s="42" t="s">
        <v>80</v>
      </c>
      <c r="D117" s="4"/>
    </row>
    <row r="118" spans="2:4" ht="12.75" customHeight="1">
      <c r="B118" s="2"/>
      <c r="C118" s="3"/>
      <c r="D118" s="4"/>
    </row>
    <row r="119" spans="2:4" ht="12.75" customHeight="1">
      <c r="B119" s="2"/>
      <c r="C119" s="3"/>
      <c r="D119" s="4"/>
    </row>
    <row r="120" spans="2:4">
      <c r="B120" s="5"/>
      <c r="C120" s="6"/>
      <c r="D120" s="7"/>
    </row>
    <row r="122" spans="2:4">
      <c r="B122" s="15" t="s">
        <v>109</v>
      </c>
    </row>
    <row r="123" spans="2:4" ht="38.25">
      <c r="B123" s="8"/>
      <c r="C123" s="89" t="s">
        <v>111</v>
      </c>
      <c r="D123" s="10"/>
    </row>
    <row r="124" spans="2:4">
      <c r="B124" s="137" t="s">
        <v>187</v>
      </c>
      <c r="C124" s="1" t="s">
        <v>110</v>
      </c>
      <c r="D124" s="4"/>
    </row>
    <row r="125" spans="2:4">
      <c r="B125" s="137" t="s">
        <v>187</v>
      </c>
      <c r="C125" s="30" t="s">
        <v>114</v>
      </c>
      <c r="D125" s="4"/>
    </row>
    <row r="126" spans="2:4">
      <c r="B126" s="137" t="s">
        <v>187</v>
      </c>
      <c r="C126" s="26" t="s">
        <v>115</v>
      </c>
      <c r="D126" s="4"/>
    </row>
    <row r="127" spans="2:4">
      <c r="B127" s="137" t="s">
        <v>187</v>
      </c>
      <c r="C127" s="26" t="s">
        <v>116</v>
      </c>
      <c r="D127" s="4"/>
    </row>
    <row r="128" spans="2:4">
      <c r="B128" s="137" t="s">
        <v>187</v>
      </c>
      <c r="C128" s="26" t="s">
        <v>117</v>
      </c>
      <c r="D128" s="4"/>
    </row>
    <row r="129" spans="2:4">
      <c r="B129" s="137" t="s">
        <v>187</v>
      </c>
      <c r="C129" s="26" t="s">
        <v>121</v>
      </c>
      <c r="D129" s="4"/>
    </row>
    <row r="130" spans="2:4">
      <c r="B130" s="137" t="s">
        <v>187</v>
      </c>
      <c r="C130" s="26" t="s">
        <v>122</v>
      </c>
      <c r="D130" s="4"/>
    </row>
    <row r="131" spans="2:4">
      <c r="B131" s="137" t="s">
        <v>187</v>
      </c>
      <c r="C131" s="30" t="s">
        <v>124</v>
      </c>
      <c r="D131" s="4"/>
    </row>
    <row r="132" spans="2:4">
      <c r="B132" s="137" t="s">
        <v>187</v>
      </c>
      <c r="C132" s="30" t="s">
        <v>125</v>
      </c>
      <c r="D132" s="4"/>
    </row>
    <row r="133" spans="2:4">
      <c r="B133" s="137" t="s">
        <v>187</v>
      </c>
      <c r="C133" s="1" t="s">
        <v>123</v>
      </c>
      <c r="D133" s="4"/>
    </row>
    <row r="134" spans="2:4">
      <c r="B134" s="137" t="s">
        <v>187</v>
      </c>
      <c r="C134" s="26" t="s">
        <v>118</v>
      </c>
      <c r="D134" s="4"/>
    </row>
    <row r="135" spans="2:4">
      <c r="B135" s="137" t="s">
        <v>187</v>
      </c>
      <c r="C135" s="26" t="s">
        <v>113</v>
      </c>
      <c r="D135" s="4"/>
    </row>
    <row r="136" spans="2:4">
      <c r="B136" s="137" t="s">
        <v>187</v>
      </c>
      <c r="C136" s="30" t="s">
        <v>119</v>
      </c>
      <c r="D136" s="4"/>
    </row>
    <row r="137" spans="2:4">
      <c r="B137" s="137" t="s">
        <v>187</v>
      </c>
      <c r="C137" s="30" t="s">
        <v>127</v>
      </c>
      <c r="D137" s="4"/>
    </row>
    <row r="138" spans="2:4">
      <c r="B138" s="137" t="s">
        <v>187</v>
      </c>
      <c r="C138" s="30" t="s">
        <v>112</v>
      </c>
      <c r="D138" s="4"/>
    </row>
    <row r="139" spans="2:4">
      <c r="B139" s="137" t="s">
        <v>187</v>
      </c>
      <c r="C139" s="30" t="s">
        <v>126</v>
      </c>
      <c r="D139" s="4"/>
    </row>
    <row r="140" spans="2:4">
      <c r="B140" s="138" t="s">
        <v>187</v>
      </c>
      <c r="C140" s="6" t="s">
        <v>120</v>
      </c>
      <c r="D140" s="7"/>
    </row>
  </sheetData>
  <mergeCells count="9">
    <mergeCell ref="B19:B23"/>
    <mergeCell ref="B25:B27"/>
    <mergeCell ref="A1:D1"/>
    <mergeCell ref="B17:D17"/>
    <mergeCell ref="B3:D3"/>
    <mergeCell ref="B12:D12"/>
    <mergeCell ref="C14:D14"/>
    <mergeCell ref="C15:D15"/>
    <mergeCell ref="C13:D13"/>
  </mergeCells>
  <phoneticPr fontId="38"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6524625</xdr:colOff>
                    <xdr:row>117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G24" sqref="G24:G27"/>
    </sheetView>
  </sheetViews>
  <sheetFormatPr defaultColWidth="9.140625" defaultRowHeight="12.75" outlineLevelCol="1"/>
  <cols>
    <col min="1" max="1" width="9.140625" style="16" collapsed="1"/>
    <col min="2" max="2" width="9.140625" style="16" hidden="1" customWidth="1" outlineLevel="1"/>
    <col min="3" max="3" width="24" style="16" bestFit="1" customWidth="1"/>
    <col min="4" max="4" width="14.85546875" style="16" customWidth="1"/>
    <col min="5" max="5" width="10.140625" style="16" customWidth="1"/>
    <col min="6" max="6" width="11.42578125" style="16" customWidth="1"/>
    <col min="7" max="7" width="9.140625" style="16" customWidth="1"/>
    <col min="8" max="8" width="10.5703125" style="16" customWidth="1"/>
    <col min="9" max="9" width="12.85546875" style="16" customWidth="1"/>
    <col min="10" max="10" width="13.5703125" style="16" customWidth="1"/>
    <col min="11" max="11" width="9.140625" style="16" customWidth="1"/>
    <col min="12" max="12" width="12.140625" style="16" customWidth="1"/>
    <col min="13" max="13" width="12.28515625" style="16" customWidth="1"/>
    <col min="14" max="14" width="10.5703125" style="16" customWidth="1"/>
    <col min="15" max="15" width="9.28515625" style="16" customWidth="1"/>
    <col min="16" max="16" width="10.140625" style="16" customWidth="1"/>
    <col min="17" max="18" width="10" style="16" bestFit="1" customWidth="1"/>
    <col min="19" max="19" width="11.140625" style="16" customWidth="1"/>
    <col min="20" max="16384" width="9.140625" style="16"/>
  </cols>
  <sheetData>
    <row r="4" spans="3:17">
      <c r="C4" s="37"/>
      <c r="D4" s="37"/>
      <c r="E4" s="37"/>
      <c r="F4" s="37"/>
      <c r="G4" s="37"/>
      <c r="H4" s="37"/>
      <c r="I4" s="37"/>
      <c r="J4" s="37"/>
      <c r="K4" s="37"/>
      <c r="L4" s="37"/>
      <c r="M4" s="37"/>
      <c r="N4" s="37"/>
      <c r="O4" s="37"/>
      <c r="P4" s="37"/>
      <c r="Q4" s="37"/>
    </row>
    <row r="5" spans="3:17">
      <c r="C5" s="37"/>
      <c r="D5" s="37"/>
      <c r="E5" s="37"/>
      <c r="F5" s="37"/>
      <c r="G5" s="37"/>
      <c r="H5" s="36"/>
      <c r="I5" s="37"/>
      <c r="J5" s="37"/>
      <c r="K5" s="37"/>
      <c r="L5" s="37"/>
      <c r="M5" s="37"/>
      <c r="N5" s="37"/>
      <c r="O5" s="37"/>
      <c r="P5" s="37"/>
      <c r="Q5" s="37"/>
    </row>
    <row r="6" spans="3:17">
      <c r="C6" s="37"/>
      <c r="D6" s="37"/>
      <c r="E6" s="37"/>
      <c r="F6" s="37"/>
      <c r="G6" s="37"/>
      <c r="H6" s="36"/>
      <c r="I6" s="37"/>
      <c r="J6" s="37"/>
      <c r="K6" s="37"/>
      <c r="L6" s="37"/>
      <c r="M6" s="37"/>
      <c r="N6" s="37"/>
      <c r="O6" s="37"/>
      <c r="P6" s="37"/>
      <c r="Q6" s="37"/>
    </row>
    <row r="7" spans="3:17">
      <c r="C7" s="37"/>
      <c r="D7" s="37"/>
      <c r="E7" s="37"/>
      <c r="F7" s="37"/>
      <c r="G7" s="37"/>
      <c r="H7" s="36"/>
      <c r="I7" s="37"/>
      <c r="J7" s="37"/>
      <c r="K7" s="37"/>
      <c r="L7" s="37"/>
      <c r="M7" s="37"/>
      <c r="N7" s="37"/>
      <c r="O7" s="37"/>
      <c r="P7" s="37"/>
      <c r="Q7" s="37"/>
    </row>
    <row r="8" spans="3:17">
      <c r="C8" s="37"/>
      <c r="D8" s="37"/>
      <c r="E8" s="37"/>
      <c r="F8" s="37"/>
      <c r="G8" s="37"/>
      <c r="H8" s="36"/>
      <c r="I8" s="37"/>
      <c r="J8" s="37"/>
      <c r="K8" s="37"/>
      <c r="L8" s="37"/>
      <c r="M8" s="37"/>
      <c r="N8" s="37"/>
      <c r="O8" s="37"/>
      <c r="P8" s="37"/>
      <c r="Q8" s="37"/>
    </row>
    <row r="9" spans="3:17">
      <c r="C9" s="37"/>
      <c r="D9" s="37"/>
      <c r="E9" s="37"/>
      <c r="F9" s="37"/>
      <c r="G9" s="37"/>
      <c r="H9" s="36"/>
      <c r="I9" s="37"/>
      <c r="J9" s="37"/>
      <c r="K9" s="37"/>
      <c r="L9" s="37"/>
      <c r="M9" s="37"/>
      <c r="N9" s="37"/>
      <c r="O9" s="37"/>
      <c r="P9" s="37"/>
      <c r="Q9" s="37"/>
    </row>
    <row r="10" spans="3:17">
      <c r="C10" s="37"/>
      <c r="D10" s="37"/>
      <c r="E10" s="37"/>
      <c r="F10" s="37"/>
      <c r="G10" s="37"/>
      <c r="H10" s="36"/>
      <c r="I10" s="37"/>
      <c r="J10" s="37"/>
      <c r="K10" s="37"/>
      <c r="L10" s="37"/>
      <c r="M10" s="37"/>
      <c r="N10" s="37"/>
      <c r="O10" s="37"/>
      <c r="P10" s="37"/>
      <c r="Q10" s="37"/>
    </row>
    <row r="11" spans="3:17">
      <c r="C11" s="37"/>
      <c r="D11" s="37"/>
      <c r="E11" s="37"/>
      <c r="F11" s="37"/>
      <c r="G11" s="37"/>
      <c r="H11" s="36"/>
      <c r="I11" s="37"/>
      <c r="J11" s="37"/>
      <c r="K11" s="37"/>
      <c r="L11" s="37"/>
      <c r="M11" s="37"/>
      <c r="N11" s="37"/>
      <c r="O11" s="37"/>
      <c r="P11" s="37"/>
      <c r="Q11" s="37"/>
    </row>
    <row r="12" spans="3:17">
      <c r="C12" s="37"/>
      <c r="D12" s="37"/>
      <c r="E12" s="37"/>
      <c r="F12" s="37"/>
      <c r="G12" s="37"/>
      <c r="H12" s="36"/>
      <c r="I12" s="37"/>
      <c r="J12" s="37"/>
      <c r="K12" s="37"/>
      <c r="L12" s="37"/>
      <c r="M12" s="37"/>
      <c r="N12" s="37"/>
      <c r="O12" s="37"/>
      <c r="P12" s="37"/>
      <c r="Q12" s="37"/>
    </row>
    <row r="13" spans="3:17">
      <c r="C13" s="37"/>
      <c r="D13" s="37"/>
      <c r="E13" s="37"/>
      <c r="F13" s="37"/>
      <c r="G13" s="37"/>
      <c r="H13" s="36"/>
      <c r="I13" s="37"/>
      <c r="J13" s="37"/>
      <c r="K13" s="37"/>
      <c r="L13" s="37"/>
      <c r="M13" s="37"/>
      <c r="N13" s="37"/>
      <c r="O13" s="37"/>
      <c r="P13" s="37"/>
      <c r="Q13" s="37"/>
    </row>
    <row r="14" spans="3:17">
      <c r="C14" s="37"/>
      <c r="D14" s="37"/>
      <c r="E14" s="37"/>
      <c r="F14" s="37"/>
      <c r="G14" s="37"/>
      <c r="H14" s="36"/>
      <c r="I14" s="37"/>
      <c r="J14" s="37"/>
      <c r="K14" s="37"/>
      <c r="L14" s="37"/>
      <c r="M14" s="37"/>
      <c r="N14" s="37"/>
      <c r="O14" s="37"/>
      <c r="P14" s="37"/>
      <c r="Q14" s="37"/>
    </row>
    <row r="15" spans="3:17">
      <c r="C15" s="37"/>
      <c r="D15" s="37"/>
      <c r="E15" s="37"/>
      <c r="F15" s="37"/>
      <c r="G15" s="37"/>
      <c r="H15" s="36"/>
      <c r="I15" s="37"/>
      <c r="J15" s="37"/>
      <c r="K15" s="37"/>
      <c r="L15" s="37"/>
      <c r="M15" s="37"/>
      <c r="N15" s="37"/>
      <c r="O15" s="37"/>
      <c r="P15" s="37"/>
      <c r="Q15" s="37"/>
    </row>
    <row r="16" spans="3:17">
      <c r="C16" s="37"/>
      <c r="D16" s="37"/>
      <c r="E16" s="37"/>
      <c r="F16" s="37"/>
      <c r="G16" s="37"/>
      <c r="H16" s="36"/>
      <c r="I16" s="37"/>
      <c r="J16" s="37"/>
      <c r="K16" s="37"/>
      <c r="L16" s="37"/>
      <c r="M16" s="37"/>
      <c r="N16" s="37"/>
      <c r="O16" s="37"/>
      <c r="P16" s="37"/>
      <c r="Q16" s="37"/>
    </row>
    <row r="17" spans="2:52">
      <c r="C17" s="37"/>
      <c r="H17" s="36"/>
    </row>
    <row r="18" spans="2:52">
      <c r="C18" s="37"/>
      <c r="H18" s="36"/>
    </row>
    <row r="19" spans="2:52">
      <c r="C19" s="37"/>
      <c r="H19" s="36"/>
    </row>
    <row r="20" spans="2:52">
      <c r="C20" s="37"/>
      <c r="H20" s="36"/>
    </row>
    <row r="21" spans="2:52">
      <c r="C21" s="37"/>
      <c r="H21" s="36"/>
    </row>
    <row r="22" spans="2:52">
      <c r="C22" s="37"/>
      <c r="H22" s="36"/>
    </row>
    <row r="23" spans="2:52">
      <c r="H23" s="36"/>
    </row>
    <row r="24" spans="2:52" s="78" customFormat="1" ht="76.5">
      <c r="B24" s="79" t="s">
        <v>89</v>
      </c>
      <c r="C24" s="172" t="s">
        <v>51</v>
      </c>
      <c r="D24" s="173" t="s">
        <v>68</v>
      </c>
      <c r="E24" s="79" t="s">
        <v>249</v>
      </c>
      <c r="F24" s="79" t="s">
        <v>250</v>
      </c>
      <c r="G24" s="79" t="s">
        <v>252</v>
      </c>
      <c r="H24" s="16"/>
      <c r="I24" s="16"/>
      <c r="J24" s="16"/>
      <c r="K24" s="16"/>
      <c r="L24" s="16"/>
      <c r="M24" s="16"/>
      <c r="N24" s="16"/>
      <c r="O24" s="16"/>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c r="AZ24" s="16"/>
    </row>
    <row r="25" spans="2:52" ht="15">
      <c r="B25" s="81"/>
      <c r="C25" s="38" t="s">
        <v>76</v>
      </c>
      <c r="D25" s="175">
        <f>SUM(E25:AA25)</f>
        <v>54</v>
      </c>
      <c r="E25" s="81">
        <v>20</v>
      </c>
      <c r="F25" s="81">
        <v>15</v>
      </c>
      <c r="G25" s="81">
        <v>19</v>
      </c>
    </row>
    <row r="26" spans="2:52" ht="15">
      <c r="B26" s="82"/>
      <c r="C26" s="39" t="s">
        <v>77</v>
      </c>
      <c r="D26" s="175">
        <f>SUM(E26:AA26)</f>
        <v>9</v>
      </c>
      <c r="E26" s="82">
        <v>2</v>
      </c>
      <c r="F26" s="82">
        <v>6</v>
      </c>
      <c r="G26" s="82">
        <v>1</v>
      </c>
    </row>
    <row r="27" spans="2:52" ht="15">
      <c r="B27" s="80">
        <f>B25+B26</f>
        <v>0</v>
      </c>
      <c r="C27" s="43" t="s">
        <v>22</v>
      </c>
      <c r="D27" s="80">
        <f t="shared" ref="D27" si="0">D25+D26</f>
        <v>63</v>
      </c>
      <c r="E27" s="80">
        <f>E25+E26</f>
        <v>22</v>
      </c>
      <c r="F27" s="80">
        <f>F25+F26</f>
        <v>21</v>
      </c>
      <c r="G27" s="80">
        <f>G25+G26</f>
        <v>20</v>
      </c>
    </row>
    <row r="28" spans="2:52">
      <c r="D28" s="17"/>
      <c r="H28" s="36"/>
    </row>
    <row r="29" spans="2:52">
      <c r="D29" s="17"/>
      <c r="H29" s="36"/>
    </row>
    <row r="30" spans="2:52">
      <c r="D30" s="17"/>
      <c r="H30" s="36"/>
    </row>
    <row r="31" spans="2:52" s="78" customFormat="1" ht="60" customHeight="1">
      <c r="B31" s="79" t="s">
        <v>90</v>
      </c>
      <c r="C31" s="172" t="s">
        <v>47</v>
      </c>
      <c r="D31" s="173" t="s">
        <v>68</v>
      </c>
      <c r="E31" s="79" t="s">
        <v>12</v>
      </c>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row>
    <row r="32" spans="2:52" s="36" customFormat="1" ht="15">
      <c r="B32" s="81"/>
      <c r="C32" s="39" t="s">
        <v>19</v>
      </c>
      <c r="D32" s="175">
        <f>SUM(E32:AA32)</f>
        <v>0</v>
      </c>
      <c r="E32" s="81">
        <v>0</v>
      </c>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row>
    <row r="33" spans="2:52" s="36" customFormat="1" ht="15">
      <c r="B33" s="82"/>
      <c r="C33" s="39" t="s">
        <v>44</v>
      </c>
      <c r="D33" s="175">
        <f>SUM(E33:AA33)</f>
        <v>0</v>
      </c>
      <c r="E33" s="82">
        <v>0</v>
      </c>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row>
    <row r="34" spans="2:52" s="36" customFormat="1" ht="15">
      <c r="B34" s="82"/>
      <c r="C34" s="39" t="s">
        <v>20</v>
      </c>
      <c r="D34" s="175">
        <f>SUM(E34:AA34)</f>
        <v>56</v>
      </c>
      <c r="E34" s="82">
        <v>56</v>
      </c>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row>
    <row r="35" spans="2:52" s="36" customFormat="1" ht="15">
      <c r="B35" s="82"/>
      <c r="C35" s="39" t="s">
        <v>21</v>
      </c>
      <c r="D35" s="175">
        <f>SUM(E35:AA35)</f>
        <v>7</v>
      </c>
      <c r="E35" s="82">
        <v>7</v>
      </c>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row>
    <row r="36" spans="2:52" s="36" customFormat="1" ht="15">
      <c r="B36" s="82"/>
      <c r="C36" s="39" t="s">
        <v>78</v>
      </c>
      <c r="D36" s="175">
        <f>SUM(E36:AA36)</f>
        <v>39</v>
      </c>
      <c r="E36" s="82">
        <v>39</v>
      </c>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row>
    <row r="37" spans="2:52" ht="15">
      <c r="B37" s="83">
        <f>SUM(B32:B36)</f>
        <v>0</v>
      </c>
      <c r="C37" s="43" t="s">
        <v>22</v>
      </c>
      <c r="D37" s="176">
        <f>SUM(D32:D36)</f>
        <v>102</v>
      </c>
      <c r="E37" s="83">
        <f>SUM(E32:E36)</f>
        <v>102</v>
      </c>
    </row>
    <row r="38" spans="2:52">
      <c r="D38" s="17"/>
      <c r="H38" s="36"/>
    </row>
    <row r="39" spans="2:52">
      <c r="D39" s="17"/>
      <c r="H39" s="36"/>
    </row>
    <row r="40" spans="2:52" s="78" customFormat="1" ht="63.75">
      <c r="B40" s="79" t="s">
        <v>90</v>
      </c>
      <c r="C40" s="172" t="s">
        <v>67</v>
      </c>
      <c r="D40" s="173" t="s">
        <v>68</v>
      </c>
      <c r="E40" s="79" t="s">
        <v>12</v>
      </c>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row>
    <row r="41" spans="2:52" ht="15">
      <c r="B41" s="82"/>
      <c r="C41" s="39" t="s">
        <v>75</v>
      </c>
      <c r="D41" s="175">
        <f>SUM(E41:AA41)</f>
        <v>82</v>
      </c>
      <c r="E41" s="82">
        <v>82</v>
      </c>
    </row>
    <row r="42" spans="2:52" ht="15">
      <c r="B42" s="82"/>
      <c r="C42" s="39" t="s">
        <v>74</v>
      </c>
      <c r="D42" s="175">
        <f>SUM(E42:AA42)</f>
        <v>7</v>
      </c>
      <c r="E42" s="82">
        <v>7</v>
      </c>
    </row>
    <row r="43" spans="2:52" s="17" customFormat="1" ht="15">
      <c r="B43" s="82"/>
      <c r="C43" s="39" t="s">
        <v>101</v>
      </c>
      <c r="D43" s="175">
        <f>SUM(E43:AA43)</f>
        <v>13</v>
      </c>
      <c r="E43" s="82">
        <v>13</v>
      </c>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row>
    <row r="44" spans="2:52" ht="15">
      <c r="B44" s="83">
        <f>SUM(B41:B43)</f>
        <v>0</v>
      </c>
      <c r="C44" s="43" t="s">
        <v>22</v>
      </c>
      <c r="D44" s="176">
        <f>SUM(D41:D43)</f>
        <v>102</v>
      </c>
      <c r="E44" s="83">
        <f>SUM(E41:E43)</f>
        <v>102</v>
      </c>
    </row>
    <row r="45" spans="2:52">
      <c r="D45" s="17"/>
    </row>
    <row r="46" spans="2:52">
      <c r="D46" s="17"/>
    </row>
    <row r="47" spans="2:52" ht="25.5">
      <c r="C47" s="174" t="s">
        <v>59</v>
      </c>
      <c r="D47" s="174" t="s">
        <v>92</v>
      </c>
      <c r="E47" s="29" t="s">
        <v>91</v>
      </c>
    </row>
    <row r="48" spans="2:52">
      <c r="C48" s="84" t="s">
        <v>93</v>
      </c>
      <c r="D48" s="177" t="s">
        <v>94</v>
      </c>
      <c r="E48" s="84" t="s">
        <v>95</v>
      </c>
    </row>
  </sheetData>
  <phoneticPr fontId="38"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34"/>
  <sheetViews>
    <sheetView showGridLines="0" topLeftCell="A15" zoomScaleNormal="100" workbookViewId="0">
      <selection activeCell="K41" sqref="K41"/>
    </sheetView>
  </sheetViews>
  <sheetFormatPr defaultColWidth="8.85546875" defaultRowHeight="15" outlineLevelCol="1"/>
  <cols>
    <col min="1" max="1" width="34.42578125" style="139" customWidth="1"/>
    <col min="2" max="2" width="31.5703125" style="139" customWidth="1"/>
    <col min="3" max="3" width="43.28515625" style="139" customWidth="1"/>
    <col min="4" max="4" width="13.42578125" style="139" customWidth="1"/>
    <col min="5" max="5" width="18.140625" style="139" customWidth="1"/>
    <col min="6" max="6" width="16.28515625" style="139" customWidth="1" outlineLevel="1"/>
    <col min="7" max="14" width="15.28515625" style="139" customWidth="1" outlineLevel="1"/>
    <col min="15" max="15" width="16.7109375" style="139" customWidth="1" outlineLevel="1"/>
    <col min="16" max="16384" width="8.85546875" style="139"/>
  </cols>
  <sheetData>
    <row r="1" spans="1:15" ht="21" customHeight="1">
      <c r="A1" s="346" t="s">
        <v>192</v>
      </c>
      <c r="B1" s="347"/>
      <c r="C1" s="347"/>
      <c r="D1" s="347"/>
      <c r="E1" s="348"/>
      <c r="F1" s="349" t="s">
        <v>198</v>
      </c>
      <c r="G1" s="350"/>
      <c r="H1" s="350"/>
      <c r="I1" s="350"/>
      <c r="J1" s="350"/>
      <c r="K1" s="350"/>
      <c r="L1" s="350"/>
      <c r="M1" s="350"/>
      <c r="N1" s="350"/>
      <c r="O1" s="350"/>
    </row>
    <row r="2" spans="1:15" ht="37.5">
      <c r="A2" s="148" t="s">
        <v>195</v>
      </c>
      <c r="B2" s="148" t="s">
        <v>191</v>
      </c>
      <c r="C2" s="148" t="s">
        <v>193</v>
      </c>
      <c r="D2" s="148" t="s">
        <v>194</v>
      </c>
      <c r="E2" s="148" t="s">
        <v>196</v>
      </c>
      <c r="F2" s="149" t="s">
        <v>363</v>
      </c>
      <c r="G2" s="149" t="s">
        <v>388</v>
      </c>
      <c r="H2" s="149" t="s">
        <v>438</v>
      </c>
      <c r="I2" s="149" t="s">
        <v>439</v>
      </c>
      <c r="J2" s="149" t="s">
        <v>507</v>
      </c>
      <c r="K2" s="149" t="s">
        <v>406</v>
      </c>
      <c r="L2" s="149" t="s">
        <v>544</v>
      </c>
      <c r="M2" s="149" t="s">
        <v>576</v>
      </c>
      <c r="N2" s="149" t="s">
        <v>445</v>
      </c>
      <c r="O2" s="149" t="s">
        <v>197</v>
      </c>
    </row>
    <row r="3" spans="1:15">
      <c r="A3" s="206" t="s">
        <v>385</v>
      </c>
      <c r="B3" s="139" t="s">
        <v>106</v>
      </c>
      <c r="C3" s="205">
        <v>44972</v>
      </c>
      <c r="D3" s="205">
        <v>44972</v>
      </c>
      <c r="E3" s="208">
        <f t="shared" ref="E3:E4" si="0">SUM(F3:O3)</f>
        <v>30</v>
      </c>
      <c r="F3" s="139">
        <v>15</v>
      </c>
      <c r="G3" s="139">
        <v>15</v>
      </c>
    </row>
    <row r="4" spans="1:15">
      <c r="A4" s="206" t="s">
        <v>386</v>
      </c>
      <c r="B4" s="207" t="s">
        <v>106</v>
      </c>
      <c r="C4" s="205">
        <v>44972</v>
      </c>
      <c r="D4" s="205">
        <v>44972</v>
      </c>
      <c r="E4" s="208">
        <f t="shared" si="0"/>
        <v>30</v>
      </c>
      <c r="F4" s="207">
        <v>15</v>
      </c>
      <c r="G4" s="207">
        <v>15</v>
      </c>
      <c r="H4" s="207"/>
      <c r="I4" s="207"/>
      <c r="J4" s="207"/>
      <c r="K4" s="207"/>
      <c r="L4" s="207"/>
      <c r="M4" s="207"/>
      <c r="N4" s="207"/>
      <c r="O4" s="207"/>
    </row>
    <row r="5" spans="1:15">
      <c r="A5" s="206" t="s">
        <v>387</v>
      </c>
      <c r="B5" s="207" t="s">
        <v>106</v>
      </c>
      <c r="C5" s="205">
        <v>44972</v>
      </c>
      <c r="D5" s="205">
        <v>44972</v>
      </c>
      <c r="E5" s="208">
        <f t="shared" ref="E5:E11" si="1">SUM(F5:O5)</f>
        <v>60</v>
      </c>
      <c r="F5" s="207">
        <v>30</v>
      </c>
      <c r="G5" s="207">
        <v>30</v>
      </c>
      <c r="H5" s="207"/>
      <c r="I5" s="207"/>
      <c r="J5" s="207"/>
      <c r="K5" s="207"/>
      <c r="L5" s="207"/>
      <c r="M5" s="207"/>
      <c r="N5" s="207"/>
      <c r="O5" s="207"/>
    </row>
    <row r="6" spans="1:15">
      <c r="A6" s="206" t="s">
        <v>404</v>
      </c>
      <c r="B6" s="207" t="s">
        <v>106</v>
      </c>
      <c r="C6" s="205">
        <v>44973</v>
      </c>
      <c r="D6" s="205">
        <v>44973</v>
      </c>
      <c r="E6" s="208">
        <f t="shared" si="1"/>
        <v>360</v>
      </c>
      <c r="F6" s="207">
        <v>180</v>
      </c>
      <c r="G6" s="207">
        <v>180</v>
      </c>
      <c r="H6" s="207"/>
      <c r="I6" s="207"/>
      <c r="J6" s="207"/>
      <c r="K6" s="207"/>
      <c r="L6" s="207"/>
      <c r="M6" s="207"/>
      <c r="N6" s="207"/>
      <c r="O6" s="207"/>
    </row>
    <row r="7" spans="1:15">
      <c r="A7" s="210" t="s">
        <v>440</v>
      </c>
      <c r="B7" s="211" t="s">
        <v>106</v>
      </c>
      <c r="C7" s="212">
        <v>44984</v>
      </c>
      <c r="D7" s="212">
        <v>44984</v>
      </c>
      <c r="E7" s="208">
        <f t="shared" si="1"/>
        <v>30</v>
      </c>
      <c r="H7" s="139">
        <v>15</v>
      </c>
      <c r="I7" s="139">
        <v>15</v>
      </c>
    </row>
    <row r="8" spans="1:15">
      <c r="A8" s="139" t="s">
        <v>488</v>
      </c>
      <c r="B8" s="211" t="s">
        <v>106</v>
      </c>
      <c r="C8" s="212">
        <v>44984</v>
      </c>
      <c r="D8" s="212">
        <v>44984</v>
      </c>
      <c r="E8" s="208">
        <f t="shared" si="1"/>
        <v>30</v>
      </c>
      <c r="F8" s="139">
        <v>15</v>
      </c>
      <c r="G8" s="139">
        <v>15</v>
      </c>
    </row>
    <row r="9" spans="1:15">
      <c r="A9" s="139" t="s">
        <v>489</v>
      </c>
      <c r="B9" s="211" t="s">
        <v>106</v>
      </c>
      <c r="C9" s="212">
        <v>44984</v>
      </c>
      <c r="D9" s="212">
        <v>44984</v>
      </c>
      <c r="E9" s="208">
        <f t="shared" si="1"/>
        <v>30</v>
      </c>
      <c r="F9" s="139">
        <v>15</v>
      </c>
      <c r="G9" s="139">
        <v>15</v>
      </c>
    </row>
    <row r="10" spans="1:15">
      <c r="A10" s="139" t="s">
        <v>490</v>
      </c>
      <c r="B10" s="211" t="s">
        <v>106</v>
      </c>
      <c r="C10" s="212">
        <v>44984</v>
      </c>
      <c r="D10" s="212">
        <v>44984</v>
      </c>
      <c r="E10" s="208">
        <f t="shared" si="1"/>
        <v>30</v>
      </c>
      <c r="F10" s="139">
        <v>15</v>
      </c>
      <c r="G10" s="139">
        <v>15</v>
      </c>
    </row>
    <row r="11" spans="1:15">
      <c r="A11" s="139" t="s">
        <v>491</v>
      </c>
      <c r="B11" s="211" t="s">
        <v>106</v>
      </c>
      <c r="C11" s="212">
        <v>44984</v>
      </c>
      <c r="D11" s="212">
        <v>44984</v>
      </c>
      <c r="E11" s="208">
        <f t="shared" si="1"/>
        <v>30</v>
      </c>
      <c r="F11" s="139">
        <v>15</v>
      </c>
      <c r="G11" s="139">
        <v>15</v>
      </c>
    </row>
    <row r="12" spans="1:15">
      <c r="A12" s="139" t="s">
        <v>497</v>
      </c>
      <c r="B12" s="211" t="s">
        <v>106</v>
      </c>
      <c r="C12" s="212">
        <v>44984</v>
      </c>
      <c r="D12" s="212">
        <v>44984</v>
      </c>
      <c r="E12" s="208">
        <f t="shared" ref="E12:E14" si="2">SUM(F12:O12)</f>
        <v>30</v>
      </c>
      <c r="F12" s="139">
        <v>15</v>
      </c>
      <c r="G12" s="139">
        <v>15</v>
      </c>
    </row>
    <row r="13" spans="1:15">
      <c r="A13" s="222" t="s">
        <v>502</v>
      </c>
      <c r="B13" s="211" t="s">
        <v>106</v>
      </c>
      <c r="C13" s="212">
        <v>44984</v>
      </c>
      <c r="D13" s="212">
        <v>44984</v>
      </c>
      <c r="E13" s="231">
        <f t="shared" si="2"/>
        <v>30</v>
      </c>
      <c r="F13" s="139">
        <v>15</v>
      </c>
      <c r="G13" s="139">
        <v>15</v>
      </c>
    </row>
    <row r="14" spans="1:15">
      <c r="A14" s="222" t="s">
        <v>500</v>
      </c>
      <c r="B14" s="211" t="s">
        <v>106</v>
      </c>
      <c r="C14" s="212">
        <v>44984</v>
      </c>
      <c r="D14" s="212">
        <v>44984</v>
      </c>
      <c r="E14" s="231">
        <f t="shared" si="2"/>
        <v>30</v>
      </c>
      <c r="F14" s="139">
        <v>15</v>
      </c>
      <c r="G14" s="139">
        <v>15</v>
      </c>
    </row>
    <row r="15" spans="1:15">
      <c r="A15" s="139" t="s">
        <v>503</v>
      </c>
      <c r="B15" s="211" t="s">
        <v>106</v>
      </c>
      <c r="C15" s="212">
        <v>44984</v>
      </c>
      <c r="D15" s="212">
        <v>44984</v>
      </c>
      <c r="E15" s="231">
        <f t="shared" ref="E15:E16" si="3">SUM(F15:O15)</f>
        <v>30</v>
      </c>
      <c r="F15" s="139">
        <v>15</v>
      </c>
      <c r="G15" s="139">
        <v>15</v>
      </c>
    </row>
    <row r="16" spans="1:15">
      <c r="A16" s="232" t="s">
        <v>508</v>
      </c>
      <c r="B16" s="211" t="s">
        <v>106</v>
      </c>
      <c r="C16" s="212">
        <v>44987</v>
      </c>
      <c r="D16" s="212">
        <v>44987</v>
      </c>
      <c r="E16" s="231">
        <f t="shared" si="3"/>
        <v>20</v>
      </c>
      <c r="F16" s="139">
        <v>10</v>
      </c>
      <c r="J16" s="139">
        <v>10</v>
      </c>
    </row>
    <row r="17" spans="1:12">
      <c r="A17" s="233" t="s">
        <v>510</v>
      </c>
      <c r="B17" s="211" t="s">
        <v>106</v>
      </c>
      <c r="C17" s="212">
        <v>44995</v>
      </c>
      <c r="D17" s="212">
        <v>44995</v>
      </c>
      <c r="E17" s="231">
        <f t="shared" ref="E17:E20" si="4">SUM(F17:O17)</f>
        <v>10</v>
      </c>
      <c r="K17" s="139">
        <v>10</v>
      </c>
    </row>
    <row r="18" spans="1:12">
      <c r="A18" s="235" t="s">
        <v>529</v>
      </c>
      <c r="B18" s="211" t="s">
        <v>106</v>
      </c>
      <c r="C18" s="212">
        <v>45061</v>
      </c>
      <c r="D18" s="212">
        <v>45061</v>
      </c>
      <c r="E18" s="231">
        <f t="shared" si="4"/>
        <v>20</v>
      </c>
      <c r="G18" s="139">
        <v>10</v>
      </c>
      <c r="J18" s="139">
        <v>10</v>
      </c>
    </row>
    <row r="19" spans="1:12">
      <c r="A19" s="235" t="s">
        <v>530</v>
      </c>
      <c r="B19" s="211" t="s">
        <v>106</v>
      </c>
      <c r="C19" s="212">
        <v>45061</v>
      </c>
      <c r="D19" s="212">
        <v>45061</v>
      </c>
      <c r="E19" s="231">
        <f t="shared" si="4"/>
        <v>50</v>
      </c>
      <c r="G19" s="139">
        <v>25</v>
      </c>
      <c r="J19" s="139">
        <v>25</v>
      </c>
    </row>
    <row r="20" spans="1:12">
      <c r="A20" s="235" t="s">
        <v>531</v>
      </c>
      <c r="B20" s="211" t="s">
        <v>106</v>
      </c>
      <c r="C20" s="212">
        <v>45061</v>
      </c>
      <c r="D20" s="212">
        <v>45061</v>
      </c>
      <c r="E20" s="231">
        <f t="shared" si="4"/>
        <v>60</v>
      </c>
      <c r="G20" s="139">
        <v>30</v>
      </c>
      <c r="J20" s="139">
        <v>30</v>
      </c>
    </row>
    <row r="21" spans="1:12">
      <c r="A21" s="237" t="s">
        <v>551</v>
      </c>
      <c r="B21" s="211" t="s">
        <v>106</v>
      </c>
      <c r="C21" s="212">
        <v>45105</v>
      </c>
      <c r="D21" s="212">
        <v>45105</v>
      </c>
      <c r="E21" s="231">
        <f t="shared" ref="E21:E23" si="5">SUM(F21:O21)</f>
        <v>30</v>
      </c>
      <c r="G21" s="139">
        <v>15</v>
      </c>
      <c r="J21" s="139">
        <v>15</v>
      </c>
    </row>
    <row r="22" spans="1:12">
      <c r="A22" s="236" t="s">
        <v>549</v>
      </c>
      <c r="B22" s="211" t="s">
        <v>106</v>
      </c>
      <c r="C22" s="212">
        <v>45105</v>
      </c>
      <c r="D22" s="212">
        <v>45105</v>
      </c>
      <c r="E22" s="231">
        <f t="shared" si="5"/>
        <v>30</v>
      </c>
      <c r="G22" s="139">
        <v>15</v>
      </c>
      <c r="J22" s="139">
        <v>15</v>
      </c>
    </row>
    <row r="23" spans="1:12">
      <c r="A23" s="236" t="s">
        <v>546</v>
      </c>
      <c r="B23" s="211" t="s">
        <v>106</v>
      </c>
      <c r="C23" s="212">
        <v>45105</v>
      </c>
      <c r="D23" s="212">
        <v>45105</v>
      </c>
      <c r="E23" s="231">
        <f t="shared" si="5"/>
        <v>20</v>
      </c>
      <c r="G23" s="139">
        <v>10</v>
      </c>
      <c r="J23" s="139">
        <v>10</v>
      </c>
    </row>
    <row r="24" spans="1:12">
      <c r="A24" s="238" t="s">
        <v>558</v>
      </c>
      <c r="B24" s="211" t="s">
        <v>106</v>
      </c>
      <c r="C24" s="212">
        <v>45121</v>
      </c>
      <c r="D24" s="212">
        <v>45121</v>
      </c>
      <c r="E24" s="231">
        <f t="shared" ref="E24:E26" si="6">SUM(F24:O24)</f>
        <v>40</v>
      </c>
      <c r="G24" s="139">
        <v>20</v>
      </c>
      <c r="J24" s="139">
        <v>20</v>
      </c>
    </row>
    <row r="25" spans="1:12">
      <c r="A25" s="238" t="s">
        <v>559</v>
      </c>
      <c r="B25" s="211" t="s">
        <v>106</v>
      </c>
      <c r="C25" s="212">
        <v>45121</v>
      </c>
      <c r="D25" s="212">
        <v>45121</v>
      </c>
      <c r="E25" s="231">
        <f t="shared" si="6"/>
        <v>40</v>
      </c>
      <c r="F25" s="139">
        <v>20</v>
      </c>
      <c r="J25" s="139">
        <v>20</v>
      </c>
    </row>
    <row r="26" spans="1:12">
      <c r="A26" s="238" t="s">
        <v>560</v>
      </c>
      <c r="B26" s="211" t="s">
        <v>106</v>
      </c>
      <c r="C26" s="212">
        <v>45121</v>
      </c>
      <c r="D26" s="212">
        <v>45121</v>
      </c>
      <c r="E26" s="231">
        <f t="shared" si="6"/>
        <v>20</v>
      </c>
      <c r="F26" s="139">
        <v>10</v>
      </c>
      <c r="J26" s="139">
        <v>10</v>
      </c>
    </row>
    <row r="27" spans="1:12">
      <c r="A27" s="239" t="s">
        <v>564</v>
      </c>
      <c r="B27" s="211" t="s">
        <v>106</v>
      </c>
      <c r="C27" s="212">
        <v>45121</v>
      </c>
      <c r="D27" s="212">
        <v>45121</v>
      </c>
      <c r="E27" s="231">
        <f t="shared" ref="E27:E28" si="7">SUM(F27:O27)</f>
        <v>10</v>
      </c>
      <c r="F27" s="139">
        <v>5</v>
      </c>
      <c r="J27" s="139">
        <v>5</v>
      </c>
    </row>
    <row r="28" spans="1:12">
      <c r="A28" s="239" t="s">
        <v>563</v>
      </c>
      <c r="B28" s="211" t="s">
        <v>106</v>
      </c>
      <c r="C28" s="212">
        <v>45121</v>
      </c>
      <c r="D28" s="212">
        <v>45121</v>
      </c>
      <c r="E28" s="231">
        <f t="shared" si="7"/>
        <v>10</v>
      </c>
      <c r="F28" s="139">
        <v>5</v>
      </c>
      <c r="J28" s="139">
        <v>5</v>
      </c>
    </row>
    <row r="29" spans="1:12">
      <c r="A29" s="240" t="s">
        <v>568</v>
      </c>
      <c r="B29" s="211" t="s">
        <v>106</v>
      </c>
      <c r="C29" s="212">
        <v>45128</v>
      </c>
      <c r="D29" s="212">
        <v>45128</v>
      </c>
      <c r="E29" s="231">
        <f t="shared" ref="E29:E33" si="8">SUM(F29:O29)</f>
        <v>20</v>
      </c>
      <c r="J29" s="139">
        <v>10</v>
      </c>
      <c r="L29" s="139">
        <v>10</v>
      </c>
    </row>
    <row r="30" spans="1:12">
      <c r="A30" s="240" t="s">
        <v>569</v>
      </c>
      <c r="B30" s="211" t="s">
        <v>106</v>
      </c>
      <c r="C30" s="212">
        <v>45128</v>
      </c>
      <c r="D30" s="212">
        <v>45128</v>
      </c>
      <c r="E30" s="231">
        <f t="shared" si="8"/>
        <v>20</v>
      </c>
      <c r="J30" s="139">
        <v>10</v>
      </c>
      <c r="L30" s="139">
        <v>10</v>
      </c>
    </row>
    <row r="31" spans="1:12">
      <c r="A31" s="240" t="s">
        <v>570</v>
      </c>
      <c r="B31" s="211" t="s">
        <v>106</v>
      </c>
      <c r="C31" s="212">
        <v>45128</v>
      </c>
      <c r="D31" s="212">
        <v>45128</v>
      </c>
      <c r="E31" s="231">
        <f t="shared" si="8"/>
        <v>20</v>
      </c>
      <c r="J31" s="139">
        <v>10</v>
      </c>
      <c r="L31" s="139">
        <v>10</v>
      </c>
    </row>
    <row r="32" spans="1:12">
      <c r="A32" s="248" t="s">
        <v>574</v>
      </c>
      <c r="B32" s="249" t="s">
        <v>106</v>
      </c>
      <c r="C32" s="250">
        <v>45132</v>
      </c>
      <c r="D32" s="250">
        <v>45132</v>
      </c>
      <c r="E32" s="231">
        <f t="shared" si="8"/>
        <v>20</v>
      </c>
      <c r="G32" s="139">
        <v>10</v>
      </c>
      <c r="L32" s="139">
        <v>10</v>
      </c>
    </row>
    <row r="33" spans="1:14">
      <c r="A33" s="251" t="s">
        <v>575</v>
      </c>
      <c r="B33" s="211" t="s">
        <v>106</v>
      </c>
      <c r="C33" s="250">
        <v>45133</v>
      </c>
      <c r="D33" s="250">
        <v>45133</v>
      </c>
      <c r="E33" s="231">
        <f t="shared" si="8"/>
        <v>30</v>
      </c>
      <c r="M33" s="139">
        <v>15</v>
      </c>
      <c r="N33" s="139">
        <v>15</v>
      </c>
    </row>
    <row r="34" spans="1:14">
      <c r="A34" s="356" t="s">
        <v>581</v>
      </c>
      <c r="B34" s="357" t="s">
        <v>106</v>
      </c>
      <c r="C34" s="358" t="s">
        <v>582</v>
      </c>
      <c r="D34" s="358" t="s">
        <v>582</v>
      </c>
      <c r="E34" s="231">
        <v>20</v>
      </c>
      <c r="G34" s="139">
        <v>10</v>
      </c>
      <c r="L34" s="139">
        <v>10</v>
      </c>
    </row>
  </sheetData>
  <mergeCells count="2">
    <mergeCell ref="A1:E1"/>
    <mergeCell ref="F1:O1"/>
  </mergeCells>
  <phoneticPr fontId="38" type="noConversion"/>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1"/>
  <sheetViews>
    <sheetView zoomScaleNormal="100" workbookViewId="0">
      <pane xSplit="1" ySplit="4" topLeftCell="B115" activePane="bottomRight" state="frozenSplit"/>
      <selection activeCell="K17" sqref="K17"/>
      <selection pane="topRight" activeCell="K17" sqref="K17"/>
      <selection pane="bottomLeft" activeCell="K17" sqref="K17"/>
      <selection pane="bottomRight" activeCell="D131" sqref="D131"/>
    </sheetView>
  </sheetViews>
  <sheetFormatPr defaultRowHeight="12.75" outlineLevelRow="1" outlineLevelCol="1"/>
  <cols>
    <col min="1" max="1" width="5.28515625" style="68" customWidth="1"/>
    <col min="2" max="2" width="9.85546875" style="46" customWidth="1"/>
    <col min="3" max="3" width="35.140625" style="46" customWidth="1"/>
    <col min="4" max="4" width="42.140625" style="47" customWidth="1"/>
    <col min="5" max="5" width="11" style="64" customWidth="1" outlineLevel="1"/>
    <col min="6" max="6" width="14.5703125" style="65" customWidth="1" outlineLevel="1"/>
    <col min="7" max="7" width="33.7109375" style="47" customWidth="1"/>
    <col min="8" max="9" width="11.28515625" style="46" customWidth="1" outlineLevel="1"/>
    <col min="10" max="10" width="18.28515625" style="46" customWidth="1" outlineLevel="1"/>
    <col min="11" max="11" width="12.5703125" style="48" customWidth="1"/>
    <col min="12" max="12" width="14.42578125" style="49" bestFit="1" customWidth="1"/>
    <col min="13" max="13" width="13.140625" style="49" customWidth="1"/>
    <col min="14" max="14" width="12" style="37" bestFit="1" customWidth="1"/>
    <col min="15" max="15" width="20.85546875" style="37" bestFit="1" customWidth="1"/>
    <col min="16" max="16" width="13.28515625" style="37" bestFit="1" customWidth="1"/>
    <col min="17" max="22" width="11.42578125" style="61" customWidth="1"/>
    <col min="23" max="23" width="11.85546875" style="61" bestFit="1" customWidth="1"/>
    <col min="24" max="24" width="15.5703125" bestFit="1" customWidth="1"/>
    <col min="25" max="25" width="15" bestFit="1" customWidth="1"/>
    <col min="26" max="26" width="9.7109375" bestFit="1" customWidth="1"/>
  </cols>
  <sheetData>
    <row r="1" spans="1:46" s="24" customFormat="1" ht="51" hidden="1">
      <c r="A1" s="63"/>
      <c r="B1" s="45"/>
      <c r="C1" s="45"/>
      <c r="D1" s="45" t="s">
        <v>50</v>
      </c>
      <c r="E1" s="63"/>
      <c r="F1" s="63"/>
      <c r="G1" s="45"/>
      <c r="H1" s="45" t="s">
        <v>50</v>
      </c>
      <c r="I1" s="45"/>
      <c r="J1" s="45"/>
      <c r="K1" s="45"/>
      <c r="L1" s="29" t="s">
        <v>64</v>
      </c>
      <c r="M1" s="29" t="s">
        <v>79</v>
      </c>
      <c r="N1" s="29" t="s">
        <v>65</v>
      </c>
      <c r="O1" s="29" t="s">
        <v>66</v>
      </c>
      <c r="P1" s="54"/>
      <c r="Q1" s="29" t="s">
        <v>44</v>
      </c>
      <c r="R1" s="29" t="s">
        <v>20</v>
      </c>
      <c r="S1" s="29" t="s">
        <v>21</v>
      </c>
      <c r="T1" s="29" t="s">
        <v>27</v>
      </c>
      <c r="U1" s="29" t="s">
        <v>19</v>
      </c>
      <c r="V1" s="55"/>
      <c r="W1" s="56"/>
      <c r="X1" s="29" t="s">
        <v>70</v>
      </c>
      <c r="Y1" s="29" t="s">
        <v>71</v>
      </c>
      <c r="Z1" s="29" t="s">
        <v>73</v>
      </c>
      <c r="AA1" s="29" t="s">
        <v>72</v>
      </c>
      <c r="AH1" s="19" t="s">
        <v>28</v>
      </c>
      <c r="AI1" s="19" t="s">
        <v>29</v>
      </c>
      <c r="AJ1" s="29" t="s">
        <v>62</v>
      </c>
      <c r="AO1" s="21"/>
      <c r="AP1" s="21"/>
      <c r="AQ1" s="20" t="s">
        <v>26</v>
      </c>
      <c r="AR1" s="20" t="s">
        <v>24</v>
      </c>
      <c r="AS1" s="20" t="s">
        <v>25</v>
      </c>
      <c r="AT1" s="20" t="s">
        <v>23</v>
      </c>
    </row>
    <row r="2" spans="1:46" s="33" customFormat="1" hidden="1">
      <c r="A2" s="63"/>
      <c r="B2" s="45"/>
      <c r="C2" s="31"/>
      <c r="D2" s="45" t="s">
        <v>45</v>
      </c>
      <c r="E2" s="63"/>
      <c r="F2" s="63"/>
      <c r="G2" s="31"/>
      <c r="H2" s="45" t="s">
        <v>45</v>
      </c>
      <c r="I2" s="45"/>
      <c r="J2" s="31"/>
      <c r="K2" s="31"/>
      <c r="L2" s="52">
        <f>COUNTA(D5:D496)+COUNTIF(L5:L496,"=Open")+COUNTIF(L5:L496,"=To be fixed")-COUNTA(L5:L496)</f>
        <v>0</v>
      </c>
      <c r="M2" s="52">
        <f>COUNTIF(M5:M496,"=Rejected")</f>
        <v>0</v>
      </c>
      <c r="N2" s="52">
        <f>COUNTA(D5:D496)-COUNTIF(M5:M496,"=Approved")</f>
        <v>0</v>
      </c>
      <c r="O2" s="52">
        <f>COUNTIFS(L5:L496,"=Postponed",M5:M496,"=Approved")</f>
        <v>7</v>
      </c>
      <c r="P2" s="57"/>
      <c r="Q2" s="52">
        <f>COUNTIF($L5:$L496,"=" &amp; Q1)</f>
        <v>0</v>
      </c>
      <c r="R2" s="52">
        <f>COUNTIF($L5:$L496,"=" &amp; R1)</f>
        <v>57</v>
      </c>
      <c r="S2" s="52">
        <f>COUNTIF($L5:$L496,"=" &amp; S1)</f>
        <v>7</v>
      </c>
      <c r="T2" s="52">
        <f>COUNTIF($L5:$L496,"=" &amp; T1)</f>
        <v>58</v>
      </c>
      <c r="U2" s="52">
        <f>COUNTIF($L5:$L496,"=" &amp; U1)+COUNTIFS($L5:$L496,"",$D5:$D496,"&lt;&gt;")</f>
        <v>0</v>
      </c>
      <c r="V2" s="58"/>
      <c r="W2" s="59"/>
      <c r="X2" s="52">
        <f>IF(OR(NbOfNotTreatedIssues&gt;0,NbOfRejectedIssues&gt;0),1,0)</f>
        <v>0</v>
      </c>
      <c r="Y2" s="52">
        <f>IF(AND(Issue_to_treat=0,NbOfNotApprovedIssues&gt;0),1,0)</f>
        <v>0</v>
      </c>
      <c r="Z2" s="52">
        <f>IF(AND(Issues_to_approve=0,NbOfNotApprovedAndPostponedIssues&gt;0),1,0)</f>
        <v>1</v>
      </c>
      <c r="AA2" s="52">
        <f>IF(AND(Issue_to_treat=0,Issues_to_approve=0,Issues_postponed=0),1,0)</f>
        <v>0</v>
      </c>
      <c r="AB2" s="32"/>
      <c r="AC2" s="32"/>
      <c r="AD2" s="32"/>
      <c r="AE2" s="32"/>
      <c r="AF2" s="32"/>
      <c r="AH2" s="52">
        <f>COUNTIF($M5:$M496,"=" &amp; AH1)</f>
        <v>122</v>
      </c>
      <c r="AI2" s="52">
        <f>COUNTIF($M5:$M496,"=" &amp; AI1)</f>
        <v>0</v>
      </c>
      <c r="AJ2" s="52">
        <f>COUNTIF($M5:$M496,"=" &amp; AJ1)</f>
        <v>0</v>
      </c>
      <c r="AM2" s="32"/>
      <c r="AN2" s="32"/>
      <c r="AO2" s="32"/>
      <c r="AP2" s="34"/>
      <c r="AQ2" s="34"/>
      <c r="AR2" s="32"/>
      <c r="AS2" s="34"/>
      <c r="AT2" s="34"/>
    </row>
    <row r="3" spans="1:46" s="51" customFormat="1" ht="25.5" customHeight="1" outlineLevel="1">
      <c r="A3" s="352" t="str">
        <f>IF(Issue_to_treat=1,NbOfNotTreatedIssues+NbOfRejectedIssues&amp;" issue(s) to treat",IF(Issues_to_approve=1,NbOfNotApprovedIssues&amp;" issue(s) to approve",IF(Issues_postponed=1,NbOfNotApprovedAndPostponedIssues&amp;" issue(s) postponed","Status OK")))</f>
        <v>7 issue(s) postponed</v>
      </c>
      <c r="B3" s="352"/>
      <c r="C3" s="353"/>
      <c r="D3" s="62" t="s">
        <v>63</v>
      </c>
      <c r="E3" s="351" t="s">
        <v>81</v>
      </c>
      <c r="F3" s="351"/>
      <c r="G3" s="351"/>
      <c r="H3" s="50"/>
      <c r="I3" s="50"/>
      <c r="J3" s="50"/>
      <c r="K3" s="50"/>
      <c r="L3" s="50"/>
      <c r="M3" s="50"/>
      <c r="N3" s="56"/>
      <c r="O3" s="56"/>
      <c r="P3" s="56"/>
      <c r="Q3" s="60"/>
      <c r="R3" s="60"/>
      <c r="S3" s="60"/>
      <c r="T3" s="60"/>
      <c r="U3" s="60"/>
      <c r="V3" s="60"/>
      <c r="W3" s="60"/>
      <c r="X3" s="25"/>
      <c r="Y3" s="25"/>
      <c r="Z3" s="25"/>
      <c r="AA3" s="25"/>
      <c r="AB3" s="25"/>
    </row>
    <row r="4" spans="1:46" s="147" customFormat="1" ht="47.25">
      <c r="A4" s="140" t="s">
        <v>30</v>
      </c>
      <c r="B4" s="140" t="s">
        <v>9</v>
      </c>
      <c r="C4" s="140" t="s">
        <v>32</v>
      </c>
      <c r="D4" s="140" t="s">
        <v>177</v>
      </c>
      <c r="E4" s="140" t="s">
        <v>69</v>
      </c>
      <c r="F4" s="140" t="s">
        <v>31</v>
      </c>
      <c r="G4" s="141" t="s">
        <v>46</v>
      </c>
      <c r="H4" s="142" t="s">
        <v>48</v>
      </c>
      <c r="I4" s="142" t="s">
        <v>105</v>
      </c>
      <c r="J4" s="142" t="s">
        <v>33</v>
      </c>
      <c r="K4" s="143" t="s">
        <v>49</v>
      </c>
      <c r="L4" s="142" t="s">
        <v>47</v>
      </c>
      <c r="M4" s="140" t="s">
        <v>178</v>
      </c>
      <c r="N4" s="144"/>
      <c r="O4" s="144"/>
      <c r="P4" s="144"/>
      <c r="Q4" s="145"/>
      <c r="R4" s="145"/>
      <c r="S4" s="145"/>
      <c r="T4" s="145"/>
      <c r="U4" s="145"/>
      <c r="V4" s="145"/>
      <c r="W4" s="145"/>
      <c r="X4" s="146"/>
      <c r="Y4" s="146"/>
      <c r="Z4" s="146"/>
      <c r="AA4" s="146"/>
      <c r="AB4" s="146"/>
    </row>
    <row r="5" spans="1:46" s="25" customFormat="1">
      <c r="A5" s="69">
        <v>1</v>
      </c>
      <c r="B5" s="21">
        <v>1.1000000000000001</v>
      </c>
      <c r="C5" s="201" t="s">
        <v>361</v>
      </c>
      <c r="D5" s="202" t="s">
        <v>362</v>
      </c>
      <c r="E5" s="66">
        <v>44972.54619212963</v>
      </c>
      <c r="F5" s="52" t="s">
        <v>363</v>
      </c>
      <c r="G5" s="18"/>
      <c r="H5" s="22"/>
      <c r="I5" s="22"/>
      <c r="J5" s="22" t="s">
        <v>363</v>
      </c>
      <c r="K5" s="203">
        <v>44972.546689814815</v>
      </c>
      <c r="L5" s="22" t="s">
        <v>27</v>
      </c>
      <c r="M5" s="77" t="s">
        <v>28</v>
      </c>
      <c r="N5" s="56"/>
      <c r="O5" s="56"/>
      <c r="P5" s="56"/>
      <c r="Q5" s="60"/>
      <c r="R5" s="60"/>
      <c r="S5" s="60"/>
      <c r="T5" s="60"/>
      <c r="U5" s="60"/>
      <c r="V5" s="60"/>
      <c r="W5" s="60"/>
    </row>
    <row r="6" spans="1:46" s="25" customFormat="1">
      <c r="A6" s="70">
        <v>2</v>
      </c>
      <c r="B6" s="21">
        <v>1.2</v>
      </c>
      <c r="C6" s="201" t="s">
        <v>361</v>
      </c>
      <c r="D6" s="202" t="s">
        <v>362</v>
      </c>
      <c r="E6" s="66">
        <v>44972.546331018515</v>
      </c>
      <c r="F6" s="52" t="s">
        <v>363</v>
      </c>
      <c r="G6" s="18"/>
      <c r="H6" s="22"/>
      <c r="I6" s="22"/>
      <c r="J6" s="22" t="s">
        <v>363</v>
      </c>
      <c r="K6" s="203">
        <v>44972.546793981484</v>
      </c>
      <c r="L6" s="22" t="s">
        <v>27</v>
      </c>
      <c r="M6" s="22" t="s">
        <v>28</v>
      </c>
      <c r="N6" s="56"/>
      <c r="O6" s="56"/>
      <c r="P6" s="56"/>
      <c r="Q6" s="60"/>
      <c r="R6" s="60"/>
      <c r="S6" s="60"/>
      <c r="T6" s="60"/>
      <c r="U6" s="60"/>
      <c r="V6" s="60"/>
      <c r="W6" s="60"/>
    </row>
    <row r="7" spans="1:46" s="25" customFormat="1">
      <c r="A7" s="70">
        <v>3</v>
      </c>
      <c r="B7" s="21">
        <v>1.3</v>
      </c>
      <c r="C7" s="201" t="s">
        <v>361</v>
      </c>
      <c r="D7" s="202" t="s">
        <v>362</v>
      </c>
      <c r="E7" s="66">
        <v>44972.546493055554</v>
      </c>
      <c r="F7" s="52" t="s">
        <v>363</v>
      </c>
      <c r="G7" s="18"/>
      <c r="H7" s="22"/>
      <c r="I7" s="22"/>
      <c r="J7" s="22" t="s">
        <v>363</v>
      </c>
      <c r="K7" s="203">
        <v>44972.546840277777</v>
      </c>
      <c r="L7" s="22" t="s">
        <v>27</v>
      </c>
      <c r="M7" s="22" t="s">
        <v>28</v>
      </c>
      <c r="N7" s="56"/>
      <c r="O7" s="56"/>
      <c r="P7" s="56"/>
      <c r="Q7" s="60"/>
      <c r="R7" s="60"/>
      <c r="S7" s="60"/>
      <c r="T7" s="60"/>
      <c r="U7" s="60"/>
      <c r="V7" s="60"/>
      <c r="W7" s="60"/>
    </row>
    <row r="8" spans="1:46" s="25" customFormat="1">
      <c r="A8" s="70">
        <v>4</v>
      </c>
      <c r="B8" s="21">
        <v>1.4</v>
      </c>
      <c r="C8" s="201" t="s">
        <v>361</v>
      </c>
      <c r="D8" s="202" t="s">
        <v>362</v>
      </c>
      <c r="E8" s="66">
        <v>44972.546516203707</v>
      </c>
      <c r="F8" s="52" t="s">
        <v>363</v>
      </c>
      <c r="G8" s="18"/>
      <c r="H8" s="22"/>
      <c r="I8" s="22"/>
      <c r="J8" s="22" t="s">
        <v>363</v>
      </c>
      <c r="K8" s="203">
        <v>44972.546886574077</v>
      </c>
      <c r="L8" s="22" t="s">
        <v>27</v>
      </c>
      <c r="M8" s="22" t="s">
        <v>28</v>
      </c>
      <c r="N8" s="56"/>
      <c r="O8" s="56"/>
      <c r="P8" s="56"/>
      <c r="Q8" s="60"/>
      <c r="R8" s="60"/>
      <c r="S8" s="60"/>
      <c r="T8" s="60"/>
      <c r="U8" s="60"/>
      <c r="V8" s="60"/>
      <c r="W8" s="60"/>
    </row>
    <row r="9" spans="1:46" s="25" customFormat="1">
      <c r="A9" s="70">
        <v>5</v>
      </c>
      <c r="B9" s="21">
        <v>1.5</v>
      </c>
      <c r="C9" s="201" t="s">
        <v>361</v>
      </c>
      <c r="D9" s="202" t="s">
        <v>362</v>
      </c>
      <c r="E9" s="66">
        <v>44972.546527777777</v>
      </c>
      <c r="F9" s="52" t="s">
        <v>363</v>
      </c>
      <c r="G9" s="18"/>
      <c r="H9" s="22"/>
      <c r="I9" s="22"/>
      <c r="J9" s="22" t="s">
        <v>363</v>
      </c>
      <c r="K9" s="203">
        <v>44972.546944444446</v>
      </c>
      <c r="L9" s="22" t="s">
        <v>27</v>
      </c>
      <c r="M9" s="22" t="s">
        <v>28</v>
      </c>
      <c r="N9" s="56"/>
      <c r="O9" s="56"/>
      <c r="P9" s="56"/>
      <c r="Q9" s="60"/>
      <c r="R9" s="60"/>
      <c r="S9" s="60"/>
      <c r="T9" s="60"/>
      <c r="U9" s="60"/>
      <c r="V9" s="60"/>
      <c r="W9" s="60"/>
    </row>
    <row r="10" spans="1:46" s="25" customFormat="1">
      <c r="A10" s="70">
        <v>6</v>
      </c>
      <c r="B10" s="21">
        <v>1.6</v>
      </c>
      <c r="C10" s="201" t="s">
        <v>361</v>
      </c>
      <c r="D10" s="28" t="s">
        <v>364</v>
      </c>
      <c r="E10" s="66">
        <v>44972.546539351853</v>
      </c>
      <c r="F10" s="52" t="s">
        <v>363</v>
      </c>
      <c r="G10" s="28" t="s">
        <v>405</v>
      </c>
      <c r="H10" s="22"/>
      <c r="I10" s="22"/>
      <c r="J10" s="22" t="s">
        <v>406</v>
      </c>
      <c r="K10" s="203">
        <v>44977.59103009259</v>
      </c>
      <c r="L10" s="22" t="s">
        <v>20</v>
      </c>
      <c r="M10" s="22" t="s">
        <v>28</v>
      </c>
      <c r="N10" s="56"/>
      <c r="O10" s="56"/>
      <c r="P10" s="56"/>
      <c r="Q10" s="60"/>
      <c r="R10" s="60"/>
      <c r="S10" s="60"/>
      <c r="T10" s="60"/>
      <c r="U10" s="60"/>
      <c r="V10" s="60"/>
      <c r="W10" s="60"/>
    </row>
    <row r="11" spans="1:46" s="25" customFormat="1">
      <c r="A11" s="70">
        <v>7</v>
      </c>
      <c r="B11" s="21">
        <v>1.6</v>
      </c>
      <c r="C11" s="201" t="s">
        <v>361</v>
      </c>
      <c r="D11" s="28" t="s">
        <v>365</v>
      </c>
      <c r="E11" s="66">
        <v>44972.548356481479</v>
      </c>
      <c r="F11" s="52" t="s">
        <v>363</v>
      </c>
      <c r="G11" s="18" t="s">
        <v>407</v>
      </c>
      <c r="H11" s="22"/>
      <c r="I11" s="22"/>
      <c r="J11" s="22" t="s">
        <v>406</v>
      </c>
      <c r="K11" s="204">
        <v>44977.639699074076</v>
      </c>
      <c r="L11" s="22" t="s">
        <v>20</v>
      </c>
      <c r="M11" s="22" t="s">
        <v>28</v>
      </c>
      <c r="N11" s="56"/>
      <c r="O11" s="56"/>
      <c r="P11" s="56"/>
      <c r="Q11" s="60"/>
      <c r="R11" s="60"/>
      <c r="S11" s="60"/>
      <c r="T11" s="60"/>
      <c r="U11" s="60"/>
      <c r="V11" s="60"/>
      <c r="W11" s="60"/>
    </row>
    <row r="12" spans="1:46" s="25" customFormat="1" ht="25.5">
      <c r="A12" s="70">
        <v>8</v>
      </c>
      <c r="B12" s="21">
        <v>1.6</v>
      </c>
      <c r="C12" s="201" t="s">
        <v>361</v>
      </c>
      <c r="D12" s="28" t="s">
        <v>366</v>
      </c>
      <c r="E12" s="66">
        <v>44972.550150462965</v>
      </c>
      <c r="F12" s="67" t="s">
        <v>363</v>
      </c>
      <c r="G12" s="18" t="s">
        <v>408</v>
      </c>
      <c r="H12" s="22"/>
      <c r="I12" s="22"/>
      <c r="J12" s="22" t="s">
        <v>406</v>
      </c>
      <c r="K12" s="23">
        <v>44977.640046296299</v>
      </c>
      <c r="L12" s="22" t="s">
        <v>20</v>
      </c>
      <c r="M12" s="22" t="s">
        <v>28</v>
      </c>
      <c r="N12" s="56"/>
      <c r="O12" s="56"/>
      <c r="P12" s="56"/>
      <c r="Q12" s="60"/>
      <c r="R12" s="60"/>
      <c r="S12" s="60"/>
      <c r="T12" s="60"/>
      <c r="U12" s="60"/>
      <c r="V12" s="60"/>
      <c r="W12" s="60"/>
    </row>
    <row r="13" spans="1:46" s="25" customFormat="1">
      <c r="A13" s="70">
        <v>9</v>
      </c>
      <c r="B13" s="21">
        <v>1.6</v>
      </c>
      <c r="C13" s="201" t="s">
        <v>361</v>
      </c>
      <c r="D13" s="28" t="s">
        <v>367</v>
      </c>
      <c r="E13" s="66">
        <v>44972.550902777781</v>
      </c>
      <c r="F13" s="67" t="s">
        <v>363</v>
      </c>
      <c r="G13" s="18" t="s">
        <v>409</v>
      </c>
      <c r="H13" s="22"/>
      <c r="I13" s="22"/>
      <c r="J13" s="22" t="s">
        <v>406</v>
      </c>
      <c r="K13" s="23">
        <v>44977.64025462963</v>
      </c>
      <c r="L13" s="22" t="s">
        <v>20</v>
      </c>
      <c r="M13" s="22" t="s">
        <v>28</v>
      </c>
      <c r="N13" s="56"/>
      <c r="O13" s="56"/>
      <c r="P13" s="56"/>
      <c r="Q13" s="60"/>
      <c r="R13" s="60"/>
      <c r="S13" s="60"/>
      <c r="T13" s="60"/>
      <c r="U13" s="60"/>
      <c r="V13" s="60"/>
      <c r="W13" s="60"/>
    </row>
    <row r="14" spans="1:46" s="25" customFormat="1" ht="25.5">
      <c r="A14" s="70">
        <v>10</v>
      </c>
      <c r="B14" s="21">
        <v>1.6</v>
      </c>
      <c r="C14" s="201" t="s">
        <v>361</v>
      </c>
      <c r="D14" s="28" t="s">
        <v>375</v>
      </c>
      <c r="E14" s="66">
        <v>44972.551574074074</v>
      </c>
      <c r="F14" s="67" t="s">
        <v>363</v>
      </c>
      <c r="G14" s="18" t="s">
        <v>410</v>
      </c>
      <c r="H14" s="22"/>
      <c r="I14" s="22"/>
      <c r="J14" s="22" t="s">
        <v>406</v>
      </c>
      <c r="K14" s="23">
        <v>44977.64466435185</v>
      </c>
      <c r="L14" s="22" t="s">
        <v>20</v>
      </c>
      <c r="M14" s="22" t="s">
        <v>28</v>
      </c>
      <c r="N14" s="56"/>
      <c r="O14" s="56"/>
      <c r="P14" s="56"/>
      <c r="Q14" s="60"/>
      <c r="R14" s="60"/>
      <c r="S14" s="60"/>
      <c r="T14" s="60"/>
      <c r="U14" s="60"/>
      <c r="V14" s="60"/>
      <c r="W14" s="60"/>
    </row>
    <row r="15" spans="1:46" s="25" customFormat="1" ht="25.5">
      <c r="A15" s="70">
        <v>11</v>
      </c>
      <c r="B15" s="21">
        <v>1.6</v>
      </c>
      <c r="C15" s="201" t="s">
        <v>361</v>
      </c>
      <c r="D15" s="28" t="s">
        <v>368</v>
      </c>
      <c r="E15" s="66">
        <v>44972.552534722221</v>
      </c>
      <c r="F15" s="67" t="s">
        <v>363</v>
      </c>
      <c r="G15" s="18" t="s">
        <v>411</v>
      </c>
      <c r="H15" s="22"/>
      <c r="I15" s="22"/>
      <c r="J15" s="22" t="s">
        <v>406</v>
      </c>
      <c r="K15" s="23">
        <v>44977.647314814814</v>
      </c>
      <c r="L15" s="22" t="s">
        <v>20</v>
      </c>
      <c r="M15" s="22" t="s">
        <v>28</v>
      </c>
      <c r="N15" s="56"/>
      <c r="O15" s="56"/>
      <c r="P15" s="56"/>
      <c r="Q15" s="60"/>
      <c r="R15" s="60"/>
      <c r="S15" s="60"/>
      <c r="T15" s="60"/>
      <c r="U15" s="60"/>
      <c r="V15" s="60"/>
      <c r="W15" s="60"/>
    </row>
    <row r="16" spans="1:46" s="25" customFormat="1" ht="25.5">
      <c r="A16" s="70">
        <v>12</v>
      </c>
      <c r="B16" s="21">
        <v>1.6</v>
      </c>
      <c r="C16" s="201" t="s">
        <v>361</v>
      </c>
      <c r="D16" s="28" t="s">
        <v>378</v>
      </c>
      <c r="E16" s="66">
        <v>44972.552534722221</v>
      </c>
      <c r="F16" s="67" t="s">
        <v>363</v>
      </c>
      <c r="G16" s="18" t="s">
        <v>412</v>
      </c>
      <c r="H16" s="22"/>
      <c r="I16" s="22"/>
      <c r="J16" s="22" t="s">
        <v>406</v>
      </c>
      <c r="K16" s="23">
        <v>44977.647592592592</v>
      </c>
      <c r="L16" s="22" t="s">
        <v>20</v>
      </c>
      <c r="M16" s="22" t="s">
        <v>28</v>
      </c>
      <c r="N16" s="56"/>
      <c r="O16" s="56"/>
      <c r="P16" s="56"/>
      <c r="Q16" s="60"/>
      <c r="R16" s="60"/>
      <c r="S16" s="60"/>
      <c r="T16" s="60"/>
      <c r="U16" s="60"/>
      <c r="V16" s="60"/>
      <c r="W16" s="60"/>
    </row>
    <row r="17" spans="1:23" s="25" customFormat="1">
      <c r="A17" s="70">
        <v>13</v>
      </c>
      <c r="B17" s="21">
        <v>1.1000000000000001</v>
      </c>
      <c r="C17" s="201" t="s">
        <v>372</v>
      </c>
      <c r="D17" s="202" t="s">
        <v>369</v>
      </c>
      <c r="E17" s="66">
        <v>44972.560300925928</v>
      </c>
      <c r="F17" s="67" t="s">
        <v>363</v>
      </c>
      <c r="G17" s="18"/>
      <c r="H17" s="22"/>
      <c r="I17" s="22"/>
      <c r="J17" s="22" t="s">
        <v>363</v>
      </c>
      <c r="K17" s="23">
        <v>44972.560787037037</v>
      </c>
      <c r="L17" s="22" t="s">
        <v>27</v>
      </c>
      <c r="M17" s="22" t="s">
        <v>28</v>
      </c>
      <c r="N17" s="56"/>
      <c r="O17" s="56"/>
      <c r="P17" s="56"/>
      <c r="Q17" s="60"/>
      <c r="R17" s="60"/>
      <c r="S17" s="60"/>
      <c r="T17" s="60"/>
      <c r="U17" s="60"/>
      <c r="V17" s="60"/>
      <c r="W17" s="60"/>
    </row>
    <row r="18" spans="1:23" s="25" customFormat="1">
      <c r="A18" s="70">
        <v>14</v>
      </c>
      <c r="B18" s="21">
        <v>1.2</v>
      </c>
      <c r="C18" s="201" t="s">
        <v>372</v>
      </c>
      <c r="D18" s="202" t="s">
        <v>369</v>
      </c>
      <c r="E18" s="66">
        <v>44972.56050925926</v>
      </c>
      <c r="F18" s="67" t="s">
        <v>363</v>
      </c>
      <c r="G18" s="18"/>
      <c r="H18" s="22"/>
      <c r="I18" s="22"/>
      <c r="J18" s="22" t="s">
        <v>363</v>
      </c>
      <c r="K18" s="23">
        <v>44972.56082175926</v>
      </c>
      <c r="L18" s="22" t="s">
        <v>27</v>
      </c>
      <c r="M18" s="22" t="s">
        <v>28</v>
      </c>
      <c r="N18" s="56"/>
      <c r="O18" s="56"/>
      <c r="P18" s="56"/>
      <c r="Q18" s="60"/>
      <c r="R18" s="60"/>
      <c r="S18" s="60"/>
      <c r="T18" s="60"/>
      <c r="U18" s="60"/>
      <c r="V18" s="60"/>
      <c r="W18" s="60"/>
    </row>
    <row r="19" spans="1:23" s="25" customFormat="1">
      <c r="A19" s="70">
        <v>15</v>
      </c>
      <c r="B19" s="21">
        <v>1.3</v>
      </c>
      <c r="C19" s="201" t="s">
        <v>372</v>
      </c>
      <c r="D19" s="202" t="s">
        <v>369</v>
      </c>
      <c r="E19" s="66">
        <v>44972.560717592591</v>
      </c>
      <c r="F19" s="67" t="s">
        <v>363</v>
      </c>
      <c r="G19" s="18"/>
      <c r="H19" s="22"/>
      <c r="I19" s="22"/>
      <c r="J19" s="22" t="s">
        <v>363</v>
      </c>
      <c r="K19" s="23">
        <v>44972.560868055552</v>
      </c>
      <c r="L19" s="22" t="s">
        <v>27</v>
      </c>
      <c r="M19" s="22" t="s">
        <v>28</v>
      </c>
      <c r="N19" s="56"/>
      <c r="O19" s="56"/>
      <c r="P19" s="56"/>
      <c r="Q19" s="60"/>
      <c r="R19" s="60"/>
      <c r="S19" s="60"/>
      <c r="T19" s="60"/>
      <c r="U19" s="60"/>
      <c r="V19" s="60"/>
      <c r="W19" s="60"/>
    </row>
    <row r="20" spans="1:23" s="25" customFormat="1">
      <c r="A20" s="70">
        <v>16</v>
      </c>
      <c r="B20" s="21">
        <v>1.4</v>
      </c>
      <c r="C20" s="201" t="s">
        <v>372</v>
      </c>
      <c r="D20" s="28" t="s">
        <v>364</v>
      </c>
      <c r="E20" s="66">
        <v>44972.561111111114</v>
      </c>
      <c r="F20" s="67" t="s">
        <v>363</v>
      </c>
      <c r="G20" s="18" t="s">
        <v>405</v>
      </c>
      <c r="H20" s="22"/>
      <c r="I20" s="22"/>
      <c r="J20" s="22" t="s">
        <v>406</v>
      </c>
      <c r="K20" s="23">
        <v>44977.647939814815</v>
      </c>
      <c r="L20" s="22" t="s">
        <v>20</v>
      </c>
      <c r="M20" s="22" t="s">
        <v>28</v>
      </c>
      <c r="N20" s="56"/>
      <c r="O20" s="56"/>
      <c r="P20" s="56"/>
      <c r="Q20" s="60"/>
      <c r="R20" s="60"/>
      <c r="S20" s="60"/>
      <c r="T20" s="60"/>
      <c r="U20" s="60"/>
      <c r="V20" s="60"/>
      <c r="W20" s="60"/>
    </row>
    <row r="21" spans="1:23" s="25" customFormat="1" ht="25.5">
      <c r="A21" s="70">
        <v>17</v>
      </c>
      <c r="B21" s="21">
        <v>1.4</v>
      </c>
      <c r="C21" s="201" t="s">
        <v>372</v>
      </c>
      <c r="D21" s="28" t="s">
        <v>370</v>
      </c>
      <c r="E21" s="66">
        <v>44972.562210648146</v>
      </c>
      <c r="F21" s="67" t="s">
        <v>363</v>
      </c>
      <c r="G21" s="18" t="s">
        <v>413</v>
      </c>
      <c r="H21" s="22"/>
      <c r="I21" s="22"/>
      <c r="J21" s="22" t="s">
        <v>406</v>
      </c>
      <c r="K21" s="23">
        <v>44977.650289351855</v>
      </c>
      <c r="L21" s="22" t="s">
        <v>20</v>
      </c>
      <c r="M21" s="22" t="s">
        <v>28</v>
      </c>
      <c r="N21" s="56"/>
      <c r="O21" s="56"/>
      <c r="P21" s="56"/>
      <c r="Q21" s="60"/>
      <c r="R21" s="60"/>
      <c r="S21" s="60"/>
      <c r="T21" s="60"/>
      <c r="U21" s="60"/>
      <c r="V21" s="60"/>
      <c r="W21" s="60"/>
    </row>
    <row r="22" spans="1:23" s="25" customFormat="1" ht="25.5">
      <c r="A22" s="70">
        <v>18</v>
      </c>
      <c r="B22" s="21">
        <v>1.4</v>
      </c>
      <c r="C22" s="201" t="s">
        <v>372</v>
      </c>
      <c r="D22" s="28" t="s">
        <v>371</v>
      </c>
      <c r="E22" s="66">
        <v>44972.563657407409</v>
      </c>
      <c r="F22" s="67" t="s">
        <v>363</v>
      </c>
      <c r="G22" s="18" t="s">
        <v>414</v>
      </c>
      <c r="H22" s="22"/>
      <c r="I22" s="22"/>
      <c r="J22" s="22" t="s">
        <v>406</v>
      </c>
      <c r="K22" s="23">
        <v>44977.650324074071</v>
      </c>
      <c r="L22" s="22" t="s">
        <v>20</v>
      </c>
      <c r="M22" s="22" t="s">
        <v>28</v>
      </c>
      <c r="N22" s="56"/>
      <c r="O22" s="56"/>
      <c r="P22" s="56"/>
      <c r="Q22" s="60"/>
      <c r="R22" s="60"/>
      <c r="S22" s="60"/>
      <c r="T22" s="60"/>
      <c r="U22" s="60"/>
      <c r="V22" s="60"/>
      <c r="W22" s="60"/>
    </row>
    <row r="23" spans="1:23" s="25" customFormat="1">
      <c r="A23" s="70">
        <v>19</v>
      </c>
      <c r="B23" s="40">
        <v>1.1000000000000001</v>
      </c>
      <c r="C23" s="40" t="s">
        <v>506</v>
      </c>
      <c r="D23" s="202" t="s">
        <v>373</v>
      </c>
      <c r="E23" s="66">
        <v>44972.570196759261</v>
      </c>
      <c r="F23" s="67" t="s">
        <v>363</v>
      </c>
      <c r="G23" s="18"/>
      <c r="H23" s="22"/>
      <c r="I23" s="22"/>
      <c r="J23" s="22" t="s">
        <v>363</v>
      </c>
      <c r="K23" s="23">
        <v>44972.572847222225</v>
      </c>
      <c r="L23" s="22" t="s">
        <v>27</v>
      </c>
      <c r="M23" s="22" t="s">
        <v>28</v>
      </c>
      <c r="N23" s="56"/>
      <c r="O23" s="56"/>
      <c r="P23" s="56"/>
      <c r="Q23" s="60"/>
      <c r="R23" s="60"/>
      <c r="S23" s="60"/>
      <c r="T23" s="60"/>
      <c r="U23" s="60"/>
      <c r="V23" s="60"/>
      <c r="W23" s="60"/>
    </row>
    <row r="24" spans="1:23" s="25" customFormat="1">
      <c r="A24" s="70">
        <v>20</v>
      </c>
      <c r="B24" s="40">
        <v>1.2</v>
      </c>
      <c r="C24" s="40" t="s">
        <v>506</v>
      </c>
      <c r="D24" s="202" t="s">
        <v>373</v>
      </c>
      <c r="E24" s="66">
        <v>44972.571006944447</v>
      </c>
      <c r="F24" s="67" t="s">
        <v>363</v>
      </c>
      <c r="G24" s="18"/>
      <c r="H24" s="22"/>
      <c r="I24" s="22"/>
      <c r="J24" s="22" t="s">
        <v>363</v>
      </c>
      <c r="K24" s="23">
        <v>44972.572881944441</v>
      </c>
      <c r="L24" s="22" t="s">
        <v>27</v>
      </c>
      <c r="M24" s="22" t="s">
        <v>28</v>
      </c>
      <c r="N24" s="56"/>
      <c r="O24" s="56"/>
      <c r="P24" s="56"/>
      <c r="Q24" s="60"/>
      <c r="R24" s="60"/>
      <c r="S24" s="60"/>
      <c r="T24" s="60"/>
      <c r="U24" s="60"/>
      <c r="V24" s="60"/>
      <c r="W24" s="60"/>
    </row>
    <row r="25" spans="1:23" s="25" customFormat="1">
      <c r="A25" s="70">
        <v>21</v>
      </c>
      <c r="B25" s="40">
        <v>1.3</v>
      </c>
      <c r="C25" s="40" t="s">
        <v>506</v>
      </c>
      <c r="D25" s="202" t="s">
        <v>373</v>
      </c>
      <c r="E25" s="66">
        <v>44972.572696759256</v>
      </c>
      <c r="F25" s="67" t="s">
        <v>363</v>
      </c>
      <c r="G25" s="18"/>
      <c r="H25" s="22"/>
      <c r="I25" s="22"/>
      <c r="J25" s="22" t="s">
        <v>363</v>
      </c>
      <c r="K25" s="23">
        <v>44972.572916666664</v>
      </c>
      <c r="L25" s="22" t="s">
        <v>27</v>
      </c>
      <c r="M25" s="22" t="s">
        <v>28</v>
      </c>
      <c r="N25" s="56"/>
      <c r="O25" s="56"/>
      <c r="P25" s="56"/>
      <c r="Q25" s="60"/>
      <c r="R25" s="60"/>
      <c r="S25" s="60"/>
      <c r="T25" s="60"/>
      <c r="U25" s="60"/>
      <c r="V25" s="60"/>
      <c r="W25" s="60"/>
    </row>
    <row r="26" spans="1:23" s="25" customFormat="1">
      <c r="A26" s="70">
        <v>22</v>
      </c>
      <c r="B26" s="40">
        <v>1.4</v>
      </c>
      <c r="C26" s="40" t="s">
        <v>506</v>
      </c>
      <c r="D26" s="202" t="s">
        <v>373</v>
      </c>
      <c r="E26" s="66">
        <v>44972.572708333333</v>
      </c>
      <c r="F26" s="67" t="s">
        <v>363</v>
      </c>
      <c r="G26" s="18"/>
      <c r="H26" s="22"/>
      <c r="I26" s="22"/>
      <c r="J26" s="22" t="s">
        <v>363</v>
      </c>
      <c r="K26" s="23">
        <v>44972.572939814818</v>
      </c>
      <c r="L26" s="22" t="s">
        <v>27</v>
      </c>
      <c r="M26" s="22" t="s">
        <v>28</v>
      </c>
      <c r="N26" s="56"/>
      <c r="O26" s="56"/>
      <c r="P26" s="56"/>
      <c r="Q26" s="60"/>
      <c r="R26" s="60"/>
      <c r="S26" s="60"/>
      <c r="T26" s="60"/>
      <c r="U26" s="60"/>
      <c r="V26" s="60"/>
      <c r="W26" s="60"/>
    </row>
    <row r="27" spans="1:23" s="25" customFormat="1">
      <c r="A27" s="70">
        <v>23</v>
      </c>
      <c r="B27" s="40">
        <v>1.5</v>
      </c>
      <c r="C27" s="40" t="s">
        <v>506</v>
      </c>
      <c r="D27" s="202" t="s">
        <v>373</v>
      </c>
      <c r="E27" s="66">
        <v>44972.57271990741</v>
      </c>
      <c r="F27" s="67" t="s">
        <v>363</v>
      </c>
      <c r="G27" s="18"/>
      <c r="H27" s="22"/>
      <c r="I27" s="22"/>
      <c r="J27" s="22" t="s">
        <v>363</v>
      </c>
      <c r="K27" s="23">
        <v>44972.572962962964</v>
      </c>
      <c r="L27" s="22" t="s">
        <v>27</v>
      </c>
      <c r="M27" s="22" t="s">
        <v>28</v>
      </c>
      <c r="N27" s="56"/>
      <c r="O27" s="56"/>
      <c r="P27" s="56"/>
      <c r="Q27" s="60"/>
      <c r="R27" s="60"/>
      <c r="S27" s="60"/>
      <c r="T27" s="60"/>
      <c r="U27" s="60"/>
      <c r="V27" s="60"/>
      <c r="W27" s="60"/>
    </row>
    <row r="28" spans="1:23" s="25" customFormat="1">
      <c r="A28" s="70">
        <v>24</v>
      </c>
      <c r="B28" s="40">
        <v>1.6</v>
      </c>
      <c r="C28" s="40" t="s">
        <v>506</v>
      </c>
      <c r="D28" s="202" t="s">
        <v>373</v>
      </c>
      <c r="E28" s="66">
        <v>44972.572731481479</v>
      </c>
      <c r="F28" s="67" t="s">
        <v>363</v>
      </c>
      <c r="G28" s="18"/>
      <c r="H28" s="22"/>
      <c r="I28" s="22"/>
      <c r="J28" s="22" t="s">
        <v>363</v>
      </c>
      <c r="K28" s="23">
        <v>44972.573009259257</v>
      </c>
      <c r="L28" s="22" t="s">
        <v>27</v>
      </c>
      <c r="M28" s="22" t="s">
        <v>28</v>
      </c>
      <c r="N28" s="56"/>
      <c r="O28" s="56"/>
      <c r="P28" s="56"/>
      <c r="Q28" s="60"/>
      <c r="R28" s="60"/>
      <c r="S28" s="60"/>
      <c r="T28" s="60"/>
      <c r="U28" s="60"/>
      <c r="V28" s="60"/>
      <c r="W28" s="60"/>
    </row>
    <row r="29" spans="1:23" s="25" customFormat="1">
      <c r="A29" s="70">
        <v>25</v>
      </c>
      <c r="B29" s="40">
        <v>1.7</v>
      </c>
      <c r="C29" s="40" t="s">
        <v>506</v>
      </c>
      <c r="D29" s="202" t="s">
        <v>373</v>
      </c>
      <c r="E29" s="66">
        <v>44972.572743055556</v>
      </c>
      <c r="F29" s="67" t="s">
        <v>363</v>
      </c>
      <c r="G29" s="18"/>
      <c r="H29" s="22"/>
      <c r="I29" s="22"/>
      <c r="J29" s="22" t="s">
        <v>363</v>
      </c>
      <c r="K29" s="23">
        <v>44973</v>
      </c>
      <c r="L29" s="22" t="s">
        <v>27</v>
      </c>
      <c r="M29" s="22" t="s">
        <v>28</v>
      </c>
      <c r="N29" s="56"/>
      <c r="O29" s="56"/>
      <c r="P29" s="56"/>
      <c r="Q29" s="60"/>
      <c r="R29" s="60"/>
      <c r="S29" s="60"/>
      <c r="T29" s="60"/>
      <c r="U29" s="60"/>
      <c r="V29" s="60"/>
      <c r="W29" s="60"/>
    </row>
    <row r="30" spans="1:23" s="25" customFormat="1">
      <c r="A30" s="70">
        <v>26</v>
      </c>
      <c r="B30" s="40">
        <v>1.8</v>
      </c>
      <c r="C30" s="40" t="s">
        <v>506</v>
      </c>
      <c r="D30" s="28" t="s">
        <v>364</v>
      </c>
      <c r="E30" s="66">
        <v>44972.57408564815</v>
      </c>
      <c r="F30" s="67" t="s">
        <v>363</v>
      </c>
      <c r="G30" s="18" t="s">
        <v>405</v>
      </c>
      <c r="H30" s="22"/>
      <c r="I30" s="22"/>
      <c r="J30" s="22" t="s">
        <v>406</v>
      </c>
      <c r="K30" s="23">
        <v>44977.654236111113</v>
      </c>
      <c r="L30" s="22" t="s">
        <v>20</v>
      </c>
      <c r="M30" s="22" t="s">
        <v>28</v>
      </c>
      <c r="N30" s="56"/>
      <c r="O30" s="56"/>
      <c r="P30" s="56"/>
      <c r="Q30" s="60"/>
      <c r="R30" s="60"/>
      <c r="S30" s="60"/>
      <c r="T30" s="60"/>
      <c r="U30" s="60"/>
      <c r="V30" s="60"/>
      <c r="W30" s="60"/>
    </row>
    <row r="31" spans="1:23" s="25" customFormat="1">
      <c r="A31" s="70">
        <v>27</v>
      </c>
      <c r="B31" s="40">
        <v>1.8</v>
      </c>
      <c r="C31" s="40" t="s">
        <v>506</v>
      </c>
      <c r="D31" s="28" t="s">
        <v>374</v>
      </c>
      <c r="E31" s="66">
        <v>44972.574490740742</v>
      </c>
      <c r="F31" s="67" t="s">
        <v>363</v>
      </c>
      <c r="G31" s="18" t="s">
        <v>415</v>
      </c>
      <c r="H31" s="22"/>
      <c r="I31" s="22"/>
      <c r="J31" s="22" t="s">
        <v>406</v>
      </c>
      <c r="K31" s="23">
        <v>44977.655844907407</v>
      </c>
      <c r="L31" s="22" t="s">
        <v>20</v>
      </c>
      <c r="M31" s="22" t="s">
        <v>28</v>
      </c>
      <c r="N31" s="56"/>
      <c r="O31" s="56"/>
      <c r="P31" s="56"/>
      <c r="Q31" s="60"/>
      <c r="R31" s="60"/>
      <c r="S31" s="60"/>
      <c r="T31" s="60"/>
      <c r="U31" s="60"/>
      <c r="V31" s="60"/>
      <c r="W31" s="60"/>
    </row>
    <row r="32" spans="1:23" s="25" customFormat="1">
      <c r="A32" s="70">
        <v>28</v>
      </c>
      <c r="B32" s="40">
        <v>1.8</v>
      </c>
      <c r="C32" s="40" t="s">
        <v>506</v>
      </c>
      <c r="D32" s="28" t="s">
        <v>376</v>
      </c>
      <c r="E32" s="66">
        <v>44972.574872685182</v>
      </c>
      <c r="F32" s="67" t="s">
        <v>363</v>
      </c>
      <c r="G32" s="18" t="s">
        <v>416</v>
      </c>
      <c r="H32" s="22"/>
      <c r="I32" s="22"/>
      <c r="J32" s="22" t="s">
        <v>406</v>
      </c>
      <c r="K32" s="23">
        <v>44977.655868055554</v>
      </c>
      <c r="L32" s="22" t="s">
        <v>20</v>
      </c>
      <c r="M32" s="22" t="s">
        <v>28</v>
      </c>
      <c r="N32" s="56"/>
      <c r="O32" s="56"/>
      <c r="P32" s="56"/>
      <c r="Q32" s="60"/>
      <c r="R32" s="60"/>
      <c r="S32" s="60"/>
      <c r="T32" s="60"/>
      <c r="U32" s="60"/>
      <c r="V32" s="60"/>
      <c r="W32" s="60"/>
    </row>
    <row r="33" spans="1:23" s="25" customFormat="1">
      <c r="A33" s="70">
        <v>29</v>
      </c>
      <c r="B33" s="40">
        <v>1.8</v>
      </c>
      <c r="C33" s="40" t="s">
        <v>506</v>
      </c>
      <c r="D33" s="28" t="s">
        <v>377</v>
      </c>
      <c r="E33" s="66">
        <v>44972.576736111114</v>
      </c>
      <c r="F33" s="67" t="s">
        <v>363</v>
      </c>
      <c r="G33" s="18" t="s">
        <v>417</v>
      </c>
      <c r="H33" s="22"/>
      <c r="I33" s="22"/>
      <c r="J33" s="22" t="s">
        <v>406</v>
      </c>
      <c r="K33" s="23">
        <v>44977.656006944446</v>
      </c>
      <c r="L33" s="22" t="s">
        <v>20</v>
      </c>
      <c r="M33" s="22" t="s">
        <v>28</v>
      </c>
      <c r="N33" s="56"/>
      <c r="O33" s="56"/>
      <c r="P33" s="56"/>
      <c r="Q33" s="60"/>
      <c r="R33" s="60"/>
      <c r="S33" s="60"/>
      <c r="T33" s="60"/>
      <c r="U33" s="60"/>
      <c r="V33" s="60"/>
      <c r="W33" s="60"/>
    </row>
    <row r="34" spans="1:23" s="25" customFormat="1" ht="25.5">
      <c r="A34" s="70">
        <v>30</v>
      </c>
      <c r="B34" s="40">
        <v>1.8</v>
      </c>
      <c r="C34" s="40" t="s">
        <v>506</v>
      </c>
      <c r="D34" s="28" t="s">
        <v>378</v>
      </c>
      <c r="E34" s="66">
        <v>44972.577916666669</v>
      </c>
      <c r="F34" s="67" t="s">
        <v>363</v>
      </c>
      <c r="G34" s="18" t="s">
        <v>412</v>
      </c>
      <c r="H34" s="22"/>
      <c r="I34" s="22"/>
      <c r="J34" s="22" t="s">
        <v>406</v>
      </c>
      <c r="K34" s="23">
        <v>44977.656631944446</v>
      </c>
      <c r="L34" s="22" t="s">
        <v>20</v>
      </c>
      <c r="M34" s="22" t="s">
        <v>28</v>
      </c>
      <c r="N34" s="56"/>
      <c r="O34" s="56"/>
      <c r="P34" s="56"/>
      <c r="Q34" s="60"/>
      <c r="R34" s="60"/>
      <c r="S34" s="60"/>
      <c r="T34" s="60"/>
      <c r="U34" s="60"/>
      <c r="V34" s="60"/>
      <c r="W34" s="60"/>
    </row>
    <row r="35" spans="1:23" s="25" customFormat="1">
      <c r="A35" s="70">
        <v>31</v>
      </c>
      <c r="B35" s="40">
        <v>1.8</v>
      </c>
      <c r="C35" s="40" t="s">
        <v>506</v>
      </c>
      <c r="D35" s="28" t="s">
        <v>379</v>
      </c>
      <c r="E35" s="66">
        <v>44972.578298611108</v>
      </c>
      <c r="F35" s="67" t="s">
        <v>363</v>
      </c>
      <c r="G35" s="18" t="s">
        <v>418</v>
      </c>
      <c r="H35" s="22"/>
      <c r="I35" s="22"/>
      <c r="J35" s="22" t="s">
        <v>406</v>
      </c>
      <c r="K35" s="23">
        <v>44977.666238425925</v>
      </c>
      <c r="L35" s="22" t="s">
        <v>20</v>
      </c>
      <c r="M35" s="22" t="s">
        <v>28</v>
      </c>
      <c r="N35" s="56"/>
      <c r="O35" s="56"/>
      <c r="P35" s="56"/>
      <c r="Q35" s="60"/>
      <c r="R35" s="60"/>
      <c r="S35" s="60"/>
      <c r="T35" s="60"/>
      <c r="U35" s="60"/>
      <c r="V35" s="60"/>
      <c r="W35" s="60"/>
    </row>
    <row r="36" spans="1:23" s="25" customFormat="1">
      <c r="A36" s="70">
        <v>32</v>
      </c>
      <c r="B36" s="40">
        <v>1.8</v>
      </c>
      <c r="C36" s="40" t="s">
        <v>506</v>
      </c>
      <c r="D36" s="28" t="s">
        <v>380</v>
      </c>
      <c r="E36" s="66">
        <v>44972.579293981478</v>
      </c>
      <c r="F36" s="67" t="s">
        <v>363</v>
      </c>
      <c r="G36" s="18" t="s">
        <v>419</v>
      </c>
      <c r="H36" s="22"/>
      <c r="I36" s="22"/>
      <c r="J36" s="22" t="s">
        <v>406</v>
      </c>
      <c r="K36" s="23">
        <v>44977.744456018518</v>
      </c>
      <c r="L36" s="22" t="s">
        <v>20</v>
      </c>
      <c r="M36" s="22" t="s">
        <v>28</v>
      </c>
      <c r="N36" s="56"/>
      <c r="O36" s="56"/>
      <c r="P36" s="56"/>
      <c r="Q36" s="60"/>
      <c r="R36" s="60"/>
      <c r="S36" s="60"/>
      <c r="T36" s="60"/>
      <c r="U36" s="60"/>
      <c r="V36" s="60"/>
      <c r="W36" s="60"/>
    </row>
    <row r="37" spans="1:23" s="25" customFormat="1" ht="25.5">
      <c r="A37" s="70">
        <v>33</v>
      </c>
      <c r="B37" s="40">
        <v>1.8</v>
      </c>
      <c r="C37" s="40" t="s">
        <v>506</v>
      </c>
      <c r="D37" s="28" t="s">
        <v>381</v>
      </c>
      <c r="E37" s="66">
        <v>44972.581608796296</v>
      </c>
      <c r="F37" s="67" t="s">
        <v>363</v>
      </c>
      <c r="G37" s="18" t="s">
        <v>422</v>
      </c>
      <c r="H37" s="22"/>
      <c r="I37" s="22"/>
      <c r="J37" s="22" t="s">
        <v>406</v>
      </c>
      <c r="K37" s="23">
        <v>44977.760138888887</v>
      </c>
      <c r="L37" s="22" t="s">
        <v>20</v>
      </c>
      <c r="M37" s="22" t="s">
        <v>28</v>
      </c>
      <c r="N37" s="56"/>
      <c r="O37" s="56"/>
      <c r="P37" s="56"/>
      <c r="Q37" s="60"/>
      <c r="R37" s="60"/>
      <c r="S37" s="60"/>
      <c r="T37" s="60"/>
      <c r="U37" s="60"/>
      <c r="V37" s="60"/>
      <c r="W37" s="60"/>
    </row>
    <row r="38" spans="1:23" s="25" customFormat="1">
      <c r="A38" s="70">
        <v>34</v>
      </c>
      <c r="B38" s="40">
        <v>1.8</v>
      </c>
      <c r="C38" s="40" t="s">
        <v>506</v>
      </c>
      <c r="D38" s="28" t="s">
        <v>382</v>
      </c>
      <c r="E38" s="66">
        <v>44972.587824074071</v>
      </c>
      <c r="F38" s="67" t="s">
        <v>363</v>
      </c>
      <c r="G38" s="18" t="s">
        <v>420</v>
      </c>
      <c r="H38" s="22"/>
      <c r="I38" s="22"/>
      <c r="J38" s="22" t="s">
        <v>406</v>
      </c>
      <c r="K38" s="23">
        <v>44977.744756944441</v>
      </c>
      <c r="L38" s="22" t="s">
        <v>20</v>
      </c>
      <c r="M38" s="22" t="s">
        <v>28</v>
      </c>
      <c r="N38" s="56"/>
      <c r="O38" s="56"/>
      <c r="P38" s="56"/>
      <c r="Q38" s="60"/>
      <c r="R38" s="60"/>
      <c r="S38" s="60"/>
      <c r="T38" s="60"/>
      <c r="U38" s="60"/>
      <c r="V38" s="60"/>
      <c r="W38" s="60"/>
    </row>
    <row r="39" spans="1:23" s="25" customFormat="1" ht="25.5">
      <c r="A39" s="70">
        <v>35</v>
      </c>
      <c r="B39" s="40">
        <v>1.8</v>
      </c>
      <c r="C39" s="40" t="s">
        <v>506</v>
      </c>
      <c r="D39" s="28" t="s">
        <v>383</v>
      </c>
      <c r="E39" s="66">
        <v>44972.589745370373</v>
      </c>
      <c r="F39" s="67" t="s">
        <v>363</v>
      </c>
      <c r="G39" s="18" t="s">
        <v>421</v>
      </c>
      <c r="H39" s="22"/>
      <c r="I39" s="22"/>
      <c r="J39" s="22" t="s">
        <v>406</v>
      </c>
      <c r="K39" s="23">
        <v>44977.745023148149</v>
      </c>
      <c r="L39" s="22" t="s">
        <v>20</v>
      </c>
      <c r="M39" s="22" t="s">
        <v>28</v>
      </c>
      <c r="N39" s="56"/>
      <c r="O39" s="56"/>
      <c r="P39" s="56"/>
      <c r="Q39" s="60"/>
      <c r="R39" s="60"/>
      <c r="S39" s="60"/>
      <c r="T39" s="60"/>
      <c r="U39" s="60"/>
      <c r="V39" s="60"/>
      <c r="W39" s="60"/>
    </row>
    <row r="40" spans="1:23" s="25" customFormat="1" ht="25.5">
      <c r="A40" s="70">
        <v>36</v>
      </c>
      <c r="B40" s="40">
        <v>1.8</v>
      </c>
      <c r="C40" s="40" t="s">
        <v>506</v>
      </c>
      <c r="D40" s="28" t="s">
        <v>384</v>
      </c>
      <c r="E40" s="66">
        <v>44972.591284722221</v>
      </c>
      <c r="F40" s="67" t="s">
        <v>363</v>
      </c>
      <c r="G40" s="18" t="s">
        <v>423</v>
      </c>
      <c r="H40" s="22"/>
      <c r="I40" s="22"/>
      <c r="J40" s="22" t="s">
        <v>406</v>
      </c>
      <c r="K40" s="23">
        <v>44977.760567129626</v>
      </c>
      <c r="L40" s="22" t="s">
        <v>20</v>
      </c>
      <c r="M40" s="22" t="s">
        <v>28</v>
      </c>
      <c r="N40" s="56"/>
      <c r="O40" s="56"/>
      <c r="P40" s="56"/>
      <c r="Q40" s="60"/>
      <c r="R40" s="60"/>
      <c r="S40" s="60"/>
      <c r="T40" s="60"/>
      <c r="U40" s="60"/>
      <c r="V40" s="60"/>
      <c r="W40" s="60"/>
    </row>
    <row r="41" spans="1:23" s="25" customFormat="1" ht="25.5">
      <c r="A41" s="70">
        <v>37</v>
      </c>
      <c r="B41" s="40">
        <v>1.8</v>
      </c>
      <c r="C41" s="40" t="s">
        <v>506</v>
      </c>
      <c r="D41" s="28" t="s">
        <v>394</v>
      </c>
      <c r="E41" s="66">
        <v>44972.594861111109</v>
      </c>
      <c r="F41" s="67" t="s">
        <v>363</v>
      </c>
      <c r="G41" s="18" t="s">
        <v>424</v>
      </c>
      <c r="H41" s="22"/>
      <c r="I41" s="22"/>
      <c r="J41" s="22" t="s">
        <v>406</v>
      </c>
      <c r="K41" s="23">
        <v>44977.761631944442</v>
      </c>
      <c r="L41" s="22" t="s">
        <v>20</v>
      </c>
      <c r="M41" s="22" t="s">
        <v>28</v>
      </c>
      <c r="N41" s="56"/>
      <c r="O41" s="56"/>
      <c r="P41" s="56"/>
      <c r="Q41" s="60"/>
      <c r="R41" s="60"/>
      <c r="S41" s="60"/>
      <c r="T41" s="60"/>
      <c r="U41" s="60"/>
      <c r="V41" s="60"/>
      <c r="W41" s="60"/>
    </row>
    <row r="42" spans="1:23" s="25" customFormat="1">
      <c r="A42" s="70">
        <v>38</v>
      </c>
      <c r="B42" s="40">
        <v>1.1000000000000001</v>
      </c>
      <c r="C42" s="40" t="s">
        <v>389</v>
      </c>
      <c r="D42" s="202" t="s">
        <v>390</v>
      </c>
      <c r="E42" s="66">
        <v>44972.609872685185</v>
      </c>
      <c r="F42" s="67" t="s">
        <v>363</v>
      </c>
      <c r="G42" s="18"/>
      <c r="H42" s="22"/>
      <c r="I42" s="22"/>
      <c r="J42" s="22" t="s">
        <v>363</v>
      </c>
      <c r="K42" s="23">
        <v>44972.609976851854</v>
      </c>
      <c r="L42" s="22" t="s">
        <v>27</v>
      </c>
      <c r="M42" s="22" t="s">
        <v>28</v>
      </c>
      <c r="N42" s="56"/>
      <c r="O42" s="56"/>
      <c r="P42" s="56"/>
      <c r="Q42" s="60"/>
      <c r="R42" s="60"/>
      <c r="S42" s="60"/>
      <c r="T42" s="60"/>
      <c r="U42" s="60"/>
      <c r="V42" s="60"/>
      <c r="W42" s="60"/>
    </row>
    <row r="43" spans="1:23" s="25" customFormat="1">
      <c r="A43" s="70">
        <v>39</v>
      </c>
      <c r="B43" s="40">
        <v>1.2</v>
      </c>
      <c r="C43" s="40" t="s">
        <v>389</v>
      </c>
      <c r="D43" s="202" t="s">
        <v>390</v>
      </c>
      <c r="E43" s="66">
        <v>44972.609872685185</v>
      </c>
      <c r="F43" s="67" t="s">
        <v>363</v>
      </c>
      <c r="G43" s="18"/>
      <c r="H43" s="22"/>
      <c r="I43" s="22"/>
      <c r="J43" s="22" t="s">
        <v>363</v>
      </c>
      <c r="K43" s="23">
        <v>44972.609976851854</v>
      </c>
      <c r="L43" s="22" t="s">
        <v>27</v>
      </c>
      <c r="M43" s="22" t="s">
        <v>28</v>
      </c>
      <c r="N43" s="56"/>
      <c r="O43" s="56"/>
      <c r="P43" s="56"/>
      <c r="Q43" s="60"/>
      <c r="R43" s="60"/>
      <c r="S43" s="60"/>
      <c r="T43" s="60"/>
      <c r="U43" s="60"/>
      <c r="V43" s="60"/>
      <c r="W43" s="60"/>
    </row>
    <row r="44" spans="1:23" s="25" customFormat="1">
      <c r="A44" s="70">
        <v>40</v>
      </c>
      <c r="B44" s="40">
        <v>1.3</v>
      </c>
      <c r="C44" s="40" t="s">
        <v>389</v>
      </c>
      <c r="D44" s="202" t="s">
        <v>390</v>
      </c>
      <c r="E44" s="66">
        <v>44972</v>
      </c>
      <c r="F44" s="67" t="s">
        <v>363</v>
      </c>
      <c r="G44" s="18"/>
      <c r="H44" s="22"/>
      <c r="I44" s="22"/>
      <c r="J44" s="22" t="s">
        <v>363</v>
      </c>
      <c r="K44" s="23">
        <v>44972</v>
      </c>
      <c r="L44" s="22" t="s">
        <v>27</v>
      </c>
      <c r="M44" s="22" t="s">
        <v>28</v>
      </c>
      <c r="N44" s="56"/>
      <c r="O44" s="56"/>
      <c r="P44" s="56"/>
      <c r="Q44" s="60"/>
      <c r="R44" s="60"/>
      <c r="S44" s="60"/>
      <c r="T44" s="60"/>
      <c r="U44" s="60"/>
      <c r="V44" s="60"/>
      <c r="W44" s="60"/>
    </row>
    <row r="45" spans="1:23" s="25" customFormat="1">
      <c r="A45" s="70">
        <v>41</v>
      </c>
      <c r="B45" s="40">
        <v>1.4</v>
      </c>
      <c r="C45" s="40" t="s">
        <v>389</v>
      </c>
      <c r="D45" s="202" t="s">
        <v>390</v>
      </c>
      <c r="E45" s="66">
        <v>44972</v>
      </c>
      <c r="F45" s="67" t="s">
        <v>363</v>
      </c>
      <c r="G45" s="18"/>
      <c r="H45" s="22"/>
      <c r="I45" s="22"/>
      <c r="J45" s="22" t="s">
        <v>363</v>
      </c>
      <c r="K45" s="23">
        <v>44972</v>
      </c>
      <c r="L45" s="22" t="s">
        <v>27</v>
      </c>
      <c r="M45" s="22" t="s">
        <v>28</v>
      </c>
      <c r="N45" s="56"/>
      <c r="O45" s="56"/>
      <c r="P45" s="56"/>
      <c r="Q45" s="60"/>
      <c r="R45" s="60"/>
      <c r="S45" s="60"/>
      <c r="T45" s="60"/>
      <c r="U45" s="60"/>
      <c r="V45" s="60"/>
      <c r="W45" s="60"/>
    </row>
    <row r="46" spans="1:23" s="25" customFormat="1">
      <c r="A46" s="70">
        <v>42</v>
      </c>
      <c r="B46" s="40">
        <v>1.5</v>
      </c>
      <c r="C46" s="40" t="s">
        <v>389</v>
      </c>
      <c r="D46" s="202" t="s">
        <v>390</v>
      </c>
      <c r="E46" s="66">
        <v>44972</v>
      </c>
      <c r="F46" s="67" t="s">
        <v>363</v>
      </c>
      <c r="G46" s="18"/>
      <c r="H46" s="22"/>
      <c r="I46" s="22"/>
      <c r="J46" s="22" t="s">
        <v>363</v>
      </c>
      <c r="K46" s="23">
        <v>44972</v>
      </c>
      <c r="L46" s="22" t="s">
        <v>27</v>
      </c>
      <c r="M46" s="22" t="s">
        <v>28</v>
      </c>
      <c r="N46" s="56"/>
      <c r="O46" s="56"/>
      <c r="P46" s="56"/>
      <c r="Q46" s="60"/>
      <c r="R46" s="60"/>
      <c r="S46" s="60"/>
      <c r="T46" s="60"/>
      <c r="U46" s="60"/>
      <c r="V46" s="60"/>
      <c r="W46" s="60"/>
    </row>
    <row r="47" spans="1:23" s="25" customFormat="1">
      <c r="A47" s="70">
        <v>43</v>
      </c>
      <c r="B47" s="40">
        <v>1.6</v>
      </c>
      <c r="C47" s="40" t="s">
        <v>389</v>
      </c>
      <c r="D47" s="202" t="s">
        <v>390</v>
      </c>
      <c r="E47" s="66">
        <v>44972</v>
      </c>
      <c r="F47" s="67" t="s">
        <v>363</v>
      </c>
      <c r="G47" s="18"/>
      <c r="H47" s="22"/>
      <c r="I47" s="22"/>
      <c r="J47" s="22" t="s">
        <v>363</v>
      </c>
      <c r="K47" s="23">
        <v>44972</v>
      </c>
      <c r="L47" s="22" t="s">
        <v>27</v>
      </c>
      <c r="M47" s="22" t="s">
        <v>28</v>
      </c>
      <c r="N47" s="56"/>
      <c r="O47" s="56"/>
      <c r="P47" s="56"/>
      <c r="Q47" s="60"/>
      <c r="R47" s="60"/>
      <c r="S47" s="60"/>
      <c r="T47" s="60"/>
      <c r="U47" s="60"/>
      <c r="V47" s="60"/>
      <c r="W47" s="60"/>
    </row>
    <row r="48" spans="1:23" s="25" customFormat="1">
      <c r="A48" s="70">
        <v>44</v>
      </c>
      <c r="B48" s="40">
        <v>1.7</v>
      </c>
      <c r="C48" s="40" t="s">
        <v>389</v>
      </c>
      <c r="D48" s="202" t="s">
        <v>390</v>
      </c>
      <c r="E48" s="66">
        <v>44972</v>
      </c>
      <c r="F48" s="67" t="s">
        <v>363</v>
      </c>
      <c r="G48" s="18"/>
      <c r="H48" s="22"/>
      <c r="I48" s="22"/>
      <c r="J48" s="22" t="s">
        <v>363</v>
      </c>
      <c r="K48" s="23">
        <v>44972</v>
      </c>
      <c r="L48" s="22" t="s">
        <v>27</v>
      </c>
      <c r="M48" s="22" t="s">
        <v>28</v>
      </c>
      <c r="N48" s="56"/>
      <c r="O48" s="56"/>
      <c r="P48" s="56"/>
      <c r="Q48" s="60"/>
      <c r="R48" s="60"/>
      <c r="S48" s="60"/>
      <c r="T48" s="60"/>
      <c r="U48" s="60"/>
      <c r="V48" s="60"/>
      <c r="W48" s="60"/>
    </row>
    <row r="49" spans="1:23" s="25" customFormat="1">
      <c r="A49" s="70">
        <v>45</v>
      </c>
      <c r="B49" s="40">
        <v>1.8</v>
      </c>
      <c r="C49" s="40" t="s">
        <v>389</v>
      </c>
      <c r="D49" s="202" t="s">
        <v>390</v>
      </c>
      <c r="E49" s="66">
        <v>44972</v>
      </c>
      <c r="F49" s="67" t="s">
        <v>363</v>
      </c>
      <c r="G49" s="18"/>
      <c r="H49" s="22"/>
      <c r="I49" s="22"/>
      <c r="J49" s="22" t="s">
        <v>363</v>
      </c>
      <c r="K49" s="23">
        <v>44972</v>
      </c>
      <c r="L49" s="22" t="s">
        <v>27</v>
      </c>
      <c r="M49" s="22" t="s">
        <v>28</v>
      </c>
      <c r="N49" s="56"/>
      <c r="O49" s="56"/>
      <c r="P49" s="56"/>
      <c r="Q49" s="60"/>
      <c r="R49" s="60"/>
      <c r="S49" s="60"/>
      <c r="T49" s="60"/>
      <c r="U49" s="60"/>
      <c r="V49" s="60"/>
      <c r="W49" s="60"/>
    </row>
    <row r="50" spans="1:23" s="25" customFormat="1">
      <c r="A50" s="70">
        <v>46</v>
      </c>
      <c r="B50" s="40">
        <v>1.9</v>
      </c>
      <c r="C50" s="40" t="s">
        <v>389</v>
      </c>
      <c r="D50" s="28" t="s">
        <v>364</v>
      </c>
      <c r="E50" s="66">
        <v>44972.610659722224</v>
      </c>
      <c r="F50" s="67" t="s">
        <v>363</v>
      </c>
      <c r="G50" s="18" t="s">
        <v>405</v>
      </c>
      <c r="H50" s="22"/>
      <c r="I50" s="22"/>
      <c r="J50" s="22" t="s">
        <v>406</v>
      </c>
      <c r="K50" s="23">
        <v>44977.76829861111</v>
      </c>
      <c r="L50" s="22" t="s">
        <v>20</v>
      </c>
      <c r="M50" s="22" t="s">
        <v>28</v>
      </c>
      <c r="N50" s="56"/>
      <c r="O50" s="56"/>
      <c r="P50" s="56"/>
      <c r="Q50" s="60"/>
      <c r="R50" s="60"/>
      <c r="S50" s="60"/>
      <c r="T50" s="60"/>
      <c r="U50" s="60"/>
      <c r="V50" s="60"/>
      <c r="W50" s="60"/>
    </row>
    <row r="51" spans="1:23" s="25" customFormat="1">
      <c r="A51" s="70">
        <v>47</v>
      </c>
      <c r="B51" s="40">
        <v>1.9</v>
      </c>
      <c r="C51" s="40" t="s">
        <v>389</v>
      </c>
      <c r="D51" s="28" t="s">
        <v>376</v>
      </c>
      <c r="E51" s="66">
        <v>44972.610949074071</v>
      </c>
      <c r="F51" s="67" t="s">
        <v>363</v>
      </c>
      <c r="G51" s="18" t="s">
        <v>416</v>
      </c>
      <c r="H51" s="22"/>
      <c r="I51" s="22"/>
      <c r="J51" s="22" t="s">
        <v>406</v>
      </c>
      <c r="K51" s="23">
        <v>44977.769050925926</v>
      </c>
      <c r="L51" s="22" t="s">
        <v>20</v>
      </c>
      <c r="M51" s="22" t="s">
        <v>28</v>
      </c>
      <c r="N51" s="56"/>
      <c r="O51" s="56"/>
      <c r="P51" s="56"/>
      <c r="Q51" s="60"/>
      <c r="R51" s="60"/>
      <c r="S51" s="60"/>
      <c r="T51" s="60"/>
      <c r="U51" s="60"/>
      <c r="V51" s="60"/>
      <c r="W51" s="60"/>
    </row>
    <row r="52" spans="1:23" s="25" customFormat="1">
      <c r="A52" s="70">
        <v>48</v>
      </c>
      <c r="B52" s="40">
        <v>1.9</v>
      </c>
      <c r="C52" s="40" t="s">
        <v>389</v>
      </c>
      <c r="D52" s="28" t="s">
        <v>379</v>
      </c>
      <c r="E52" s="66">
        <v>44972.611550925925</v>
      </c>
      <c r="F52" s="67" t="s">
        <v>363</v>
      </c>
      <c r="G52" s="18" t="s">
        <v>418</v>
      </c>
      <c r="H52" s="22"/>
      <c r="I52" s="22"/>
      <c r="J52" s="22" t="s">
        <v>406</v>
      </c>
      <c r="K52" s="23">
        <v>44978.447418981479</v>
      </c>
      <c r="L52" s="22" t="s">
        <v>20</v>
      </c>
      <c r="M52" s="22" t="s">
        <v>28</v>
      </c>
      <c r="N52" s="56"/>
      <c r="O52" s="56"/>
      <c r="P52" s="56"/>
      <c r="Q52" s="60"/>
      <c r="R52" s="60"/>
      <c r="S52" s="60"/>
      <c r="T52" s="60"/>
      <c r="U52" s="60"/>
      <c r="V52" s="60"/>
      <c r="W52" s="60"/>
    </row>
    <row r="53" spans="1:23" s="25" customFormat="1" ht="25.5">
      <c r="A53" s="70">
        <v>49</v>
      </c>
      <c r="B53" s="40">
        <v>1.9</v>
      </c>
      <c r="C53" s="40" t="s">
        <v>389</v>
      </c>
      <c r="D53" s="28" t="s">
        <v>391</v>
      </c>
      <c r="E53" s="66">
        <v>44972.612071759257</v>
      </c>
      <c r="F53" s="67" t="s">
        <v>363</v>
      </c>
      <c r="G53" s="18" t="s">
        <v>425</v>
      </c>
      <c r="H53" s="22"/>
      <c r="I53" s="22"/>
      <c r="J53" s="22" t="s">
        <v>406</v>
      </c>
      <c r="K53" s="23">
        <v>44979.405115740738</v>
      </c>
      <c r="L53" s="22" t="s">
        <v>20</v>
      </c>
      <c r="M53" s="22" t="s">
        <v>28</v>
      </c>
      <c r="N53" s="56"/>
      <c r="O53" s="56"/>
      <c r="P53" s="56"/>
      <c r="Q53" s="60"/>
      <c r="R53" s="60"/>
      <c r="S53" s="60"/>
      <c r="T53" s="60"/>
      <c r="U53" s="60"/>
      <c r="V53" s="60"/>
      <c r="W53" s="60"/>
    </row>
    <row r="54" spans="1:23" s="25" customFormat="1" ht="25.5">
      <c r="A54" s="70">
        <v>50</v>
      </c>
      <c r="B54" s="40">
        <v>1.9</v>
      </c>
      <c r="C54" s="40" t="s">
        <v>389</v>
      </c>
      <c r="D54" s="28" t="s">
        <v>392</v>
      </c>
      <c r="E54" s="66">
        <v>44972.613009259258</v>
      </c>
      <c r="F54" s="67" t="s">
        <v>363</v>
      </c>
      <c r="G54" s="18" t="s">
        <v>426</v>
      </c>
      <c r="H54" s="22"/>
      <c r="I54" s="22"/>
      <c r="J54" s="22" t="s">
        <v>406</v>
      </c>
      <c r="K54" s="23">
        <v>44979.405300925922</v>
      </c>
      <c r="L54" s="22" t="s">
        <v>20</v>
      </c>
      <c r="M54" s="22" t="s">
        <v>28</v>
      </c>
      <c r="N54" s="56"/>
      <c r="O54" s="56"/>
      <c r="P54" s="56"/>
      <c r="Q54" s="60"/>
      <c r="R54" s="60"/>
      <c r="S54" s="60"/>
      <c r="T54" s="60"/>
      <c r="U54" s="60"/>
      <c r="V54" s="60"/>
      <c r="W54" s="60"/>
    </row>
    <row r="55" spans="1:23" s="25" customFormat="1" ht="25.5">
      <c r="A55" s="70">
        <v>51</v>
      </c>
      <c r="B55" s="40">
        <v>1.9</v>
      </c>
      <c r="C55" s="40" t="s">
        <v>389</v>
      </c>
      <c r="D55" s="28" t="s">
        <v>393</v>
      </c>
      <c r="E55" s="66">
        <v>44972.61445601852</v>
      </c>
      <c r="F55" s="67" t="s">
        <v>363</v>
      </c>
      <c r="G55" s="18" t="s">
        <v>427</v>
      </c>
      <c r="H55" s="22"/>
      <c r="I55" s="22"/>
      <c r="J55" s="22" t="s">
        <v>406</v>
      </c>
      <c r="K55" s="23">
        <v>44979.405648148146</v>
      </c>
      <c r="L55" s="22" t="s">
        <v>20</v>
      </c>
      <c r="M55" s="22" t="s">
        <v>28</v>
      </c>
      <c r="N55" s="56"/>
      <c r="O55" s="56"/>
      <c r="P55" s="56"/>
      <c r="Q55" s="60"/>
      <c r="R55" s="60"/>
      <c r="S55" s="60"/>
      <c r="T55" s="60"/>
      <c r="U55" s="60"/>
      <c r="V55" s="60"/>
      <c r="W55" s="60"/>
    </row>
    <row r="56" spans="1:23" s="25" customFormat="1" ht="25.5">
      <c r="A56" s="70">
        <v>52</v>
      </c>
      <c r="B56" s="40">
        <v>1.9</v>
      </c>
      <c r="C56" s="40" t="s">
        <v>389</v>
      </c>
      <c r="D56" s="28" t="s">
        <v>382</v>
      </c>
      <c r="E56" s="66">
        <v>44972.619409722225</v>
      </c>
      <c r="F56" s="67" t="s">
        <v>363</v>
      </c>
      <c r="G56" s="18" t="s">
        <v>428</v>
      </c>
      <c r="H56" s="22"/>
      <c r="I56" s="22"/>
      <c r="J56" s="22" t="s">
        <v>406</v>
      </c>
      <c r="K56" s="23">
        <v>44979.475914351853</v>
      </c>
      <c r="L56" s="22" t="s">
        <v>20</v>
      </c>
      <c r="M56" s="22" t="s">
        <v>28</v>
      </c>
      <c r="N56" s="56"/>
      <c r="O56" s="56"/>
      <c r="P56" s="56"/>
      <c r="Q56" s="60"/>
      <c r="R56" s="60"/>
      <c r="S56" s="60"/>
      <c r="T56" s="60"/>
      <c r="U56" s="60"/>
      <c r="V56" s="60"/>
      <c r="W56" s="60"/>
    </row>
    <row r="57" spans="1:23" s="25" customFormat="1" ht="25.5">
      <c r="A57" s="70">
        <v>53</v>
      </c>
      <c r="B57" s="40">
        <v>1.9</v>
      </c>
      <c r="C57" s="40" t="s">
        <v>389</v>
      </c>
      <c r="D57" s="28" t="s">
        <v>400</v>
      </c>
      <c r="E57" s="66">
        <v>44972.621736111112</v>
      </c>
      <c r="F57" s="67" t="s">
        <v>363</v>
      </c>
      <c r="G57" s="18" t="s">
        <v>424</v>
      </c>
      <c r="H57" s="22"/>
      <c r="I57" s="22"/>
      <c r="J57" s="22" t="s">
        <v>406</v>
      </c>
      <c r="K57" s="23">
        <v>44979.511770833335</v>
      </c>
      <c r="L57" s="22" t="s">
        <v>20</v>
      </c>
      <c r="M57" s="22" t="s">
        <v>28</v>
      </c>
      <c r="N57" s="56"/>
      <c r="O57" s="56"/>
      <c r="P57" s="56"/>
      <c r="Q57" s="60"/>
      <c r="R57" s="60"/>
      <c r="S57" s="60"/>
      <c r="T57" s="60"/>
      <c r="U57" s="60"/>
      <c r="V57" s="60"/>
      <c r="W57" s="60"/>
    </row>
    <row r="58" spans="1:23" s="25" customFormat="1" ht="25.5">
      <c r="A58" s="70">
        <v>54</v>
      </c>
      <c r="B58" s="40">
        <v>1.9</v>
      </c>
      <c r="C58" s="40" t="s">
        <v>389</v>
      </c>
      <c r="D58" s="28" t="s">
        <v>394</v>
      </c>
      <c r="E58" s="66">
        <v>44972.622442129628</v>
      </c>
      <c r="F58" s="67" t="s">
        <v>363</v>
      </c>
      <c r="G58" s="18" t="s">
        <v>424</v>
      </c>
      <c r="H58" s="22"/>
      <c r="I58" s="22"/>
      <c r="J58" s="22" t="s">
        <v>406</v>
      </c>
      <c r="K58" s="23">
        <v>44979.511932870373</v>
      </c>
      <c r="L58" s="22" t="s">
        <v>20</v>
      </c>
      <c r="M58" s="22" t="s">
        <v>28</v>
      </c>
      <c r="N58" s="56"/>
      <c r="O58" s="56"/>
      <c r="P58" s="56"/>
      <c r="Q58" s="60"/>
      <c r="R58" s="60"/>
      <c r="S58" s="60"/>
      <c r="T58" s="60"/>
      <c r="U58" s="60"/>
      <c r="V58" s="60"/>
      <c r="W58" s="60"/>
    </row>
    <row r="59" spans="1:23" s="25" customFormat="1" ht="25.5">
      <c r="A59" s="70">
        <v>55</v>
      </c>
      <c r="B59" s="40">
        <v>1.9</v>
      </c>
      <c r="C59" s="40" t="s">
        <v>389</v>
      </c>
      <c r="D59" s="28" t="s">
        <v>378</v>
      </c>
      <c r="E59" s="66">
        <v>44972.624930555554</v>
      </c>
      <c r="F59" s="67" t="s">
        <v>363</v>
      </c>
      <c r="G59" s="18" t="s">
        <v>429</v>
      </c>
      <c r="H59" s="22"/>
      <c r="I59" s="22"/>
      <c r="J59" s="22" t="s">
        <v>406</v>
      </c>
      <c r="K59" s="23">
        <v>44979.513275462959</v>
      </c>
      <c r="L59" s="22" t="s">
        <v>20</v>
      </c>
      <c r="M59" s="22" t="s">
        <v>28</v>
      </c>
      <c r="N59" s="56"/>
      <c r="O59" s="56"/>
      <c r="P59" s="56"/>
      <c r="Q59" s="60"/>
      <c r="R59" s="60"/>
      <c r="S59" s="60"/>
      <c r="T59" s="60"/>
      <c r="U59" s="60"/>
      <c r="V59" s="60"/>
      <c r="W59" s="60"/>
    </row>
    <row r="60" spans="1:23" s="25" customFormat="1" ht="25.5">
      <c r="A60" s="70">
        <v>56</v>
      </c>
      <c r="B60" s="40">
        <v>1.9</v>
      </c>
      <c r="C60" s="40" t="s">
        <v>389</v>
      </c>
      <c r="D60" s="18" t="s">
        <v>395</v>
      </c>
      <c r="E60" s="66">
        <v>44972.639502314814</v>
      </c>
      <c r="F60" s="67" t="s">
        <v>363</v>
      </c>
      <c r="G60" s="18" t="s">
        <v>433</v>
      </c>
      <c r="H60" s="22"/>
      <c r="I60" s="22"/>
      <c r="J60" s="22" t="s">
        <v>406</v>
      </c>
      <c r="K60" s="23">
        <v>44979.559652777774</v>
      </c>
      <c r="L60" s="22" t="s">
        <v>20</v>
      </c>
      <c r="M60" s="22" t="s">
        <v>28</v>
      </c>
      <c r="N60" s="56"/>
      <c r="O60" s="56"/>
      <c r="P60" s="56"/>
      <c r="Q60" s="60"/>
      <c r="R60" s="60"/>
      <c r="S60" s="60"/>
      <c r="T60" s="60"/>
      <c r="U60" s="60"/>
      <c r="V60" s="60"/>
      <c r="W60" s="60"/>
    </row>
    <row r="61" spans="1:23" s="25" customFormat="1" ht="25.5">
      <c r="A61" s="70">
        <v>57</v>
      </c>
      <c r="B61" s="40">
        <v>1.9</v>
      </c>
      <c r="C61" s="40" t="s">
        <v>389</v>
      </c>
      <c r="D61" s="18" t="s">
        <v>397</v>
      </c>
      <c r="E61" s="66">
        <v>44973.55672453704</v>
      </c>
      <c r="F61" s="67" t="s">
        <v>363</v>
      </c>
      <c r="G61" s="18" t="s">
        <v>424</v>
      </c>
      <c r="H61" s="22"/>
      <c r="I61" s="22"/>
      <c r="J61" s="22" t="s">
        <v>406</v>
      </c>
      <c r="K61" s="23">
        <v>44979.522638888891</v>
      </c>
      <c r="L61" s="22" t="s">
        <v>20</v>
      </c>
      <c r="M61" s="22" t="s">
        <v>28</v>
      </c>
      <c r="N61" s="56"/>
      <c r="O61" s="56"/>
      <c r="P61" s="56"/>
      <c r="Q61" s="60"/>
      <c r="R61" s="60"/>
      <c r="S61" s="60"/>
      <c r="T61" s="60"/>
      <c r="U61" s="60"/>
      <c r="V61" s="60"/>
      <c r="W61" s="60"/>
    </row>
    <row r="62" spans="1:23" s="25" customFormat="1" ht="63.75">
      <c r="A62" s="70">
        <v>58</v>
      </c>
      <c r="B62" s="40">
        <v>1.9</v>
      </c>
      <c r="C62" s="40" t="s">
        <v>389</v>
      </c>
      <c r="D62" s="18" t="s">
        <v>396</v>
      </c>
      <c r="E62" s="66">
        <v>44973.565844907411</v>
      </c>
      <c r="F62" s="67" t="s">
        <v>363</v>
      </c>
      <c r="G62" s="18" t="s">
        <v>434</v>
      </c>
      <c r="H62" s="22"/>
      <c r="I62" s="22"/>
      <c r="J62" s="22" t="s">
        <v>406</v>
      </c>
      <c r="K62" s="23">
        <v>44979.583854166667</v>
      </c>
      <c r="L62" s="22" t="s">
        <v>20</v>
      </c>
      <c r="M62" s="22" t="s">
        <v>28</v>
      </c>
      <c r="N62" s="56"/>
      <c r="O62" s="56"/>
      <c r="P62" s="56"/>
      <c r="Q62" s="60"/>
      <c r="R62" s="60"/>
      <c r="S62" s="60"/>
      <c r="T62" s="60"/>
      <c r="U62" s="60"/>
      <c r="V62" s="60"/>
      <c r="W62" s="60"/>
    </row>
    <row r="63" spans="1:23" s="25" customFormat="1">
      <c r="A63" s="70">
        <v>59</v>
      </c>
      <c r="B63" s="40">
        <v>1.9</v>
      </c>
      <c r="C63" s="40" t="s">
        <v>389</v>
      </c>
      <c r="D63" s="18" t="s">
        <v>398</v>
      </c>
      <c r="E63" s="66">
        <v>44973.571921296294</v>
      </c>
      <c r="F63" s="67" t="s">
        <v>363</v>
      </c>
      <c r="G63" s="18" t="s">
        <v>437</v>
      </c>
      <c r="H63" s="22"/>
      <c r="I63" s="22"/>
      <c r="J63" s="22" t="s">
        <v>406</v>
      </c>
      <c r="K63" s="23">
        <v>44979.595208333332</v>
      </c>
      <c r="L63" s="22" t="s">
        <v>20</v>
      </c>
      <c r="M63" s="22" t="s">
        <v>28</v>
      </c>
      <c r="N63" s="56"/>
      <c r="O63" s="56"/>
      <c r="P63" s="56"/>
      <c r="Q63" s="60"/>
      <c r="R63" s="60"/>
      <c r="S63" s="60"/>
      <c r="T63" s="60"/>
      <c r="U63" s="60"/>
      <c r="V63" s="60"/>
      <c r="W63" s="60"/>
    </row>
    <row r="64" spans="1:23" s="25" customFormat="1">
      <c r="A64" s="70">
        <v>60</v>
      </c>
      <c r="B64" s="40">
        <v>1.9</v>
      </c>
      <c r="C64" s="40" t="s">
        <v>389</v>
      </c>
      <c r="D64" s="18" t="s">
        <v>399</v>
      </c>
      <c r="E64" s="66">
        <v>44973.581759259258</v>
      </c>
      <c r="F64" s="67" t="s">
        <v>363</v>
      </c>
      <c r="G64" s="18" t="s">
        <v>435</v>
      </c>
      <c r="H64" s="22"/>
      <c r="I64" s="22"/>
      <c r="J64" s="22" t="s">
        <v>406</v>
      </c>
      <c r="K64" s="23">
        <v>44979.649004629631</v>
      </c>
      <c r="L64" s="22" t="s">
        <v>20</v>
      </c>
      <c r="M64" s="22" t="s">
        <v>28</v>
      </c>
      <c r="N64" s="56"/>
      <c r="O64" s="56"/>
      <c r="P64" s="56"/>
      <c r="Q64" s="60"/>
      <c r="R64" s="60"/>
      <c r="S64" s="60"/>
      <c r="T64" s="60"/>
      <c r="U64" s="60"/>
      <c r="V64" s="60"/>
      <c r="W64" s="60"/>
    </row>
    <row r="65" spans="1:23" s="25" customFormat="1">
      <c r="A65" s="70">
        <v>61</v>
      </c>
      <c r="B65" s="40">
        <v>1.9</v>
      </c>
      <c r="C65" s="40" t="s">
        <v>389</v>
      </c>
      <c r="D65" s="18" t="s">
        <v>368</v>
      </c>
      <c r="E65" s="66">
        <v>44973.594305555554</v>
      </c>
      <c r="F65" s="67" t="s">
        <v>363</v>
      </c>
      <c r="G65" s="18" t="s">
        <v>430</v>
      </c>
      <c r="H65" s="22"/>
      <c r="I65" s="22"/>
      <c r="J65" s="22" t="s">
        <v>406</v>
      </c>
      <c r="K65" s="23">
        <v>44979.524039351854</v>
      </c>
      <c r="L65" s="22" t="s">
        <v>20</v>
      </c>
      <c r="M65" s="22" t="s">
        <v>28</v>
      </c>
      <c r="N65" s="56"/>
      <c r="O65" s="56"/>
      <c r="P65" s="56"/>
      <c r="Q65" s="60"/>
      <c r="R65" s="60"/>
      <c r="S65" s="60"/>
      <c r="T65" s="60"/>
      <c r="U65" s="60"/>
      <c r="V65" s="60"/>
      <c r="W65" s="60"/>
    </row>
    <row r="66" spans="1:23" s="25" customFormat="1" ht="38.25">
      <c r="A66" s="70">
        <v>62</v>
      </c>
      <c r="B66" s="40">
        <v>1.9</v>
      </c>
      <c r="C66" s="40" t="s">
        <v>389</v>
      </c>
      <c r="D66" s="18" t="s">
        <v>401</v>
      </c>
      <c r="E66" s="66">
        <v>44973.595370370371</v>
      </c>
      <c r="F66" s="67" t="s">
        <v>363</v>
      </c>
      <c r="G66" s="18" t="s">
        <v>431</v>
      </c>
      <c r="H66" s="22"/>
      <c r="I66" s="22"/>
      <c r="J66" s="22" t="s">
        <v>406</v>
      </c>
      <c r="K66" s="23">
        <v>44979.526759259257</v>
      </c>
      <c r="L66" s="22" t="s">
        <v>20</v>
      </c>
      <c r="M66" s="22" t="s">
        <v>28</v>
      </c>
      <c r="N66" s="56"/>
      <c r="O66" s="56"/>
      <c r="P66" s="56"/>
      <c r="Q66" s="60"/>
      <c r="R66" s="60"/>
      <c r="S66" s="60"/>
      <c r="T66" s="60"/>
      <c r="U66" s="60"/>
      <c r="V66" s="60"/>
      <c r="W66" s="60"/>
    </row>
    <row r="67" spans="1:23" s="25" customFormat="1" ht="63.75">
      <c r="A67" s="70">
        <v>63</v>
      </c>
      <c r="B67" s="40">
        <v>1.9</v>
      </c>
      <c r="C67" s="40" t="s">
        <v>389</v>
      </c>
      <c r="D67" s="18" t="s">
        <v>402</v>
      </c>
      <c r="E67" s="66">
        <v>44973.596331018518</v>
      </c>
      <c r="F67" s="67" t="s">
        <v>363</v>
      </c>
      <c r="G67" s="18" t="s">
        <v>436</v>
      </c>
      <c r="H67" s="22"/>
      <c r="I67" s="22"/>
      <c r="J67" s="22" t="s">
        <v>406</v>
      </c>
      <c r="K67" s="23">
        <v>44979.649398148147</v>
      </c>
      <c r="L67" s="22" t="s">
        <v>20</v>
      </c>
      <c r="M67" s="22" t="s">
        <v>28</v>
      </c>
      <c r="N67" s="56"/>
      <c r="O67" s="56"/>
      <c r="P67" s="56"/>
      <c r="Q67" s="60"/>
      <c r="R67" s="60"/>
      <c r="S67" s="60"/>
      <c r="T67" s="60"/>
      <c r="U67" s="60"/>
      <c r="V67" s="60"/>
      <c r="W67" s="60"/>
    </row>
    <row r="68" spans="1:23" s="25" customFormat="1">
      <c r="A68" s="70">
        <v>64</v>
      </c>
      <c r="B68" s="40">
        <v>1.9</v>
      </c>
      <c r="C68" s="40" t="s">
        <v>389</v>
      </c>
      <c r="D68" s="18" t="s">
        <v>403</v>
      </c>
      <c r="E68" s="66">
        <v>44973.601666666669</v>
      </c>
      <c r="F68" s="67" t="s">
        <v>363</v>
      </c>
      <c r="G68" s="18" t="s">
        <v>432</v>
      </c>
      <c r="H68" s="22"/>
      <c r="I68" s="22"/>
      <c r="J68" s="22" t="s">
        <v>406</v>
      </c>
      <c r="K68" s="23">
        <v>44979.52789351852</v>
      </c>
      <c r="L68" s="22" t="s">
        <v>20</v>
      </c>
      <c r="M68" s="22" t="s">
        <v>28</v>
      </c>
      <c r="N68" s="56"/>
      <c r="O68" s="56"/>
      <c r="P68" s="56"/>
      <c r="Q68" s="60"/>
      <c r="R68" s="60"/>
      <c r="S68" s="60"/>
      <c r="T68" s="60"/>
      <c r="U68" s="60"/>
      <c r="V68" s="60"/>
      <c r="W68" s="60"/>
    </row>
    <row r="69" spans="1:23" s="25" customFormat="1">
      <c r="A69" s="70">
        <v>65</v>
      </c>
      <c r="B69" s="21">
        <v>1.1000000000000001</v>
      </c>
      <c r="C69" s="201" t="s">
        <v>443</v>
      </c>
      <c r="D69" s="28" t="s">
        <v>441</v>
      </c>
      <c r="E69" s="66">
        <v>44984</v>
      </c>
      <c r="F69" s="52" t="s">
        <v>438</v>
      </c>
      <c r="G69" s="18"/>
      <c r="H69" s="22">
        <v>1048949</v>
      </c>
      <c r="I69" s="77" t="s">
        <v>444</v>
      </c>
      <c r="J69" s="77" t="s">
        <v>445</v>
      </c>
      <c r="K69" s="66">
        <v>44984</v>
      </c>
      <c r="L69" s="22" t="s">
        <v>20</v>
      </c>
      <c r="M69" s="22" t="s">
        <v>28</v>
      </c>
      <c r="N69" s="56"/>
      <c r="O69" s="56"/>
      <c r="P69" s="56"/>
      <c r="Q69" s="60"/>
      <c r="R69" s="60"/>
      <c r="S69" s="60"/>
      <c r="T69" s="60"/>
      <c r="U69" s="60"/>
      <c r="V69" s="60"/>
      <c r="W69" s="60"/>
    </row>
    <row r="70" spans="1:23" s="25" customFormat="1">
      <c r="A70" s="70">
        <v>66</v>
      </c>
      <c r="B70" s="21">
        <v>1.1000000000000001</v>
      </c>
      <c r="C70" s="201" t="s">
        <v>443</v>
      </c>
      <c r="D70" s="28" t="s">
        <v>442</v>
      </c>
      <c r="E70" s="66">
        <v>44984</v>
      </c>
      <c r="F70" s="52" t="s">
        <v>438</v>
      </c>
      <c r="G70" s="18"/>
      <c r="H70" s="22">
        <v>1048949</v>
      </c>
      <c r="I70" s="77" t="s">
        <v>444</v>
      </c>
      <c r="J70" s="77" t="s">
        <v>445</v>
      </c>
      <c r="K70" s="66">
        <v>44984</v>
      </c>
      <c r="L70" s="22" t="s">
        <v>20</v>
      </c>
      <c r="M70" s="22" t="s">
        <v>28</v>
      </c>
      <c r="N70" s="56"/>
      <c r="O70" s="56"/>
      <c r="P70" s="56"/>
      <c r="Q70" s="60"/>
      <c r="R70" s="60"/>
      <c r="S70" s="60"/>
      <c r="T70" s="60"/>
      <c r="U70" s="60"/>
      <c r="V70" s="60"/>
      <c r="W70" s="60"/>
    </row>
    <row r="71" spans="1:23" s="25" customFormat="1" ht="25.5">
      <c r="A71" s="70">
        <v>67</v>
      </c>
      <c r="B71" s="21">
        <v>1.7</v>
      </c>
      <c r="C71" s="201" t="s">
        <v>361</v>
      </c>
      <c r="D71" s="18" t="s">
        <v>487</v>
      </c>
      <c r="E71" s="66">
        <v>44984.410810185182</v>
      </c>
      <c r="F71" s="67" t="s">
        <v>363</v>
      </c>
      <c r="G71" s="18"/>
      <c r="H71" s="22">
        <v>1047503</v>
      </c>
      <c r="I71" s="77" t="s">
        <v>26</v>
      </c>
      <c r="J71" s="22" t="s">
        <v>406</v>
      </c>
      <c r="K71" s="203">
        <v>45005.406087962961</v>
      </c>
      <c r="L71" s="22" t="s">
        <v>21</v>
      </c>
      <c r="M71" s="22" t="s">
        <v>28</v>
      </c>
      <c r="N71" s="56"/>
      <c r="O71" s="56"/>
      <c r="P71" s="56"/>
      <c r="Q71" s="60"/>
      <c r="R71" s="60"/>
      <c r="S71" s="60"/>
      <c r="T71" s="60"/>
      <c r="U71" s="60"/>
      <c r="V71" s="60"/>
      <c r="W71" s="60"/>
    </row>
    <row r="72" spans="1:23" s="25" customFormat="1" ht="25.5">
      <c r="A72" s="70">
        <v>68</v>
      </c>
      <c r="B72" s="21">
        <v>1.5</v>
      </c>
      <c r="C72" s="201" t="s">
        <v>372</v>
      </c>
      <c r="D72" s="18" t="s">
        <v>487</v>
      </c>
      <c r="E72" s="66">
        <v>44984.412175925929</v>
      </c>
      <c r="F72" s="67" t="s">
        <v>363</v>
      </c>
      <c r="G72" s="18"/>
      <c r="H72" s="22">
        <v>1047503</v>
      </c>
      <c r="I72" s="77" t="s">
        <v>26</v>
      </c>
      <c r="J72" s="22" t="s">
        <v>406</v>
      </c>
      <c r="K72" s="203">
        <v>45005.406087962961</v>
      </c>
      <c r="L72" s="22" t="s">
        <v>21</v>
      </c>
      <c r="M72" s="22" t="s">
        <v>28</v>
      </c>
      <c r="N72" s="56"/>
      <c r="O72" s="56"/>
      <c r="P72" s="56"/>
      <c r="Q72" s="60"/>
      <c r="R72" s="60"/>
      <c r="S72" s="60"/>
      <c r="T72" s="60"/>
      <c r="U72" s="60"/>
      <c r="V72" s="60"/>
      <c r="W72" s="60"/>
    </row>
    <row r="73" spans="1:23" s="25" customFormat="1">
      <c r="A73" s="70">
        <v>69</v>
      </c>
      <c r="B73" s="40">
        <v>1.9</v>
      </c>
      <c r="C73" s="40" t="s">
        <v>506</v>
      </c>
      <c r="D73" s="18" t="s">
        <v>486</v>
      </c>
      <c r="E73" s="66">
        <v>44984.453344907408</v>
      </c>
      <c r="F73" s="67" t="s">
        <v>363</v>
      </c>
      <c r="G73" s="18"/>
      <c r="H73" s="22"/>
      <c r="I73" s="22"/>
      <c r="J73" s="22" t="s">
        <v>406</v>
      </c>
      <c r="K73" s="23">
        <v>44984.453541666669</v>
      </c>
      <c r="L73" s="22" t="s">
        <v>27</v>
      </c>
      <c r="M73" s="22" t="s">
        <v>28</v>
      </c>
      <c r="N73" s="56"/>
      <c r="O73" s="56"/>
      <c r="P73" s="56"/>
      <c r="Q73" s="60"/>
      <c r="R73" s="60"/>
      <c r="S73" s="60"/>
      <c r="T73" s="60"/>
      <c r="U73" s="60"/>
      <c r="V73" s="60"/>
      <c r="W73" s="60"/>
    </row>
    <row r="74" spans="1:23" s="25" customFormat="1" ht="25.5">
      <c r="A74" s="70">
        <v>70</v>
      </c>
      <c r="B74" s="40">
        <v>1.1200000000000001</v>
      </c>
      <c r="C74" s="40" t="s">
        <v>389</v>
      </c>
      <c r="D74" s="18" t="s">
        <v>381</v>
      </c>
      <c r="E74" s="66">
        <v>44984.454328703701</v>
      </c>
      <c r="F74" s="67" t="s">
        <v>363</v>
      </c>
      <c r="G74" s="18"/>
      <c r="H74" s="22">
        <v>1047503</v>
      </c>
      <c r="I74" s="77" t="s">
        <v>26</v>
      </c>
      <c r="J74" s="22" t="s">
        <v>406</v>
      </c>
      <c r="K74" s="203">
        <v>45005.406087962961</v>
      </c>
      <c r="L74" s="22" t="s">
        <v>21</v>
      </c>
      <c r="M74" s="22" t="s">
        <v>28</v>
      </c>
      <c r="N74" s="56"/>
      <c r="O74" s="56"/>
      <c r="P74" s="56"/>
      <c r="Q74" s="60"/>
      <c r="R74" s="60"/>
      <c r="S74" s="60"/>
      <c r="T74" s="60"/>
      <c r="U74" s="60"/>
      <c r="V74" s="60"/>
      <c r="W74" s="60"/>
    </row>
    <row r="75" spans="1:23" s="25" customFormat="1">
      <c r="A75" s="70">
        <v>71</v>
      </c>
      <c r="B75" s="21">
        <v>1.1000000000000001</v>
      </c>
      <c r="C75" s="201" t="s">
        <v>496</v>
      </c>
      <c r="D75" s="28" t="s">
        <v>492</v>
      </c>
      <c r="E75" s="66">
        <v>44984.458611111113</v>
      </c>
      <c r="F75" s="67" t="s">
        <v>363</v>
      </c>
      <c r="G75" s="18"/>
      <c r="H75" s="22">
        <v>1047503</v>
      </c>
      <c r="I75" s="77" t="s">
        <v>26</v>
      </c>
      <c r="J75" s="22" t="s">
        <v>406</v>
      </c>
      <c r="K75" s="203">
        <v>45005.406087962961</v>
      </c>
      <c r="L75" s="22" t="s">
        <v>21</v>
      </c>
      <c r="M75" s="22" t="s">
        <v>28</v>
      </c>
      <c r="N75" s="56"/>
      <c r="O75" s="56"/>
      <c r="P75" s="56"/>
      <c r="Q75" s="60"/>
      <c r="R75" s="60"/>
      <c r="S75" s="60"/>
      <c r="T75" s="60"/>
      <c r="U75" s="60"/>
      <c r="V75" s="60"/>
      <c r="W75" s="60"/>
    </row>
    <row r="76" spans="1:23" s="25" customFormat="1">
      <c r="A76" s="70">
        <v>72</v>
      </c>
      <c r="B76" s="21">
        <v>1.1000000000000001</v>
      </c>
      <c r="C76" s="201" t="s">
        <v>496</v>
      </c>
      <c r="D76" s="28" t="s">
        <v>493</v>
      </c>
      <c r="E76" s="66">
        <v>44984.458657407406</v>
      </c>
      <c r="F76" s="67" t="s">
        <v>363</v>
      </c>
      <c r="G76" s="18"/>
      <c r="H76" s="22">
        <v>1047503</v>
      </c>
      <c r="I76" s="77" t="s">
        <v>26</v>
      </c>
      <c r="J76" s="22" t="s">
        <v>406</v>
      </c>
      <c r="K76" s="203">
        <v>45005.406087962961</v>
      </c>
      <c r="L76" s="22" t="s">
        <v>21</v>
      </c>
      <c r="M76" s="22" t="s">
        <v>28</v>
      </c>
      <c r="N76" s="56"/>
      <c r="O76" s="56"/>
      <c r="P76" s="56"/>
      <c r="Q76" s="60"/>
      <c r="R76" s="60"/>
      <c r="S76" s="60"/>
      <c r="T76" s="60"/>
      <c r="U76" s="60"/>
      <c r="V76" s="60"/>
      <c r="W76" s="60"/>
    </row>
    <row r="77" spans="1:23" s="25" customFormat="1">
      <c r="A77" s="70">
        <v>73</v>
      </c>
      <c r="B77" s="21">
        <v>1.1000000000000001</v>
      </c>
      <c r="C77" s="201" t="s">
        <v>496</v>
      </c>
      <c r="D77" s="28" t="s">
        <v>494</v>
      </c>
      <c r="E77" s="66">
        <v>44984.458726851852</v>
      </c>
      <c r="F77" s="67" t="s">
        <v>363</v>
      </c>
      <c r="G77" s="18"/>
      <c r="H77" s="22">
        <v>1047503</v>
      </c>
      <c r="I77" s="77" t="s">
        <v>26</v>
      </c>
      <c r="J77" s="22" t="s">
        <v>406</v>
      </c>
      <c r="K77" s="203">
        <v>45005.406087962961</v>
      </c>
      <c r="L77" s="22" t="s">
        <v>21</v>
      </c>
      <c r="M77" s="22" t="s">
        <v>28</v>
      </c>
      <c r="N77" s="56"/>
      <c r="O77" s="56"/>
      <c r="P77" s="56"/>
      <c r="Q77" s="60"/>
      <c r="R77" s="60"/>
      <c r="S77" s="60"/>
      <c r="T77" s="60"/>
      <c r="U77" s="60"/>
      <c r="V77" s="60"/>
      <c r="W77" s="60"/>
    </row>
    <row r="78" spans="1:23" s="25" customFormat="1" ht="25.5">
      <c r="A78" s="70">
        <v>74</v>
      </c>
      <c r="B78" s="21">
        <v>1.1000000000000001</v>
      </c>
      <c r="C78" s="201" t="s">
        <v>496</v>
      </c>
      <c r="D78" s="28" t="s">
        <v>495</v>
      </c>
      <c r="E78" s="66">
        <v>44984.458807870367</v>
      </c>
      <c r="F78" s="67" t="s">
        <v>363</v>
      </c>
      <c r="G78" s="18"/>
      <c r="H78" s="22">
        <v>1047503</v>
      </c>
      <c r="I78" s="77" t="s">
        <v>26</v>
      </c>
      <c r="J78" s="22" t="s">
        <v>406</v>
      </c>
      <c r="K78" s="203">
        <v>45005.406087962961</v>
      </c>
      <c r="L78" s="22" t="s">
        <v>21</v>
      </c>
      <c r="M78" s="22" t="s">
        <v>28</v>
      </c>
      <c r="N78" s="56"/>
      <c r="O78" s="56"/>
      <c r="P78" s="56"/>
      <c r="Q78" s="60"/>
      <c r="R78" s="60"/>
      <c r="S78" s="60"/>
      <c r="T78" s="60"/>
      <c r="U78" s="60"/>
      <c r="V78" s="60"/>
      <c r="W78" s="60"/>
    </row>
    <row r="79" spans="1:23" s="25" customFormat="1" ht="25.5">
      <c r="A79" s="70">
        <v>75</v>
      </c>
      <c r="B79" s="40">
        <v>1.9</v>
      </c>
      <c r="C79" s="40" t="s">
        <v>506</v>
      </c>
      <c r="D79" s="202" t="s">
        <v>499</v>
      </c>
      <c r="E79" s="66">
        <v>44986.575162037036</v>
      </c>
      <c r="F79" s="67" t="s">
        <v>388</v>
      </c>
      <c r="G79" s="18"/>
      <c r="H79" s="22"/>
      <c r="I79" s="22"/>
      <c r="J79" s="22" t="s">
        <v>388</v>
      </c>
      <c r="K79" s="23">
        <v>44986.575243055559</v>
      </c>
      <c r="L79" s="22" t="s">
        <v>27</v>
      </c>
      <c r="M79" s="22" t="s">
        <v>28</v>
      </c>
      <c r="N79" s="56"/>
      <c r="O79" s="56"/>
      <c r="P79" s="56"/>
      <c r="Q79" s="60"/>
      <c r="R79" s="60"/>
      <c r="S79" s="60"/>
      <c r="T79" s="60"/>
      <c r="U79" s="60"/>
      <c r="V79" s="60"/>
      <c r="W79" s="60"/>
    </row>
    <row r="80" spans="1:23" s="25" customFormat="1" ht="25.5">
      <c r="A80" s="70">
        <v>76</v>
      </c>
      <c r="B80" s="221">
        <v>1.1000000000000001</v>
      </c>
      <c r="C80" s="40" t="s">
        <v>506</v>
      </c>
      <c r="D80" s="202" t="s">
        <v>499</v>
      </c>
      <c r="E80" s="66">
        <v>44986.57534722222</v>
      </c>
      <c r="F80" s="67" t="s">
        <v>388</v>
      </c>
      <c r="G80" s="18"/>
      <c r="H80" s="22"/>
      <c r="I80" s="22"/>
      <c r="J80" s="22" t="s">
        <v>388</v>
      </c>
      <c r="K80" s="23">
        <v>44986.575439814813</v>
      </c>
      <c r="L80" s="22" t="s">
        <v>27</v>
      </c>
      <c r="M80" s="22" t="s">
        <v>28</v>
      </c>
      <c r="N80" s="56"/>
      <c r="O80" s="56"/>
      <c r="P80" s="56"/>
      <c r="Q80" s="60"/>
      <c r="R80" s="60"/>
      <c r="S80" s="60"/>
      <c r="T80" s="60"/>
      <c r="U80" s="60"/>
      <c r="V80" s="60"/>
      <c r="W80" s="60"/>
    </row>
    <row r="81" spans="1:23" s="25" customFormat="1" ht="25.5">
      <c r="A81" s="70">
        <v>77</v>
      </c>
      <c r="B81" s="27">
        <v>1.1100000000000001</v>
      </c>
      <c r="C81" s="40" t="s">
        <v>506</v>
      </c>
      <c r="D81" s="202" t="s">
        <v>499</v>
      </c>
      <c r="E81" s="66">
        <v>44986.57539351852</v>
      </c>
      <c r="F81" s="67" t="s">
        <v>388</v>
      </c>
      <c r="G81" s="18"/>
      <c r="H81" s="22"/>
      <c r="I81" s="22"/>
      <c r="J81" s="22" t="s">
        <v>388</v>
      </c>
      <c r="K81" s="23">
        <v>44986.575486111113</v>
      </c>
      <c r="L81" s="22" t="s">
        <v>27</v>
      </c>
      <c r="M81" s="22" t="s">
        <v>28</v>
      </c>
      <c r="N81" s="56"/>
      <c r="O81" s="56"/>
      <c r="P81" s="56"/>
      <c r="Q81" s="60"/>
      <c r="R81" s="60"/>
      <c r="S81" s="60"/>
      <c r="T81" s="60"/>
      <c r="U81" s="60"/>
      <c r="V81" s="60"/>
      <c r="W81" s="60"/>
    </row>
    <row r="82" spans="1:23" s="25" customFormat="1" ht="25.5">
      <c r="A82" s="70">
        <v>78</v>
      </c>
      <c r="B82" s="27">
        <v>1.1200000000000001</v>
      </c>
      <c r="C82" s="40" t="s">
        <v>506</v>
      </c>
      <c r="D82" s="18" t="s">
        <v>486</v>
      </c>
      <c r="E82" s="66">
        <v>44986.576319444444</v>
      </c>
      <c r="F82" s="67" t="s">
        <v>388</v>
      </c>
      <c r="G82" s="18"/>
      <c r="H82" s="22"/>
      <c r="I82" s="22"/>
      <c r="J82" s="22" t="s">
        <v>388</v>
      </c>
      <c r="K82" s="23">
        <v>44986.576377314814</v>
      </c>
      <c r="L82" s="22" t="s">
        <v>27</v>
      </c>
      <c r="M82" s="22" t="s">
        <v>28</v>
      </c>
      <c r="N82" s="56"/>
      <c r="O82" s="56"/>
      <c r="P82" s="56"/>
      <c r="Q82" s="60"/>
      <c r="R82" s="60"/>
      <c r="S82" s="60"/>
      <c r="T82" s="60"/>
      <c r="U82" s="60"/>
      <c r="V82" s="60"/>
      <c r="W82" s="60"/>
    </row>
    <row r="83" spans="1:23" s="25" customFormat="1" ht="25.5">
      <c r="A83" s="70">
        <v>79</v>
      </c>
      <c r="B83" s="27">
        <v>1.1299999999999999</v>
      </c>
      <c r="C83" s="40" t="s">
        <v>389</v>
      </c>
      <c r="D83" s="202" t="s">
        <v>501</v>
      </c>
      <c r="E83" s="66">
        <v>44986.578310185185</v>
      </c>
      <c r="F83" s="67" t="s">
        <v>388</v>
      </c>
      <c r="G83" s="18"/>
      <c r="H83" s="22"/>
      <c r="I83" s="22"/>
      <c r="J83" s="22" t="s">
        <v>388</v>
      </c>
      <c r="K83" s="23">
        <v>44986.578634259262</v>
      </c>
      <c r="L83" s="22" t="s">
        <v>27</v>
      </c>
      <c r="M83" s="22" t="s">
        <v>28</v>
      </c>
      <c r="N83" s="56"/>
      <c r="O83" s="56"/>
      <c r="P83" s="56"/>
      <c r="Q83" s="60"/>
      <c r="R83" s="60"/>
      <c r="S83" s="60"/>
      <c r="T83" s="60"/>
      <c r="U83" s="60"/>
      <c r="V83" s="60"/>
      <c r="W83" s="60"/>
    </row>
    <row r="84" spans="1:23" s="25" customFormat="1" ht="25.5">
      <c r="A84" s="70">
        <v>80</v>
      </c>
      <c r="B84" s="27">
        <v>1.1399999999999999</v>
      </c>
      <c r="C84" s="40" t="s">
        <v>389</v>
      </c>
      <c r="D84" s="230" t="s">
        <v>501</v>
      </c>
      <c r="E84" s="66">
        <v>44986.578414351854</v>
      </c>
      <c r="F84" s="67" t="s">
        <v>388</v>
      </c>
      <c r="G84" s="18"/>
      <c r="H84" s="22"/>
      <c r="I84" s="22"/>
      <c r="J84" s="22" t="s">
        <v>388</v>
      </c>
      <c r="K84" s="23">
        <v>44986.578657407408</v>
      </c>
      <c r="L84" s="22" t="s">
        <v>27</v>
      </c>
      <c r="M84" s="22" t="s">
        <v>28</v>
      </c>
      <c r="N84" s="56"/>
      <c r="O84" s="56"/>
      <c r="P84" s="56"/>
      <c r="Q84" s="60"/>
      <c r="R84" s="60"/>
      <c r="S84" s="60"/>
      <c r="T84" s="60"/>
      <c r="U84" s="60"/>
      <c r="V84" s="60"/>
      <c r="W84" s="60"/>
    </row>
    <row r="85" spans="1:23" s="25" customFormat="1" ht="25.5">
      <c r="A85" s="70">
        <v>81</v>
      </c>
      <c r="B85" s="27">
        <v>1.1499999999999999</v>
      </c>
      <c r="C85" s="40" t="s">
        <v>389</v>
      </c>
      <c r="D85" s="202" t="s">
        <v>501</v>
      </c>
      <c r="E85" s="66">
        <v>44986.578356481485</v>
      </c>
      <c r="F85" s="67" t="s">
        <v>388</v>
      </c>
      <c r="G85" s="18"/>
      <c r="H85" s="22"/>
      <c r="I85" s="22"/>
      <c r="J85" s="22" t="s">
        <v>388</v>
      </c>
      <c r="K85" s="23">
        <v>44986.578703703701</v>
      </c>
      <c r="L85" s="22" t="s">
        <v>27</v>
      </c>
      <c r="M85" s="22" t="s">
        <v>28</v>
      </c>
      <c r="N85" s="56"/>
      <c r="O85" s="56"/>
      <c r="P85" s="56"/>
      <c r="Q85" s="60"/>
      <c r="R85" s="60"/>
      <c r="S85" s="60"/>
      <c r="T85" s="60"/>
      <c r="U85" s="60"/>
      <c r="V85" s="60"/>
      <c r="W85" s="60"/>
    </row>
    <row r="86" spans="1:23" s="25" customFormat="1" ht="25.5">
      <c r="A86" s="70">
        <v>82</v>
      </c>
      <c r="B86" s="27">
        <v>1.1599999999999999</v>
      </c>
      <c r="C86" s="40" t="s">
        <v>389</v>
      </c>
      <c r="D86" s="202" t="s">
        <v>501</v>
      </c>
      <c r="E86" s="66">
        <v>44986.579398148147</v>
      </c>
      <c r="F86" s="67" t="s">
        <v>388</v>
      </c>
      <c r="G86" s="18"/>
      <c r="H86" s="22"/>
      <c r="I86" s="22"/>
      <c r="J86" s="22" t="s">
        <v>388</v>
      </c>
      <c r="K86" s="23">
        <v>44986.579444444447</v>
      </c>
      <c r="L86" s="22" t="s">
        <v>27</v>
      </c>
      <c r="M86" s="22" t="s">
        <v>28</v>
      </c>
      <c r="N86" s="56"/>
      <c r="O86" s="56"/>
      <c r="P86" s="56"/>
      <c r="Q86" s="60"/>
      <c r="R86" s="60"/>
      <c r="S86" s="60"/>
      <c r="T86" s="60"/>
      <c r="U86" s="60"/>
      <c r="V86" s="60"/>
      <c r="W86" s="60"/>
    </row>
    <row r="87" spans="1:23" s="25" customFormat="1" ht="25.5">
      <c r="A87" s="70">
        <v>83</v>
      </c>
      <c r="B87" s="27">
        <v>1.17</v>
      </c>
      <c r="C87" s="40" t="s">
        <v>389</v>
      </c>
      <c r="D87" s="18" t="s">
        <v>486</v>
      </c>
      <c r="E87" s="66">
        <v>44986.586458333331</v>
      </c>
      <c r="F87" s="67" t="s">
        <v>388</v>
      </c>
      <c r="G87" s="18"/>
      <c r="H87" s="22"/>
      <c r="I87" s="22"/>
      <c r="J87" s="22" t="s">
        <v>388</v>
      </c>
      <c r="K87" s="23">
        <v>44986.587847222225</v>
      </c>
      <c r="L87" s="22" t="s">
        <v>27</v>
      </c>
      <c r="M87" s="22" t="s">
        <v>28</v>
      </c>
      <c r="N87" s="56"/>
      <c r="O87" s="56"/>
      <c r="P87" s="56"/>
      <c r="Q87" s="60"/>
      <c r="R87" s="60"/>
      <c r="S87" s="60"/>
      <c r="T87" s="60"/>
      <c r="U87" s="60"/>
      <c r="V87" s="60"/>
      <c r="W87" s="60"/>
    </row>
    <row r="88" spans="1:23" s="25" customFormat="1" ht="25.5">
      <c r="A88" s="70">
        <v>84</v>
      </c>
      <c r="B88" s="27">
        <v>1.18</v>
      </c>
      <c r="C88" s="40" t="s">
        <v>389</v>
      </c>
      <c r="D88" s="18" t="s">
        <v>486</v>
      </c>
      <c r="E88" s="66">
        <v>44986.586458333331</v>
      </c>
      <c r="F88" s="67" t="s">
        <v>388</v>
      </c>
      <c r="G88" s="18"/>
      <c r="H88" s="22"/>
      <c r="I88" s="22"/>
      <c r="J88" s="22" t="s">
        <v>388</v>
      </c>
      <c r="K88" s="23">
        <v>44986.587847222225</v>
      </c>
      <c r="L88" s="22" t="s">
        <v>27</v>
      </c>
      <c r="M88" s="22" t="s">
        <v>28</v>
      </c>
      <c r="N88" s="56"/>
      <c r="O88" s="56"/>
      <c r="P88" s="56"/>
      <c r="Q88" s="60"/>
      <c r="R88" s="60"/>
      <c r="S88" s="60"/>
      <c r="T88" s="60"/>
      <c r="U88" s="60"/>
      <c r="V88" s="60"/>
      <c r="W88" s="60"/>
    </row>
    <row r="89" spans="1:23" s="25" customFormat="1" ht="25.5">
      <c r="A89" s="70">
        <v>85</v>
      </c>
      <c r="B89" s="27">
        <v>1.1299999999999999</v>
      </c>
      <c r="C89" s="40" t="s">
        <v>506</v>
      </c>
      <c r="D89" s="28" t="s">
        <v>486</v>
      </c>
      <c r="E89" s="66">
        <v>44987.483055555553</v>
      </c>
      <c r="F89" s="67" t="s">
        <v>507</v>
      </c>
      <c r="G89" s="18"/>
      <c r="H89" s="22"/>
      <c r="I89" s="22"/>
      <c r="J89" s="22" t="s">
        <v>388</v>
      </c>
      <c r="K89" s="23">
        <v>44987.483287037037</v>
      </c>
      <c r="L89" s="22" t="s">
        <v>27</v>
      </c>
      <c r="M89" s="22" t="s">
        <v>28</v>
      </c>
      <c r="N89" s="56"/>
      <c r="O89" s="56"/>
      <c r="P89" s="56"/>
      <c r="Q89" s="60"/>
      <c r="R89" s="60"/>
      <c r="S89" s="60"/>
      <c r="T89" s="60"/>
      <c r="U89" s="60"/>
      <c r="V89" s="60"/>
      <c r="W89" s="60"/>
    </row>
    <row r="90" spans="1:23" s="25" customFormat="1">
      <c r="A90" s="70">
        <v>86</v>
      </c>
      <c r="B90" s="27">
        <v>1.19</v>
      </c>
      <c r="C90" s="40" t="s">
        <v>389</v>
      </c>
      <c r="D90" s="28" t="s">
        <v>486</v>
      </c>
      <c r="E90" s="66">
        <v>44995.395185185182</v>
      </c>
      <c r="F90" s="67" t="s">
        <v>406</v>
      </c>
      <c r="G90" s="18"/>
      <c r="H90" s="22"/>
      <c r="I90" s="22"/>
      <c r="J90" s="22" t="s">
        <v>406</v>
      </c>
      <c r="K90" s="23">
        <v>44995.395231481481</v>
      </c>
      <c r="L90" s="22" t="s">
        <v>27</v>
      </c>
      <c r="M90" s="22" t="s">
        <v>28</v>
      </c>
      <c r="N90" s="56"/>
      <c r="O90" s="56"/>
      <c r="P90" s="56"/>
      <c r="Q90" s="60"/>
      <c r="R90" s="60"/>
      <c r="S90" s="60"/>
      <c r="T90" s="60"/>
      <c r="U90" s="60"/>
      <c r="V90" s="60"/>
      <c r="W90" s="60"/>
    </row>
    <row r="91" spans="1:23" s="25" customFormat="1" ht="25.5">
      <c r="A91" s="70">
        <v>87</v>
      </c>
      <c r="B91" s="21">
        <v>1.8</v>
      </c>
      <c r="C91" s="201" t="s">
        <v>372</v>
      </c>
      <c r="D91" s="28" t="s">
        <v>511</v>
      </c>
      <c r="E91" s="66">
        <v>45057.609976851854</v>
      </c>
      <c r="F91" s="67" t="s">
        <v>507</v>
      </c>
      <c r="G91" s="18"/>
      <c r="H91" s="22"/>
      <c r="I91" s="22"/>
      <c r="J91" s="22" t="s">
        <v>406</v>
      </c>
      <c r="K91" s="23">
        <v>45057.610150462962</v>
      </c>
      <c r="L91" s="22" t="s">
        <v>27</v>
      </c>
      <c r="M91" s="22" t="s">
        <v>28</v>
      </c>
      <c r="N91" s="56"/>
      <c r="O91" s="56"/>
      <c r="P91" s="56"/>
      <c r="Q91" s="60"/>
      <c r="R91" s="60"/>
      <c r="S91" s="60"/>
      <c r="T91" s="60"/>
      <c r="U91" s="60"/>
      <c r="V91" s="60"/>
      <c r="W91" s="60"/>
    </row>
    <row r="92" spans="1:23" s="25" customFormat="1" ht="25.5">
      <c r="A92" s="70">
        <v>88</v>
      </c>
      <c r="B92" s="27">
        <v>1.32</v>
      </c>
      <c r="C92" s="40" t="s">
        <v>506</v>
      </c>
      <c r="D92" s="28" t="s">
        <v>512</v>
      </c>
      <c r="E92" s="66">
        <v>45061.412962962961</v>
      </c>
      <c r="F92" s="67" t="s">
        <v>507</v>
      </c>
      <c r="G92" s="28" t="s">
        <v>424</v>
      </c>
      <c r="H92" s="22"/>
      <c r="I92" s="22"/>
      <c r="J92" s="22" t="s">
        <v>406</v>
      </c>
      <c r="K92" s="23">
        <v>45063.390636574077</v>
      </c>
      <c r="L92" s="22" t="s">
        <v>20</v>
      </c>
      <c r="M92" s="22" t="s">
        <v>28</v>
      </c>
      <c r="N92" s="56"/>
      <c r="O92" s="56"/>
      <c r="P92" s="56"/>
      <c r="Q92" s="60"/>
      <c r="R92" s="60"/>
      <c r="S92" s="60"/>
      <c r="T92" s="60"/>
      <c r="U92" s="60"/>
      <c r="V92" s="60"/>
      <c r="W92" s="60"/>
    </row>
    <row r="93" spans="1:23" s="25" customFormat="1" ht="38.25">
      <c r="A93" s="70">
        <v>89</v>
      </c>
      <c r="B93" s="27">
        <v>1.32</v>
      </c>
      <c r="C93" s="40" t="s">
        <v>506</v>
      </c>
      <c r="D93" s="28" t="s">
        <v>513</v>
      </c>
      <c r="E93" s="66">
        <v>45061.415694444448</v>
      </c>
      <c r="F93" s="67" t="s">
        <v>507</v>
      </c>
      <c r="G93" s="28" t="s">
        <v>533</v>
      </c>
      <c r="H93" s="22"/>
      <c r="I93" s="22"/>
      <c r="J93" s="22" t="s">
        <v>406</v>
      </c>
      <c r="K93" s="23">
        <v>45063.397291666668</v>
      </c>
      <c r="L93" s="22" t="s">
        <v>20</v>
      </c>
      <c r="M93" s="22" t="s">
        <v>28</v>
      </c>
      <c r="N93" s="56"/>
      <c r="O93" s="56"/>
      <c r="P93" s="56"/>
      <c r="Q93" s="60"/>
      <c r="R93" s="60"/>
      <c r="S93" s="60"/>
      <c r="T93" s="60"/>
      <c r="U93" s="60"/>
      <c r="V93" s="60"/>
      <c r="W93" s="60"/>
    </row>
    <row r="94" spans="1:23" s="25" customFormat="1" ht="25.5">
      <c r="A94" s="70">
        <v>90</v>
      </c>
      <c r="B94" s="27">
        <v>1.32</v>
      </c>
      <c r="C94" s="40" t="s">
        <v>506</v>
      </c>
      <c r="D94" s="28" t="s">
        <v>514</v>
      </c>
      <c r="E94" s="66">
        <v>45061.436435185184</v>
      </c>
      <c r="F94" s="67" t="s">
        <v>507</v>
      </c>
      <c r="G94" s="28" t="s">
        <v>418</v>
      </c>
      <c r="H94" s="22"/>
      <c r="I94" s="22"/>
      <c r="J94" s="22" t="s">
        <v>406</v>
      </c>
      <c r="K94" s="23">
        <v>45063.404710648145</v>
      </c>
      <c r="L94" s="22" t="s">
        <v>20</v>
      </c>
      <c r="M94" s="22" t="s">
        <v>28</v>
      </c>
      <c r="N94" s="56"/>
      <c r="O94" s="56"/>
      <c r="P94" s="56"/>
      <c r="Q94" s="60"/>
      <c r="R94" s="60"/>
      <c r="S94" s="60"/>
      <c r="T94" s="60"/>
      <c r="U94" s="60"/>
      <c r="V94" s="60"/>
      <c r="W94" s="60"/>
    </row>
    <row r="95" spans="1:23" s="25" customFormat="1" ht="114.75">
      <c r="A95" s="70">
        <v>90</v>
      </c>
      <c r="B95" s="27">
        <v>1.32</v>
      </c>
      <c r="C95" s="40" t="s">
        <v>506</v>
      </c>
      <c r="D95" s="28" t="s">
        <v>528</v>
      </c>
      <c r="E95" s="66">
        <v>45061.436435185184</v>
      </c>
      <c r="F95" s="67" t="s">
        <v>507</v>
      </c>
      <c r="G95" s="18" t="s">
        <v>539</v>
      </c>
      <c r="H95" s="22"/>
      <c r="I95" s="22"/>
      <c r="J95" s="22" t="s">
        <v>406</v>
      </c>
      <c r="K95" s="23">
        <v>45070.669629629629</v>
      </c>
      <c r="L95" s="22" t="s">
        <v>20</v>
      </c>
      <c r="M95" s="22" t="s">
        <v>28</v>
      </c>
      <c r="N95" s="56"/>
      <c r="O95" s="56"/>
      <c r="P95" s="56"/>
      <c r="Q95" s="60"/>
      <c r="R95" s="60"/>
      <c r="S95" s="60"/>
      <c r="T95" s="60"/>
      <c r="U95" s="60"/>
      <c r="V95" s="60"/>
      <c r="W95" s="60"/>
    </row>
    <row r="96" spans="1:23" ht="25.5">
      <c r="A96" s="70">
        <v>92</v>
      </c>
      <c r="B96" s="27">
        <v>1.32</v>
      </c>
      <c r="C96" s="40" t="s">
        <v>506</v>
      </c>
      <c r="D96" s="18" t="s">
        <v>516</v>
      </c>
      <c r="E96" s="66">
        <v>45061.453518518516</v>
      </c>
      <c r="F96" s="67" t="s">
        <v>507</v>
      </c>
      <c r="G96" s="18"/>
      <c r="H96" s="22"/>
      <c r="I96" s="22"/>
      <c r="J96" s="22" t="s">
        <v>406</v>
      </c>
      <c r="K96" s="23">
        <v>45061.453553240739</v>
      </c>
      <c r="L96" s="22" t="s">
        <v>27</v>
      </c>
      <c r="M96" s="22" t="s">
        <v>28</v>
      </c>
      <c r="N96" s="56"/>
      <c r="O96" s="56"/>
      <c r="P96" s="56"/>
    </row>
    <row r="97" spans="1:16" ht="25.5">
      <c r="A97" s="70">
        <v>93</v>
      </c>
      <c r="B97" s="234">
        <v>1.43</v>
      </c>
      <c r="C97" s="54" t="s">
        <v>389</v>
      </c>
      <c r="D97" s="18" t="s">
        <v>515</v>
      </c>
      <c r="E97" s="66">
        <v>45061.452824074076</v>
      </c>
      <c r="F97" s="67" t="s">
        <v>507</v>
      </c>
      <c r="G97" s="18" t="s">
        <v>534</v>
      </c>
      <c r="H97" s="22"/>
      <c r="I97" s="22"/>
      <c r="J97" s="22" t="s">
        <v>406</v>
      </c>
      <c r="K97" s="23">
        <v>45068.725335648145</v>
      </c>
      <c r="L97" s="22" t="s">
        <v>20</v>
      </c>
      <c r="M97" s="22" t="s">
        <v>28</v>
      </c>
      <c r="N97" s="56"/>
      <c r="O97" s="56"/>
      <c r="P97" s="56"/>
    </row>
    <row r="98" spans="1:16" ht="25.5">
      <c r="A98" s="70">
        <v>94</v>
      </c>
      <c r="B98" s="54">
        <v>1.43</v>
      </c>
      <c r="C98" s="54" t="s">
        <v>389</v>
      </c>
      <c r="D98" s="18" t="s">
        <v>517</v>
      </c>
      <c r="E98" s="66">
        <v>45061.463912037034</v>
      </c>
      <c r="F98" s="67" t="s">
        <v>507</v>
      </c>
      <c r="G98" s="18" t="s">
        <v>535</v>
      </c>
      <c r="H98" s="22"/>
      <c r="I98" s="22"/>
      <c r="J98" s="22" t="s">
        <v>406</v>
      </c>
      <c r="K98" s="23">
        <v>45068.726388888892</v>
      </c>
      <c r="L98" s="22" t="s">
        <v>20</v>
      </c>
      <c r="M98" s="22" t="s">
        <v>28</v>
      </c>
      <c r="N98" s="56"/>
      <c r="O98" s="56"/>
      <c r="P98" s="56"/>
    </row>
    <row r="99" spans="1:16" ht="38.25">
      <c r="A99" s="70">
        <v>95</v>
      </c>
      <c r="B99" s="54">
        <v>1.43</v>
      </c>
      <c r="C99" s="54" t="s">
        <v>389</v>
      </c>
      <c r="D99" s="18" t="s">
        <v>518</v>
      </c>
      <c r="E99" s="66">
        <v>45061.465405092589</v>
      </c>
      <c r="F99" s="67" t="s">
        <v>507</v>
      </c>
      <c r="G99" s="18" t="s">
        <v>536</v>
      </c>
      <c r="H99" s="22"/>
      <c r="I99" s="22"/>
      <c r="J99" s="22" t="s">
        <v>406</v>
      </c>
      <c r="K99" s="23">
        <v>45068.729386574072</v>
      </c>
      <c r="L99" s="22" t="s">
        <v>20</v>
      </c>
      <c r="M99" s="22" t="s">
        <v>28</v>
      </c>
      <c r="N99" s="56"/>
      <c r="O99" s="56"/>
      <c r="P99" s="56"/>
    </row>
    <row r="100" spans="1:16" ht="25.5">
      <c r="A100" s="70">
        <v>96</v>
      </c>
      <c r="B100" s="54">
        <v>1.43</v>
      </c>
      <c r="C100" s="54" t="s">
        <v>389</v>
      </c>
      <c r="D100" s="18" t="s">
        <v>519</v>
      </c>
      <c r="E100" s="66">
        <v>45061.466805555552</v>
      </c>
      <c r="F100" s="67" t="s">
        <v>507</v>
      </c>
      <c r="G100" s="18" t="s">
        <v>537</v>
      </c>
      <c r="H100" s="22"/>
      <c r="I100" s="22"/>
      <c r="J100" s="22" t="s">
        <v>406</v>
      </c>
      <c r="K100" s="23">
        <v>45069.412291666667</v>
      </c>
      <c r="L100" s="22" t="s">
        <v>20</v>
      </c>
      <c r="M100" s="22" t="s">
        <v>28</v>
      </c>
      <c r="N100" s="56"/>
      <c r="O100" s="56"/>
      <c r="P100" s="56"/>
    </row>
    <row r="101" spans="1:16" ht="25.5">
      <c r="A101" s="70">
        <v>97</v>
      </c>
      <c r="B101" s="54">
        <v>1.43</v>
      </c>
      <c r="C101" s="54" t="s">
        <v>389</v>
      </c>
      <c r="D101" s="18" t="s">
        <v>520</v>
      </c>
      <c r="E101" s="66">
        <v>45061.469756944447</v>
      </c>
      <c r="F101" s="67" t="s">
        <v>507</v>
      </c>
      <c r="G101" s="18" t="s">
        <v>537</v>
      </c>
      <c r="H101" s="22"/>
      <c r="I101" s="22"/>
      <c r="J101" s="22" t="s">
        <v>406</v>
      </c>
      <c r="K101" s="23">
        <v>45069.418738425928</v>
      </c>
      <c r="L101" s="22" t="s">
        <v>20</v>
      </c>
      <c r="M101" s="22" t="s">
        <v>28</v>
      </c>
      <c r="N101" s="56"/>
      <c r="O101" s="56"/>
      <c r="P101" s="56"/>
    </row>
    <row r="102" spans="1:16" ht="38.25">
      <c r="A102" s="70">
        <v>98</v>
      </c>
      <c r="B102" s="54">
        <v>1.43</v>
      </c>
      <c r="C102" s="54" t="s">
        <v>389</v>
      </c>
      <c r="D102" s="18" t="s">
        <v>521</v>
      </c>
      <c r="E102" s="66">
        <v>45061.557719907411</v>
      </c>
      <c r="F102" s="67" t="s">
        <v>507</v>
      </c>
      <c r="G102" s="18" t="s">
        <v>538</v>
      </c>
      <c r="H102" s="22"/>
      <c r="I102" s="22"/>
      <c r="J102" s="22" t="s">
        <v>406</v>
      </c>
      <c r="K102" s="23">
        <v>45069.425243055557</v>
      </c>
      <c r="L102" s="22" t="s">
        <v>20</v>
      </c>
      <c r="M102" s="22" t="s">
        <v>28</v>
      </c>
      <c r="N102" s="56"/>
      <c r="O102" s="56"/>
      <c r="P102" s="56"/>
    </row>
    <row r="103" spans="1:16" ht="89.25">
      <c r="A103" s="70">
        <v>99</v>
      </c>
      <c r="B103" s="54">
        <v>1.43</v>
      </c>
      <c r="C103" s="54" t="s">
        <v>389</v>
      </c>
      <c r="D103" s="18" t="s">
        <v>527</v>
      </c>
      <c r="E103" s="66">
        <v>45061.56627314815</v>
      </c>
      <c r="F103" s="67" t="s">
        <v>507</v>
      </c>
      <c r="G103" s="18" t="s">
        <v>540</v>
      </c>
      <c r="H103" s="22"/>
      <c r="I103" s="22"/>
      <c r="J103" s="22" t="s">
        <v>406</v>
      </c>
      <c r="K103" s="23">
        <v>45071.389074074075</v>
      </c>
      <c r="L103" s="22" t="s">
        <v>20</v>
      </c>
      <c r="M103" s="22" t="s">
        <v>28</v>
      </c>
      <c r="N103" s="56"/>
      <c r="O103" s="56"/>
      <c r="P103" s="56"/>
    </row>
    <row r="104" spans="1:16" ht="25.5">
      <c r="A104" s="70">
        <v>105</v>
      </c>
      <c r="B104" s="54">
        <v>1.43</v>
      </c>
      <c r="C104" s="54" t="s">
        <v>389</v>
      </c>
      <c r="D104" s="18" t="s">
        <v>522</v>
      </c>
      <c r="E104" s="66">
        <v>45061.56627314815</v>
      </c>
      <c r="F104" s="67" t="s">
        <v>507</v>
      </c>
      <c r="G104" s="18"/>
      <c r="H104" s="22"/>
      <c r="I104" s="22"/>
      <c r="J104" s="22" t="s">
        <v>406</v>
      </c>
      <c r="K104" s="23">
        <v>45061.566435185188</v>
      </c>
      <c r="L104" s="22" t="s">
        <v>27</v>
      </c>
      <c r="M104" s="22" t="s">
        <v>28</v>
      </c>
    </row>
    <row r="105" spans="1:16" ht="89.25">
      <c r="A105" s="70">
        <v>106</v>
      </c>
      <c r="B105" s="21" t="s">
        <v>523</v>
      </c>
      <c r="C105" s="21" t="s">
        <v>524</v>
      </c>
      <c r="D105" s="18" t="s">
        <v>525</v>
      </c>
      <c r="E105" s="66">
        <v>45061.576377314814</v>
      </c>
      <c r="F105" s="67" t="s">
        <v>507</v>
      </c>
      <c r="G105" s="18" t="s">
        <v>541</v>
      </c>
      <c r="H105" s="22"/>
      <c r="I105" s="22"/>
      <c r="J105" s="22" t="s">
        <v>406</v>
      </c>
      <c r="K105" s="23">
        <v>45071.392858796295</v>
      </c>
      <c r="L105" s="22" t="s">
        <v>20</v>
      </c>
      <c r="M105" s="22" t="s">
        <v>28</v>
      </c>
    </row>
    <row r="106" spans="1:16" ht="38.25">
      <c r="A106" s="70">
        <v>107</v>
      </c>
      <c r="B106" s="21" t="s">
        <v>523</v>
      </c>
      <c r="C106" s="21" t="s">
        <v>524</v>
      </c>
      <c r="D106" s="18" t="s">
        <v>526</v>
      </c>
      <c r="E106" s="66">
        <v>45061.57640046296</v>
      </c>
      <c r="F106" s="67" t="s">
        <v>507</v>
      </c>
      <c r="G106" s="18" t="s">
        <v>542</v>
      </c>
      <c r="H106" s="22"/>
      <c r="I106" s="22"/>
      <c r="J106" s="22" t="s">
        <v>406</v>
      </c>
      <c r="K106" s="23">
        <v>45071.401412037034</v>
      </c>
      <c r="L106" s="22" t="s">
        <v>20</v>
      </c>
      <c r="M106" s="22" t="s">
        <v>28</v>
      </c>
    </row>
    <row r="107" spans="1:16" ht="25.5">
      <c r="A107" s="70">
        <v>108</v>
      </c>
      <c r="B107" s="27">
        <v>1.1100000000000001</v>
      </c>
      <c r="C107" s="27" t="s">
        <v>372</v>
      </c>
      <c r="D107" s="18" t="s">
        <v>543</v>
      </c>
      <c r="E107" s="66">
        <v>45105.700486111113</v>
      </c>
      <c r="F107" s="67" t="s">
        <v>507</v>
      </c>
      <c r="G107" s="18"/>
      <c r="H107" s="22"/>
      <c r="I107" s="22"/>
      <c r="J107" s="22" t="s">
        <v>544</v>
      </c>
      <c r="K107" s="66">
        <v>45105.700486111113</v>
      </c>
      <c r="L107" s="22" t="s">
        <v>27</v>
      </c>
      <c r="M107" s="22" t="s">
        <v>28</v>
      </c>
    </row>
    <row r="108" spans="1:16" ht="25.5">
      <c r="A108" s="70">
        <v>109</v>
      </c>
      <c r="B108" s="27">
        <v>1.1100000000000001</v>
      </c>
      <c r="C108" s="27" t="s">
        <v>372</v>
      </c>
      <c r="D108" s="18" t="s">
        <v>486</v>
      </c>
      <c r="E108" s="66">
        <v>45105.700486111113</v>
      </c>
      <c r="F108" s="67" t="s">
        <v>507</v>
      </c>
      <c r="G108" s="18"/>
      <c r="H108" s="22"/>
      <c r="I108" s="22"/>
      <c r="J108" s="22" t="s">
        <v>544</v>
      </c>
      <c r="K108" s="66">
        <v>45105.700486111113</v>
      </c>
      <c r="L108" s="22" t="s">
        <v>27</v>
      </c>
      <c r="M108" s="22" t="s">
        <v>28</v>
      </c>
    </row>
    <row r="109" spans="1:16" ht="25.5">
      <c r="A109" s="70">
        <v>110</v>
      </c>
      <c r="B109" s="27">
        <v>1.43</v>
      </c>
      <c r="C109" s="27" t="s">
        <v>506</v>
      </c>
      <c r="D109" s="28" t="s">
        <v>550</v>
      </c>
      <c r="E109" s="66">
        <v>45105.700486111113</v>
      </c>
      <c r="F109" s="67" t="s">
        <v>507</v>
      </c>
      <c r="G109" s="18"/>
      <c r="H109" s="22"/>
      <c r="I109" s="22"/>
      <c r="J109" s="22" t="s">
        <v>406</v>
      </c>
      <c r="K109" s="66">
        <v>45105.700486111113</v>
      </c>
      <c r="L109" s="22" t="s">
        <v>27</v>
      </c>
      <c r="M109" s="22" t="s">
        <v>28</v>
      </c>
    </row>
    <row r="110" spans="1:16" ht="25.5">
      <c r="A110" s="70">
        <v>111</v>
      </c>
      <c r="B110" s="27">
        <v>1.43</v>
      </c>
      <c r="C110" s="40" t="s">
        <v>506</v>
      </c>
      <c r="D110" s="18" t="s">
        <v>545</v>
      </c>
      <c r="E110" s="66">
        <v>45105.700486111113</v>
      </c>
      <c r="F110" s="67" t="s">
        <v>507</v>
      </c>
      <c r="G110" s="18" t="s">
        <v>553</v>
      </c>
      <c r="H110" s="22"/>
      <c r="I110" s="22"/>
      <c r="J110" s="22" t="s">
        <v>406</v>
      </c>
      <c r="K110" s="23">
        <v>45117.427465277775</v>
      </c>
      <c r="L110" s="22" t="s">
        <v>20</v>
      </c>
      <c r="M110" s="22" t="s">
        <v>28</v>
      </c>
    </row>
    <row r="111" spans="1:16" ht="25.5">
      <c r="A111" s="70">
        <v>112</v>
      </c>
      <c r="B111" s="27">
        <v>1.51</v>
      </c>
      <c r="C111" s="27" t="s">
        <v>389</v>
      </c>
      <c r="D111" s="18" t="s">
        <v>547</v>
      </c>
      <c r="E111" s="66">
        <v>45105.700486111113</v>
      </c>
      <c r="F111" s="67" t="s">
        <v>507</v>
      </c>
      <c r="G111" s="18"/>
      <c r="H111" s="22"/>
      <c r="I111" s="22"/>
      <c r="J111" s="22" t="s">
        <v>406</v>
      </c>
      <c r="K111" s="66">
        <v>45105.700486111113</v>
      </c>
      <c r="L111" s="22" t="s">
        <v>27</v>
      </c>
      <c r="M111" s="22" t="s">
        <v>28</v>
      </c>
    </row>
    <row r="112" spans="1:16" ht="25.5">
      <c r="A112" s="70">
        <v>113</v>
      </c>
      <c r="B112" s="27">
        <v>1.51</v>
      </c>
      <c r="C112" s="27" t="s">
        <v>389</v>
      </c>
      <c r="D112" s="18" t="s">
        <v>548</v>
      </c>
      <c r="E112" s="66">
        <v>45105.700486111113</v>
      </c>
      <c r="F112" s="67" t="s">
        <v>507</v>
      </c>
      <c r="G112" s="18" t="s">
        <v>554</v>
      </c>
      <c r="H112" s="22"/>
      <c r="I112" s="22"/>
      <c r="J112" s="22" t="s">
        <v>406</v>
      </c>
      <c r="K112" s="23">
        <v>45121.335428240738</v>
      </c>
      <c r="L112" s="22" t="s">
        <v>27</v>
      </c>
      <c r="M112" s="22" t="s">
        <v>28</v>
      </c>
    </row>
    <row r="113" spans="1:23" ht="25.5">
      <c r="A113" s="70">
        <v>114</v>
      </c>
      <c r="B113" s="27">
        <v>1.1399999999999999</v>
      </c>
      <c r="C113" s="40" t="s">
        <v>372</v>
      </c>
      <c r="D113" s="28" t="s">
        <v>555</v>
      </c>
      <c r="E113" s="66">
        <v>45121.562615740739</v>
      </c>
      <c r="F113" s="67" t="s">
        <v>507</v>
      </c>
      <c r="G113" s="18"/>
      <c r="H113" s="22"/>
      <c r="I113" s="22"/>
      <c r="J113" s="22" t="s">
        <v>406</v>
      </c>
      <c r="K113" s="23">
        <v>45121.562650462962</v>
      </c>
      <c r="L113" s="22" t="s">
        <v>27</v>
      </c>
      <c r="M113" s="22" t="s">
        <v>28</v>
      </c>
    </row>
    <row r="114" spans="1:23" ht="25.5">
      <c r="A114" s="70">
        <v>115</v>
      </c>
      <c r="B114" s="27">
        <v>1.1399999999999999</v>
      </c>
      <c r="C114" s="40" t="s">
        <v>372</v>
      </c>
      <c r="D114" s="28" t="s">
        <v>486</v>
      </c>
      <c r="E114" s="66">
        <v>45121.563923611109</v>
      </c>
      <c r="F114" s="67" t="s">
        <v>507</v>
      </c>
      <c r="G114" s="18"/>
      <c r="H114" s="22"/>
      <c r="I114" s="22"/>
      <c r="J114" s="22" t="s">
        <v>406</v>
      </c>
      <c r="K114" s="23">
        <v>45121.563958333332</v>
      </c>
      <c r="L114" s="22" t="s">
        <v>27</v>
      </c>
      <c r="M114" s="22" t="s">
        <v>28</v>
      </c>
    </row>
    <row r="115" spans="1:23" ht="25.5">
      <c r="A115" s="70">
        <v>116</v>
      </c>
      <c r="B115" s="27">
        <v>1.49</v>
      </c>
      <c r="C115" s="40" t="s">
        <v>506</v>
      </c>
      <c r="D115" s="28" t="s">
        <v>556</v>
      </c>
      <c r="E115" s="66">
        <v>45121.564687500002</v>
      </c>
      <c r="F115" s="67" t="s">
        <v>507</v>
      </c>
      <c r="G115" s="18"/>
      <c r="H115" s="22"/>
      <c r="I115" s="22"/>
      <c r="J115" s="22" t="s">
        <v>406</v>
      </c>
      <c r="K115" s="23">
        <v>45121.564733796295</v>
      </c>
      <c r="L115" s="22" t="s">
        <v>27</v>
      </c>
      <c r="M115" s="22" t="s">
        <v>28</v>
      </c>
    </row>
    <row r="116" spans="1:23" ht="25.5">
      <c r="A116" s="70">
        <v>117</v>
      </c>
      <c r="B116" s="27">
        <v>1.49</v>
      </c>
      <c r="C116" s="40" t="s">
        <v>506</v>
      </c>
      <c r="D116" s="28" t="s">
        <v>486</v>
      </c>
      <c r="E116" s="66">
        <v>45121.57230324074</v>
      </c>
      <c r="F116" s="67" t="s">
        <v>507</v>
      </c>
      <c r="G116" s="18"/>
      <c r="H116" s="22"/>
      <c r="I116" s="22"/>
      <c r="J116" s="22" t="s">
        <v>406</v>
      </c>
      <c r="K116" s="23">
        <v>45121.57234953704</v>
      </c>
      <c r="L116" s="22" t="s">
        <v>27</v>
      </c>
      <c r="M116" s="22" t="s">
        <v>28</v>
      </c>
    </row>
    <row r="117" spans="1:23" ht="25.5">
      <c r="A117" s="70">
        <v>118</v>
      </c>
      <c r="B117" s="27">
        <v>1.55</v>
      </c>
      <c r="C117" s="40" t="s">
        <v>389</v>
      </c>
      <c r="D117" s="28" t="s">
        <v>557</v>
      </c>
      <c r="E117" s="66">
        <v>45121.572743055556</v>
      </c>
      <c r="F117" s="67" t="s">
        <v>507</v>
      </c>
      <c r="G117" s="18"/>
      <c r="H117" s="22"/>
      <c r="I117" s="22"/>
      <c r="J117" s="22" t="s">
        <v>406</v>
      </c>
      <c r="K117" s="23">
        <v>45121.572777777779</v>
      </c>
      <c r="L117" s="22" t="s">
        <v>27</v>
      </c>
      <c r="M117" s="22" t="s">
        <v>28</v>
      </c>
    </row>
    <row r="118" spans="1:23" ht="25.5">
      <c r="A118" s="70">
        <v>119</v>
      </c>
      <c r="B118" s="27">
        <v>1.55</v>
      </c>
      <c r="C118" s="40" t="s">
        <v>389</v>
      </c>
      <c r="D118" s="28" t="s">
        <v>486</v>
      </c>
      <c r="E118" s="66">
        <v>45121.580208333333</v>
      </c>
      <c r="F118" s="67" t="s">
        <v>507</v>
      </c>
      <c r="G118" s="18"/>
      <c r="H118" s="22"/>
      <c r="I118" s="22"/>
      <c r="J118" s="22" t="s">
        <v>406</v>
      </c>
      <c r="K118" s="23">
        <v>45121.580277777779</v>
      </c>
      <c r="L118" s="22" t="s">
        <v>27</v>
      </c>
      <c r="M118" s="22" t="s">
        <v>28</v>
      </c>
    </row>
    <row r="119" spans="1:23" ht="25.5">
      <c r="A119" s="70">
        <v>120</v>
      </c>
      <c r="B119" s="221">
        <v>1.5</v>
      </c>
      <c r="C119" s="40" t="s">
        <v>506</v>
      </c>
      <c r="D119" s="28" t="s">
        <v>486</v>
      </c>
      <c r="E119" s="66">
        <v>45121.642314814817</v>
      </c>
      <c r="F119" s="67" t="s">
        <v>507</v>
      </c>
      <c r="G119" s="18"/>
      <c r="H119" s="22"/>
      <c r="I119" s="22"/>
      <c r="J119" s="22" t="s">
        <v>406</v>
      </c>
      <c r="K119" s="23">
        <v>45121.642361111109</v>
      </c>
      <c r="L119" s="22" t="s">
        <v>27</v>
      </c>
      <c r="M119" s="22" t="s">
        <v>28</v>
      </c>
    </row>
    <row r="120" spans="1:23" ht="25.5">
      <c r="A120" s="70">
        <v>121</v>
      </c>
      <c r="B120" s="27">
        <v>1.56</v>
      </c>
      <c r="C120" s="40" t="s">
        <v>389</v>
      </c>
      <c r="D120" s="28" t="s">
        <v>486</v>
      </c>
      <c r="E120" s="66">
        <v>45121.64267361111</v>
      </c>
      <c r="F120" s="67" t="s">
        <v>507</v>
      </c>
      <c r="G120" s="18"/>
      <c r="H120" s="22"/>
      <c r="I120" s="22"/>
      <c r="J120" s="22" t="s">
        <v>406</v>
      </c>
      <c r="K120" s="23">
        <v>45121.642731481479</v>
      </c>
      <c r="L120" s="22" t="s">
        <v>27</v>
      </c>
      <c r="M120" s="22" t="s">
        <v>28</v>
      </c>
    </row>
    <row r="121" spans="1:23" ht="25.5">
      <c r="A121" s="70">
        <v>122</v>
      </c>
      <c r="B121" s="27">
        <v>1.58</v>
      </c>
      <c r="C121" s="40" t="s">
        <v>389</v>
      </c>
      <c r="D121" s="28" t="s">
        <v>565</v>
      </c>
      <c r="E121" s="66">
        <v>45128.373703703706</v>
      </c>
      <c r="F121" s="67" t="s">
        <v>507</v>
      </c>
      <c r="G121" s="18"/>
      <c r="H121" s="22"/>
      <c r="I121" s="22"/>
      <c r="J121" s="22" t="s">
        <v>406</v>
      </c>
      <c r="K121" s="23">
        <v>45128.373761574076</v>
      </c>
      <c r="L121" s="22" t="s">
        <v>27</v>
      </c>
      <c r="M121" s="22" t="s">
        <v>28</v>
      </c>
    </row>
    <row r="122" spans="1:23" ht="25.5">
      <c r="A122" s="70">
        <v>123</v>
      </c>
      <c r="B122" s="27">
        <v>1.54</v>
      </c>
      <c r="C122" s="27" t="s">
        <v>506</v>
      </c>
      <c r="D122" s="28" t="s">
        <v>566</v>
      </c>
      <c r="E122" s="66">
        <v>45128.376087962963</v>
      </c>
      <c r="F122" s="67" t="s">
        <v>507</v>
      </c>
      <c r="G122" s="18"/>
      <c r="H122" s="22"/>
      <c r="I122" s="22"/>
      <c r="J122" s="22" t="s">
        <v>406</v>
      </c>
      <c r="K122" s="23">
        <v>45128.376145833332</v>
      </c>
      <c r="L122" s="22" t="s">
        <v>27</v>
      </c>
      <c r="M122" s="22" t="s">
        <v>28</v>
      </c>
    </row>
    <row r="123" spans="1:23" ht="25.5">
      <c r="A123" s="70">
        <v>124</v>
      </c>
      <c r="B123" s="27">
        <v>1.1599999999999999</v>
      </c>
      <c r="C123" s="40" t="s">
        <v>372</v>
      </c>
      <c r="D123" s="28" t="s">
        <v>567</v>
      </c>
      <c r="E123" s="66">
        <v>45128.377824074072</v>
      </c>
      <c r="F123" s="67" t="s">
        <v>507</v>
      </c>
      <c r="G123" s="18"/>
      <c r="H123" s="22"/>
      <c r="I123" s="22"/>
      <c r="J123" s="22" t="s">
        <v>406</v>
      </c>
      <c r="K123" s="23">
        <v>45128.377858796295</v>
      </c>
      <c r="L123" s="22" t="s">
        <v>27</v>
      </c>
      <c r="M123" s="22" t="s">
        <v>28</v>
      </c>
    </row>
    <row r="124" spans="1:23" ht="25.5">
      <c r="A124" s="70">
        <v>125</v>
      </c>
      <c r="B124" s="241" t="s">
        <v>572</v>
      </c>
      <c r="C124" s="242" t="s">
        <v>524</v>
      </c>
      <c r="D124" s="243" t="s">
        <v>486</v>
      </c>
      <c r="E124" s="244">
        <v>45132</v>
      </c>
      <c r="F124" s="242" t="s">
        <v>388</v>
      </c>
      <c r="G124" s="243"/>
      <c r="H124" s="245"/>
      <c r="I124" s="245"/>
      <c r="J124" s="245" t="s">
        <v>573</v>
      </c>
      <c r="K124" s="244">
        <v>45132</v>
      </c>
      <c r="L124" s="246" t="s">
        <v>27</v>
      </c>
      <c r="M124" s="247" t="s">
        <v>28</v>
      </c>
    </row>
    <row r="125" spans="1:23" s="25" customFormat="1" ht="25.5">
      <c r="A125" s="70">
        <v>126</v>
      </c>
      <c r="B125" s="21">
        <v>1.4</v>
      </c>
      <c r="C125" s="201" t="s">
        <v>443</v>
      </c>
      <c r="D125" s="243" t="s">
        <v>486</v>
      </c>
      <c r="E125" s="244">
        <v>45133</v>
      </c>
      <c r="F125" s="52" t="s">
        <v>578</v>
      </c>
      <c r="G125" s="18"/>
      <c r="H125" s="22"/>
      <c r="I125" s="77"/>
      <c r="J125" s="77" t="s">
        <v>577</v>
      </c>
      <c r="K125" s="244">
        <v>45133</v>
      </c>
      <c r="L125" s="22" t="s">
        <v>27</v>
      </c>
      <c r="M125" s="22" t="s">
        <v>28</v>
      </c>
      <c r="N125" s="56"/>
      <c r="O125" s="56"/>
      <c r="P125" s="56"/>
      <c r="Q125" s="60"/>
      <c r="R125" s="60"/>
      <c r="S125" s="60"/>
      <c r="T125" s="60"/>
      <c r="U125" s="60"/>
      <c r="V125" s="60"/>
      <c r="W125" s="60"/>
    </row>
    <row r="126" spans="1:23" ht="25.5">
      <c r="A126" s="70">
        <v>127</v>
      </c>
      <c r="B126" s="241" t="s">
        <v>579</v>
      </c>
      <c r="C126" s="242" t="s">
        <v>524</v>
      </c>
      <c r="D126" s="243" t="s">
        <v>580</v>
      </c>
      <c r="E126" s="244">
        <v>45138</v>
      </c>
      <c r="F126" s="242" t="s">
        <v>388</v>
      </c>
      <c r="G126" s="243"/>
      <c r="H126" s="245"/>
      <c r="I126" s="245"/>
      <c r="J126" s="245" t="s">
        <v>573</v>
      </c>
      <c r="K126" s="244">
        <v>45138</v>
      </c>
      <c r="L126" s="246" t="s">
        <v>27</v>
      </c>
      <c r="M126" s="247" t="s">
        <v>28</v>
      </c>
    </row>
    <row r="127" spans="1:23">
      <c r="A127" s="70">
        <v>128</v>
      </c>
      <c r="B127" s="27"/>
      <c r="C127" s="27"/>
      <c r="D127" s="18"/>
      <c r="E127" s="66"/>
      <c r="F127" s="67"/>
      <c r="G127" s="18"/>
      <c r="H127" s="22"/>
      <c r="I127" s="22"/>
      <c r="J127" s="22"/>
      <c r="K127" s="23"/>
      <c r="L127" s="22"/>
      <c r="M127" s="22"/>
    </row>
    <row r="128" spans="1:23">
      <c r="A128" s="70">
        <v>129</v>
      </c>
      <c r="B128" s="27"/>
      <c r="C128" s="27"/>
      <c r="D128" s="18"/>
      <c r="E128" s="66"/>
      <c r="F128" s="67"/>
      <c r="G128" s="18"/>
      <c r="H128" s="22"/>
      <c r="I128" s="22"/>
      <c r="J128" s="22"/>
      <c r="K128" s="23"/>
      <c r="L128" s="22"/>
      <c r="M128" s="22"/>
    </row>
    <row r="129" spans="1:13">
      <c r="A129" s="70">
        <v>130</v>
      </c>
      <c r="B129" s="27"/>
      <c r="C129" s="27"/>
      <c r="D129" s="18"/>
      <c r="E129" s="66"/>
      <c r="F129" s="67"/>
      <c r="G129" s="18"/>
      <c r="H129" s="22"/>
      <c r="I129" s="22"/>
      <c r="J129" s="22"/>
      <c r="K129" s="23"/>
      <c r="L129" s="22"/>
      <c r="M129" s="22"/>
    </row>
    <row r="130" spans="1:13">
      <c r="A130" s="70">
        <v>131</v>
      </c>
      <c r="B130" s="27"/>
      <c r="C130" s="27"/>
      <c r="D130" s="18"/>
      <c r="E130" s="66"/>
      <c r="F130" s="67"/>
      <c r="G130" s="18"/>
      <c r="H130" s="22"/>
      <c r="I130" s="22"/>
      <c r="J130" s="22"/>
      <c r="K130" s="23"/>
      <c r="L130" s="22"/>
      <c r="M130" s="22"/>
    </row>
    <row r="131" spans="1:13">
      <c r="A131" s="70">
        <v>132</v>
      </c>
      <c r="B131" s="27"/>
      <c r="C131" s="27"/>
      <c r="D131" s="18"/>
      <c r="E131" s="66"/>
      <c r="F131" s="67"/>
      <c r="G131" s="18"/>
      <c r="H131" s="22"/>
      <c r="I131" s="22"/>
      <c r="J131" s="22"/>
      <c r="K131" s="23"/>
      <c r="L131" s="22"/>
      <c r="M131" s="22"/>
    </row>
    <row r="132" spans="1:13">
      <c r="A132" s="70">
        <v>133</v>
      </c>
      <c r="B132" s="27"/>
      <c r="C132" s="27"/>
      <c r="D132" s="18"/>
      <c r="E132" s="66"/>
      <c r="F132" s="67"/>
      <c r="G132" s="18"/>
      <c r="H132" s="22"/>
      <c r="I132" s="22"/>
      <c r="J132" s="22"/>
      <c r="K132" s="23"/>
      <c r="L132" s="22"/>
      <c r="M132" s="22"/>
    </row>
    <row r="133" spans="1:13">
      <c r="A133" s="70">
        <v>134</v>
      </c>
      <c r="B133" s="27"/>
      <c r="C133" s="27"/>
      <c r="D133" s="18"/>
      <c r="E133" s="66"/>
      <c r="F133" s="67"/>
      <c r="G133" s="18"/>
      <c r="H133" s="22"/>
      <c r="I133" s="22"/>
      <c r="J133" s="22"/>
      <c r="K133" s="23"/>
      <c r="L133" s="22"/>
      <c r="M133" s="22"/>
    </row>
    <row r="134" spans="1:13">
      <c r="A134" s="70">
        <v>135</v>
      </c>
      <c r="B134" s="27"/>
      <c r="C134" s="27"/>
      <c r="D134" s="18"/>
      <c r="E134" s="66"/>
      <c r="F134" s="67"/>
      <c r="G134" s="18"/>
      <c r="H134" s="22"/>
      <c r="I134" s="22"/>
      <c r="J134" s="22"/>
      <c r="K134" s="23"/>
      <c r="L134" s="22"/>
      <c r="M134" s="22"/>
    </row>
    <row r="135" spans="1:13">
      <c r="A135" s="70">
        <v>136</v>
      </c>
      <c r="B135" s="27"/>
      <c r="C135" s="27"/>
      <c r="D135" s="18"/>
      <c r="E135" s="66"/>
      <c r="F135" s="67"/>
      <c r="G135" s="18"/>
      <c r="H135" s="22"/>
      <c r="I135" s="22"/>
      <c r="J135" s="22"/>
      <c r="K135" s="23"/>
      <c r="L135" s="22"/>
      <c r="M135" s="22"/>
    </row>
    <row r="136" spans="1:13">
      <c r="A136" s="70">
        <v>137</v>
      </c>
      <c r="B136" s="27"/>
      <c r="C136" s="27"/>
      <c r="D136" s="18"/>
      <c r="E136" s="66"/>
      <c r="F136" s="67"/>
      <c r="G136" s="18"/>
      <c r="H136" s="22"/>
      <c r="I136" s="22"/>
      <c r="J136" s="22"/>
      <c r="K136" s="23"/>
      <c r="L136" s="22"/>
      <c r="M136" s="22"/>
    </row>
    <row r="137" spans="1:13">
      <c r="A137" s="70">
        <v>138</v>
      </c>
      <c r="B137" s="27"/>
      <c r="C137" s="27"/>
      <c r="D137" s="18"/>
      <c r="E137" s="66"/>
      <c r="F137" s="67"/>
      <c r="G137" s="18"/>
      <c r="H137" s="22"/>
      <c r="I137" s="22"/>
      <c r="J137" s="22"/>
      <c r="K137" s="23"/>
      <c r="L137" s="22"/>
      <c r="M137" s="22"/>
    </row>
    <row r="138" spans="1:13">
      <c r="A138" s="70">
        <v>139</v>
      </c>
      <c r="B138" s="27"/>
      <c r="C138" s="27"/>
      <c r="D138" s="18"/>
      <c r="E138" s="66"/>
      <c r="F138" s="67"/>
      <c r="G138" s="18"/>
      <c r="H138" s="22"/>
      <c r="I138" s="22"/>
      <c r="J138" s="22"/>
      <c r="K138" s="23"/>
      <c r="L138" s="22"/>
      <c r="M138" s="22"/>
    </row>
    <row r="139" spans="1:13">
      <c r="A139" s="70">
        <v>140</v>
      </c>
      <c r="B139" s="27"/>
      <c r="C139" s="27"/>
      <c r="D139" s="18"/>
      <c r="E139" s="66"/>
      <c r="F139" s="67"/>
      <c r="G139" s="18"/>
      <c r="H139" s="22"/>
      <c r="I139" s="22"/>
      <c r="J139" s="22"/>
      <c r="K139" s="23"/>
      <c r="L139" s="22"/>
      <c r="M139" s="22"/>
    </row>
    <row r="140" spans="1:13">
      <c r="A140" s="70">
        <v>141</v>
      </c>
      <c r="B140" s="27"/>
      <c r="C140" s="27"/>
      <c r="D140" s="18"/>
      <c r="E140" s="66"/>
      <c r="F140" s="67"/>
      <c r="G140" s="18"/>
      <c r="H140" s="22"/>
      <c r="I140" s="22"/>
      <c r="J140" s="22"/>
      <c r="K140" s="23"/>
      <c r="L140" s="22"/>
      <c r="M140" s="22"/>
    </row>
    <row r="141" spans="1:13">
      <c r="A141" s="70">
        <v>142</v>
      </c>
      <c r="B141" s="27"/>
      <c r="C141" s="27"/>
      <c r="D141" s="18"/>
      <c r="E141" s="66"/>
      <c r="F141" s="67"/>
      <c r="G141" s="18"/>
      <c r="H141" s="22"/>
      <c r="I141" s="22"/>
      <c r="J141" s="22"/>
      <c r="K141" s="23"/>
      <c r="L141" s="22"/>
      <c r="M141" s="22"/>
    </row>
    <row r="142" spans="1:13">
      <c r="A142" s="70">
        <v>143</v>
      </c>
      <c r="B142" s="27"/>
      <c r="C142" s="27"/>
      <c r="D142" s="18"/>
      <c r="E142" s="66"/>
      <c r="F142" s="67"/>
      <c r="G142" s="18"/>
      <c r="H142" s="22"/>
      <c r="I142" s="22"/>
      <c r="J142" s="22"/>
      <c r="K142" s="23"/>
      <c r="L142" s="22"/>
      <c r="M142" s="22"/>
    </row>
    <row r="143" spans="1:13">
      <c r="A143" s="70">
        <v>144</v>
      </c>
      <c r="B143" s="27"/>
      <c r="C143" s="27"/>
      <c r="D143" s="18"/>
      <c r="E143" s="66"/>
      <c r="F143" s="67"/>
      <c r="G143" s="18"/>
      <c r="H143" s="22"/>
      <c r="I143" s="22"/>
      <c r="J143" s="22"/>
      <c r="K143" s="23"/>
      <c r="L143" s="22"/>
      <c r="M143" s="22"/>
    </row>
    <row r="144" spans="1:13">
      <c r="A144" s="70">
        <v>145</v>
      </c>
      <c r="B144" s="27"/>
      <c r="C144" s="27"/>
      <c r="D144" s="18"/>
      <c r="E144" s="66"/>
      <c r="F144" s="67"/>
      <c r="G144" s="18"/>
      <c r="H144" s="22"/>
      <c r="I144" s="22"/>
      <c r="J144" s="22"/>
      <c r="K144" s="23"/>
      <c r="L144" s="22"/>
      <c r="M144" s="22"/>
    </row>
    <row r="145" spans="1:13">
      <c r="A145" s="70">
        <v>146</v>
      </c>
      <c r="B145" s="27"/>
      <c r="C145" s="27"/>
      <c r="D145" s="18"/>
      <c r="E145" s="66"/>
      <c r="F145" s="67"/>
      <c r="G145" s="18"/>
      <c r="H145" s="22"/>
      <c r="I145" s="22"/>
      <c r="J145" s="22"/>
      <c r="K145" s="23"/>
      <c r="L145" s="22"/>
      <c r="M145" s="22"/>
    </row>
    <row r="146" spans="1:13">
      <c r="A146" s="70">
        <v>147</v>
      </c>
      <c r="B146" s="27"/>
      <c r="C146" s="27"/>
      <c r="D146" s="18"/>
      <c r="E146" s="66"/>
      <c r="F146" s="67"/>
      <c r="G146" s="18"/>
      <c r="H146" s="22"/>
      <c r="I146" s="22"/>
      <c r="J146" s="22"/>
      <c r="K146" s="23"/>
      <c r="L146" s="22"/>
      <c r="M146" s="22"/>
    </row>
    <row r="147" spans="1:13">
      <c r="A147" s="70">
        <v>148</v>
      </c>
      <c r="B147" s="27"/>
      <c r="C147" s="27"/>
      <c r="D147" s="18"/>
      <c r="E147" s="66"/>
      <c r="F147" s="67"/>
      <c r="G147" s="18"/>
      <c r="H147" s="22"/>
      <c r="I147" s="22"/>
      <c r="J147" s="22"/>
      <c r="K147" s="23"/>
      <c r="L147" s="22"/>
      <c r="M147" s="22"/>
    </row>
    <row r="148" spans="1:13">
      <c r="A148" s="70">
        <v>149</v>
      </c>
      <c r="B148" s="27"/>
      <c r="C148" s="27"/>
      <c r="D148" s="18"/>
      <c r="E148" s="66"/>
      <c r="F148" s="67"/>
      <c r="G148" s="18"/>
      <c r="H148" s="22"/>
      <c r="I148" s="22"/>
      <c r="J148" s="22"/>
      <c r="K148" s="23"/>
      <c r="L148" s="22"/>
      <c r="M148" s="22"/>
    </row>
    <row r="149" spans="1:13">
      <c r="A149" s="70">
        <v>150</v>
      </c>
      <c r="B149" s="27"/>
      <c r="C149" s="27"/>
      <c r="D149" s="18"/>
      <c r="E149" s="66"/>
      <c r="F149" s="67"/>
      <c r="G149" s="18"/>
      <c r="H149" s="22"/>
      <c r="I149" s="22"/>
      <c r="J149" s="22"/>
      <c r="K149" s="23"/>
      <c r="L149" s="22"/>
      <c r="M149" s="22"/>
    </row>
    <row r="150" spans="1:13">
      <c r="A150" s="70">
        <v>151</v>
      </c>
      <c r="B150" s="27"/>
      <c r="C150" s="27"/>
      <c r="D150" s="18"/>
      <c r="E150" s="66"/>
      <c r="F150" s="67"/>
      <c r="G150" s="18"/>
      <c r="H150" s="22"/>
      <c r="I150" s="22"/>
      <c r="J150" s="22"/>
      <c r="K150" s="23"/>
      <c r="L150" s="22"/>
      <c r="M150" s="22"/>
    </row>
    <row r="151" spans="1:13">
      <c r="A151" s="70">
        <v>152</v>
      </c>
      <c r="B151" s="27"/>
      <c r="C151" s="27"/>
      <c r="D151" s="18"/>
      <c r="E151" s="66"/>
      <c r="F151" s="67"/>
      <c r="G151" s="18"/>
      <c r="H151" s="22"/>
      <c r="I151" s="22"/>
      <c r="J151" s="22"/>
      <c r="K151" s="23"/>
      <c r="L151" s="22"/>
      <c r="M151" s="22"/>
    </row>
    <row r="152" spans="1:13">
      <c r="A152" s="70">
        <v>153</v>
      </c>
      <c r="B152" s="27"/>
      <c r="C152" s="27"/>
      <c r="D152" s="18"/>
      <c r="E152" s="66"/>
      <c r="F152" s="67"/>
      <c r="G152" s="18"/>
      <c r="H152" s="22"/>
      <c r="I152" s="22"/>
      <c r="J152" s="22"/>
      <c r="K152" s="23"/>
      <c r="L152" s="22"/>
      <c r="M152" s="22"/>
    </row>
    <row r="153" spans="1:13">
      <c r="A153" s="70">
        <v>154</v>
      </c>
      <c r="B153" s="27"/>
      <c r="C153" s="27"/>
      <c r="D153" s="18"/>
      <c r="E153" s="66"/>
      <c r="F153" s="67"/>
      <c r="G153" s="18"/>
      <c r="H153" s="22"/>
      <c r="I153" s="22"/>
      <c r="J153" s="22"/>
      <c r="K153" s="23"/>
      <c r="L153" s="22"/>
      <c r="M153" s="22"/>
    </row>
    <row r="154" spans="1:13">
      <c r="A154" s="70">
        <v>155</v>
      </c>
      <c r="B154" s="27"/>
      <c r="C154" s="27"/>
      <c r="D154" s="18"/>
      <c r="E154" s="66"/>
      <c r="F154" s="67"/>
      <c r="G154" s="18"/>
      <c r="H154" s="22"/>
      <c r="I154" s="22"/>
      <c r="J154" s="22"/>
      <c r="K154" s="23"/>
      <c r="L154" s="22"/>
      <c r="M154" s="22"/>
    </row>
    <row r="155" spans="1:13">
      <c r="A155" s="70">
        <v>156</v>
      </c>
      <c r="B155" s="27"/>
      <c r="C155" s="27"/>
      <c r="D155" s="18"/>
      <c r="E155" s="66"/>
      <c r="F155" s="67"/>
      <c r="G155" s="18"/>
      <c r="H155" s="22"/>
      <c r="I155" s="22"/>
      <c r="J155" s="22"/>
      <c r="K155" s="23"/>
      <c r="L155" s="22"/>
      <c r="M155" s="22"/>
    </row>
    <row r="156" spans="1:13">
      <c r="A156" s="70">
        <v>157</v>
      </c>
      <c r="B156" s="27"/>
      <c r="C156" s="27"/>
      <c r="D156" s="18"/>
      <c r="E156" s="66"/>
      <c r="F156" s="67"/>
      <c r="G156" s="18"/>
      <c r="H156" s="22"/>
      <c r="I156" s="22"/>
      <c r="J156" s="22"/>
      <c r="K156" s="23"/>
      <c r="L156" s="22"/>
      <c r="M156" s="22"/>
    </row>
    <row r="157" spans="1:13">
      <c r="A157" s="70">
        <v>158</v>
      </c>
      <c r="B157" s="27"/>
      <c r="C157" s="27"/>
      <c r="D157" s="18"/>
      <c r="E157" s="66"/>
      <c r="F157" s="67"/>
      <c r="G157" s="18"/>
      <c r="H157" s="22"/>
      <c r="I157" s="22"/>
      <c r="J157" s="22"/>
      <c r="K157" s="23"/>
      <c r="L157" s="22"/>
      <c r="M157" s="22"/>
    </row>
    <row r="158" spans="1:13">
      <c r="A158" s="70">
        <v>159</v>
      </c>
      <c r="B158" s="27"/>
      <c r="C158" s="27"/>
      <c r="D158" s="18"/>
      <c r="E158" s="66"/>
      <c r="F158" s="67"/>
      <c r="G158" s="18"/>
      <c r="H158" s="22"/>
      <c r="I158" s="22"/>
      <c r="J158" s="22"/>
      <c r="K158" s="23"/>
      <c r="L158" s="22"/>
      <c r="M158" s="22"/>
    </row>
    <row r="159" spans="1:13">
      <c r="A159" s="70">
        <v>160</v>
      </c>
      <c r="B159" s="27"/>
      <c r="C159" s="27"/>
      <c r="D159" s="18"/>
      <c r="E159" s="66"/>
      <c r="F159" s="67"/>
      <c r="G159" s="18"/>
      <c r="H159" s="22"/>
      <c r="I159" s="22"/>
      <c r="J159" s="22"/>
      <c r="K159" s="23"/>
      <c r="L159" s="22"/>
      <c r="M159" s="22"/>
    </row>
    <row r="160" spans="1:13">
      <c r="A160" s="70">
        <v>161</v>
      </c>
      <c r="B160" s="27"/>
      <c r="C160" s="27"/>
      <c r="D160" s="18"/>
      <c r="E160" s="66"/>
      <c r="F160" s="67"/>
      <c r="G160" s="18"/>
      <c r="H160" s="22"/>
      <c r="I160" s="22"/>
      <c r="J160" s="22"/>
      <c r="K160" s="23"/>
      <c r="L160" s="22"/>
      <c r="M160" s="22"/>
    </row>
    <row r="161" spans="1:13">
      <c r="A161" s="70">
        <v>162</v>
      </c>
      <c r="B161" s="27"/>
      <c r="C161" s="27"/>
      <c r="D161" s="18"/>
      <c r="E161" s="66"/>
      <c r="F161" s="67"/>
      <c r="G161" s="18"/>
      <c r="H161" s="22"/>
      <c r="I161" s="22"/>
      <c r="J161" s="22"/>
      <c r="K161" s="23"/>
      <c r="L161" s="22"/>
      <c r="M161" s="22"/>
    </row>
    <row r="162" spans="1:13">
      <c r="A162" s="70">
        <v>163</v>
      </c>
      <c r="B162" s="27"/>
      <c r="C162" s="27"/>
      <c r="D162" s="18"/>
      <c r="E162" s="66"/>
      <c r="F162" s="67"/>
      <c r="G162" s="18"/>
      <c r="H162" s="22"/>
      <c r="I162" s="22"/>
      <c r="J162" s="22"/>
      <c r="K162" s="23"/>
      <c r="L162" s="22"/>
      <c r="M162" s="22"/>
    </row>
    <row r="163" spans="1:13">
      <c r="A163" s="70">
        <v>164</v>
      </c>
      <c r="B163" s="27"/>
      <c r="C163" s="27"/>
      <c r="D163" s="18"/>
      <c r="E163" s="66"/>
      <c r="F163" s="67"/>
      <c r="G163" s="18"/>
      <c r="H163" s="22"/>
      <c r="I163" s="22"/>
      <c r="J163" s="22"/>
      <c r="K163" s="23"/>
      <c r="L163" s="22"/>
      <c r="M163" s="22"/>
    </row>
    <row r="164" spans="1:13">
      <c r="A164" s="70">
        <v>165</v>
      </c>
      <c r="B164" s="27"/>
      <c r="C164" s="27"/>
      <c r="D164" s="18"/>
      <c r="E164" s="66"/>
      <c r="F164" s="67"/>
      <c r="G164" s="18"/>
      <c r="H164" s="22"/>
      <c r="I164" s="22"/>
      <c r="J164" s="22"/>
      <c r="K164" s="23"/>
      <c r="L164" s="22"/>
      <c r="M164" s="22"/>
    </row>
    <row r="165" spans="1:13">
      <c r="A165" s="70">
        <v>166</v>
      </c>
      <c r="B165" s="27"/>
      <c r="C165" s="27"/>
      <c r="D165" s="18"/>
      <c r="E165" s="66"/>
      <c r="F165" s="67"/>
      <c r="G165" s="18"/>
      <c r="H165" s="22"/>
      <c r="I165" s="22"/>
      <c r="J165" s="22"/>
      <c r="K165" s="23"/>
      <c r="L165" s="22"/>
      <c r="M165" s="22"/>
    </row>
    <row r="166" spans="1:13">
      <c r="A166" s="70">
        <v>167</v>
      </c>
      <c r="B166" s="27"/>
      <c r="C166" s="27"/>
      <c r="D166" s="18"/>
      <c r="E166" s="66"/>
      <c r="F166" s="67"/>
      <c r="G166" s="18"/>
      <c r="H166" s="22"/>
      <c r="I166" s="22"/>
      <c r="J166" s="22"/>
      <c r="K166" s="23"/>
      <c r="L166" s="22"/>
      <c r="M166" s="22"/>
    </row>
    <row r="167" spans="1:13">
      <c r="A167" s="70">
        <v>168</v>
      </c>
      <c r="B167" s="27"/>
      <c r="C167" s="27"/>
      <c r="D167" s="18"/>
      <c r="E167" s="66"/>
      <c r="F167" s="67"/>
      <c r="G167" s="18"/>
      <c r="H167" s="22"/>
      <c r="I167" s="22"/>
      <c r="J167" s="22"/>
      <c r="K167" s="23"/>
      <c r="L167" s="22"/>
      <c r="M167" s="22"/>
    </row>
    <row r="168" spans="1:13">
      <c r="A168" s="70">
        <v>169</v>
      </c>
      <c r="B168" s="27"/>
      <c r="C168" s="27"/>
      <c r="D168" s="18"/>
      <c r="E168" s="66"/>
      <c r="F168" s="67"/>
      <c r="G168" s="18"/>
      <c r="H168" s="22"/>
      <c r="I168" s="22"/>
      <c r="J168" s="22"/>
      <c r="K168" s="23"/>
      <c r="L168" s="22"/>
      <c r="M168" s="22"/>
    </row>
    <row r="169" spans="1:13">
      <c r="A169" s="70">
        <v>170</v>
      </c>
      <c r="B169" s="27"/>
      <c r="C169" s="27"/>
      <c r="D169" s="18"/>
      <c r="E169" s="66"/>
      <c r="F169" s="67"/>
      <c r="G169" s="18"/>
      <c r="H169" s="22"/>
      <c r="I169" s="22"/>
      <c r="J169" s="22"/>
      <c r="K169" s="23"/>
      <c r="L169" s="22"/>
      <c r="M169" s="22"/>
    </row>
    <row r="170" spans="1:13">
      <c r="A170" s="70">
        <v>171</v>
      </c>
      <c r="B170" s="27"/>
      <c r="C170" s="27"/>
      <c r="D170" s="18"/>
      <c r="E170" s="66"/>
      <c r="F170" s="67"/>
      <c r="G170" s="18"/>
      <c r="H170" s="22"/>
      <c r="I170" s="22"/>
      <c r="J170" s="22"/>
      <c r="K170" s="23"/>
      <c r="L170" s="22"/>
      <c r="M170" s="22"/>
    </row>
    <row r="171" spans="1:13">
      <c r="A171" s="70">
        <v>172</v>
      </c>
      <c r="B171" s="27"/>
      <c r="C171" s="27"/>
      <c r="D171" s="18"/>
      <c r="E171" s="66"/>
      <c r="F171" s="67"/>
      <c r="G171" s="18"/>
      <c r="H171" s="22"/>
      <c r="I171" s="22"/>
      <c r="J171" s="22"/>
      <c r="K171" s="23"/>
      <c r="L171" s="22"/>
      <c r="M171" s="22"/>
    </row>
    <row r="172" spans="1:13">
      <c r="A172" s="70">
        <v>173</v>
      </c>
      <c r="B172" s="27"/>
      <c r="C172" s="27"/>
      <c r="D172" s="18"/>
      <c r="E172" s="66"/>
      <c r="F172" s="67"/>
      <c r="G172" s="18"/>
      <c r="H172" s="22"/>
      <c r="I172" s="22"/>
      <c r="J172" s="22"/>
      <c r="K172" s="23"/>
      <c r="L172" s="22"/>
      <c r="M172" s="22"/>
    </row>
    <row r="173" spans="1:13">
      <c r="A173" s="70">
        <v>174</v>
      </c>
      <c r="B173" s="27"/>
      <c r="C173" s="27"/>
      <c r="D173" s="18"/>
      <c r="E173" s="66"/>
      <c r="F173" s="67"/>
      <c r="G173" s="18"/>
      <c r="H173" s="22"/>
      <c r="I173" s="22"/>
      <c r="J173" s="22"/>
      <c r="K173" s="23"/>
      <c r="L173" s="22"/>
      <c r="M173" s="22"/>
    </row>
    <row r="174" spans="1:13">
      <c r="A174" s="70">
        <v>175</v>
      </c>
      <c r="B174" s="27"/>
      <c r="C174" s="27"/>
      <c r="D174" s="18"/>
      <c r="E174" s="66"/>
      <c r="F174" s="67"/>
      <c r="G174" s="18"/>
      <c r="H174" s="22"/>
      <c r="I174" s="22"/>
      <c r="J174" s="22"/>
      <c r="K174" s="23"/>
      <c r="L174" s="22"/>
      <c r="M174" s="22"/>
    </row>
    <row r="175" spans="1:13">
      <c r="A175" s="70">
        <v>176</v>
      </c>
      <c r="B175" s="27"/>
      <c r="C175" s="27"/>
      <c r="D175" s="18"/>
      <c r="E175" s="66"/>
      <c r="F175" s="67"/>
      <c r="G175" s="18"/>
      <c r="H175" s="22"/>
      <c r="I175" s="22"/>
      <c r="J175" s="22"/>
      <c r="K175" s="23"/>
      <c r="L175" s="22"/>
      <c r="M175" s="22"/>
    </row>
    <row r="176" spans="1:13">
      <c r="A176" s="70">
        <v>177</v>
      </c>
      <c r="B176" s="27"/>
      <c r="C176" s="27"/>
      <c r="D176" s="18"/>
      <c r="E176" s="66"/>
      <c r="F176" s="67"/>
      <c r="G176" s="18"/>
      <c r="H176" s="22"/>
      <c r="I176" s="22"/>
      <c r="J176" s="22"/>
      <c r="K176" s="23"/>
      <c r="L176" s="22"/>
      <c r="M176" s="22"/>
    </row>
    <row r="177" spans="1:13">
      <c r="A177" s="70">
        <v>178</v>
      </c>
      <c r="B177" s="27"/>
      <c r="C177" s="27"/>
      <c r="D177" s="18"/>
      <c r="E177" s="66"/>
      <c r="F177" s="67"/>
      <c r="G177" s="18"/>
      <c r="H177" s="22"/>
      <c r="I177" s="22"/>
      <c r="J177" s="22"/>
      <c r="K177" s="23"/>
      <c r="L177" s="22"/>
      <c r="M177" s="22"/>
    </row>
    <row r="178" spans="1:13">
      <c r="A178" s="70">
        <v>179</v>
      </c>
      <c r="B178" s="27"/>
      <c r="C178" s="27"/>
      <c r="D178" s="18"/>
      <c r="E178" s="66"/>
      <c r="F178" s="67"/>
      <c r="G178" s="18"/>
      <c r="H178" s="22"/>
      <c r="I178" s="22"/>
      <c r="J178" s="22"/>
      <c r="K178" s="23"/>
      <c r="L178" s="22"/>
      <c r="M178" s="22"/>
    </row>
    <row r="179" spans="1:13">
      <c r="A179" s="70">
        <v>180</v>
      </c>
      <c r="B179" s="27"/>
      <c r="C179" s="27"/>
      <c r="D179" s="18"/>
      <c r="E179" s="66"/>
      <c r="F179" s="67"/>
      <c r="G179" s="18"/>
      <c r="H179" s="22"/>
      <c r="I179" s="22"/>
      <c r="J179" s="22"/>
      <c r="K179" s="23"/>
      <c r="L179" s="22"/>
      <c r="M179" s="22"/>
    </row>
    <row r="180" spans="1:13">
      <c r="A180" s="70">
        <v>181</v>
      </c>
      <c r="B180" s="27"/>
      <c r="C180" s="27"/>
      <c r="D180" s="18"/>
      <c r="E180" s="66"/>
      <c r="F180" s="67"/>
      <c r="G180" s="18"/>
      <c r="H180" s="22"/>
      <c r="I180" s="22"/>
      <c r="J180" s="22"/>
      <c r="K180" s="23"/>
      <c r="L180" s="22"/>
      <c r="M180" s="22"/>
    </row>
    <row r="181" spans="1:13">
      <c r="A181" s="70">
        <v>182</v>
      </c>
      <c r="B181" s="27"/>
      <c r="C181" s="27"/>
      <c r="D181" s="18"/>
      <c r="E181" s="66"/>
      <c r="F181" s="67"/>
      <c r="G181" s="18"/>
      <c r="H181" s="22"/>
      <c r="I181" s="22"/>
      <c r="J181" s="22"/>
      <c r="K181" s="23"/>
      <c r="L181" s="22"/>
      <c r="M181" s="22"/>
    </row>
    <row r="182" spans="1:13">
      <c r="A182" s="70">
        <v>183</v>
      </c>
      <c r="B182" s="27"/>
      <c r="C182" s="27"/>
      <c r="D182" s="18"/>
      <c r="E182" s="66"/>
      <c r="F182" s="67"/>
      <c r="G182" s="18"/>
      <c r="H182" s="22"/>
      <c r="I182" s="22"/>
      <c r="J182" s="22"/>
      <c r="K182" s="23"/>
      <c r="L182" s="22"/>
      <c r="M182" s="22"/>
    </row>
    <row r="183" spans="1:13">
      <c r="A183" s="70">
        <v>184</v>
      </c>
      <c r="B183" s="27"/>
      <c r="C183" s="27"/>
      <c r="D183" s="18"/>
      <c r="E183" s="66"/>
      <c r="F183" s="67"/>
      <c r="G183" s="18"/>
      <c r="H183" s="22"/>
      <c r="I183" s="22"/>
      <c r="J183" s="22"/>
      <c r="K183" s="23"/>
      <c r="L183" s="22"/>
      <c r="M183" s="22"/>
    </row>
    <row r="184" spans="1:13">
      <c r="A184" s="70">
        <v>185</v>
      </c>
      <c r="B184" s="27"/>
      <c r="C184" s="27"/>
      <c r="D184" s="18"/>
      <c r="E184" s="66"/>
      <c r="F184" s="67"/>
      <c r="G184" s="18"/>
      <c r="H184" s="22"/>
      <c r="I184" s="22"/>
      <c r="J184" s="22"/>
      <c r="K184" s="23"/>
      <c r="L184" s="22"/>
      <c r="M184" s="22"/>
    </row>
    <row r="185" spans="1:13">
      <c r="A185" s="70">
        <v>186</v>
      </c>
      <c r="B185" s="27"/>
      <c r="C185" s="27"/>
      <c r="D185" s="18"/>
      <c r="E185" s="66"/>
      <c r="F185" s="67"/>
      <c r="G185" s="18"/>
      <c r="H185" s="22"/>
      <c r="I185" s="22"/>
      <c r="J185" s="22"/>
      <c r="K185" s="23"/>
      <c r="L185" s="22"/>
      <c r="M185" s="22"/>
    </row>
    <row r="186" spans="1:13">
      <c r="A186" s="70">
        <v>187</v>
      </c>
      <c r="B186" s="27"/>
      <c r="C186" s="27"/>
      <c r="D186" s="18"/>
      <c r="E186" s="66"/>
      <c r="F186" s="67"/>
      <c r="G186" s="18"/>
      <c r="H186" s="22"/>
      <c r="I186" s="22"/>
      <c r="J186" s="22"/>
      <c r="K186" s="23"/>
      <c r="L186" s="22"/>
      <c r="M186" s="22"/>
    </row>
    <row r="187" spans="1:13">
      <c r="A187" s="70">
        <v>188</v>
      </c>
      <c r="B187" s="27"/>
      <c r="C187" s="27"/>
      <c r="D187" s="18"/>
      <c r="E187" s="66"/>
      <c r="F187" s="67"/>
      <c r="G187" s="18"/>
      <c r="H187" s="22"/>
      <c r="I187" s="22"/>
      <c r="J187" s="22"/>
      <c r="K187" s="23"/>
      <c r="L187" s="22"/>
      <c r="M187" s="22"/>
    </row>
    <row r="188" spans="1:13">
      <c r="A188" s="70">
        <v>189</v>
      </c>
      <c r="B188" s="27"/>
      <c r="C188" s="27"/>
      <c r="D188" s="18"/>
      <c r="E188" s="66"/>
      <c r="F188" s="67"/>
      <c r="G188" s="18"/>
      <c r="H188" s="22"/>
      <c r="I188" s="22"/>
      <c r="J188" s="22"/>
      <c r="K188" s="23"/>
      <c r="L188" s="22"/>
      <c r="M188" s="22"/>
    </row>
    <row r="189" spans="1:13">
      <c r="A189" s="70">
        <v>190</v>
      </c>
      <c r="B189" s="27"/>
      <c r="C189" s="27"/>
      <c r="D189" s="18"/>
      <c r="E189" s="66"/>
      <c r="F189" s="67"/>
      <c r="G189" s="18"/>
      <c r="H189" s="22"/>
      <c r="I189" s="22"/>
      <c r="J189" s="22"/>
      <c r="K189" s="23"/>
      <c r="L189" s="22"/>
      <c r="M189" s="22"/>
    </row>
    <row r="190" spans="1:13">
      <c r="A190" s="70">
        <v>191</v>
      </c>
      <c r="B190" s="27"/>
      <c r="C190" s="27"/>
      <c r="D190" s="18"/>
      <c r="E190" s="66"/>
      <c r="F190" s="67"/>
      <c r="G190" s="18"/>
      <c r="H190" s="22"/>
      <c r="I190" s="22"/>
      <c r="J190" s="22"/>
      <c r="K190" s="23"/>
      <c r="L190" s="22"/>
      <c r="M190" s="22"/>
    </row>
    <row r="191" spans="1:13">
      <c r="A191" s="70">
        <v>192</v>
      </c>
      <c r="B191" s="27"/>
      <c r="C191" s="27"/>
      <c r="D191" s="18"/>
      <c r="E191" s="66"/>
      <c r="F191" s="67"/>
      <c r="G191" s="18"/>
      <c r="H191" s="22"/>
      <c r="I191" s="22"/>
      <c r="J191" s="22"/>
      <c r="K191" s="23"/>
      <c r="L191" s="22"/>
      <c r="M191" s="22"/>
    </row>
    <row r="192" spans="1:13">
      <c r="A192" s="70">
        <v>193</v>
      </c>
      <c r="B192" s="27"/>
      <c r="C192" s="27"/>
      <c r="D192" s="18"/>
      <c r="E192" s="66"/>
      <c r="F192" s="67"/>
      <c r="G192" s="18"/>
      <c r="H192" s="22"/>
      <c r="I192" s="22"/>
      <c r="J192" s="22"/>
      <c r="K192" s="23"/>
      <c r="L192" s="22"/>
      <c r="M192" s="22"/>
    </row>
    <row r="193" spans="1:13">
      <c r="A193" s="70">
        <v>194</v>
      </c>
      <c r="B193" s="27"/>
      <c r="C193" s="27"/>
      <c r="D193" s="18"/>
      <c r="E193" s="66"/>
      <c r="F193" s="67"/>
      <c r="G193" s="18"/>
      <c r="H193" s="22"/>
      <c r="I193" s="22"/>
      <c r="J193" s="22"/>
      <c r="K193" s="23"/>
      <c r="L193" s="22"/>
      <c r="M193" s="22"/>
    </row>
    <row r="194" spans="1:13">
      <c r="A194" s="70">
        <v>195</v>
      </c>
      <c r="B194" s="27"/>
      <c r="C194" s="27"/>
      <c r="D194" s="18"/>
      <c r="E194" s="66"/>
      <c r="F194" s="67"/>
      <c r="G194" s="18"/>
      <c r="H194" s="22"/>
      <c r="I194" s="22"/>
      <c r="J194" s="22"/>
      <c r="K194" s="23"/>
      <c r="L194" s="22"/>
      <c r="M194" s="22"/>
    </row>
    <row r="195" spans="1:13">
      <c r="A195" s="70">
        <v>196</v>
      </c>
      <c r="B195" s="27"/>
      <c r="C195" s="27"/>
      <c r="D195" s="18"/>
      <c r="E195" s="66"/>
      <c r="F195" s="67"/>
      <c r="G195" s="18"/>
      <c r="H195" s="22"/>
      <c r="I195" s="22"/>
      <c r="J195" s="22"/>
      <c r="K195" s="23"/>
      <c r="L195" s="22"/>
      <c r="M195" s="22"/>
    </row>
    <row r="196" spans="1:13">
      <c r="A196" s="70">
        <v>197</v>
      </c>
      <c r="B196" s="27"/>
      <c r="C196" s="27"/>
      <c r="D196" s="18"/>
      <c r="E196" s="66"/>
      <c r="F196" s="67"/>
      <c r="G196" s="18"/>
      <c r="H196" s="22"/>
      <c r="I196" s="22"/>
      <c r="J196" s="22"/>
      <c r="K196" s="23"/>
      <c r="L196" s="22"/>
      <c r="M196" s="22"/>
    </row>
    <row r="197" spans="1:13">
      <c r="A197" s="70">
        <v>198</v>
      </c>
      <c r="B197" s="27"/>
      <c r="C197" s="27"/>
      <c r="D197" s="18"/>
      <c r="E197" s="66"/>
      <c r="F197" s="67"/>
      <c r="G197" s="18"/>
      <c r="H197" s="22"/>
      <c r="I197" s="22"/>
      <c r="J197" s="22"/>
      <c r="K197" s="23"/>
      <c r="L197" s="22"/>
      <c r="M197" s="22"/>
    </row>
    <row r="198" spans="1:13">
      <c r="A198" s="70">
        <v>199</v>
      </c>
      <c r="B198" s="27"/>
      <c r="C198" s="27"/>
      <c r="D198" s="18"/>
      <c r="E198" s="66"/>
      <c r="F198" s="67"/>
      <c r="G198" s="18"/>
      <c r="H198" s="22"/>
      <c r="I198" s="22"/>
      <c r="J198" s="22"/>
      <c r="K198" s="23"/>
      <c r="L198" s="22"/>
      <c r="M198" s="22"/>
    </row>
    <row r="199" spans="1:13">
      <c r="A199" s="70">
        <v>200</v>
      </c>
      <c r="B199" s="27"/>
      <c r="C199" s="27"/>
      <c r="D199" s="18"/>
      <c r="E199" s="66"/>
      <c r="F199" s="67"/>
      <c r="G199" s="18"/>
      <c r="H199" s="22"/>
      <c r="I199" s="22"/>
      <c r="J199" s="22"/>
      <c r="K199" s="23"/>
      <c r="L199" s="22"/>
      <c r="M199" s="22"/>
    </row>
    <row r="200" spans="1:13">
      <c r="D200" s="53"/>
      <c r="G200" s="209"/>
    </row>
    <row r="201" spans="1:13">
      <c r="D201" s="53"/>
    </row>
  </sheetData>
  <autoFilter ref="A4:M200" xr:uid="{00000000-0009-0000-0000-000003000000}"/>
  <dataConsolidate/>
  <mergeCells count="2">
    <mergeCell ref="E3:G3"/>
    <mergeCell ref="A3:C3"/>
  </mergeCells>
  <phoneticPr fontId="38" type="noConversion"/>
  <conditionalFormatting sqref="L201:L65532 P1:P2">
    <cfRule type="cellIs" dxfId="2319" priority="456" stopIfTrue="1" operator="equal">
      <formula>"Fixed"</formula>
    </cfRule>
    <cfRule type="cellIs" dxfId="2318" priority="457" stopIfTrue="1" operator="equal">
      <formula>"Open"</formula>
    </cfRule>
  </conditionalFormatting>
  <conditionalFormatting sqref="L4">
    <cfRule type="cellIs" dxfId="2317" priority="458" stopIfTrue="1" operator="equal">
      <formula>"Open"</formula>
    </cfRule>
    <cfRule type="cellIs" dxfId="2316" priority="459" stopIfTrue="1" operator="equal">
      <formula>"Fixed"</formula>
    </cfRule>
  </conditionalFormatting>
  <conditionalFormatting sqref="L12:L15 L25:L26 L34:L35 L28:L30 L40:L42 L50:L68 L44 L46 L48 L17:L21 L73 L79:L87 L105:L124 L89:L94 L96:L103 L127:L199">
    <cfRule type="expression" dxfId="2315" priority="460" stopIfTrue="1">
      <formula>AND($M12="Approved",$L12="Fixed")</formula>
    </cfRule>
    <cfRule type="cellIs" dxfId="2314" priority="461" stopIfTrue="1" operator="equal">
      <formula>"Fixed"</formula>
    </cfRule>
    <cfRule type="cellIs" dxfId="2313" priority="462" stopIfTrue="1" operator="equal">
      <formula>"Open"</formula>
    </cfRule>
  </conditionalFormatting>
  <conditionalFormatting sqref="M12:M15 M56 M25:M30 M44 M46 M48 M17:M21 M73 M34:M35 M40:M42 M79:M87 M89:M94 M105:M124 M96:M103 M127:M199">
    <cfRule type="expression" dxfId="2312" priority="463" stopIfTrue="1">
      <formula>OR(M12="Fixed",M12="Approved")</formula>
    </cfRule>
    <cfRule type="cellIs" dxfId="2311" priority="464" stopIfTrue="1" operator="equal">
      <formula>"Rejected"</formula>
    </cfRule>
  </conditionalFormatting>
  <conditionalFormatting sqref="A3">
    <cfRule type="expression" dxfId="2310" priority="450" stopIfTrue="1">
      <formula>$X$2=1</formula>
    </cfRule>
    <cfRule type="expression" dxfId="2309" priority="451" stopIfTrue="1">
      <formula>$Y$2=1</formula>
    </cfRule>
    <cfRule type="expression" dxfId="2308" priority="453" stopIfTrue="1">
      <formula>$AA$2=1</formula>
    </cfRule>
  </conditionalFormatting>
  <conditionalFormatting sqref="A3:C3">
    <cfRule type="expression" dxfId="2307" priority="452" stopIfTrue="1">
      <formula>$Z$2=1</formula>
    </cfRule>
  </conditionalFormatting>
  <conditionalFormatting sqref="E25:K26 D40:K41 D54:K55 A5 E17:K20 D21:K21 D34:K35 E42:K42 E44:K44 E46:K46 E48:K48 B51 E50:K51 D52:K52 E53:K53 E56:K56 B53 B55 B57 B59 B61 B63 B65 B67 D12:K15 E28:K30 D57:K68 G69:G70 D71:G72 D74:G74 D73:I73 K73 E75:G78 E79:K81 B80:B85 D82:K82 D84:K84 E83:K83 E85:K87 D89:I89 K89 B92 D90:K94 A10:A94 A96:K124 A127:K199 G125 D125:E125 K125 A125:A126">
    <cfRule type="expression" dxfId="2306" priority="634" stopIfTrue="1">
      <formula>AND($M5="Approved",OR($L5=$R$1,$L5=$T$1))</formula>
    </cfRule>
  </conditionalFormatting>
  <conditionalFormatting sqref="L22">
    <cfRule type="expression" dxfId="2305" priority="444" stopIfTrue="1">
      <formula>AND($M22="Approved",$L22="Fixed")</formula>
    </cfRule>
    <cfRule type="cellIs" dxfId="2304" priority="445" stopIfTrue="1" operator="equal">
      <formula>"Fixed"</formula>
    </cfRule>
    <cfRule type="cellIs" dxfId="2303" priority="446" stopIfTrue="1" operator="equal">
      <formula>"Open"</formula>
    </cfRule>
  </conditionalFormatting>
  <conditionalFormatting sqref="M22">
    <cfRule type="expression" dxfId="2302" priority="447" stopIfTrue="1">
      <formula>OR(M22="Fixed",M22="Approved")</formula>
    </cfRule>
    <cfRule type="cellIs" dxfId="2301" priority="448" stopIfTrue="1" operator="equal">
      <formula>"Rejected"</formula>
    </cfRule>
  </conditionalFormatting>
  <conditionalFormatting sqref="D22:K22">
    <cfRule type="expression" dxfId="2300" priority="449" stopIfTrue="1">
      <formula>AND($M22="Approved",OR($L22=$R$1,$L22=$T$1))</formula>
    </cfRule>
  </conditionalFormatting>
  <conditionalFormatting sqref="L23">
    <cfRule type="expression" dxfId="2299" priority="438" stopIfTrue="1">
      <formula>AND($M23="Approved",$L23="Fixed")</formula>
    </cfRule>
    <cfRule type="cellIs" dxfId="2298" priority="439" stopIfTrue="1" operator="equal">
      <formula>"Fixed"</formula>
    </cfRule>
    <cfRule type="cellIs" dxfId="2297" priority="440" stopIfTrue="1" operator="equal">
      <formula>"Open"</formula>
    </cfRule>
  </conditionalFormatting>
  <conditionalFormatting sqref="M23">
    <cfRule type="expression" dxfId="2296" priority="441" stopIfTrue="1">
      <formula>OR(M23="Fixed",M23="Approved")</formula>
    </cfRule>
    <cfRule type="cellIs" dxfId="2295" priority="442" stopIfTrue="1" operator="equal">
      <formula>"Rejected"</formula>
    </cfRule>
  </conditionalFormatting>
  <conditionalFormatting sqref="E23:K23">
    <cfRule type="expression" dxfId="2294" priority="443" stopIfTrue="1">
      <formula>AND($M23="Approved",OR($L23=$R$1,$L23=$T$1))</formula>
    </cfRule>
  </conditionalFormatting>
  <conditionalFormatting sqref="L24">
    <cfRule type="expression" dxfId="2293" priority="432" stopIfTrue="1">
      <formula>AND($M24="Approved",$L24="Fixed")</formula>
    </cfRule>
    <cfRule type="cellIs" dxfId="2292" priority="433" stopIfTrue="1" operator="equal">
      <formula>"Fixed"</formula>
    </cfRule>
    <cfRule type="cellIs" dxfId="2291" priority="434" stopIfTrue="1" operator="equal">
      <formula>"Open"</formula>
    </cfRule>
  </conditionalFormatting>
  <conditionalFormatting sqref="M24">
    <cfRule type="expression" dxfId="2290" priority="435" stopIfTrue="1">
      <formula>OR(M24="Fixed",M24="Approved")</formula>
    </cfRule>
    <cfRule type="cellIs" dxfId="2289" priority="436" stopIfTrue="1" operator="equal">
      <formula>"Rejected"</formula>
    </cfRule>
  </conditionalFormatting>
  <conditionalFormatting sqref="B24:C24 E24:K24 B26:C26 B28:C28 B30:C30">
    <cfRule type="expression" dxfId="2288" priority="437" stopIfTrue="1">
      <formula>AND($M24="Approved",OR($L24=$R$1,$L24=$T$1))</formula>
    </cfRule>
  </conditionalFormatting>
  <conditionalFormatting sqref="L27">
    <cfRule type="expression" dxfId="2287" priority="424" stopIfTrue="1">
      <formula>AND($M27="Approved",$L27="Fixed")</formula>
    </cfRule>
    <cfRule type="cellIs" dxfId="2286" priority="425" stopIfTrue="1" operator="equal">
      <formula>"Fixed"</formula>
    </cfRule>
    <cfRule type="cellIs" dxfId="2285" priority="426" stopIfTrue="1" operator="equal">
      <formula>"Open"</formula>
    </cfRule>
  </conditionalFormatting>
  <conditionalFormatting sqref="E27:K27">
    <cfRule type="expression" dxfId="2284" priority="429" stopIfTrue="1">
      <formula>AND($M27="Approved",OR($L27=$R$1,$L27=$T$1))</formula>
    </cfRule>
  </conditionalFormatting>
  <conditionalFormatting sqref="L31">
    <cfRule type="expression" dxfId="2283" priority="415" stopIfTrue="1">
      <formula>AND($M31="Approved",$L31="Fixed")</formula>
    </cfRule>
    <cfRule type="cellIs" dxfId="2282" priority="416" stopIfTrue="1" operator="equal">
      <formula>"Fixed"</formula>
    </cfRule>
    <cfRule type="cellIs" dxfId="2281" priority="417" stopIfTrue="1" operator="equal">
      <formula>"Open"</formula>
    </cfRule>
  </conditionalFormatting>
  <conditionalFormatting sqref="D31:F31 H31:K31">
    <cfRule type="expression" dxfId="2280" priority="420" stopIfTrue="1">
      <formula>AND($M31="Approved",OR($L31=$R$1,$L31=$T$1))</formula>
    </cfRule>
  </conditionalFormatting>
  <conditionalFormatting sqref="L32">
    <cfRule type="expression" dxfId="2279" priority="409" stopIfTrue="1">
      <formula>AND($M32="Approved",$L32="Fixed")</formula>
    </cfRule>
    <cfRule type="cellIs" dxfId="2278" priority="410" stopIfTrue="1" operator="equal">
      <formula>"Fixed"</formula>
    </cfRule>
    <cfRule type="cellIs" dxfId="2277" priority="411" stopIfTrue="1" operator="equal">
      <formula>"Open"</formula>
    </cfRule>
  </conditionalFormatting>
  <conditionalFormatting sqref="D32:K32">
    <cfRule type="expression" dxfId="2276" priority="414" stopIfTrue="1">
      <formula>AND($M32="Approved",OR($L32=$R$1,$L32=$T$1))</formula>
    </cfRule>
  </conditionalFormatting>
  <conditionalFormatting sqref="L33">
    <cfRule type="expression" dxfId="2275" priority="403" stopIfTrue="1">
      <formula>AND($M33="Approved",$L33="Fixed")</formula>
    </cfRule>
    <cfRule type="cellIs" dxfId="2274" priority="404" stopIfTrue="1" operator="equal">
      <formula>"Fixed"</formula>
    </cfRule>
    <cfRule type="cellIs" dxfId="2273" priority="405" stopIfTrue="1" operator="equal">
      <formula>"Open"</formula>
    </cfRule>
  </conditionalFormatting>
  <conditionalFormatting sqref="D33:K33">
    <cfRule type="expression" dxfId="2272" priority="408" stopIfTrue="1">
      <formula>AND($M33="Approved",OR($L33=$R$1,$L33=$T$1))</formula>
    </cfRule>
  </conditionalFormatting>
  <conditionalFormatting sqref="L30">
    <cfRule type="expression" dxfId="2271" priority="396" stopIfTrue="1">
      <formula>AND($M30="Approved",$L30="Fixed")</formula>
    </cfRule>
    <cfRule type="cellIs" dxfId="2270" priority="397" stopIfTrue="1" operator="equal">
      <formula>"Fixed"</formula>
    </cfRule>
    <cfRule type="cellIs" dxfId="2269" priority="398" stopIfTrue="1" operator="equal">
      <formula>"Open"</formula>
    </cfRule>
  </conditionalFormatting>
  <conditionalFormatting sqref="M30">
    <cfRule type="expression" dxfId="2268" priority="399" stopIfTrue="1">
      <formula>OR(M30="Fixed",M30="Approved")</formula>
    </cfRule>
    <cfRule type="cellIs" dxfId="2267" priority="400" stopIfTrue="1" operator="equal">
      <formula>"Rejected"</formula>
    </cfRule>
  </conditionalFormatting>
  <conditionalFormatting sqref="E30:K30">
    <cfRule type="expression" dxfId="2266" priority="401" stopIfTrue="1">
      <formula>AND($M30="Approved",OR($L30=$R$1,$L30=$T$1))</formula>
    </cfRule>
  </conditionalFormatting>
  <conditionalFormatting sqref="L31">
    <cfRule type="expression" dxfId="2265" priority="390" stopIfTrue="1">
      <formula>AND($M31="Approved",$L31="Fixed")</formula>
    </cfRule>
    <cfRule type="cellIs" dxfId="2264" priority="391" stopIfTrue="1" operator="equal">
      <formula>"Fixed"</formula>
    </cfRule>
    <cfRule type="cellIs" dxfId="2263" priority="392" stopIfTrue="1" operator="equal">
      <formula>"Open"</formula>
    </cfRule>
  </conditionalFormatting>
  <conditionalFormatting sqref="D31:F31 H31:K31">
    <cfRule type="expression" dxfId="2262" priority="395" stopIfTrue="1">
      <formula>AND($M31="Approved",OR($L31=$R$1,$L31=$T$1))</formula>
    </cfRule>
  </conditionalFormatting>
  <conditionalFormatting sqref="L32">
    <cfRule type="expression" dxfId="2261" priority="384" stopIfTrue="1">
      <formula>AND($M32="Approved",$L32="Fixed")</formula>
    </cfRule>
    <cfRule type="cellIs" dxfId="2260" priority="385" stopIfTrue="1" operator="equal">
      <formula>"Fixed"</formula>
    </cfRule>
    <cfRule type="cellIs" dxfId="2259" priority="386" stopIfTrue="1" operator="equal">
      <formula>"Open"</formula>
    </cfRule>
  </conditionalFormatting>
  <conditionalFormatting sqref="D32:K32">
    <cfRule type="expression" dxfId="2258" priority="389" stopIfTrue="1">
      <formula>AND($M32="Approved",OR($L32=$R$1,$L32=$T$1))</formula>
    </cfRule>
  </conditionalFormatting>
  <conditionalFormatting sqref="L36">
    <cfRule type="expression" dxfId="2257" priority="376" stopIfTrue="1">
      <formula>AND($M36="Approved",$L36="Fixed")</formula>
    </cfRule>
    <cfRule type="cellIs" dxfId="2256" priority="377" stopIfTrue="1" operator="equal">
      <formula>"Fixed"</formula>
    </cfRule>
    <cfRule type="cellIs" dxfId="2255" priority="378" stopIfTrue="1" operator="equal">
      <formula>"Open"</formula>
    </cfRule>
  </conditionalFormatting>
  <conditionalFormatting sqref="D36:K36">
    <cfRule type="expression" dxfId="2254" priority="381" stopIfTrue="1">
      <formula>AND($M36="Approved",OR($L36=$R$1,$L36=$T$1))</formula>
    </cfRule>
  </conditionalFormatting>
  <conditionalFormatting sqref="L37">
    <cfRule type="expression" dxfId="2253" priority="370" stopIfTrue="1">
      <formula>AND($M37="Approved",$L37="Fixed")</formula>
    </cfRule>
    <cfRule type="cellIs" dxfId="2252" priority="371" stopIfTrue="1" operator="equal">
      <formula>"Fixed"</formula>
    </cfRule>
    <cfRule type="cellIs" dxfId="2251" priority="372" stopIfTrue="1" operator="equal">
      <formula>"Open"</formula>
    </cfRule>
  </conditionalFormatting>
  <conditionalFormatting sqref="D37:K37">
    <cfRule type="expression" dxfId="2250" priority="375" stopIfTrue="1">
      <formula>AND($M37="Approved",OR($L37=$R$1,$L37=$T$1))</formula>
    </cfRule>
  </conditionalFormatting>
  <conditionalFormatting sqref="L38">
    <cfRule type="expression" dxfId="2249" priority="364" stopIfTrue="1">
      <formula>AND($M38="Approved",$L38="Fixed")</formula>
    </cfRule>
    <cfRule type="cellIs" dxfId="2248" priority="365" stopIfTrue="1" operator="equal">
      <formula>"Fixed"</formula>
    </cfRule>
    <cfRule type="cellIs" dxfId="2247" priority="366" stopIfTrue="1" operator="equal">
      <formula>"Open"</formula>
    </cfRule>
  </conditionalFormatting>
  <conditionalFormatting sqref="D38:K38">
    <cfRule type="expression" dxfId="2246" priority="369" stopIfTrue="1">
      <formula>AND($M38="Approved",OR($L38=$R$1,$L38=$T$1))</formula>
    </cfRule>
  </conditionalFormatting>
  <conditionalFormatting sqref="L39">
    <cfRule type="expression" dxfId="2245" priority="358" stopIfTrue="1">
      <formula>AND($M39="Approved",$L39="Fixed")</formula>
    </cfRule>
    <cfRule type="cellIs" dxfId="2244" priority="359" stopIfTrue="1" operator="equal">
      <formula>"Fixed"</formula>
    </cfRule>
    <cfRule type="cellIs" dxfId="2243" priority="360" stopIfTrue="1" operator="equal">
      <formula>"Open"</formula>
    </cfRule>
  </conditionalFormatting>
  <conditionalFormatting sqref="D39:K39">
    <cfRule type="expression" dxfId="2242" priority="363" stopIfTrue="1">
      <formula>AND($M39="Approved",OR($L39=$R$1,$L39=$T$1))</formula>
    </cfRule>
  </conditionalFormatting>
  <conditionalFormatting sqref="L5 L10:L11">
    <cfRule type="expression" dxfId="2241" priority="321" stopIfTrue="1">
      <formula>AND($M5="Approved",$L5="Fixed")</formula>
    </cfRule>
    <cfRule type="cellIs" dxfId="2240" priority="322" stopIfTrue="1" operator="equal">
      <formula>"Fixed"</formula>
    </cfRule>
    <cfRule type="cellIs" dxfId="2239" priority="323" stopIfTrue="1" operator="equal">
      <formula>"Open"</formula>
    </cfRule>
  </conditionalFormatting>
  <conditionalFormatting sqref="M5 M10:M11">
    <cfRule type="expression" dxfId="2238" priority="324" stopIfTrue="1">
      <formula>OR(M5="Fixed",M5="Approved")</formula>
    </cfRule>
    <cfRule type="cellIs" dxfId="2237" priority="325" stopIfTrue="1" operator="equal">
      <formula>"Rejected"</formula>
    </cfRule>
  </conditionalFormatting>
  <conditionalFormatting sqref="E5:K5 D11:K11 E10:K10">
    <cfRule type="expression" dxfId="2236" priority="326" stopIfTrue="1">
      <formula>AND($M5="Approved",OR($L5=$R$1,$L5=$T$1))</formula>
    </cfRule>
  </conditionalFormatting>
  <conditionalFormatting sqref="A6:A9">
    <cfRule type="expression" dxfId="2235" priority="287" stopIfTrue="1">
      <formula>AND($M6="Approved",OR($L6=$R$1,$L6=$T$1))</formula>
    </cfRule>
  </conditionalFormatting>
  <conditionalFormatting sqref="L6:L9">
    <cfRule type="expression" dxfId="2234" priority="281" stopIfTrue="1">
      <formula>AND($M6="Approved",$L6="Fixed")</formula>
    </cfRule>
    <cfRule type="cellIs" dxfId="2233" priority="282" stopIfTrue="1" operator="equal">
      <formula>"Fixed"</formula>
    </cfRule>
    <cfRule type="cellIs" dxfId="2232" priority="283" stopIfTrue="1" operator="equal">
      <formula>"Open"</formula>
    </cfRule>
  </conditionalFormatting>
  <conditionalFormatting sqref="M6:M9">
    <cfRule type="expression" dxfId="2231" priority="284" stopIfTrue="1">
      <formula>OR(M6="Fixed",M6="Approved")</formula>
    </cfRule>
    <cfRule type="cellIs" dxfId="2230" priority="285" stopIfTrue="1" operator="equal">
      <formula>"Rejected"</formula>
    </cfRule>
  </conditionalFormatting>
  <conditionalFormatting sqref="E6:K9">
    <cfRule type="expression" dxfId="2229" priority="286" stopIfTrue="1">
      <formula>AND($M6="Approved",OR($L6=$R$1,$L6=$T$1))</formula>
    </cfRule>
  </conditionalFormatting>
  <conditionalFormatting sqref="B6 B8 B10:B15 B19 B17">
    <cfRule type="expression" dxfId="2228" priority="278" stopIfTrue="1">
      <formula>AND($M6="Approved",OR($L6=$R$1,$L6=$T$1))</formula>
    </cfRule>
  </conditionalFormatting>
  <conditionalFormatting sqref="C6 C8 C10:C15 C17:C22">
    <cfRule type="expression" dxfId="2227" priority="277" stopIfTrue="1">
      <formula>AND($M6="Approved",OR($L6=$R$1,$L6=$T$1))</formula>
    </cfRule>
  </conditionalFormatting>
  <conditionalFormatting sqref="B5 B7 B9">
    <cfRule type="expression" dxfId="2226" priority="276" stopIfTrue="1">
      <formula>AND($M5="Approved",OR($L5=$R$1,$L5=$T$1))</formula>
    </cfRule>
  </conditionalFormatting>
  <conditionalFormatting sqref="C5 C7 C9">
    <cfRule type="expression" dxfId="2225" priority="275" stopIfTrue="1">
      <formula>AND($M5="Approved",OR($L5=$R$1,$L5=$T$1))</formula>
    </cfRule>
  </conditionalFormatting>
  <conditionalFormatting sqref="D10">
    <cfRule type="expression" dxfId="2224" priority="274" stopIfTrue="1">
      <formula>AND($M10="Approved",OR($L10=$R$1,$L10=$T$1))</formula>
    </cfRule>
  </conditionalFormatting>
  <conditionalFormatting sqref="B18">
    <cfRule type="expression" dxfId="2223" priority="273" stopIfTrue="1">
      <formula>AND($M18="Approved",OR($L18=$R$1,$L18=$T$1))</formula>
    </cfRule>
  </conditionalFormatting>
  <conditionalFormatting sqref="B20 B22">
    <cfRule type="expression" dxfId="2222" priority="271" stopIfTrue="1">
      <formula>AND($M20="Approved",OR($L20=$R$1,$L20=$T$1))</formula>
    </cfRule>
  </conditionalFormatting>
  <conditionalFormatting sqref="D20">
    <cfRule type="expression" dxfId="2221" priority="269" stopIfTrue="1">
      <formula>AND($M20="Approved",OR($L20=$R$1,$L20=$T$1))</formula>
    </cfRule>
  </conditionalFormatting>
  <conditionalFormatting sqref="B21">
    <cfRule type="expression" dxfId="2220" priority="268" stopIfTrue="1">
      <formula>AND($M21="Approved",OR($L21=$R$1,$L21=$T$1))</formula>
    </cfRule>
  </conditionalFormatting>
  <conditionalFormatting sqref="B23:C23 B25:C25 B27:C27 B29:C29 C23:C41">
    <cfRule type="expression" dxfId="2219" priority="266" stopIfTrue="1">
      <formula>AND($M23="Approved",OR($L23=$R$1,$L23=$T$1))</formula>
    </cfRule>
  </conditionalFormatting>
  <conditionalFormatting sqref="D30">
    <cfRule type="expression" dxfId="2218" priority="265" stopIfTrue="1">
      <formula>AND($M30="Approved",OR($L30=$R$1,$L30=$T$1))</formula>
    </cfRule>
  </conditionalFormatting>
  <conditionalFormatting sqref="B31:C31 B33:C33 B35:C35 B37:C38 B40:C41">
    <cfRule type="expression" dxfId="2217" priority="264" stopIfTrue="1">
      <formula>AND($M31="Approved",OR($L31=$R$1,$L31=$T$1))</formula>
    </cfRule>
  </conditionalFormatting>
  <conditionalFormatting sqref="B32:C32 B34:C34 B36:C36 B39:C39">
    <cfRule type="expression" dxfId="2216" priority="263" stopIfTrue="1">
      <formula>AND($M32="Approved",OR($L32=$R$1,$L32=$T$1))</formula>
    </cfRule>
  </conditionalFormatting>
  <conditionalFormatting sqref="B42:C42 B44:C44 B46:C46 B48:C48 B50:C50 C51 B52:C52 B54:C54 B56:C56 B58:C58 B60:C60 C53 C55 C57 C59 B62:C62 B64:C64 B66:C66 B68:C68 C61 C63 C65 C67">
    <cfRule type="expression" dxfId="2215" priority="262" stopIfTrue="1">
      <formula>AND($M42="Approved",OR($L42=$R$1,$L42=$T$1))</formula>
    </cfRule>
  </conditionalFormatting>
  <conditionalFormatting sqref="L43 L45 L47 L49">
    <cfRule type="expression" dxfId="2214" priority="256" stopIfTrue="1">
      <formula>AND($M43="Approved",$L43="Fixed")</formula>
    </cfRule>
    <cfRule type="cellIs" dxfId="2213" priority="257" stopIfTrue="1" operator="equal">
      <formula>"Fixed"</formula>
    </cfRule>
    <cfRule type="cellIs" dxfId="2212" priority="258" stopIfTrue="1" operator="equal">
      <formula>"Open"</formula>
    </cfRule>
  </conditionalFormatting>
  <conditionalFormatting sqref="M43 M45 M47 M49">
    <cfRule type="expression" dxfId="2211" priority="259" stopIfTrue="1">
      <formula>OR(M43="Fixed",M43="Approved")</formula>
    </cfRule>
    <cfRule type="cellIs" dxfId="2210" priority="260" stopIfTrue="1" operator="equal">
      <formula>"Rejected"</formula>
    </cfRule>
  </conditionalFormatting>
  <conditionalFormatting sqref="E43:K43 E45:K45 E47:K47 E49:K49">
    <cfRule type="expression" dxfId="2209" priority="261" stopIfTrue="1">
      <formula>AND($M43="Approved",OR($L43=$R$1,$L43=$T$1))</formula>
    </cfRule>
  </conditionalFormatting>
  <conditionalFormatting sqref="B43:C43 B45:C45 B47:C47 B49:C49">
    <cfRule type="expression" dxfId="2208" priority="255" stopIfTrue="1">
      <formula>AND($M43="Approved",OR($L43=$R$1,$L43=$T$1))</formula>
    </cfRule>
  </conditionalFormatting>
  <conditionalFormatting sqref="D50">
    <cfRule type="expression" dxfId="2207" priority="254" stopIfTrue="1">
      <formula>AND($M50="Approved",OR($L50=$R$1,$L50=$T$1))</formula>
    </cfRule>
  </conditionalFormatting>
  <conditionalFormatting sqref="D51">
    <cfRule type="expression" dxfId="2206" priority="253" stopIfTrue="1">
      <formula>AND($M51="Approved",OR($L51=$R$1,$L51=$T$1))</formula>
    </cfRule>
  </conditionalFormatting>
  <conditionalFormatting sqref="D51">
    <cfRule type="expression" dxfId="2205" priority="252" stopIfTrue="1">
      <formula>AND($M51="Approved",OR($L51=$R$1,$L51=$T$1))</formula>
    </cfRule>
  </conditionalFormatting>
  <conditionalFormatting sqref="D53">
    <cfRule type="expression" dxfId="2204" priority="251" stopIfTrue="1">
      <formula>AND($M53="Approved",OR($L53=$R$1,$L53=$T$1))</formula>
    </cfRule>
  </conditionalFormatting>
  <conditionalFormatting sqref="D56">
    <cfRule type="expression" dxfId="2203" priority="250" stopIfTrue="1">
      <formula>AND($M56="Approved",OR($L56=$R$1,$L56=$T$1))</formula>
    </cfRule>
  </conditionalFormatting>
  <conditionalFormatting sqref="L16">
    <cfRule type="expression" dxfId="2202" priority="244" stopIfTrue="1">
      <formula>AND($M16="Approved",$L16="Fixed")</formula>
    </cfRule>
    <cfRule type="cellIs" dxfId="2201" priority="245" stopIfTrue="1" operator="equal">
      <formula>"Fixed"</formula>
    </cfRule>
    <cfRule type="cellIs" dxfId="2200" priority="246" stopIfTrue="1" operator="equal">
      <formula>"Open"</formula>
    </cfRule>
  </conditionalFormatting>
  <conditionalFormatting sqref="M16">
    <cfRule type="expression" dxfId="2199" priority="247" stopIfTrue="1">
      <formula>OR(M16="Fixed",M16="Approved")</formula>
    </cfRule>
    <cfRule type="cellIs" dxfId="2198" priority="248" stopIfTrue="1" operator="equal">
      <formula>"Rejected"</formula>
    </cfRule>
  </conditionalFormatting>
  <conditionalFormatting sqref="E16:K16">
    <cfRule type="expression" dxfId="2197" priority="249" stopIfTrue="1">
      <formula>AND($M16="Approved",OR($L16=$R$1,$L16=$T$1))</formula>
    </cfRule>
  </conditionalFormatting>
  <conditionalFormatting sqref="B16">
    <cfRule type="expression" dxfId="2196" priority="243" stopIfTrue="1">
      <formula>AND($M16="Approved",OR($L16=$R$1,$L16=$T$1))</formula>
    </cfRule>
  </conditionalFormatting>
  <conditionalFormatting sqref="C16">
    <cfRule type="expression" dxfId="2195" priority="242" stopIfTrue="1">
      <formula>AND($M16="Approved",OR($L16=$R$1,$L16=$T$1))</formula>
    </cfRule>
  </conditionalFormatting>
  <conditionalFormatting sqref="D16">
    <cfRule type="expression" dxfId="2194" priority="241" stopIfTrue="1">
      <formula>AND($M16="Approved",OR($L16=$R$1,$L16=$T$1))</formula>
    </cfRule>
  </conditionalFormatting>
  <conditionalFormatting sqref="L200">
    <cfRule type="cellIs" dxfId="2193" priority="238" stopIfTrue="1" operator="equal">
      <formula>"Fixed"</formula>
    </cfRule>
    <cfRule type="cellIs" dxfId="2192" priority="239" stopIfTrue="1" operator="equal">
      <formula>"Open"</formula>
    </cfRule>
  </conditionalFormatting>
  <conditionalFormatting sqref="G31">
    <cfRule type="expression" dxfId="2191" priority="237" stopIfTrue="1">
      <formula>AND($M31="Approved",OR($L31=$R$1,$L31=$T$1))</formula>
    </cfRule>
  </conditionalFormatting>
  <conditionalFormatting sqref="B69:F70">
    <cfRule type="expression" dxfId="2190" priority="236" stopIfTrue="1">
      <formula>AND($M69="Approved",OR($L69=$R$1,$L69=$T$1))</formula>
    </cfRule>
  </conditionalFormatting>
  <conditionalFormatting sqref="H69:H70">
    <cfRule type="expression" dxfId="2189" priority="235" stopIfTrue="1">
      <formula>AND($M69="Approved",OR($L69=$R$1,$L69=$T$1))</formula>
    </cfRule>
  </conditionalFormatting>
  <conditionalFormatting sqref="I69:J70">
    <cfRule type="expression" dxfId="2188" priority="234" stopIfTrue="1">
      <formula>AND($M69="Approved",OR($L69=$R$1,$L69=$T$1))</formula>
    </cfRule>
  </conditionalFormatting>
  <conditionalFormatting sqref="K69:K70">
    <cfRule type="expression" dxfId="2187" priority="233" stopIfTrue="1">
      <formula>AND($M69="Approved",OR($L69=$R$1,$L69=$T$1))</formula>
    </cfRule>
  </conditionalFormatting>
  <conditionalFormatting sqref="B71">
    <cfRule type="expression" dxfId="2186" priority="230" stopIfTrue="1">
      <formula>AND($M71="Approved",OR($L71=$R$1,$L71=$T$1))</formula>
    </cfRule>
  </conditionalFormatting>
  <conditionalFormatting sqref="C71">
    <cfRule type="expression" dxfId="2185" priority="229" stopIfTrue="1">
      <formula>AND($M71="Approved",OR($L71=$R$1,$L71=$T$1))</formula>
    </cfRule>
  </conditionalFormatting>
  <conditionalFormatting sqref="C72">
    <cfRule type="expression" dxfId="2184" priority="228" stopIfTrue="1">
      <formula>AND($M72="Approved",OR($L72=$R$1,$L72=$T$1))</formula>
    </cfRule>
  </conditionalFormatting>
  <conditionalFormatting sqref="B72">
    <cfRule type="expression" dxfId="2183" priority="227" stopIfTrue="1">
      <formula>AND($M72="Approved",OR($L72=$R$1,$L72=$T$1))</formula>
    </cfRule>
  </conditionalFormatting>
  <conditionalFormatting sqref="L71">
    <cfRule type="expression" dxfId="2182" priority="222" stopIfTrue="1">
      <formula>AND($M71="Approved",$L71="Fixed")</formula>
    </cfRule>
    <cfRule type="cellIs" dxfId="2181" priority="223" stopIfTrue="1" operator="equal">
      <formula>"Fixed"</formula>
    </cfRule>
    <cfRule type="cellIs" dxfId="2180" priority="224" stopIfTrue="1" operator="equal">
      <formula>"Open"</formula>
    </cfRule>
  </conditionalFormatting>
  <conditionalFormatting sqref="M71">
    <cfRule type="expression" dxfId="2179" priority="225" stopIfTrue="1">
      <formula>OR(M71="Fixed",M71="Approved")</formula>
    </cfRule>
    <cfRule type="cellIs" dxfId="2178" priority="226" stopIfTrue="1" operator="equal">
      <formula>"Rejected"</formula>
    </cfRule>
  </conditionalFormatting>
  <conditionalFormatting sqref="H71:I71 K71">
    <cfRule type="expression" dxfId="2177" priority="221" stopIfTrue="1">
      <formula>AND($M71="Approved",OR($L71=$R$1,$L71=$T$1))</formula>
    </cfRule>
  </conditionalFormatting>
  <conditionalFormatting sqref="L72">
    <cfRule type="expression" dxfId="2176" priority="216" stopIfTrue="1">
      <formula>AND($M72="Approved",$L72="Fixed")</formula>
    </cfRule>
    <cfRule type="cellIs" dxfId="2175" priority="217" stopIfTrue="1" operator="equal">
      <formula>"Fixed"</formula>
    </cfRule>
    <cfRule type="cellIs" dxfId="2174" priority="218" stopIfTrue="1" operator="equal">
      <formula>"Open"</formula>
    </cfRule>
  </conditionalFormatting>
  <conditionalFormatting sqref="M72">
    <cfRule type="expression" dxfId="2173" priority="219" stopIfTrue="1">
      <formula>OR(M72="Fixed",M72="Approved")</formula>
    </cfRule>
    <cfRule type="cellIs" dxfId="2172" priority="220" stopIfTrue="1" operator="equal">
      <formula>"Rejected"</formula>
    </cfRule>
  </conditionalFormatting>
  <conditionalFormatting sqref="H72:I72 K72">
    <cfRule type="expression" dxfId="2171" priority="215" stopIfTrue="1">
      <formula>AND($M72="Approved",OR($L72=$R$1,$L72=$T$1))</formula>
    </cfRule>
  </conditionalFormatting>
  <conditionalFormatting sqref="J71">
    <cfRule type="expression" dxfId="2170" priority="214" stopIfTrue="1">
      <formula>AND($M71="Approved",OR($L71=$R$1,$L71=$T$1))</formula>
    </cfRule>
  </conditionalFormatting>
  <conditionalFormatting sqref="J72">
    <cfRule type="expression" dxfId="2169" priority="213" stopIfTrue="1">
      <formula>AND($M72="Approved",OR($L72=$R$1,$L72=$T$1))</formula>
    </cfRule>
  </conditionalFormatting>
  <conditionalFormatting sqref="M31">
    <cfRule type="expression" dxfId="2168" priority="211" stopIfTrue="1">
      <formula>OR(M31="Fixed",M31="Approved")</formula>
    </cfRule>
    <cfRule type="cellIs" dxfId="2167" priority="212" stopIfTrue="1" operator="equal">
      <formula>"Rejected"</formula>
    </cfRule>
  </conditionalFormatting>
  <conditionalFormatting sqref="M31">
    <cfRule type="expression" dxfId="2166" priority="209" stopIfTrue="1">
      <formula>OR(M31="Fixed",M31="Approved")</formula>
    </cfRule>
    <cfRule type="cellIs" dxfId="2165" priority="210" stopIfTrue="1" operator="equal">
      <formula>"Rejected"</formula>
    </cfRule>
  </conditionalFormatting>
  <conditionalFormatting sqref="M32">
    <cfRule type="expression" dxfId="2164" priority="207" stopIfTrue="1">
      <formula>OR(M32="Fixed",M32="Approved")</formula>
    </cfRule>
    <cfRule type="cellIs" dxfId="2163" priority="208" stopIfTrue="1" operator="equal">
      <formula>"Rejected"</formula>
    </cfRule>
  </conditionalFormatting>
  <conditionalFormatting sqref="M32">
    <cfRule type="expression" dxfId="2162" priority="205" stopIfTrue="1">
      <formula>OR(M32="Fixed",M32="Approved")</formula>
    </cfRule>
    <cfRule type="cellIs" dxfId="2161" priority="206" stopIfTrue="1" operator="equal">
      <formula>"Rejected"</formula>
    </cfRule>
  </conditionalFormatting>
  <conditionalFormatting sqref="M33">
    <cfRule type="expression" dxfId="2160" priority="203" stopIfTrue="1">
      <formula>OR(M33="Fixed",M33="Approved")</formula>
    </cfRule>
    <cfRule type="cellIs" dxfId="2159" priority="204" stopIfTrue="1" operator="equal">
      <formula>"Rejected"</formula>
    </cfRule>
  </conditionalFormatting>
  <conditionalFormatting sqref="M33">
    <cfRule type="expression" dxfId="2158" priority="201" stopIfTrue="1">
      <formula>OR(M33="Fixed",M33="Approved")</formula>
    </cfRule>
    <cfRule type="cellIs" dxfId="2157" priority="202" stopIfTrue="1" operator="equal">
      <formula>"Rejected"</formula>
    </cfRule>
  </conditionalFormatting>
  <conditionalFormatting sqref="M34">
    <cfRule type="expression" dxfId="2156" priority="199" stopIfTrue="1">
      <formula>OR(M34="Fixed",M34="Approved")</formula>
    </cfRule>
    <cfRule type="cellIs" dxfId="2155" priority="200" stopIfTrue="1" operator="equal">
      <formula>"Rejected"</formula>
    </cfRule>
  </conditionalFormatting>
  <conditionalFormatting sqref="M35">
    <cfRule type="expression" dxfId="2154" priority="197" stopIfTrue="1">
      <formula>OR(M35="Fixed",M35="Approved")</formula>
    </cfRule>
    <cfRule type="cellIs" dxfId="2153" priority="198" stopIfTrue="1" operator="equal">
      <formula>"Rejected"</formula>
    </cfRule>
  </conditionalFormatting>
  <conditionalFormatting sqref="M36">
    <cfRule type="expression" dxfId="2152" priority="195" stopIfTrue="1">
      <formula>OR(M36="Fixed",M36="Approved")</formula>
    </cfRule>
    <cfRule type="cellIs" dxfId="2151" priority="196" stopIfTrue="1" operator="equal">
      <formula>"Rejected"</formula>
    </cfRule>
  </conditionalFormatting>
  <conditionalFormatting sqref="M36">
    <cfRule type="expression" dxfId="2150" priority="193" stopIfTrue="1">
      <formula>OR(M36="Fixed",M36="Approved")</formula>
    </cfRule>
    <cfRule type="cellIs" dxfId="2149" priority="194" stopIfTrue="1" operator="equal">
      <formula>"Rejected"</formula>
    </cfRule>
  </conditionalFormatting>
  <conditionalFormatting sqref="M37">
    <cfRule type="expression" dxfId="2148" priority="191" stopIfTrue="1">
      <formula>OR(M37="Fixed",M37="Approved")</formula>
    </cfRule>
    <cfRule type="cellIs" dxfId="2147" priority="192" stopIfTrue="1" operator="equal">
      <formula>"Rejected"</formula>
    </cfRule>
  </conditionalFormatting>
  <conditionalFormatting sqref="M37">
    <cfRule type="expression" dxfId="2146" priority="189" stopIfTrue="1">
      <formula>OR(M37="Fixed",M37="Approved")</formula>
    </cfRule>
    <cfRule type="cellIs" dxfId="2145" priority="190" stopIfTrue="1" operator="equal">
      <formula>"Rejected"</formula>
    </cfRule>
  </conditionalFormatting>
  <conditionalFormatting sqref="M38">
    <cfRule type="expression" dxfId="2144" priority="187" stopIfTrue="1">
      <formula>OR(M38="Fixed",M38="Approved")</formula>
    </cfRule>
    <cfRule type="cellIs" dxfId="2143" priority="188" stopIfTrue="1" operator="equal">
      <formula>"Rejected"</formula>
    </cfRule>
  </conditionalFormatting>
  <conditionalFormatting sqref="M38">
    <cfRule type="expression" dxfId="2142" priority="185" stopIfTrue="1">
      <formula>OR(M38="Fixed",M38="Approved")</formula>
    </cfRule>
    <cfRule type="cellIs" dxfId="2141" priority="186" stopIfTrue="1" operator="equal">
      <formula>"Rejected"</formula>
    </cfRule>
  </conditionalFormatting>
  <conditionalFormatting sqref="M39">
    <cfRule type="expression" dxfId="2140" priority="183" stopIfTrue="1">
      <formula>OR(M39="Fixed",M39="Approved")</formula>
    </cfRule>
    <cfRule type="cellIs" dxfId="2139" priority="184" stopIfTrue="1" operator="equal">
      <formula>"Rejected"</formula>
    </cfRule>
  </conditionalFormatting>
  <conditionalFormatting sqref="M39">
    <cfRule type="expression" dxfId="2138" priority="181" stopIfTrue="1">
      <formula>OR(M39="Fixed",M39="Approved")</formula>
    </cfRule>
    <cfRule type="cellIs" dxfId="2137" priority="182" stopIfTrue="1" operator="equal">
      <formula>"Rejected"</formula>
    </cfRule>
  </conditionalFormatting>
  <conditionalFormatting sqref="M40">
    <cfRule type="expression" dxfId="2136" priority="179" stopIfTrue="1">
      <formula>OR(M40="Fixed",M40="Approved")</formula>
    </cfRule>
    <cfRule type="cellIs" dxfId="2135" priority="180" stopIfTrue="1" operator="equal">
      <formula>"Rejected"</formula>
    </cfRule>
  </conditionalFormatting>
  <conditionalFormatting sqref="M41">
    <cfRule type="expression" dxfId="2134" priority="177" stopIfTrue="1">
      <formula>OR(M41="Fixed",M41="Approved")</formula>
    </cfRule>
    <cfRule type="cellIs" dxfId="2133" priority="178" stopIfTrue="1" operator="equal">
      <formula>"Rejected"</formula>
    </cfRule>
  </conditionalFormatting>
  <conditionalFormatting sqref="M50">
    <cfRule type="expression" dxfId="2132" priority="175" stopIfTrue="1">
      <formula>OR(M50="Fixed",M50="Approved")</formula>
    </cfRule>
    <cfRule type="cellIs" dxfId="2131" priority="176" stopIfTrue="1" operator="equal">
      <formula>"Rejected"</formula>
    </cfRule>
  </conditionalFormatting>
  <conditionalFormatting sqref="M51">
    <cfRule type="expression" dxfId="2130" priority="173" stopIfTrue="1">
      <formula>OR(M51="Fixed",M51="Approved")</formula>
    </cfRule>
    <cfRule type="cellIs" dxfId="2129" priority="174" stopIfTrue="1" operator="equal">
      <formula>"Rejected"</formula>
    </cfRule>
  </conditionalFormatting>
  <conditionalFormatting sqref="M52">
    <cfRule type="expression" dxfId="2128" priority="171" stopIfTrue="1">
      <formula>OR(M52="Fixed",M52="Approved")</formula>
    </cfRule>
    <cfRule type="cellIs" dxfId="2127" priority="172" stopIfTrue="1" operator="equal">
      <formula>"Rejected"</formula>
    </cfRule>
  </conditionalFormatting>
  <conditionalFormatting sqref="M53">
    <cfRule type="expression" dxfId="2126" priority="169" stopIfTrue="1">
      <formula>OR(M53="Fixed",M53="Approved")</formula>
    </cfRule>
    <cfRule type="cellIs" dxfId="2125" priority="170" stopIfTrue="1" operator="equal">
      <formula>"Rejected"</formula>
    </cfRule>
  </conditionalFormatting>
  <conditionalFormatting sqref="M54">
    <cfRule type="expression" dxfId="2124" priority="167" stopIfTrue="1">
      <formula>OR(M54="Fixed",M54="Approved")</formula>
    </cfRule>
    <cfRule type="cellIs" dxfId="2123" priority="168" stopIfTrue="1" operator="equal">
      <formula>"Rejected"</formula>
    </cfRule>
  </conditionalFormatting>
  <conditionalFormatting sqref="M55">
    <cfRule type="expression" dxfId="2122" priority="165" stopIfTrue="1">
      <formula>OR(M55="Fixed",M55="Approved")</formula>
    </cfRule>
    <cfRule type="cellIs" dxfId="2121" priority="166" stopIfTrue="1" operator="equal">
      <formula>"Rejected"</formula>
    </cfRule>
  </conditionalFormatting>
  <conditionalFormatting sqref="M57">
    <cfRule type="expression" dxfId="2120" priority="163" stopIfTrue="1">
      <formula>OR(M57="Fixed",M57="Approved")</formula>
    </cfRule>
    <cfRule type="cellIs" dxfId="2119" priority="164" stopIfTrue="1" operator="equal">
      <formula>"Rejected"</formula>
    </cfRule>
  </conditionalFormatting>
  <conditionalFormatting sqref="M58">
    <cfRule type="expression" dxfId="2118" priority="161" stopIfTrue="1">
      <formula>OR(M58="Fixed",M58="Approved")</formula>
    </cfRule>
    <cfRule type="cellIs" dxfId="2117" priority="162" stopIfTrue="1" operator="equal">
      <formula>"Rejected"</formula>
    </cfRule>
  </conditionalFormatting>
  <conditionalFormatting sqref="M59">
    <cfRule type="expression" dxfId="2116" priority="159" stopIfTrue="1">
      <formula>OR(M59="Fixed",M59="Approved")</formula>
    </cfRule>
    <cfRule type="cellIs" dxfId="2115" priority="160" stopIfTrue="1" operator="equal">
      <formula>"Rejected"</formula>
    </cfRule>
  </conditionalFormatting>
  <conditionalFormatting sqref="M60">
    <cfRule type="expression" dxfId="2114" priority="157" stopIfTrue="1">
      <formula>OR(M60="Fixed",M60="Approved")</formula>
    </cfRule>
    <cfRule type="cellIs" dxfId="2113" priority="158" stopIfTrue="1" operator="equal">
      <formula>"Rejected"</formula>
    </cfRule>
  </conditionalFormatting>
  <conditionalFormatting sqref="M61">
    <cfRule type="expression" dxfId="2112" priority="155" stopIfTrue="1">
      <formula>OR(M61="Fixed",M61="Approved")</formula>
    </cfRule>
    <cfRule type="cellIs" dxfId="2111" priority="156" stopIfTrue="1" operator="equal">
      <formula>"Rejected"</formula>
    </cfRule>
  </conditionalFormatting>
  <conditionalFormatting sqref="M62">
    <cfRule type="expression" dxfId="2110" priority="153" stopIfTrue="1">
      <formula>OR(M62="Fixed",M62="Approved")</formula>
    </cfRule>
    <cfRule type="cellIs" dxfId="2109" priority="154" stopIfTrue="1" operator="equal">
      <formula>"Rejected"</formula>
    </cfRule>
  </conditionalFormatting>
  <conditionalFormatting sqref="M63">
    <cfRule type="expression" dxfId="2108" priority="151" stopIfTrue="1">
      <formula>OR(M63="Fixed",M63="Approved")</formula>
    </cfRule>
    <cfRule type="cellIs" dxfId="2107" priority="152" stopIfTrue="1" operator="equal">
      <formula>"Rejected"</formula>
    </cfRule>
  </conditionalFormatting>
  <conditionalFormatting sqref="M64">
    <cfRule type="expression" dxfId="2106" priority="149" stopIfTrue="1">
      <formula>OR(M64="Fixed",M64="Approved")</formula>
    </cfRule>
    <cfRule type="cellIs" dxfId="2105" priority="150" stopIfTrue="1" operator="equal">
      <formula>"Rejected"</formula>
    </cfRule>
  </conditionalFormatting>
  <conditionalFormatting sqref="M65">
    <cfRule type="expression" dxfId="2104" priority="147" stopIfTrue="1">
      <formula>OR(M65="Fixed",M65="Approved")</formula>
    </cfRule>
    <cfRule type="cellIs" dxfId="2103" priority="148" stopIfTrue="1" operator="equal">
      <formula>"Rejected"</formula>
    </cfRule>
  </conditionalFormatting>
  <conditionalFormatting sqref="M66">
    <cfRule type="expression" dxfId="2102" priority="145" stopIfTrue="1">
      <formula>OR(M66="Fixed",M66="Approved")</formula>
    </cfRule>
    <cfRule type="cellIs" dxfId="2101" priority="146" stopIfTrue="1" operator="equal">
      <formula>"Rejected"</formula>
    </cfRule>
  </conditionalFormatting>
  <conditionalFormatting sqref="M67">
    <cfRule type="expression" dxfId="2100" priority="143" stopIfTrue="1">
      <formula>OR(M67="Fixed",M67="Approved")</formula>
    </cfRule>
    <cfRule type="cellIs" dxfId="2099" priority="144" stopIfTrue="1" operator="equal">
      <formula>"Rejected"</formula>
    </cfRule>
  </conditionalFormatting>
  <conditionalFormatting sqref="M68">
    <cfRule type="expression" dxfId="2098" priority="141" stopIfTrue="1">
      <formula>OR(M68="Fixed",M68="Approved")</formula>
    </cfRule>
    <cfRule type="cellIs" dxfId="2097" priority="142" stopIfTrue="1" operator="equal">
      <formula>"Rejected"</formula>
    </cfRule>
  </conditionalFormatting>
  <conditionalFormatting sqref="M69">
    <cfRule type="expression" dxfId="2096" priority="139" stopIfTrue="1">
      <formula>OR(M69="Fixed",M69="Approved")</formula>
    </cfRule>
    <cfRule type="cellIs" dxfId="2095" priority="140" stopIfTrue="1" operator="equal">
      <formula>"Rejected"</formula>
    </cfRule>
  </conditionalFormatting>
  <conditionalFormatting sqref="M70">
    <cfRule type="expression" dxfId="2094" priority="137" stopIfTrue="1">
      <formula>OR(M70="Fixed",M70="Approved")</formula>
    </cfRule>
    <cfRule type="cellIs" dxfId="2093" priority="138" stopIfTrue="1" operator="equal">
      <formula>"Rejected"</formula>
    </cfRule>
  </conditionalFormatting>
  <conditionalFormatting sqref="L69">
    <cfRule type="expression" dxfId="2092" priority="134" stopIfTrue="1">
      <formula>AND($M69="Approved",$L69="Fixed")</formula>
    </cfRule>
    <cfRule type="cellIs" dxfId="2091" priority="135" stopIfTrue="1" operator="equal">
      <formula>"Fixed"</formula>
    </cfRule>
    <cfRule type="cellIs" dxfId="2090" priority="136" stopIfTrue="1" operator="equal">
      <formula>"Open"</formula>
    </cfRule>
  </conditionalFormatting>
  <conditionalFormatting sqref="L70">
    <cfRule type="expression" dxfId="2089" priority="131" stopIfTrue="1">
      <formula>AND($M70="Approved",$L70="Fixed")</formula>
    </cfRule>
    <cfRule type="cellIs" dxfId="2088" priority="132" stopIfTrue="1" operator="equal">
      <formula>"Fixed"</formula>
    </cfRule>
    <cfRule type="cellIs" dxfId="2087" priority="133" stopIfTrue="1" operator="equal">
      <formula>"Open"</formula>
    </cfRule>
  </conditionalFormatting>
  <conditionalFormatting sqref="B73">
    <cfRule type="expression" dxfId="2086" priority="130" stopIfTrue="1">
      <formula>AND($M73="Approved",OR($L73=$R$1,$L73=$T$1))</formula>
    </cfRule>
  </conditionalFormatting>
  <conditionalFormatting sqref="B74">
    <cfRule type="expression" dxfId="2085" priority="129" stopIfTrue="1">
      <formula>AND($M74="Approved",OR($L74=$R$1,$L74=$T$1))</formula>
    </cfRule>
  </conditionalFormatting>
  <conditionalFormatting sqref="C74">
    <cfRule type="expression" dxfId="2084" priority="128" stopIfTrue="1">
      <formula>AND($M74="Approved",OR($L74=$R$1,$L74=$T$1))</formula>
    </cfRule>
  </conditionalFormatting>
  <conditionalFormatting sqref="J73">
    <cfRule type="expression" dxfId="2083" priority="127" stopIfTrue="1">
      <formula>AND($M73="Approved",OR($L73=$R$1,$L73=$T$1))</formula>
    </cfRule>
  </conditionalFormatting>
  <conditionalFormatting sqref="L74">
    <cfRule type="expression" dxfId="2082" priority="122" stopIfTrue="1">
      <formula>AND($M74="Approved",$L74="Fixed")</formula>
    </cfRule>
    <cfRule type="cellIs" dxfId="2081" priority="123" stopIfTrue="1" operator="equal">
      <formula>"Fixed"</formula>
    </cfRule>
    <cfRule type="cellIs" dxfId="2080" priority="124" stopIfTrue="1" operator="equal">
      <formula>"Open"</formula>
    </cfRule>
  </conditionalFormatting>
  <conditionalFormatting sqref="M74">
    <cfRule type="expression" dxfId="2079" priority="125" stopIfTrue="1">
      <formula>OR(M74="Fixed",M74="Approved")</formula>
    </cfRule>
    <cfRule type="cellIs" dxfId="2078" priority="126" stopIfTrue="1" operator="equal">
      <formula>"Rejected"</formula>
    </cfRule>
  </conditionalFormatting>
  <conditionalFormatting sqref="H74:I74 K74">
    <cfRule type="expression" dxfId="2077" priority="121" stopIfTrue="1">
      <formula>AND($M74="Approved",OR($L74=$R$1,$L74=$T$1))</formula>
    </cfRule>
  </conditionalFormatting>
  <conditionalFormatting sqref="J74">
    <cfRule type="expression" dxfId="2076" priority="120" stopIfTrue="1">
      <formula>AND($M74="Approved",OR($L74=$R$1,$L74=$T$1))</formula>
    </cfRule>
  </conditionalFormatting>
  <conditionalFormatting sqref="B75:D78">
    <cfRule type="expression" dxfId="2075" priority="119" stopIfTrue="1">
      <formula>AND($M75="Approved",OR($L75=$R$1,$L75=$T$1))</formula>
    </cfRule>
  </conditionalFormatting>
  <conditionalFormatting sqref="L75">
    <cfRule type="expression" dxfId="2074" priority="114" stopIfTrue="1">
      <formula>AND($M75="Approved",$L75="Fixed")</formula>
    </cfRule>
    <cfRule type="cellIs" dxfId="2073" priority="115" stopIfTrue="1" operator="equal">
      <formula>"Fixed"</formula>
    </cfRule>
    <cfRule type="cellIs" dxfId="2072" priority="116" stopIfTrue="1" operator="equal">
      <formula>"Open"</formula>
    </cfRule>
  </conditionalFormatting>
  <conditionalFormatting sqref="M75">
    <cfRule type="expression" dxfId="2071" priority="117" stopIfTrue="1">
      <formula>OR(M75="Fixed",M75="Approved")</formula>
    </cfRule>
    <cfRule type="cellIs" dxfId="2070" priority="118" stopIfTrue="1" operator="equal">
      <formula>"Rejected"</formula>
    </cfRule>
  </conditionalFormatting>
  <conditionalFormatting sqref="H75:I75 K75">
    <cfRule type="expression" dxfId="2069" priority="113" stopIfTrue="1">
      <formula>AND($M75="Approved",OR($L75=$R$1,$L75=$T$1))</formula>
    </cfRule>
  </conditionalFormatting>
  <conditionalFormatting sqref="J75">
    <cfRule type="expression" dxfId="2068" priority="112" stopIfTrue="1">
      <formula>AND($M75="Approved",OR($L75=$R$1,$L75=$T$1))</formula>
    </cfRule>
  </conditionalFormatting>
  <conditionalFormatting sqref="L76">
    <cfRule type="expression" dxfId="2067" priority="107" stopIfTrue="1">
      <formula>AND($M76="Approved",$L76="Fixed")</formula>
    </cfRule>
    <cfRule type="cellIs" dxfId="2066" priority="108" stopIfTrue="1" operator="equal">
      <formula>"Fixed"</formula>
    </cfRule>
    <cfRule type="cellIs" dxfId="2065" priority="109" stopIfTrue="1" operator="equal">
      <formula>"Open"</formula>
    </cfRule>
  </conditionalFormatting>
  <conditionalFormatting sqref="M76">
    <cfRule type="expression" dxfId="2064" priority="110" stopIfTrue="1">
      <formula>OR(M76="Fixed",M76="Approved")</formula>
    </cfRule>
    <cfRule type="cellIs" dxfId="2063" priority="111" stopIfTrue="1" operator="equal">
      <formula>"Rejected"</formula>
    </cfRule>
  </conditionalFormatting>
  <conditionalFormatting sqref="H76:I76 K76">
    <cfRule type="expression" dxfId="2062" priority="106" stopIfTrue="1">
      <formula>AND($M76="Approved",OR($L76=$R$1,$L76=$T$1))</formula>
    </cfRule>
  </conditionalFormatting>
  <conditionalFormatting sqref="J76">
    <cfRule type="expression" dxfId="2061" priority="105" stopIfTrue="1">
      <formula>AND($M76="Approved",OR($L76=$R$1,$L76=$T$1))</formula>
    </cfRule>
  </conditionalFormatting>
  <conditionalFormatting sqref="L77">
    <cfRule type="expression" dxfId="2060" priority="100" stopIfTrue="1">
      <formula>AND($M77="Approved",$L77="Fixed")</formula>
    </cfRule>
    <cfRule type="cellIs" dxfId="2059" priority="101" stopIfTrue="1" operator="equal">
      <formula>"Fixed"</formula>
    </cfRule>
    <cfRule type="cellIs" dxfId="2058" priority="102" stopIfTrue="1" operator="equal">
      <formula>"Open"</formula>
    </cfRule>
  </conditionalFormatting>
  <conditionalFormatting sqref="M77">
    <cfRule type="expression" dxfId="2057" priority="103" stopIfTrue="1">
      <formula>OR(M77="Fixed",M77="Approved")</formula>
    </cfRule>
    <cfRule type="cellIs" dxfId="2056" priority="104" stopIfTrue="1" operator="equal">
      <formula>"Rejected"</formula>
    </cfRule>
  </conditionalFormatting>
  <conditionalFormatting sqref="H77:I77 K77">
    <cfRule type="expression" dxfId="2055" priority="99" stopIfTrue="1">
      <formula>AND($M77="Approved",OR($L77=$R$1,$L77=$T$1))</formula>
    </cfRule>
  </conditionalFormatting>
  <conditionalFormatting sqref="J77">
    <cfRule type="expression" dxfId="2054" priority="98" stopIfTrue="1">
      <formula>AND($M77="Approved",OR($L77=$R$1,$L77=$T$1))</formula>
    </cfRule>
  </conditionalFormatting>
  <conditionalFormatting sqref="L78">
    <cfRule type="expression" dxfId="2053" priority="93" stopIfTrue="1">
      <formula>AND($M78="Approved",$L78="Fixed")</formula>
    </cfRule>
    <cfRule type="cellIs" dxfId="2052" priority="94" stopIfTrue="1" operator="equal">
      <formula>"Fixed"</formula>
    </cfRule>
    <cfRule type="cellIs" dxfId="2051" priority="95" stopIfTrue="1" operator="equal">
      <formula>"Open"</formula>
    </cfRule>
  </conditionalFormatting>
  <conditionalFormatting sqref="M78">
    <cfRule type="expression" dxfId="2050" priority="96" stopIfTrue="1">
      <formula>OR(M78="Fixed",M78="Approved")</formula>
    </cfRule>
    <cfRule type="cellIs" dxfId="2049" priority="97" stopIfTrue="1" operator="equal">
      <formula>"Rejected"</formula>
    </cfRule>
  </conditionalFormatting>
  <conditionalFormatting sqref="H78:I78 K78">
    <cfRule type="expression" dxfId="2048" priority="92" stopIfTrue="1">
      <formula>AND($M78="Approved",OR($L78=$R$1,$L78=$T$1))</formula>
    </cfRule>
  </conditionalFormatting>
  <conditionalFormatting sqref="J78">
    <cfRule type="expression" dxfId="2047" priority="91" stopIfTrue="1">
      <formula>AND($M78="Approved",OR($L78=$R$1,$L78=$T$1))</formula>
    </cfRule>
  </conditionalFormatting>
  <conditionalFormatting sqref="B79">
    <cfRule type="expression" dxfId="2046" priority="90" stopIfTrue="1">
      <formula>AND($M79="Approved",OR($L79=$R$1,$L79=$T$1))</formula>
    </cfRule>
  </conditionalFormatting>
  <conditionalFormatting sqref="C82">
    <cfRule type="expression" dxfId="2045" priority="87" stopIfTrue="1">
      <formula>AND($M82="Approved",OR($L82=$R$1,$L82=$T$1))</formula>
    </cfRule>
  </conditionalFormatting>
  <conditionalFormatting sqref="C83">
    <cfRule type="expression" dxfId="2044" priority="86" stopIfTrue="1">
      <formula>AND($M83="Approved",OR($L83=$R$1,$L83=$T$1))</formula>
    </cfRule>
  </conditionalFormatting>
  <conditionalFormatting sqref="C84">
    <cfRule type="expression" dxfId="2043" priority="85" stopIfTrue="1">
      <formula>AND($M84="Approved",OR($L84=$R$1,$L84=$T$1))</formula>
    </cfRule>
  </conditionalFormatting>
  <conditionalFormatting sqref="C85">
    <cfRule type="expression" dxfId="2042" priority="84" stopIfTrue="1">
      <formula>AND($M85="Approved",OR($L85=$R$1,$L85=$T$1))</formula>
    </cfRule>
  </conditionalFormatting>
  <conditionalFormatting sqref="B86">
    <cfRule type="expression" dxfId="2041" priority="83" stopIfTrue="1">
      <formula>AND($M86="Approved",OR($L86=$R$1,$L86=$T$1))</formula>
    </cfRule>
  </conditionalFormatting>
  <conditionalFormatting sqref="C86">
    <cfRule type="expression" dxfId="2040" priority="82" stopIfTrue="1">
      <formula>AND($M86="Approved",OR($L86=$R$1,$L86=$T$1))</formula>
    </cfRule>
  </conditionalFormatting>
  <conditionalFormatting sqref="B87">
    <cfRule type="expression" dxfId="2039" priority="80" stopIfTrue="1">
      <formula>AND($M87="Approved",OR($L87=$R$1,$L87=$T$1))</formula>
    </cfRule>
  </conditionalFormatting>
  <conditionalFormatting sqref="C87">
    <cfRule type="expression" dxfId="2038" priority="79" stopIfTrue="1">
      <formula>AND($M87="Approved",OR($L87=$R$1,$L87=$T$1))</formula>
    </cfRule>
  </conditionalFormatting>
  <conditionalFormatting sqref="D87">
    <cfRule type="expression" dxfId="2037" priority="78" stopIfTrue="1">
      <formula>AND($M87="Approved",OR($L87=$R$1,$L87=$T$1))</formula>
    </cfRule>
  </conditionalFormatting>
  <conditionalFormatting sqref="L88">
    <cfRule type="expression" dxfId="2036" priority="72" stopIfTrue="1">
      <formula>AND($M88="Approved",$L88="Fixed")</formula>
    </cfRule>
    <cfRule type="cellIs" dxfId="2035" priority="73" stopIfTrue="1" operator="equal">
      <formula>"Fixed"</formula>
    </cfRule>
    <cfRule type="cellIs" dxfId="2034" priority="74" stopIfTrue="1" operator="equal">
      <formula>"Open"</formula>
    </cfRule>
  </conditionalFormatting>
  <conditionalFormatting sqref="M88">
    <cfRule type="expression" dxfId="2033" priority="75" stopIfTrue="1">
      <formula>OR(M88="Fixed",M88="Approved")</formula>
    </cfRule>
    <cfRule type="cellIs" dxfId="2032" priority="76" stopIfTrue="1" operator="equal">
      <formula>"Rejected"</formula>
    </cfRule>
  </conditionalFormatting>
  <conditionalFormatting sqref="E88:K88">
    <cfRule type="expression" dxfId="2031" priority="77" stopIfTrue="1">
      <formula>AND($M88="Approved",OR($L88=$R$1,$L88=$T$1))</formula>
    </cfRule>
  </conditionalFormatting>
  <conditionalFormatting sqref="B88">
    <cfRule type="expression" dxfId="2030" priority="71" stopIfTrue="1">
      <formula>AND($M88="Approved",OR($L88=$R$1,$L88=$T$1))</formula>
    </cfRule>
  </conditionalFormatting>
  <conditionalFormatting sqref="C88">
    <cfRule type="expression" dxfId="2029" priority="70" stopIfTrue="1">
      <formula>AND($M88="Approved",OR($L88=$R$1,$L88=$T$1))</formula>
    </cfRule>
  </conditionalFormatting>
  <conditionalFormatting sqref="D88">
    <cfRule type="expression" dxfId="2028" priority="69" stopIfTrue="1">
      <formula>AND($M88="Approved",OR($L88=$R$1,$L88=$T$1))</formula>
    </cfRule>
  </conditionalFormatting>
  <conditionalFormatting sqref="C79:C81">
    <cfRule type="expression" dxfId="2027" priority="68" stopIfTrue="1">
      <formula>AND($M79="Approved",OR($L79=$R$1,$L79=$T$1))</formula>
    </cfRule>
  </conditionalFormatting>
  <conditionalFormatting sqref="C73">
    <cfRule type="expression" dxfId="2026" priority="67" stopIfTrue="1">
      <formula>AND($M73="Approved",OR($L73=$R$1,$L73=$T$1))</formula>
    </cfRule>
  </conditionalFormatting>
  <conditionalFormatting sqref="B89">
    <cfRule type="expression" dxfId="2025" priority="66" stopIfTrue="1">
      <formula>AND($M89="Approved",OR($L89=$R$1,$L89=$T$1))</formula>
    </cfRule>
  </conditionalFormatting>
  <conditionalFormatting sqref="C89">
    <cfRule type="expression" dxfId="2024" priority="65" stopIfTrue="1">
      <formula>AND($M89="Approved",OR($L89=$R$1,$L89=$T$1))</formula>
    </cfRule>
  </conditionalFormatting>
  <conditionalFormatting sqref="J89">
    <cfRule type="expression" dxfId="2023" priority="64" stopIfTrue="1">
      <formula>AND($M89="Approved",OR($L89=$R$1,$L89=$T$1))</formula>
    </cfRule>
  </conditionalFormatting>
  <conditionalFormatting sqref="B90">
    <cfRule type="expression" dxfId="2022" priority="63" stopIfTrue="1">
      <formula>AND($M90="Approved",OR($L90=$R$1,$L90=$T$1))</formula>
    </cfRule>
  </conditionalFormatting>
  <conditionalFormatting sqref="C90">
    <cfRule type="expression" dxfId="2021" priority="62" stopIfTrue="1">
      <formula>AND($M90="Approved",OR($L90=$R$1,$L90=$T$1))</formula>
    </cfRule>
  </conditionalFormatting>
  <conditionalFormatting sqref="C91">
    <cfRule type="expression" dxfId="2020" priority="61" stopIfTrue="1">
      <formula>AND($M91="Approved",OR($L91=$R$1,$L91=$T$1))</formula>
    </cfRule>
  </conditionalFormatting>
  <conditionalFormatting sqref="B91">
    <cfRule type="expression" dxfId="2019" priority="60" stopIfTrue="1">
      <formula>AND($M91="Approved",OR($L91=$R$1,$L91=$T$1))</formula>
    </cfRule>
  </conditionalFormatting>
  <conditionalFormatting sqref="C92">
    <cfRule type="expression" dxfId="2018" priority="59" stopIfTrue="1">
      <formula>AND($M92="Approved",OR($L92=$R$1,$L92=$T$1))</formula>
    </cfRule>
  </conditionalFormatting>
  <conditionalFormatting sqref="B93">
    <cfRule type="expression" dxfId="2017" priority="58" stopIfTrue="1">
      <formula>AND($M93="Approved",OR($L93=$R$1,$L93=$T$1))</formula>
    </cfRule>
  </conditionalFormatting>
  <conditionalFormatting sqref="C93">
    <cfRule type="expression" dxfId="2016" priority="57" stopIfTrue="1">
      <formula>AND($M93="Approved",OR($L93=$R$1,$L93=$T$1))</formula>
    </cfRule>
  </conditionalFormatting>
  <conditionalFormatting sqref="B94">
    <cfRule type="expression" dxfId="2015" priority="56" stopIfTrue="1">
      <formula>AND($M94="Approved",OR($L94=$R$1,$L94=$T$1))</formula>
    </cfRule>
  </conditionalFormatting>
  <conditionalFormatting sqref="C94">
    <cfRule type="expression" dxfId="2014" priority="55" stopIfTrue="1">
      <formula>AND($M94="Approved",OR($L94=$R$1,$L94=$T$1))</formula>
    </cfRule>
  </conditionalFormatting>
  <conditionalFormatting sqref="B97:C103">
    <cfRule type="expression" dxfId="2013" priority="52" stopIfTrue="1">
      <formula>AND($M96="Approved",OR($L96=$R$1,$L96=$T$1))</formula>
    </cfRule>
  </conditionalFormatting>
  <conditionalFormatting sqref="D105:D106">
    <cfRule type="expression" dxfId="2012" priority="35" stopIfTrue="1">
      <formula>AND(#REF!="Approved",OR(#REF!=$R$1,#REF!=$T$1))</formula>
    </cfRule>
  </conditionalFormatting>
  <conditionalFormatting sqref="L104">
    <cfRule type="expression" dxfId="2011" priority="29" stopIfTrue="1">
      <formula>AND($M104="Approved",$L104="Fixed")</formula>
    </cfRule>
    <cfRule type="cellIs" dxfId="2010" priority="30" stopIfTrue="1" operator="equal">
      <formula>"Fixed"</formula>
    </cfRule>
    <cfRule type="cellIs" dxfId="2009" priority="31" stopIfTrue="1" operator="equal">
      <formula>"Open"</formula>
    </cfRule>
  </conditionalFormatting>
  <conditionalFormatting sqref="M104">
    <cfRule type="expression" dxfId="2008" priority="32" stopIfTrue="1">
      <formula>OR(M104="Fixed",M104="Approved")</formula>
    </cfRule>
    <cfRule type="cellIs" dxfId="2007" priority="33" stopIfTrue="1" operator="equal">
      <formula>"Rejected"</formula>
    </cfRule>
  </conditionalFormatting>
  <conditionalFormatting sqref="B104">
    <cfRule type="expression" dxfId="2006" priority="28" stopIfTrue="1">
      <formula>AND(#REF!="Approved",OR(#REF!=$R$1,#REF!=$T$1))</formula>
    </cfRule>
  </conditionalFormatting>
  <conditionalFormatting sqref="C104">
    <cfRule type="expression" dxfId="2005" priority="27" stopIfTrue="1">
      <formula>AND(#REF!="Approved",OR(#REF!=$R$1,#REF!=$T$1))</formula>
    </cfRule>
  </conditionalFormatting>
  <conditionalFormatting sqref="L95">
    <cfRule type="expression" dxfId="2004" priority="18" stopIfTrue="1">
      <formula>AND($M95="Approved",$L95="Fixed")</formula>
    </cfRule>
    <cfRule type="cellIs" dxfId="2003" priority="19" stopIfTrue="1" operator="equal">
      <formula>"Fixed"</formula>
    </cfRule>
    <cfRule type="cellIs" dxfId="2002" priority="20" stopIfTrue="1" operator="equal">
      <formula>"Open"</formula>
    </cfRule>
  </conditionalFormatting>
  <conditionalFormatting sqref="M95">
    <cfRule type="expression" dxfId="2001" priority="21" stopIfTrue="1">
      <formula>OR(M95="Fixed",M95="Approved")</formula>
    </cfRule>
    <cfRule type="cellIs" dxfId="2000" priority="22" stopIfTrue="1" operator="equal">
      <formula>"Rejected"</formula>
    </cfRule>
  </conditionalFormatting>
  <conditionalFormatting sqref="D95:K95 A95">
    <cfRule type="expression" dxfId="1999" priority="23" stopIfTrue="1">
      <formula>AND($M95="Approved",OR($L95=$R$1,$L95=$T$1))</formula>
    </cfRule>
  </conditionalFormatting>
  <conditionalFormatting sqref="B95">
    <cfRule type="expression" dxfId="1998" priority="17" stopIfTrue="1">
      <formula>AND($M95="Approved",OR($L95=$R$1,$L95=$T$1))</formula>
    </cfRule>
  </conditionalFormatting>
  <conditionalFormatting sqref="C95">
    <cfRule type="expression" dxfId="1997" priority="16" stopIfTrue="1">
      <formula>AND($M95="Approved",OR($L95=$R$1,$L95=$T$1))</formula>
    </cfRule>
  </conditionalFormatting>
  <conditionalFormatting sqref="B125:C125 F125">
    <cfRule type="expression" dxfId="1996" priority="15" stopIfTrue="1">
      <formula>AND($M125="Approved",OR($L125=$R$1,$L125=$T$1))</formula>
    </cfRule>
  </conditionalFormatting>
  <conditionalFormatting sqref="H125">
    <cfRule type="expression" dxfId="1995" priority="14" stopIfTrue="1">
      <formula>AND($M125="Approved",OR($L125=$R$1,$L125=$T$1))</formula>
    </cfRule>
  </conditionalFormatting>
  <conditionalFormatting sqref="I125:J125">
    <cfRule type="expression" dxfId="1994" priority="13" stopIfTrue="1">
      <formula>AND($M125="Approved",OR($L125=$R$1,$L125=$T$1))</formula>
    </cfRule>
  </conditionalFormatting>
  <conditionalFormatting sqref="M125">
    <cfRule type="expression" dxfId="1993" priority="10" stopIfTrue="1">
      <formula>OR(M125="Fixed",M125="Approved")</formula>
    </cfRule>
    <cfRule type="cellIs" dxfId="1992" priority="11" stopIfTrue="1" operator="equal">
      <formula>"Rejected"</formula>
    </cfRule>
  </conditionalFormatting>
  <conditionalFormatting sqref="L125">
    <cfRule type="expression" dxfId="1991" priority="7" stopIfTrue="1">
      <formula>AND($M125="Approved",$L125="Fixed")</formula>
    </cfRule>
    <cfRule type="cellIs" dxfId="1990" priority="8" stopIfTrue="1" operator="equal">
      <formula>"Fixed"</formula>
    </cfRule>
    <cfRule type="cellIs" dxfId="1989" priority="9" stopIfTrue="1" operator="equal">
      <formula>"Open"</formula>
    </cfRule>
  </conditionalFormatting>
  <conditionalFormatting sqref="L126">
    <cfRule type="expression" dxfId="1988" priority="1" stopIfTrue="1">
      <formula>AND($M126="Approved",$L126="Fixed")</formula>
    </cfRule>
    <cfRule type="cellIs" dxfId="1987" priority="2" stopIfTrue="1" operator="equal">
      <formula>"Fixed"</formula>
    </cfRule>
    <cfRule type="cellIs" dxfId="1986" priority="3" stopIfTrue="1" operator="equal">
      <formula>"Open"</formula>
    </cfRule>
  </conditionalFormatting>
  <conditionalFormatting sqref="M126">
    <cfRule type="expression" dxfId="1985" priority="4" stopIfTrue="1">
      <formula>OR(M126="Fixed",M126="Approved")</formula>
    </cfRule>
    <cfRule type="cellIs" dxfId="1984" priority="5" stopIfTrue="1" operator="equal">
      <formula>"Rejected"</formula>
    </cfRule>
  </conditionalFormatting>
  <conditionalFormatting sqref="B126:K126">
    <cfRule type="expression" dxfId="1983" priority="6" stopIfTrue="1">
      <formula>AND($M126="Approved",OR($L126=$R$1,$L126=$T$1))</formula>
    </cfRule>
  </conditionalFormatting>
  <dataValidations count="3">
    <dataValidation type="list" allowBlank="1" showInputMessage="1" showErrorMessage="1" sqref="I5:I68 I71:I124 I126:I200" xr:uid="{00000000-0002-0000-0300-000002000000}">
      <formula1>"Low,medium,high"</formula1>
    </dataValidation>
    <dataValidation type="list" allowBlank="1" showInputMessage="1" showErrorMessage="1" sqref="L5:L200" xr:uid="{00000000-0002-0000-0300-000000000000}">
      <formula1>$Q$1:$U$1</formula1>
    </dataValidation>
    <dataValidation type="list" allowBlank="1" showInputMessage="1" showErrorMessage="1" sqref="M5:M200" xr:uid="{00000000-0002-0000-0300-000001000000}">
      <formula1>$AH$1:$AI$1</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EFD14-F4C0-4243-9104-0315213155E3}">
  <sheetPr codeName="Feuil31">
    <tabColor theme="7"/>
    <outlinePr summaryBelow="0" summaryRight="0"/>
    <pageSetUpPr fitToPage="1"/>
  </sheetPr>
  <dimension ref="A2:I35"/>
  <sheetViews>
    <sheetView tabSelected="1" zoomScale="130" zoomScaleNormal="130" workbookViewId="0">
      <pane xSplit="1" ySplit="3" topLeftCell="B4" activePane="bottomRight" state="frozen"/>
      <selection pane="topRight" activeCell="B1" sqref="B1"/>
      <selection pane="bottomLeft" activeCell="A4" sqref="A4"/>
      <selection pane="bottomRight" activeCell="F8" sqref="F8"/>
    </sheetView>
  </sheetViews>
  <sheetFormatPr defaultColWidth="9.28515625" defaultRowHeight="12.75" outlineLevelCol="1"/>
  <cols>
    <col min="1" max="1" width="12.85546875" style="155" bestFit="1" customWidth="1"/>
    <col min="2" max="2" width="61" style="154" customWidth="1"/>
    <col min="3" max="4" width="13.42578125" style="223" customWidth="1"/>
    <col min="5" max="5" width="13.42578125" style="153" customWidth="1"/>
    <col min="6" max="6" width="33.7109375" style="153" customWidth="1"/>
    <col min="7" max="8" width="30.7109375" style="153" customWidth="1" outlineLevel="1"/>
    <col min="9" max="16384" width="9.28515625" style="153"/>
  </cols>
  <sheetData>
    <row r="2" spans="1:9" ht="54">
      <c r="A2" s="178" t="s">
        <v>214</v>
      </c>
      <c r="B2" s="179" t="s">
        <v>227</v>
      </c>
      <c r="C2" s="226" t="s">
        <v>497</v>
      </c>
      <c r="D2" s="226" t="s">
        <v>574</v>
      </c>
      <c r="E2" s="226" t="s">
        <v>581</v>
      </c>
      <c r="F2" s="181" t="s">
        <v>223</v>
      </c>
      <c r="G2" s="354" t="s">
        <v>186</v>
      </c>
      <c r="H2" s="355"/>
    </row>
    <row r="3" spans="1:9" ht="18.75">
      <c r="A3" s="182"/>
      <c r="B3" s="183"/>
      <c r="C3" s="227">
        <f>COUNTIF(Review.ratings,"Yes") / ( COUNTA(Review.QuestionIds) - COUNTIF(Review.ratings,"NA"))</f>
        <v>1</v>
      </c>
      <c r="D3" s="227">
        <f>COUNTIF(Review.ratings,"Yes") / ( COUNTA(Review.QuestionIds) - COUNTIF(Review.ratings,"NA"))</f>
        <v>1</v>
      </c>
      <c r="E3" s="184">
        <f>COUNTIF(Review.ratings,"Yes") / ( COUNTA(Review.QuestionIds) - COUNTIF(Review.ratings,"NA"))</f>
        <v>1</v>
      </c>
      <c r="F3" s="189"/>
      <c r="G3" s="197" t="s">
        <v>220</v>
      </c>
      <c r="H3" s="197" t="s">
        <v>221</v>
      </c>
      <c r="I3" s="190"/>
    </row>
    <row r="4" spans="1:9" ht="36">
      <c r="A4" s="185"/>
      <c r="B4" s="186" t="s">
        <v>225</v>
      </c>
      <c r="C4" s="228"/>
      <c r="D4" s="228"/>
      <c r="E4" s="187"/>
      <c r="F4" s="187"/>
      <c r="G4" s="187"/>
      <c r="H4" s="188"/>
      <c r="I4" s="25"/>
    </row>
    <row r="5" spans="1:9" ht="18.75">
      <c r="A5" s="156"/>
      <c r="B5" s="164" t="s">
        <v>224</v>
      </c>
      <c r="C5" s="224"/>
      <c r="D5" s="224"/>
      <c r="E5" s="157"/>
      <c r="F5" s="157"/>
      <c r="G5" s="197"/>
      <c r="H5" s="197"/>
    </row>
    <row r="6" spans="1:9" ht="38.25">
      <c r="A6" s="159" t="s">
        <v>337</v>
      </c>
      <c r="B6" s="167" t="s">
        <v>226</v>
      </c>
      <c r="C6" s="191" t="s">
        <v>213</v>
      </c>
      <c r="D6" s="191" t="s">
        <v>213</v>
      </c>
      <c r="E6" s="191" t="s">
        <v>213</v>
      </c>
      <c r="F6" s="192"/>
      <c r="G6" s="158"/>
      <c r="H6" s="158"/>
    </row>
    <row r="7" spans="1:9" ht="18.75">
      <c r="A7" s="156"/>
      <c r="B7" s="164" t="s">
        <v>262</v>
      </c>
      <c r="C7" s="224"/>
      <c r="D7" s="224"/>
      <c r="E7" s="157"/>
      <c r="F7" s="157"/>
      <c r="G7" s="197"/>
      <c r="H7" s="197"/>
    </row>
    <row r="8" spans="1:9" ht="38.25">
      <c r="A8" s="159" t="s">
        <v>339</v>
      </c>
      <c r="B8" s="167" t="s">
        <v>263</v>
      </c>
      <c r="C8" s="191" t="s">
        <v>213</v>
      </c>
      <c r="D8" s="191" t="s">
        <v>213</v>
      </c>
      <c r="E8" s="191" t="s">
        <v>213</v>
      </c>
      <c r="F8" s="192"/>
      <c r="G8" s="158"/>
      <c r="H8" s="158"/>
    </row>
    <row r="9" spans="1:9" ht="25.5">
      <c r="A9" s="159" t="s">
        <v>340</v>
      </c>
      <c r="B9" s="167" t="s">
        <v>264</v>
      </c>
      <c r="C9" s="191" t="s">
        <v>213</v>
      </c>
      <c r="D9" s="191" t="s">
        <v>213</v>
      </c>
      <c r="E9" s="191" t="s">
        <v>213</v>
      </c>
      <c r="F9" s="192"/>
      <c r="G9" s="158"/>
      <c r="H9" s="158"/>
    </row>
    <row r="10" spans="1:9" ht="38.25">
      <c r="A10" s="159" t="s">
        <v>341</v>
      </c>
      <c r="B10" s="167" t="s">
        <v>342</v>
      </c>
      <c r="C10" s="191" t="s">
        <v>213</v>
      </c>
      <c r="D10" s="191" t="s">
        <v>213</v>
      </c>
      <c r="E10" s="191" t="s">
        <v>213</v>
      </c>
      <c r="F10" s="192"/>
      <c r="G10" s="158"/>
      <c r="H10" s="158"/>
    </row>
    <row r="11" spans="1:9" ht="25.5">
      <c r="A11" s="159" t="s">
        <v>343</v>
      </c>
      <c r="B11" s="167" t="s">
        <v>265</v>
      </c>
      <c r="C11" s="191" t="s">
        <v>213</v>
      </c>
      <c r="D11" s="191" t="s">
        <v>213</v>
      </c>
      <c r="E11" s="191" t="s">
        <v>213</v>
      </c>
      <c r="F11" s="192"/>
      <c r="G11" s="158"/>
      <c r="H11" s="158"/>
    </row>
    <row r="12" spans="1:9" ht="51">
      <c r="A12" s="159" t="s">
        <v>344</v>
      </c>
      <c r="B12" s="167" t="s">
        <v>266</v>
      </c>
      <c r="C12" s="191" t="s">
        <v>213</v>
      </c>
      <c r="D12" s="191" t="s">
        <v>213</v>
      </c>
      <c r="E12" s="191" t="s">
        <v>213</v>
      </c>
      <c r="F12" s="192"/>
      <c r="G12" s="158"/>
      <c r="H12" s="158"/>
    </row>
    <row r="13" spans="1:9" ht="25.5">
      <c r="A13" s="159" t="s">
        <v>345</v>
      </c>
      <c r="B13" s="167" t="s">
        <v>267</v>
      </c>
      <c r="C13" s="191" t="s">
        <v>213</v>
      </c>
      <c r="D13" s="191" t="s">
        <v>213</v>
      </c>
      <c r="E13" s="191" t="s">
        <v>213</v>
      </c>
      <c r="F13" s="192"/>
      <c r="G13" s="158"/>
      <c r="H13" s="158"/>
    </row>
    <row r="14" spans="1:9" ht="25.5">
      <c r="A14" s="159" t="s">
        <v>346</v>
      </c>
      <c r="B14" s="167" t="s">
        <v>268</v>
      </c>
      <c r="C14" s="191" t="s">
        <v>213</v>
      </c>
      <c r="D14" s="191" t="s">
        <v>213</v>
      </c>
      <c r="E14" s="191" t="s">
        <v>213</v>
      </c>
      <c r="F14" s="192"/>
      <c r="G14" s="158"/>
      <c r="H14" s="158"/>
    </row>
    <row r="15" spans="1:9" ht="38.25">
      <c r="A15" s="159" t="s">
        <v>347</v>
      </c>
      <c r="B15" s="167" t="s">
        <v>269</v>
      </c>
      <c r="C15" s="191" t="s">
        <v>213</v>
      </c>
      <c r="D15" s="191" t="s">
        <v>213</v>
      </c>
      <c r="E15" s="191" t="s">
        <v>213</v>
      </c>
      <c r="F15" s="192"/>
      <c r="G15" s="158"/>
      <c r="H15" s="158"/>
    </row>
    <row r="16" spans="1:9" ht="25.5">
      <c r="A16" s="159" t="s">
        <v>348</v>
      </c>
      <c r="B16" s="167" t="s">
        <v>338</v>
      </c>
      <c r="C16" s="191" t="s">
        <v>213</v>
      </c>
      <c r="D16" s="191" t="s">
        <v>213</v>
      </c>
      <c r="E16" s="191" t="s">
        <v>213</v>
      </c>
      <c r="F16" s="192"/>
      <c r="G16" s="158"/>
      <c r="H16" s="158"/>
    </row>
    <row r="17" spans="1:8" ht="38.25">
      <c r="A17" s="159" t="s">
        <v>349</v>
      </c>
      <c r="B17" s="167" t="s">
        <v>350</v>
      </c>
      <c r="C17" s="191" t="s">
        <v>213</v>
      </c>
      <c r="D17" s="191" t="s">
        <v>213</v>
      </c>
      <c r="E17" s="191" t="s">
        <v>213</v>
      </c>
      <c r="F17" s="192"/>
      <c r="G17" s="158"/>
      <c r="H17" s="158"/>
    </row>
    <row r="18" spans="1:8" ht="38.25">
      <c r="A18" s="159" t="s">
        <v>351</v>
      </c>
      <c r="B18" s="167" t="s">
        <v>270</v>
      </c>
      <c r="C18" s="191" t="s">
        <v>213</v>
      </c>
      <c r="D18" s="191" t="s">
        <v>213</v>
      </c>
      <c r="E18" s="191" t="s">
        <v>213</v>
      </c>
      <c r="F18" s="192"/>
      <c r="G18" s="158"/>
      <c r="H18" s="158"/>
    </row>
    <row r="19" spans="1:8" ht="25.5">
      <c r="A19" s="159" t="s">
        <v>352</v>
      </c>
      <c r="B19" s="167" t="s">
        <v>271</v>
      </c>
      <c r="C19" s="191" t="s">
        <v>213</v>
      </c>
      <c r="D19" s="191" t="s">
        <v>213</v>
      </c>
      <c r="E19" s="191" t="s">
        <v>213</v>
      </c>
      <c r="F19" s="192"/>
      <c r="G19" s="158"/>
      <c r="H19" s="158"/>
    </row>
    <row r="20" spans="1:8" ht="25.5">
      <c r="A20" s="159" t="s">
        <v>353</v>
      </c>
      <c r="B20" s="167" t="s">
        <v>272</v>
      </c>
      <c r="C20" s="191" t="s">
        <v>213</v>
      </c>
      <c r="D20" s="191" t="s">
        <v>213</v>
      </c>
      <c r="E20" s="191" t="s">
        <v>213</v>
      </c>
      <c r="F20" s="192"/>
      <c r="G20" s="158"/>
      <c r="H20" s="158"/>
    </row>
    <row r="21" spans="1:8" ht="38.25">
      <c r="A21" s="159" t="s">
        <v>354</v>
      </c>
      <c r="B21" s="167" t="s">
        <v>273</v>
      </c>
      <c r="C21" s="191" t="s">
        <v>213</v>
      </c>
      <c r="D21" s="191" t="s">
        <v>213</v>
      </c>
      <c r="E21" s="191" t="s">
        <v>213</v>
      </c>
      <c r="F21" s="192"/>
      <c r="G21" s="158"/>
      <c r="H21" s="158"/>
    </row>
    <row r="22" spans="1:8" ht="38.25">
      <c r="A22" s="159" t="s">
        <v>355</v>
      </c>
      <c r="B22" s="167" t="s">
        <v>356</v>
      </c>
      <c r="C22" s="191" t="s">
        <v>213</v>
      </c>
      <c r="D22" s="191" t="s">
        <v>213</v>
      </c>
      <c r="E22" s="191" t="s">
        <v>213</v>
      </c>
      <c r="F22" s="192"/>
      <c r="G22" s="158"/>
      <c r="H22" s="158"/>
    </row>
    <row r="23" spans="1:8" ht="18.75">
      <c r="A23" s="156"/>
      <c r="B23" s="164" t="s">
        <v>217</v>
      </c>
      <c r="C23" s="224"/>
      <c r="D23" s="224"/>
      <c r="E23" s="157"/>
      <c r="F23" s="157"/>
      <c r="G23" s="197"/>
      <c r="H23" s="197"/>
    </row>
    <row r="24" spans="1:8" ht="38.25">
      <c r="A24" s="159" t="s">
        <v>312</v>
      </c>
      <c r="B24" s="167" t="s">
        <v>207</v>
      </c>
      <c r="C24" s="191" t="s">
        <v>23</v>
      </c>
      <c r="D24" s="191" t="s">
        <v>213</v>
      </c>
      <c r="E24" s="191" t="s">
        <v>213</v>
      </c>
      <c r="F24" s="200" t="s">
        <v>498</v>
      </c>
      <c r="G24" s="158"/>
      <c r="H24" s="158"/>
    </row>
    <row r="25" spans="1:8" ht="25.5">
      <c r="A25" s="159" t="s">
        <v>313</v>
      </c>
      <c r="B25" s="167" t="s">
        <v>208</v>
      </c>
      <c r="C25" s="191" t="s">
        <v>213</v>
      </c>
      <c r="D25" s="191" t="s">
        <v>213</v>
      </c>
      <c r="E25" s="191" t="s">
        <v>213</v>
      </c>
      <c r="F25" s="192"/>
      <c r="G25" s="158"/>
      <c r="H25" s="158"/>
    </row>
    <row r="26" spans="1:8" ht="38.25">
      <c r="A26" s="159" t="s">
        <v>314</v>
      </c>
      <c r="B26" s="167" t="s">
        <v>209</v>
      </c>
      <c r="C26" s="191" t="s">
        <v>23</v>
      </c>
      <c r="D26" s="191" t="s">
        <v>213</v>
      </c>
      <c r="E26" s="191" t="s">
        <v>213</v>
      </c>
      <c r="F26" s="200" t="s">
        <v>498</v>
      </c>
      <c r="G26" s="158"/>
      <c r="H26" s="158"/>
    </row>
    <row r="27" spans="1:8" ht="38.25">
      <c r="A27" s="159" t="s">
        <v>315</v>
      </c>
      <c r="B27" s="167" t="s">
        <v>210</v>
      </c>
      <c r="C27" s="191" t="s">
        <v>213</v>
      </c>
      <c r="D27" s="191" t="s">
        <v>213</v>
      </c>
      <c r="E27" s="191" t="s">
        <v>213</v>
      </c>
      <c r="F27" s="192"/>
      <c r="G27" s="158"/>
      <c r="H27" s="158"/>
    </row>
    <row r="28" spans="1:8" ht="18.75">
      <c r="A28" s="156"/>
      <c r="B28" s="164" t="s">
        <v>218</v>
      </c>
      <c r="C28" s="224"/>
      <c r="D28" s="224"/>
      <c r="E28" s="157"/>
      <c r="F28" s="157"/>
      <c r="G28" s="197"/>
      <c r="H28" s="197"/>
    </row>
    <row r="29" spans="1:8" ht="38.25">
      <c r="A29" s="159" t="s">
        <v>316</v>
      </c>
      <c r="B29" s="167" t="s">
        <v>211</v>
      </c>
      <c r="C29" s="191" t="s">
        <v>213</v>
      </c>
      <c r="D29" s="191" t="s">
        <v>213</v>
      </c>
      <c r="E29" s="191" t="s">
        <v>213</v>
      </c>
      <c r="F29" s="192"/>
      <c r="G29" s="158"/>
      <c r="H29" s="158"/>
    </row>
    <row r="30" spans="1:8" ht="38.25">
      <c r="A30" s="159" t="s">
        <v>317</v>
      </c>
      <c r="B30" s="167" t="s">
        <v>212</v>
      </c>
      <c r="C30" s="191" t="s">
        <v>213</v>
      </c>
      <c r="D30" s="191" t="s">
        <v>213</v>
      </c>
      <c r="E30" s="191" t="s">
        <v>213</v>
      </c>
      <c r="F30" s="192"/>
      <c r="G30" s="158"/>
      <c r="H30" s="158"/>
    </row>
    <row r="31" spans="1:8" ht="18.75">
      <c r="A31" s="156"/>
      <c r="B31" s="164" t="s">
        <v>205</v>
      </c>
      <c r="C31" s="224"/>
      <c r="D31" s="224"/>
      <c r="E31" s="157"/>
      <c r="F31" s="157"/>
      <c r="G31" s="197"/>
      <c r="H31" s="197"/>
    </row>
    <row r="32" spans="1:8" ht="51">
      <c r="A32" s="159" t="s">
        <v>318</v>
      </c>
      <c r="B32" s="167" t="s">
        <v>206</v>
      </c>
      <c r="C32" s="191" t="s">
        <v>11</v>
      </c>
      <c r="D32" s="191" t="s">
        <v>11</v>
      </c>
      <c r="E32" s="191" t="s">
        <v>11</v>
      </c>
      <c r="F32" s="200" t="s">
        <v>358</v>
      </c>
      <c r="G32" s="158"/>
      <c r="H32" s="158"/>
    </row>
    <row r="33" spans="1:8" ht="18">
      <c r="A33" s="193"/>
      <c r="B33" s="194" t="s">
        <v>222</v>
      </c>
      <c r="C33" s="193"/>
      <c r="D33" s="193"/>
      <c r="E33" s="193"/>
      <c r="F33" s="193"/>
      <c r="G33" s="193"/>
      <c r="H33" s="193"/>
    </row>
    <row r="34" spans="1:8">
      <c r="A34" s="159"/>
      <c r="B34" s="167"/>
    </row>
    <row r="35" spans="1:8" ht="15">
      <c r="A35" s="195"/>
      <c r="B35" s="196" t="s">
        <v>336</v>
      </c>
      <c r="C35" s="195"/>
      <c r="D35" s="195"/>
      <c r="E35" s="195"/>
      <c r="F35" s="195"/>
      <c r="G35" s="195"/>
      <c r="H35" s="195"/>
    </row>
  </sheetData>
  <mergeCells count="1">
    <mergeCell ref="G2:H2"/>
  </mergeCells>
  <conditionalFormatting sqref="C6:E6">
    <cfRule type="cellIs" dxfId="1982" priority="1083" operator="equal">
      <formula>"No"</formula>
    </cfRule>
    <cfRule type="cellIs" dxfId="1981" priority="1084" operator="equal">
      <formula>"NA"</formula>
    </cfRule>
    <cfRule type="cellIs" dxfId="1980" priority="1085" operator="equal">
      <formula>"Yes"</formula>
    </cfRule>
  </conditionalFormatting>
  <conditionalFormatting sqref="C24">
    <cfRule type="cellIs" dxfId="1979" priority="347" operator="equal">
      <formula>"No"</formula>
    </cfRule>
    <cfRule type="cellIs" dxfId="1978" priority="348" operator="equal">
      <formula>"NA"</formula>
    </cfRule>
    <cfRule type="cellIs" dxfId="1977" priority="349" operator="equal">
      <formula>"Yes"</formula>
    </cfRule>
  </conditionalFormatting>
  <conditionalFormatting sqref="C26">
    <cfRule type="cellIs" dxfId="1976" priority="255" operator="equal">
      <formula>"No"</formula>
    </cfRule>
    <cfRule type="cellIs" dxfId="1975" priority="256" operator="equal">
      <formula>"NA"</formula>
    </cfRule>
    <cfRule type="cellIs" dxfId="1974" priority="257" operator="equal">
      <formula>"Yes"</formula>
    </cfRule>
  </conditionalFormatting>
  <conditionalFormatting sqref="C32:E32">
    <cfRule type="cellIs" dxfId="1973" priority="71" operator="equal">
      <formula>"No"</formula>
    </cfRule>
    <cfRule type="cellIs" dxfId="1972" priority="72" operator="equal">
      <formula>"NA"</formula>
    </cfRule>
    <cfRule type="cellIs" dxfId="1971" priority="73" operator="equal">
      <formula>"Yes"</formula>
    </cfRule>
  </conditionalFormatting>
  <conditionalFormatting sqref="E8:E22">
    <cfRule type="cellIs" dxfId="1970" priority="25" operator="equal">
      <formula>"No"</formula>
    </cfRule>
    <cfRule type="cellIs" dxfId="1969" priority="26" operator="equal">
      <formula>"NA"</formula>
    </cfRule>
    <cfRule type="cellIs" dxfId="1968" priority="27" operator="equal">
      <formula>"Yes"</formula>
    </cfRule>
  </conditionalFormatting>
  <conditionalFormatting sqref="C25:E25">
    <cfRule type="cellIs" dxfId="1967" priority="22" operator="equal">
      <formula>"No"</formula>
    </cfRule>
    <cfRule type="cellIs" dxfId="1966" priority="23" operator="equal">
      <formula>"NA"</formula>
    </cfRule>
    <cfRule type="cellIs" dxfId="1965" priority="24" operator="equal">
      <formula>"Yes"</formula>
    </cfRule>
  </conditionalFormatting>
  <conditionalFormatting sqref="C27:E27">
    <cfRule type="cellIs" dxfId="1964" priority="19" operator="equal">
      <formula>"No"</formula>
    </cfRule>
    <cfRule type="cellIs" dxfId="1963" priority="20" operator="equal">
      <formula>"NA"</formula>
    </cfRule>
    <cfRule type="cellIs" dxfId="1962" priority="21" operator="equal">
      <formula>"Yes"</formula>
    </cfRule>
  </conditionalFormatting>
  <conditionalFormatting sqref="C29:E29">
    <cfRule type="cellIs" dxfId="1961" priority="16" operator="equal">
      <formula>"No"</formula>
    </cfRule>
    <cfRule type="cellIs" dxfId="1960" priority="17" operator="equal">
      <formula>"NA"</formula>
    </cfRule>
    <cfRule type="cellIs" dxfId="1959" priority="18" operator="equal">
      <formula>"Yes"</formula>
    </cfRule>
  </conditionalFormatting>
  <conditionalFormatting sqref="C30:E30">
    <cfRule type="cellIs" dxfId="1958" priority="13" operator="equal">
      <formula>"No"</formula>
    </cfRule>
    <cfRule type="cellIs" dxfId="1957" priority="14" operator="equal">
      <formula>"NA"</formula>
    </cfRule>
    <cfRule type="cellIs" dxfId="1956" priority="15" operator="equal">
      <formula>"Yes"</formula>
    </cfRule>
  </conditionalFormatting>
  <conditionalFormatting sqref="C8:C22">
    <cfRule type="cellIs" dxfId="1955" priority="10" operator="equal">
      <formula>"No"</formula>
    </cfRule>
    <cfRule type="cellIs" dxfId="1954" priority="11" operator="equal">
      <formula>"NA"</formula>
    </cfRule>
    <cfRule type="cellIs" dxfId="1953" priority="12" operator="equal">
      <formula>"Yes"</formula>
    </cfRule>
  </conditionalFormatting>
  <conditionalFormatting sqref="D26:E26">
    <cfRule type="cellIs" dxfId="1952" priority="7" operator="equal">
      <formula>"No"</formula>
    </cfRule>
    <cfRule type="cellIs" dxfId="1951" priority="8" operator="equal">
      <formula>"NA"</formula>
    </cfRule>
    <cfRule type="cellIs" dxfId="1950" priority="9" operator="equal">
      <formula>"Yes"</formula>
    </cfRule>
  </conditionalFormatting>
  <conditionalFormatting sqref="D24:E24">
    <cfRule type="cellIs" dxfId="1949" priority="4" operator="equal">
      <formula>"No"</formula>
    </cfRule>
    <cfRule type="cellIs" dxfId="1948" priority="5" operator="equal">
      <formula>"NA"</formula>
    </cfRule>
    <cfRule type="cellIs" dxfId="1947" priority="6" operator="equal">
      <formula>"Yes"</formula>
    </cfRule>
  </conditionalFormatting>
  <conditionalFormatting sqref="D8:D22">
    <cfRule type="cellIs" dxfId="2" priority="1" operator="equal">
      <formula>"No"</formula>
    </cfRule>
    <cfRule type="cellIs" dxfId="1" priority="2" operator="equal">
      <formula>"NA"</formula>
    </cfRule>
    <cfRule type="cellIs" dxfId="0" priority="3" operator="equal">
      <formula>"Yes"</formula>
    </cfRule>
  </conditionalFormatting>
  <dataValidations count="1">
    <dataValidation type="list" allowBlank="1" showInputMessage="1" showErrorMessage="1" sqref="C24:E27 C29:E30 C8:E22 C32:E32 C6:E6" xr:uid="{69B754B4-0ACB-437B-8D2B-A578C8CD703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2BD97-BBDF-4075-A32C-01296C6E2E91}">
  <sheetPr codeName="Feuil33">
    <tabColor theme="7"/>
    <outlinePr summaryBelow="0" summaryRight="0"/>
    <pageSetUpPr fitToPage="1"/>
  </sheetPr>
  <dimension ref="A2:AG36"/>
  <sheetViews>
    <sheetView zoomScaleNormal="100" workbookViewId="0">
      <pane xSplit="1" ySplit="3" topLeftCell="B4" activePane="bottomRight" state="frozen"/>
      <selection pane="topRight" activeCell="B1" sqref="B1"/>
      <selection pane="bottomLeft" activeCell="A4" sqref="A4"/>
      <selection pane="bottomRight" activeCell="B16" sqref="B16"/>
    </sheetView>
  </sheetViews>
  <sheetFormatPr defaultColWidth="9.28515625" defaultRowHeight="12.75" outlineLevelCol="1"/>
  <cols>
    <col min="1" max="1" width="13" style="155" bestFit="1" customWidth="1"/>
    <col min="2" max="2" width="61" style="154" customWidth="1"/>
    <col min="3" max="11" width="6.28515625" style="153" bestFit="1" customWidth="1"/>
    <col min="12" max="29" width="6.28515625" style="223" bestFit="1" customWidth="1"/>
    <col min="30" max="30" width="33.7109375" style="153" customWidth="1"/>
    <col min="31" max="32" width="30.7109375" style="153" customWidth="1" outlineLevel="1"/>
    <col min="33" max="16384" width="9.28515625" style="153"/>
  </cols>
  <sheetData>
    <row r="2" spans="1:33" ht="69" customHeight="1">
      <c r="A2" s="178" t="s">
        <v>214</v>
      </c>
      <c r="B2" s="179" t="s">
        <v>228</v>
      </c>
      <c r="C2" s="180" t="s">
        <v>385</v>
      </c>
      <c r="D2" s="180" t="s">
        <v>386</v>
      </c>
      <c r="E2" s="180" t="s">
        <v>387</v>
      </c>
      <c r="F2" s="180" t="s">
        <v>404</v>
      </c>
      <c r="G2" s="180" t="s">
        <v>505</v>
      </c>
      <c r="H2" s="180" t="s">
        <v>489</v>
      </c>
      <c r="I2" s="180" t="s">
        <v>490</v>
      </c>
      <c r="J2" s="180" t="s">
        <v>491</v>
      </c>
      <c r="K2" s="180" t="s">
        <v>504</v>
      </c>
      <c r="L2" s="226" t="s">
        <v>502</v>
      </c>
      <c r="M2" s="226" t="s">
        <v>503</v>
      </c>
      <c r="N2" s="226" t="s">
        <v>509</v>
      </c>
      <c r="O2" s="226" t="s">
        <v>510</v>
      </c>
      <c r="P2" s="226" t="s">
        <v>529</v>
      </c>
      <c r="Q2" s="226" t="s">
        <v>531</v>
      </c>
      <c r="R2" s="226" t="s">
        <v>532</v>
      </c>
      <c r="S2" s="226" t="s">
        <v>552</v>
      </c>
      <c r="T2" s="226" t="s">
        <v>546</v>
      </c>
      <c r="U2" s="226" t="s">
        <v>549</v>
      </c>
      <c r="V2" s="226" t="s">
        <v>559</v>
      </c>
      <c r="W2" s="226" t="s">
        <v>560</v>
      </c>
      <c r="X2" s="226" t="s">
        <v>561</v>
      </c>
      <c r="Y2" s="226" t="s">
        <v>562</v>
      </c>
      <c r="Z2" s="226" t="s">
        <v>563</v>
      </c>
      <c r="AA2" s="226" t="s">
        <v>568</v>
      </c>
      <c r="AB2" s="226" t="s">
        <v>571</v>
      </c>
      <c r="AC2" s="226" t="s">
        <v>570</v>
      </c>
      <c r="AD2" s="181" t="s">
        <v>223</v>
      </c>
      <c r="AE2" s="354" t="s">
        <v>186</v>
      </c>
      <c r="AF2" s="355"/>
    </row>
    <row r="3" spans="1:33" ht="18.75">
      <c r="A3" s="182"/>
      <c r="B3" s="183"/>
      <c r="C3" s="184">
        <f t="shared" ref="C3:J3" si="0">COUNTIF(C5:C36,"Yes") / ( COUNTA(C5:C36) - COUNTIF(C5:C36,"NA"))</f>
        <v>0.7142857142857143</v>
      </c>
      <c r="D3" s="184">
        <f t="shared" si="0"/>
        <v>0.76190476190476186</v>
      </c>
      <c r="E3" s="184">
        <f t="shared" si="0"/>
        <v>0.63636363636363635</v>
      </c>
      <c r="F3" s="184">
        <f t="shared" si="0"/>
        <v>0.63636363636363635</v>
      </c>
      <c r="G3" s="184">
        <f t="shared" si="0"/>
        <v>1</v>
      </c>
      <c r="H3" s="184">
        <f t="shared" si="0"/>
        <v>0.76190476190476186</v>
      </c>
      <c r="I3" s="184">
        <f t="shared" si="0"/>
        <v>0.63636363636363635</v>
      </c>
      <c r="J3" s="184">
        <f t="shared" si="0"/>
        <v>0.63636363636363635</v>
      </c>
      <c r="K3" s="184">
        <f t="shared" ref="K3:L3" si="1">COUNTIF(K5:K36,"Yes") / ( COUNTA(K5:K36) - COUNTIF(K5:K36,"NA"))</f>
        <v>1</v>
      </c>
      <c r="L3" s="227">
        <f t="shared" si="1"/>
        <v>1</v>
      </c>
      <c r="M3" s="227">
        <f t="shared" ref="M3:N3" si="2">COUNTIF(M5:M36,"Yes") / ( COUNTA(M5:M36) - COUNTIF(M5:M36,"NA"))</f>
        <v>1</v>
      </c>
      <c r="N3" s="227">
        <f t="shared" si="2"/>
        <v>1</v>
      </c>
      <c r="O3" s="227">
        <f t="shared" ref="O3:P3" si="3">COUNTIF(O5:O36,"Yes") / ( COUNTA(O5:O36) - COUNTIF(O5:O36,"NA"))</f>
        <v>1</v>
      </c>
      <c r="P3" s="227">
        <f t="shared" si="3"/>
        <v>0.9</v>
      </c>
      <c r="Q3" s="227">
        <f t="shared" ref="Q3:R3" si="4">COUNTIF(Q5:Q36,"Yes") / ( COUNTA(Q5:Q36) - COUNTIF(Q5:Q36,"NA"))</f>
        <v>0.86363636363636365</v>
      </c>
      <c r="R3" s="227">
        <f t="shared" si="4"/>
        <v>0.90909090909090906</v>
      </c>
      <c r="S3" s="227">
        <f t="shared" ref="S3:U3" si="5">COUNTIF(S5:S36,"Yes") / ( COUNTA(S5:S36) - COUNTIF(S5:S36,"NA"))</f>
        <v>0.81818181818181823</v>
      </c>
      <c r="T3" s="227">
        <f t="shared" si="5"/>
        <v>0.95</v>
      </c>
      <c r="U3" s="227">
        <f t="shared" si="5"/>
        <v>0.90909090909090906</v>
      </c>
      <c r="V3" s="227">
        <f t="shared" ref="V3:X3" si="6">COUNTIF(V5:V36,"Yes") / ( COUNTA(V5:V36) - COUNTIF(V5:V36,"NA"))</f>
        <v>0.90909090909090906</v>
      </c>
      <c r="W3" s="227">
        <f t="shared" si="6"/>
        <v>0.95</v>
      </c>
      <c r="X3" s="227">
        <f t="shared" si="6"/>
        <v>0.90909090909090906</v>
      </c>
      <c r="Y3" s="227">
        <f t="shared" ref="Y3:Z3" si="7">COUNTIF(Y5:Y36,"Yes") / ( COUNTA(Y5:Y36) - COUNTIF(Y5:Y36,"NA"))</f>
        <v>0.95454545454545459</v>
      </c>
      <c r="Z3" s="227">
        <f t="shared" si="7"/>
        <v>0.95454545454545459</v>
      </c>
      <c r="AA3" s="227">
        <f t="shared" ref="AA3:AC3" si="8">COUNTIF(AA5:AA36,"Yes") / ( COUNTA(AA5:AA36) - COUNTIF(AA5:AA36,"NA"))</f>
        <v>1</v>
      </c>
      <c r="AB3" s="227">
        <f t="shared" si="8"/>
        <v>1</v>
      </c>
      <c r="AC3" s="227">
        <f t="shared" si="8"/>
        <v>1</v>
      </c>
      <c r="AD3" s="189"/>
      <c r="AE3" s="197" t="s">
        <v>220</v>
      </c>
      <c r="AF3" s="197" t="s">
        <v>221</v>
      </c>
      <c r="AG3" s="190"/>
    </row>
    <row r="4" spans="1:33" ht="36">
      <c r="A4" s="185"/>
      <c r="B4" s="186" t="s">
        <v>225</v>
      </c>
      <c r="C4" s="187"/>
      <c r="D4" s="187"/>
      <c r="E4" s="187"/>
      <c r="F4" s="187"/>
      <c r="G4" s="187"/>
      <c r="H4" s="187"/>
      <c r="I4" s="187"/>
      <c r="J4" s="187"/>
      <c r="K4" s="187"/>
      <c r="L4" s="228"/>
      <c r="M4" s="228"/>
      <c r="N4" s="228"/>
      <c r="O4" s="228"/>
      <c r="P4" s="228"/>
      <c r="Q4" s="228"/>
      <c r="R4" s="228"/>
      <c r="S4" s="228"/>
      <c r="T4" s="228"/>
      <c r="U4" s="228"/>
      <c r="V4" s="228"/>
      <c r="W4" s="228"/>
      <c r="X4" s="228"/>
      <c r="Y4" s="228"/>
      <c r="Z4" s="228"/>
      <c r="AA4" s="228"/>
      <c r="AB4" s="228"/>
      <c r="AC4" s="228"/>
      <c r="AD4" s="187"/>
      <c r="AE4" s="187"/>
      <c r="AF4" s="188"/>
      <c r="AG4" s="25"/>
    </row>
    <row r="5" spans="1:33" ht="18.75">
      <c r="A5" s="156"/>
      <c r="B5" s="164" t="s">
        <v>216</v>
      </c>
      <c r="C5" s="157"/>
      <c r="D5" s="157"/>
      <c r="E5" s="157"/>
      <c r="F5" s="157"/>
      <c r="G5" s="157"/>
      <c r="H5" s="157"/>
      <c r="I5" s="157"/>
      <c r="J5" s="157"/>
      <c r="K5" s="157"/>
      <c r="L5" s="224"/>
      <c r="M5" s="224"/>
      <c r="N5" s="224"/>
      <c r="O5" s="224"/>
      <c r="P5" s="224"/>
      <c r="Q5" s="224"/>
      <c r="R5" s="224"/>
      <c r="S5" s="224"/>
      <c r="T5" s="224"/>
      <c r="U5" s="224"/>
      <c r="V5" s="224"/>
      <c r="W5" s="224"/>
      <c r="X5" s="224"/>
      <c r="Y5" s="224"/>
      <c r="Z5" s="224"/>
      <c r="AA5" s="224"/>
      <c r="AB5" s="224"/>
      <c r="AC5" s="224"/>
      <c r="AD5" s="157"/>
      <c r="AE5" s="197"/>
      <c r="AF5" s="197"/>
    </row>
    <row r="6" spans="1:33" ht="38.25">
      <c r="A6" s="159" t="s">
        <v>292</v>
      </c>
      <c r="B6" s="167" t="s">
        <v>229</v>
      </c>
      <c r="C6" s="191" t="s">
        <v>213</v>
      </c>
      <c r="D6" s="191" t="s">
        <v>213</v>
      </c>
      <c r="E6" s="191" t="s">
        <v>23</v>
      </c>
      <c r="F6" s="191" t="s">
        <v>23</v>
      </c>
      <c r="G6" s="191" t="s">
        <v>213</v>
      </c>
      <c r="H6" s="191" t="s">
        <v>213</v>
      </c>
      <c r="I6" s="191" t="s">
        <v>23</v>
      </c>
      <c r="J6" s="191" t="s">
        <v>23</v>
      </c>
      <c r="K6" s="191" t="s">
        <v>213</v>
      </c>
      <c r="L6" s="191" t="s">
        <v>213</v>
      </c>
      <c r="M6" s="191" t="s">
        <v>213</v>
      </c>
      <c r="N6" s="191" t="s">
        <v>213</v>
      </c>
      <c r="O6" s="191" t="s">
        <v>213</v>
      </c>
      <c r="P6" s="191" t="s">
        <v>213</v>
      </c>
      <c r="Q6" s="191" t="s">
        <v>213</v>
      </c>
      <c r="R6" s="191" t="s">
        <v>213</v>
      </c>
      <c r="S6" s="191" t="s">
        <v>213</v>
      </c>
      <c r="T6" s="191" t="s">
        <v>213</v>
      </c>
      <c r="U6" s="191" t="s">
        <v>213</v>
      </c>
      <c r="V6" s="191" t="s">
        <v>213</v>
      </c>
      <c r="W6" s="191" t="s">
        <v>213</v>
      </c>
      <c r="X6" s="191" t="s">
        <v>213</v>
      </c>
      <c r="Y6" s="191" t="s">
        <v>213</v>
      </c>
      <c r="Z6" s="191" t="s">
        <v>213</v>
      </c>
      <c r="AA6" s="191" t="s">
        <v>213</v>
      </c>
      <c r="AB6" s="191" t="s">
        <v>213</v>
      </c>
      <c r="AC6" s="191" t="s">
        <v>213</v>
      </c>
      <c r="AD6" s="192"/>
      <c r="AE6" s="158"/>
      <c r="AF6" s="158"/>
    </row>
    <row r="7" spans="1:33" ht="38.25">
      <c r="A7" s="159" t="s">
        <v>293</v>
      </c>
      <c r="B7" s="167" t="s">
        <v>230</v>
      </c>
      <c r="C7" s="191" t="s">
        <v>23</v>
      </c>
      <c r="D7" s="191" t="s">
        <v>23</v>
      </c>
      <c r="E7" s="191" t="s">
        <v>23</v>
      </c>
      <c r="F7" s="191" t="s">
        <v>23</v>
      </c>
      <c r="G7" s="191" t="s">
        <v>213</v>
      </c>
      <c r="H7" s="191" t="s">
        <v>23</v>
      </c>
      <c r="I7" s="191" t="s">
        <v>23</v>
      </c>
      <c r="J7" s="191" t="s">
        <v>23</v>
      </c>
      <c r="K7" s="191" t="s">
        <v>213</v>
      </c>
      <c r="L7" s="191" t="s">
        <v>213</v>
      </c>
      <c r="M7" s="191" t="s">
        <v>213</v>
      </c>
      <c r="N7" s="191" t="s">
        <v>213</v>
      </c>
      <c r="O7" s="191" t="s">
        <v>213</v>
      </c>
      <c r="P7" s="191" t="s">
        <v>23</v>
      </c>
      <c r="Q7" s="191" t="s">
        <v>213</v>
      </c>
      <c r="R7" s="191" t="s">
        <v>213</v>
      </c>
      <c r="S7" s="191" t="s">
        <v>213</v>
      </c>
      <c r="T7" s="191" t="s">
        <v>213</v>
      </c>
      <c r="U7" s="191" t="s">
        <v>213</v>
      </c>
      <c r="V7" s="191" t="s">
        <v>213</v>
      </c>
      <c r="W7" s="191" t="s">
        <v>213</v>
      </c>
      <c r="X7" s="191" t="s">
        <v>213</v>
      </c>
      <c r="Y7" s="191" t="s">
        <v>213</v>
      </c>
      <c r="Z7" s="191" t="s">
        <v>213</v>
      </c>
      <c r="AA7" s="191" t="s">
        <v>213</v>
      </c>
      <c r="AB7" s="191" t="s">
        <v>213</v>
      </c>
      <c r="AC7" s="191" t="s">
        <v>213</v>
      </c>
      <c r="AD7" s="192"/>
      <c r="AE7" s="158"/>
      <c r="AF7" s="158"/>
    </row>
    <row r="8" spans="1:33" ht="18.75">
      <c r="A8" s="156"/>
      <c r="B8" s="164" t="s">
        <v>262</v>
      </c>
      <c r="C8" s="157"/>
      <c r="D8" s="157"/>
      <c r="E8" s="157"/>
      <c r="F8" s="157"/>
      <c r="G8" s="157"/>
      <c r="H8" s="157"/>
      <c r="I8" s="157"/>
      <c r="J8" s="157"/>
      <c r="K8" s="157"/>
      <c r="L8" s="224"/>
      <c r="M8" s="224"/>
      <c r="N8" s="224"/>
      <c r="O8" s="224"/>
      <c r="P8" s="224"/>
      <c r="Q8" s="224"/>
      <c r="R8" s="224"/>
      <c r="S8" s="224"/>
      <c r="T8" s="224"/>
      <c r="U8" s="224"/>
      <c r="V8" s="224"/>
      <c r="W8" s="224"/>
      <c r="X8" s="224"/>
      <c r="Y8" s="224"/>
      <c r="Z8" s="224"/>
      <c r="AA8" s="224"/>
      <c r="AB8" s="224"/>
      <c r="AC8" s="224"/>
      <c r="AD8" s="157"/>
      <c r="AE8" s="197"/>
      <c r="AF8" s="197"/>
    </row>
    <row r="9" spans="1:33" ht="25.5">
      <c r="A9" s="159" t="s">
        <v>294</v>
      </c>
      <c r="B9" s="167" t="s">
        <v>274</v>
      </c>
      <c r="C9" s="191" t="s">
        <v>23</v>
      </c>
      <c r="D9" s="191" t="s">
        <v>23</v>
      </c>
      <c r="E9" s="191" t="s">
        <v>23</v>
      </c>
      <c r="F9" s="191" t="s">
        <v>23</v>
      </c>
      <c r="G9" s="191" t="s">
        <v>213</v>
      </c>
      <c r="H9" s="191" t="s">
        <v>23</v>
      </c>
      <c r="I9" s="191" t="s">
        <v>23</v>
      </c>
      <c r="J9" s="191" t="s">
        <v>23</v>
      </c>
      <c r="K9" s="191" t="s">
        <v>213</v>
      </c>
      <c r="L9" s="191" t="s">
        <v>213</v>
      </c>
      <c r="M9" s="191" t="s">
        <v>213</v>
      </c>
      <c r="N9" s="191" t="s">
        <v>213</v>
      </c>
      <c r="O9" s="191" t="s">
        <v>213</v>
      </c>
      <c r="P9" s="191" t="s">
        <v>213</v>
      </c>
      <c r="Q9" s="191" t="s">
        <v>213</v>
      </c>
      <c r="R9" s="191" t="s">
        <v>213</v>
      </c>
      <c r="S9" s="191" t="s">
        <v>213</v>
      </c>
      <c r="T9" s="191" t="s">
        <v>213</v>
      </c>
      <c r="U9" s="191" t="s">
        <v>213</v>
      </c>
      <c r="V9" s="191" t="s">
        <v>213</v>
      </c>
      <c r="W9" s="191" t="s">
        <v>213</v>
      </c>
      <c r="X9" s="191" t="s">
        <v>213</v>
      </c>
      <c r="Y9" s="191" t="s">
        <v>213</v>
      </c>
      <c r="Z9" s="191" t="s">
        <v>213</v>
      </c>
      <c r="AA9" s="191" t="s">
        <v>213</v>
      </c>
      <c r="AB9" s="191" t="s">
        <v>213</v>
      </c>
      <c r="AC9" s="191" t="s">
        <v>213</v>
      </c>
      <c r="AD9" s="192"/>
      <c r="AE9" s="158"/>
      <c r="AF9" s="158"/>
    </row>
    <row r="10" spans="1:33" ht="25.5">
      <c r="A10" s="159" t="s">
        <v>295</v>
      </c>
      <c r="B10" s="167" t="s">
        <v>275</v>
      </c>
      <c r="C10" s="191" t="s">
        <v>23</v>
      </c>
      <c r="D10" s="191" t="s">
        <v>23</v>
      </c>
      <c r="E10" s="191" t="s">
        <v>23</v>
      </c>
      <c r="F10" s="191" t="s">
        <v>23</v>
      </c>
      <c r="G10" s="191" t="s">
        <v>213</v>
      </c>
      <c r="H10" s="191" t="s">
        <v>23</v>
      </c>
      <c r="I10" s="191" t="s">
        <v>23</v>
      </c>
      <c r="J10" s="191" t="s">
        <v>23</v>
      </c>
      <c r="K10" s="191" t="s">
        <v>213</v>
      </c>
      <c r="L10" s="191" t="s">
        <v>213</v>
      </c>
      <c r="M10" s="191" t="s">
        <v>213</v>
      </c>
      <c r="N10" s="191" t="s">
        <v>213</v>
      </c>
      <c r="O10" s="191" t="s">
        <v>213</v>
      </c>
      <c r="P10" s="191" t="s">
        <v>11</v>
      </c>
      <c r="Q10" s="191" t="s">
        <v>23</v>
      </c>
      <c r="R10" s="191" t="s">
        <v>23</v>
      </c>
      <c r="S10" s="191" t="s">
        <v>23</v>
      </c>
      <c r="T10" s="191" t="s">
        <v>11</v>
      </c>
      <c r="U10" s="191" t="s">
        <v>23</v>
      </c>
      <c r="V10" s="191" t="s">
        <v>213</v>
      </c>
      <c r="W10" s="191" t="s">
        <v>11</v>
      </c>
      <c r="X10" s="191" t="s">
        <v>213</v>
      </c>
      <c r="Y10" s="191" t="s">
        <v>213</v>
      </c>
      <c r="Z10" s="191" t="s">
        <v>213</v>
      </c>
      <c r="AA10" s="191" t="s">
        <v>213</v>
      </c>
      <c r="AB10" s="191" t="s">
        <v>213</v>
      </c>
      <c r="AC10" s="191" t="s">
        <v>11</v>
      </c>
      <c r="AD10" s="200" t="s">
        <v>359</v>
      </c>
      <c r="AE10" s="158"/>
      <c r="AF10" s="158"/>
    </row>
    <row r="11" spans="1:33" ht="38.25">
      <c r="A11" s="159" t="s">
        <v>296</v>
      </c>
      <c r="B11" s="167" t="s">
        <v>297</v>
      </c>
      <c r="C11" s="191" t="s">
        <v>23</v>
      </c>
      <c r="D11" s="191" t="s">
        <v>23</v>
      </c>
      <c r="E11" s="191" t="s">
        <v>23</v>
      </c>
      <c r="F11" s="191" t="s">
        <v>23</v>
      </c>
      <c r="G11" s="191" t="s">
        <v>213</v>
      </c>
      <c r="H11" s="191" t="s">
        <v>23</v>
      </c>
      <c r="I11" s="191" t="s">
        <v>23</v>
      </c>
      <c r="J11" s="191" t="s">
        <v>23</v>
      </c>
      <c r="K11" s="191" t="s">
        <v>213</v>
      </c>
      <c r="L11" s="191" t="s">
        <v>213</v>
      </c>
      <c r="M11" s="191" t="s">
        <v>213</v>
      </c>
      <c r="N11" s="191" t="s">
        <v>213</v>
      </c>
      <c r="O11" s="191" t="s">
        <v>213</v>
      </c>
      <c r="P11" s="191" t="s">
        <v>23</v>
      </c>
      <c r="Q11" s="191" t="s">
        <v>23</v>
      </c>
      <c r="R11" s="191" t="s">
        <v>23</v>
      </c>
      <c r="S11" s="191" t="s">
        <v>23</v>
      </c>
      <c r="T11" s="191" t="s">
        <v>23</v>
      </c>
      <c r="U11" s="191" t="s">
        <v>23</v>
      </c>
      <c r="V11" s="191" t="s">
        <v>23</v>
      </c>
      <c r="W11" s="191" t="s">
        <v>23</v>
      </c>
      <c r="X11" s="191" t="s">
        <v>23</v>
      </c>
      <c r="Y11" s="191" t="s">
        <v>23</v>
      </c>
      <c r="Z11" s="191" t="s">
        <v>23</v>
      </c>
      <c r="AA11" s="191" t="s">
        <v>213</v>
      </c>
      <c r="AB11" s="191" t="s">
        <v>213</v>
      </c>
      <c r="AC11" s="191" t="s">
        <v>213</v>
      </c>
      <c r="AD11" s="192"/>
      <c r="AE11" s="158"/>
      <c r="AF11" s="158"/>
    </row>
    <row r="12" spans="1:33" ht="63.75">
      <c r="A12" s="159" t="s">
        <v>298</v>
      </c>
      <c r="B12" s="167" t="s">
        <v>299</v>
      </c>
      <c r="C12" s="191" t="s">
        <v>213</v>
      </c>
      <c r="D12" s="191" t="s">
        <v>213</v>
      </c>
      <c r="E12" s="191" t="s">
        <v>213</v>
      </c>
      <c r="F12" s="191" t="s">
        <v>213</v>
      </c>
      <c r="G12" s="191" t="s">
        <v>213</v>
      </c>
      <c r="H12" s="191" t="s">
        <v>213</v>
      </c>
      <c r="I12" s="191" t="s">
        <v>213</v>
      </c>
      <c r="J12" s="191" t="s">
        <v>213</v>
      </c>
      <c r="K12" s="191" t="s">
        <v>213</v>
      </c>
      <c r="L12" s="191" t="s">
        <v>213</v>
      </c>
      <c r="M12" s="191" t="s">
        <v>213</v>
      </c>
      <c r="N12" s="191" t="s">
        <v>213</v>
      </c>
      <c r="O12" s="191" t="s">
        <v>213</v>
      </c>
      <c r="P12" s="191" t="s">
        <v>213</v>
      </c>
      <c r="Q12" s="191" t="s">
        <v>213</v>
      </c>
      <c r="R12" s="191" t="s">
        <v>213</v>
      </c>
      <c r="S12" s="191" t="s">
        <v>213</v>
      </c>
      <c r="T12" s="191" t="s">
        <v>213</v>
      </c>
      <c r="U12" s="191" t="s">
        <v>213</v>
      </c>
      <c r="V12" s="191" t="s">
        <v>213</v>
      </c>
      <c r="W12" s="191" t="s">
        <v>213</v>
      </c>
      <c r="X12" s="191" t="s">
        <v>213</v>
      </c>
      <c r="Y12" s="191" t="s">
        <v>213</v>
      </c>
      <c r="Z12" s="191" t="s">
        <v>213</v>
      </c>
      <c r="AA12" s="191" t="s">
        <v>213</v>
      </c>
      <c r="AB12" s="191" t="s">
        <v>213</v>
      </c>
      <c r="AC12" s="191" t="s">
        <v>213</v>
      </c>
      <c r="AD12" s="192"/>
      <c r="AE12" s="158"/>
      <c r="AF12" s="158"/>
    </row>
    <row r="13" spans="1:33" ht="63.75">
      <c r="A13" s="159" t="s">
        <v>300</v>
      </c>
      <c r="B13" s="167" t="s">
        <v>301</v>
      </c>
      <c r="C13" s="191" t="s">
        <v>213</v>
      </c>
      <c r="D13" s="191" t="s">
        <v>213</v>
      </c>
      <c r="E13" s="191" t="s">
        <v>213</v>
      </c>
      <c r="F13" s="191" t="s">
        <v>213</v>
      </c>
      <c r="G13" s="191" t="s">
        <v>213</v>
      </c>
      <c r="H13" s="191" t="s">
        <v>213</v>
      </c>
      <c r="I13" s="191" t="s">
        <v>213</v>
      </c>
      <c r="J13" s="191" t="s">
        <v>213</v>
      </c>
      <c r="K13" s="191" t="s">
        <v>213</v>
      </c>
      <c r="L13" s="191" t="s">
        <v>213</v>
      </c>
      <c r="M13" s="191" t="s">
        <v>213</v>
      </c>
      <c r="N13" s="191" t="s">
        <v>213</v>
      </c>
      <c r="O13" s="191" t="s">
        <v>213</v>
      </c>
      <c r="P13" s="191" t="s">
        <v>213</v>
      </c>
      <c r="Q13" s="191" t="s">
        <v>213</v>
      </c>
      <c r="R13" s="191" t="s">
        <v>213</v>
      </c>
      <c r="S13" s="191" t="s">
        <v>213</v>
      </c>
      <c r="T13" s="191" t="s">
        <v>213</v>
      </c>
      <c r="U13" s="191" t="s">
        <v>213</v>
      </c>
      <c r="V13" s="191" t="s">
        <v>213</v>
      </c>
      <c r="W13" s="191" t="s">
        <v>213</v>
      </c>
      <c r="X13" s="191" t="s">
        <v>213</v>
      </c>
      <c r="Y13" s="191" t="s">
        <v>213</v>
      </c>
      <c r="Z13" s="191" t="s">
        <v>213</v>
      </c>
      <c r="AA13" s="191" t="s">
        <v>213</v>
      </c>
      <c r="AB13" s="191" t="s">
        <v>213</v>
      </c>
      <c r="AC13" s="191" t="s">
        <v>213</v>
      </c>
      <c r="AD13" s="192"/>
      <c r="AE13" s="158"/>
      <c r="AF13" s="158"/>
    </row>
    <row r="14" spans="1:33" ht="25.5">
      <c r="A14" s="159" t="s">
        <v>302</v>
      </c>
      <c r="B14" s="167" t="s">
        <v>276</v>
      </c>
      <c r="C14" s="191" t="s">
        <v>213</v>
      </c>
      <c r="D14" s="191" t="s">
        <v>213</v>
      </c>
      <c r="E14" s="191" t="s">
        <v>23</v>
      </c>
      <c r="F14" s="191" t="s">
        <v>23</v>
      </c>
      <c r="G14" s="191" t="s">
        <v>213</v>
      </c>
      <c r="H14" s="191" t="s">
        <v>213</v>
      </c>
      <c r="I14" s="191" t="s">
        <v>23</v>
      </c>
      <c r="J14" s="191" t="s">
        <v>23</v>
      </c>
      <c r="K14" s="191" t="s">
        <v>213</v>
      </c>
      <c r="L14" s="191" t="s">
        <v>213</v>
      </c>
      <c r="M14" s="191" t="s">
        <v>213</v>
      </c>
      <c r="N14" s="191" t="s">
        <v>213</v>
      </c>
      <c r="O14" s="191" t="s">
        <v>213</v>
      </c>
      <c r="P14" s="191" t="s">
        <v>213</v>
      </c>
      <c r="Q14" s="191" t="s">
        <v>23</v>
      </c>
      <c r="R14" s="191" t="s">
        <v>213</v>
      </c>
      <c r="S14" s="191" t="s">
        <v>23</v>
      </c>
      <c r="T14" s="191" t="s">
        <v>213</v>
      </c>
      <c r="U14" s="191" t="s">
        <v>213</v>
      </c>
      <c r="V14" s="191" t="s">
        <v>213</v>
      </c>
      <c r="W14" s="191" t="s">
        <v>213</v>
      </c>
      <c r="X14" s="191" t="s">
        <v>213</v>
      </c>
      <c r="Y14" s="191" t="s">
        <v>213</v>
      </c>
      <c r="Z14" s="191" t="s">
        <v>213</v>
      </c>
      <c r="AA14" s="191" t="s">
        <v>213</v>
      </c>
      <c r="AB14" s="191" t="s">
        <v>213</v>
      </c>
      <c r="AC14" s="191" t="s">
        <v>213</v>
      </c>
      <c r="AD14" s="192"/>
      <c r="AE14" s="158"/>
      <c r="AF14" s="158"/>
    </row>
    <row r="15" spans="1:33" ht="25.5">
      <c r="A15" s="159" t="s">
        <v>303</v>
      </c>
      <c r="B15" s="167" t="s">
        <v>277</v>
      </c>
      <c r="C15" s="191" t="s">
        <v>23</v>
      </c>
      <c r="D15" s="191" t="s">
        <v>213</v>
      </c>
      <c r="E15" s="191" t="s">
        <v>23</v>
      </c>
      <c r="F15" s="191" t="s">
        <v>23</v>
      </c>
      <c r="G15" s="191" t="s">
        <v>213</v>
      </c>
      <c r="H15" s="191" t="s">
        <v>213</v>
      </c>
      <c r="I15" s="191" t="s">
        <v>23</v>
      </c>
      <c r="J15" s="191" t="s">
        <v>23</v>
      </c>
      <c r="K15" s="191" t="s">
        <v>213</v>
      </c>
      <c r="L15" s="191" t="s">
        <v>213</v>
      </c>
      <c r="M15" s="191" t="s">
        <v>213</v>
      </c>
      <c r="N15" s="191" t="s">
        <v>213</v>
      </c>
      <c r="O15" s="191" t="s">
        <v>213</v>
      </c>
      <c r="P15" s="191" t="s">
        <v>213</v>
      </c>
      <c r="Q15" s="191" t="s">
        <v>213</v>
      </c>
      <c r="R15" s="191" t="s">
        <v>213</v>
      </c>
      <c r="S15" s="191" t="s">
        <v>213</v>
      </c>
      <c r="T15" s="191" t="s">
        <v>213</v>
      </c>
      <c r="U15" s="191" t="s">
        <v>213</v>
      </c>
      <c r="V15" s="191" t="s">
        <v>213</v>
      </c>
      <c r="W15" s="191" t="s">
        <v>213</v>
      </c>
      <c r="X15" s="191" t="s">
        <v>213</v>
      </c>
      <c r="Y15" s="191" t="s">
        <v>213</v>
      </c>
      <c r="Z15" s="191" t="s">
        <v>213</v>
      </c>
      <c r="AA15" s="191" t="s">
        <v>213</v>
      </c>
      <c r="AB15" s="191" t="s">
        <v>213</v>
      </c>
      <c r="AC15" s="191" t="s">
        <v>213</v>
      </c>
      <c r="AD15" s="192"/>
      <c r="AE15" s="158"/>
      <c r="AF15" s="158"/>
    </row>
    <row r="16" spans="1:33" ht="25.5">
      <c r="A16" s="159" t="s">
        <v>304</v>
      </c>
      <c r="B16" s="167" t="s">
        <v>278</v>
      </c>
      <c r="C16" s="191" t="s">
        <v>11</v>
      </c>
      <c r="D16" s="191" t="s">
        <v>11</v>
      </c>
      <c r="E16" s="191" t="s">
        <v>11</v>
      </c>
      <c r="F16" s="191" t="s">
        <v>11</v>
      </c>
      <c r="G16" s="191" t="s">
        <v>11</v>
      </c>
      <c r="H16" s="191" t="s">
        <v>11</v>
      </c>
      <c r="I16" s="191" t="s">
        <v>11</v>
      </c>
      <c r="J16" s="191" t="s">
        <v>11</v>
      </c>
      <c r="K16" s="191" t="s">
        <v>11</v>
      </c>
      <c r="L16" s="191" t="s">
        <v>11</v>
      </c>
      <c r="M16" s="191" t="s">
        <v>11</v>
      </c>
      <c r="N16" s="191" t="s">
        <v>11</v>
      </c>
      <c r="O16" s="191" t="s">
        <v>11</v>
      </c>
      <c r="P16" s="191" t="s">
        <v>11</v>
      </c>
      <c r="Q16" s="191" t="s">
        <v>11</v>
      </c>
      <c r="R16" s="191" t="s">
        <v>11</v>
      </c>
      <c r="S16" s="191" t="s">
        <v>11</v>
      </c>
      <c r="T16" s="191" t="s">
        <v>11</v>
      </c>
      <c r="U16" s="191" t="s">
        <v>11</v>
      </c>
      <c r="V16" s="191" t="s">
        <v>11</v>
      </c>
      <c r="W16" s="191" t="s">
        <v>11</v>
      </c>
      <c r="X16" s="191" t="s">
        <v>11</v>
      </c>
      <c r="Y16" s="191" t="s">
        <v>11</v>
      </c>
      <c r="Z16" s="191" t="s">
        <v>11</v>
      </c>
      <c r="AA16" s="191" t="s">
        <v>11</v>
      </c>
      <c r="AB16" s="191" t="s">
        <v>11</v>
      </c>
      <c r="AC16" s="191" t="s">
        <v>11</v>
      </c>
      <c r="AD16" s="192" t="s">
        <v>357</v>
      </c>
      <c r="AE16" s="158"/>
      <c r="AF16" s="158"/>
    </row>
    <row r="17" spans="1:32" ht="51">
      <c r="A17" s="159" t="s">
        <v>305</v>
      </c>
      <c r="B17" s="167" t="s">
        <v>279</v>
      </c>
      <c r="C17" s="191" t="s">
        <v>11</v>
      </c>
      <c r="D17" s="191" t="s">
        <v>11</v>
      </c>
      <c r="E17" s="191" t="s">
        <v>213</v>
      </c>
      <c r="F17" s="191" t="s">
        <v>213</v>
      </c>
      <c r="G17" s="191" t="s">
        <v>11</v>
      </c>
      <c r="H17" s="191" t="s">
        <v>11</v>
      </c>
      <c r="I17" s="191" t="s">
        <v>213</v>
      </c>
      <c r="J17" s="191" t="s">
        <v>213</v>
      </c>
      <c r="K17" s="191" t="s">
        <v>213</v>
      </c>
      <c r="L17" s="191" t="s">
        <v>213</v>
      </c>
      <c r="M17" s="191" t="s">
        <v>213</v>
      </c>
      <c r="N17" s="191" t="s">
        <v>213</v>
      </c>
      <c r="O17" s="191" t="s">
        <v>213</v>
      </c>
      <c r="P17" s="191" t="s">
        <v>11</v>
      </c>
      <c r="Q17" s="191" t="s">
        <v>213</v>
      </c>
      <c r="R17" s="191" t="s">
        <v>213</v>
      </c>
      <c r="S17" s="191" t="s">
        <v>23</v>
      </c>
      <c r="T17" s="191" t="s">
        <v>11</v>
      </c>
      <c r="U17" s="191" t="s">
        <v>213</v>
      </c>
      <c r="V17" s="191" t="s">
        <v>23</v>
      </c>
      <c r="W17" s="191" t="s">
        <v>11</v>
      </c>
      <c r="X17" s="191" t="s">
        <v>23</v>
      </c>
      <c r="Y17" s="191" t="s">
        <v>213</v>
      </c>
      <c r="Z17" s="191" t="s">
        <v>213</v>
      </c>
      <c r="AA17" s="191" t="s">
        <v>213</v>
      </c>
      <c r="AB17" s="191" t="s">
        <v>213</v>
      </c>
      <c r="AC17" s="191" t="s">
        <v>11</v>
      </c>
      <c r="AD17" s="192"/>
      <c r="AE17" s="158"/>
      <c r="AF17" s="158"/>
    </row>
    <row r="18" spans="1:32" ht="38.25">
      <c r="A18" s="159" t="s">
        <v>306</v>
      </c>
      <c r="B18" s="167" t="s">
        <v>280</v>
      </c>
      <c r="C18" s="191" t="s">
        <v>213</v>
      </c>
      <c r="D18" s="191" t="s">
        <v>213</v>
      </c>
      <c r="E18" s="191" t="s">
        <v>213</v>
      </c>
      <c r="F18" s="191" t="s">
        <v>213</v>
      </c>
      <c r="G18" s="191" t="s">
        <v>213</v>
      </c>
      <c r="H18" s="191" t="s">
        <v>213</v>
      </c>
      <c r="I18" s="191" t="s">
        <v>213</v>
      </c>
      <c r="J18" s="191" t="s">
        <v>213</v>
      </c>
      <c r="K18" s="191" t="s">
        <v>213</v>
      </c>
      <c r="L18" s="191" t="s">
        <v>213</v>
      </c>
      <c r="M18" s="191" t="s">
        <v>213</v>
      </c>
      <c r="N18" s="191" t="s">
        <v>213</v>
      </c>
      <c r="O18" s="191" t="s">
        <v>213</v>
      </c>
      <c r="P18" s="191" t="s">
        <v>213</v>
      </c>
      <c r="Q18" s="191" t="s">
        <v>213</v>
      </c>
      <c r="R18" s="191" t="s">
        <v>213</v>
      </c>
      <c r="S18" s="191" t="s">
        <v>213</v>
      </c>
      <c r="T18" s="191" t="s">
        <v>213</v>
      </c>
      <c r="U18" s="191" t="s">
        <v>213</v>
      </c>
      <c r="V18" s="191" t="s">
        <v>213</v>
      </c>
      <c r="W18" s="191" t="s">
        <v>213</v>
      </c>
      <c r="X18" s="191" t="s">
        <v>213</v>
      </c>
      <c r="Y18" s="191" t="s">
        <v>213</v>
      </c>
      <c r="Z18" s="191" t="s">
        <v>213</v>
      </c>
      <c r="AA18" s="191" t="s">
        <v>213</v>
      </c>
      <c r="AB18" s="191" t="s">
        <v>213</v>
      </c>
      <c r="AC18" s="191" t="s">
        <v>213</v>
      </c>
      <c r="AD18" s="192"/>
      <c r="AE18" s="158"/>
      <c r="AF18" s="158"/>
    </row>
    <row r="19" spans="1:32" ht="51">
      <c r="A19" s="159" t="s">
        <v>307</v>
      </c>
      <c r="B19" s="167" t="s">
        <v>281</v>
      </c>
      <c r="C19" s="191" t="s">
        <v>213</v>
      </c>
      <c r="D19" s="191" t="s">
        <v>213</v>
      </c>
      <c r="E19" s="191" t="s">
        <v>213</v>
      </c>
      <c r="F19" s="191" t="s">
        <v>213</v>
      </c>
      <c r="G19" s="191" t="s">
        <v>213</v>
      </c>
      <c r="H19" s="191" t="s">
        <v>213</v>
      </c>
      <c r="I19" s="191" t="s">
        <v>213</v>
      </c>
      <c r="J19" s="191" t="s">
        <v>213</v>
      </c>
      <c r="K19" s="191" t="s">
        <v>213</v>
      </c>
      <c r="L19" s="191" t="s">
        <v>213</v>
      </c>
      <c r="M19" s="191" t="s">
        <v>213</v>
      </c>
      <c r="N19" s="191" t="s">
        <v>213</v>
      </c>
      <c r="O19" s="191" t="s">
        <v>213</v>
      </c>
      <c r="P19" s="191" t="s">
        <v>213</v>
      </c>
      <c r="Q19" s="191" t="s">
        <v>213</v>
      </c>
      <c r="R19" s="191" t="s">
        <v>213</v>
      </c>
      <c r="S19" s="191" t="s">
        <v>213</v>
      </c>
      <c r="T19" s="191" t="s">
        <v>213</v>
      </c>
      <c r="U19" s="191" t="s">
        <v>213</v>
      </c>
      <c r="V19" s="191" t="s">
        <v>213</v>
      </c>
      <c r="W19" s="191" t="s">
        <v>213</v>
      </c>
      <c r="X19" s="191" t="s">
        <v>213</v>
      </c>
      <c r="Y19" s="191" t="s">
        <v>213</v>
      </c>
      <c r="Z19" s="191" t="s">
        <v>213</v>
      </c>
      <c r="AA19" s="191" t="s">
        <v>213</v>
      </c>
      <c r="AB19" s="191" t="s">
        <v>213</v>
      </c>
      <c r="AC19" s="191" t="s">
        <v>213</v>
      </c>
      <c r="AD19" s="192"/>
      <c r="AE19" s="158"/>
      <c r="AF19" s="158"/>
    </row>
    <row r="20" spans="1:32" ht="38.25">
      <c r="A20" s="159" t="s">
        <v>308</v>
      </c>
      <c r="B20" s="167" t="s">
        <v>282</v>
      </c>
      <c r="C20" s="191" t="s">
        <v>213</v>
      </c>
      <c r="D20" s="191" t="s">
        <v>213</v>
      </c>
      <c r="E20" s="191" t="s">
        <v>213</v>
      </c>
      <c r="F20" s="191" t="s">
        <v>213</v>
      </c>
      <c r="G20" s="191" t="s">
        <v>213</v>
      </c>
      <c r="H20" s="191" t="s">
        <v>213</v>
      </c>
      <c r="I20" s="191" t="s">
        <v>213</v>
      </c>
      <c r="J20" s="191" t="s">
        <v>213</v>
      </c>
      <c r="K20" s="191" t="s">
        <v>213</v>
      </c>
      <c r="L20" s="191" t="s">
        <v>213</v>
      </c>
      <c r="M20" s="191" t="s">
        <v>213</v>
      </c>
      <c r="N20" s="191" t="s">
        <v>213</v>
      </c>
      <c r="O20" s="191" t="s">
        <v>213</v>
      </c>
      <c r="P20" s="191" t="s">
        <v>213</v>
      </c>
      <c r="Q20" s="191" t="s">
        <v>213</v>
      </c>
      <c r="R20" s="191" t="s">
        <v>213</v>
      </c>
      <c r="S20" s="191" t="s">
        <v>213</v>
      </c>
      <c r="T20" s="191" t="s">
        <v>213</v>
      </c>
      <c r="U20" s="191" t="s">
        <v>213</v>
      </c>
      <c r="V20" s="191" t="s">
        <v>213</v>
      </c>
      <c r="W20" s="191" t="s">
        <v>213</v>
      </c>
      <c r="X20" s="191" t="s">
        <v>213</v>
      </c>
      <c r="Y20" s="191" t="s">
        <v>213</v>
      </c>
      <c r="Z20" s="191" t="s">
        <v>213</v>
      </c>
      <c r="AA20" s="191" t="s">
        <v>213</v>
      </c>
      <c r="AB20" s="191" t="s">
        <v>213</v>
      </c>
      <c r="AC20" s="191" t="s">
        <v>213</v>
      </c>
      <c r="AD20" s="192"/>
      <c r="AE20" s="158"/>
      <c r="AF20" s="158"/>
    </row>
    <row r="21" spans="1:32" ht="25.5">
      <c r="A21" s="159" t="s">
        <v>309</v>
      </c>
      <c r="B21" s="167" t="s">
        <v>283</v>
      </c>
      <c r="C21" s="191" t="s">
        <v>213</v>
      </c>
      <c r="D21" s="191" t="s">
        <v>213</v>
      </c>
      <c r="E21" s="191" t="s">
        <v>213</v>
      </c>
      <c r="F21" s="191" t="s">
        <v>213</v>
      </c>
      <c r="G21" s="191" t="s">
        <v>213</v>
      </c>
      <c r="H21" s="191" t="s">
        <v>213</v>
      </c>
      <c r="I21" s="191" t="s">
        <v>213</v>
      </c>
      <c r="J21" s="191" t="s">
        <v>213</v>
      </c>
      <c r="K21" s="191" t="s">
        <v>213</v>
      </c>
      <c r="L21" s="191" t="s">
        <v>213</v>
      </c>
      <c r="M21" s="191" t="s">
        <v>213</v>
      </c>
      <c r="N21" s="191" t="s">
        <v>213</v>
      </c>
      <c r="O21" s="191" t="s">
        <v>213</v>
      </c>
      <c r="P21" s="191" t="s">
        <v>213</v>
      </c>
      <c r="Q21" s="191" t="s">
        <v>213</v>
      </c>
      <c r="R21" s="191" t="s">
        <v>213</v>
      </c>
      <c r="S21" s="191" t="s">
        <v>213</v>
      </c>
      <c r="T21" s="191" t="s">
        <v>213</v>
      </c>
      <c r="U21" s="191" t="s">
        <v>213</v>
      </c>
      <c r="V21" s="191" t="s">
        <v>213</v>
      </c>
      <c r="W21" s="191" t="s">
        <v>213</v>
      </c>
      <c r="X21" s="191" t="s">
        <v>213</v>
      </c>
      <c r="Y21" s="191" t="s">
        <v>213</v>
      </c>
      <c r="Z21" s="191" t="s">
        <v>213</v>
      </c>
      <c r="AA21" s="191" t="s">
        <v>213</v>
      </c>
      <c r="AB21" s="191" t="s">
        <v>213</v>
      </c>
      <c r="AC21" s="191" t="s">
        <v>213</v>
      </c>
      <c r="AD21" s="192"/>
      <c r="AE21" s="158"/>
      <c r="AF21" s="158"/>
    </row>
    <row r="22" spans="1:32" ht="38.25">
      <c r="A22" s="159" t="s">
        <v>310</v>
      </c>
      <c r="B22" s="167" t="s">
        <v>284</v>
      </c>
      <c r="C22" s="191" t="s">
        <v>213</v>
      </c>
      <c r="D22" s="191" t="s">
        <v>213</v>
      </c>
      <c r="E22" s="191" t="s">
        <v>213</v>
      </c>
      <c r="F22" s="191" t="s">
        <v>213</v>
      </c>
      <c r="G22" s="191" t="s">
        <v>213</v>
      </c>
      <c r="H22" s="191" t="s">
        <v>213</v>
      </c>
      <c r="I22" s="191" t="s">
        <v>213</v>
      </c>
      <c r="J22" s="191" t="s">
        <v>213</v>
      </c>
      <c r="K22" s="191" t="s">
        <v>213</v>
      </c>
      <c r="L22" s="191" t="s">
        <v>213</v>
      </c>
      <c r="M22" s="191" t="s">
        <v>213</v>
      </c>
      <c r="N22" s="191" t="s">
        <v>213</v>
      </c>
      <c r="O22" s="191" t="s">
        <v>213</v>
      </c>
      <c r="P22" s="191" t="s">
        <v>213</v>
      </c>
      <c r="Q22" s="191" t="s">
        <v>213</v>
      </c>
      <c r="R22" s="191" t="s">
        <v>213</v>
      </c>
      <c r="S22" s="191" t="s">
        <v>213</v>
      </c>
      <c r="T22" s="191" t="s">
        <v>213</v>
      </c>
      <c r="U22" s="191" t="s">
        <v>213</v>
      </c>
      <c r="V22" s="191" t="s">
        <v>213</v>
      </c>
      <c r="W22" s="191" t="s">
        <v>213</v>
      </c>
      <c r="X22" s="191" t="s">
        <v>213</v>
      </c>
      <c r="Y22" s="191" t="s">
        <v>213</v>
      </c>
      <c r="Z22" s="191" t="s">
        <v>213</v>
      </c>
      <c r="AA22" s="191" t="s">
        <v>213</v>
      </c>
      <c r="AB22" s="191" t="s">
        <v>213</v>
      </c>
      <c r="AC22" s="191" t="s">
        <v>213</v>
      </c>
      <c r="AD22" s="192"/>
      <c r="AE22" s="158"/>
      <c r="AF22" s="158"/>
    </row>
    <row r="23" spans="1:32" ht="25.5">
      <c r="A23" s="159" t="s">
        <v>311</v>
      </c>
      <c r="B23" s="167" t="s">
        <v>285</v>
      </c>
      <c r="C23" s="191" t="s">
        <v>213</v>
      </c>
      <c r="D23" s="191" t="s">
        <v>213</v>
      </c>
      <c r="E23" s="191" t="s">
        <v>213</v>
      </c>
      <c r="F23" s="191" t="s">
        <v>213</v>
      </c>
      <c r="G23" s="191" t="s">
        <v>213</v>
      </c>
      <c r="H23" s="191" t="s">
        <v>213</v>
      </c>
      <c r="I23" s="191" t="s">
        <v>213</v>
      </c>
      <c r="J23" s="191" t="s">
        <v>213</v>
      </c>
      <c r="K23" s="191" t="s">
        <v>213</v>
      </c>
      <c r="L23" s="191" t="s">
        <v>213</v>
      </c>
      <c r="M23" s="191" t="s">
        <v>213</v>
      </c>
      <c r="N23" s="191" t="s">
        <v>213</v>
      </c>
      <c r="O23" s="191" t="s">
        <v>213</v>
      </c>
      <c r="P23" s="191" t="s">
        <v>213</v>
      </c>
      <c r="Q23" s="191" t="s">
        <v>213</v>
      </c>
      <c r="R23" s="191" t="s">
        <v>213</v>
      </c>
      <c r="S23" s="191" t="s">
        <v>213</v>
      </c>
      <c r="T23" s="191" t="s">
        <v>213</v>
      </c>
      <c r="U23" s="191" t="s">
        <v>213</v>
      </c>
      <c r="V23" s="191" t="s">
        <v>213</v>
      </c>
      <c r="W23" s="191" t="s">
        <v>213</v>
      </c>
      <c r="X23" s="191" t="s">
        <v>213</v>
      </c>
      <c r="Y23" s="191" t="s">
        <v>213</v>
      </c>
      <c r="Z23" s="191" t="s">
        <v>213</v>
      </c>
      <c r="AA23" s="191" t="s">
        <v>213</v>
      </c>
      <c r="AB23" s="191" t="s">
        <v>213</v>
      </c>
      <c r="AC23" s="191" t="s">
        <v>213</v>
      </c>
      <c r="AD23" s="192"/>
      <c r="AE23" s="158"/>
      <c r="AF23" s="158"/>
    </row>
    <row r="24" spans="1:32" ht="18.75">
      <c r="A24" s="156"/>
      <c r="B24" s="164" t="s">
        <v>217</v>
      </c>
      <c r="C24" s="157"/>
      <c r="D24" s="157"/>
      <c r="E24" s="157"/>
      <c r="F24" s="157"/>
      <c r="G24" s="157"/>
      <c r="H24" s="157"/>
      <c r="I24" s="157"/>
      <c r="J24" s="157"/>
      <c r="K24" s="157"/>
      <c r="L24" s="224"/>
      <c r="M24" s="224"/>
      <c r="N24" s="224"/>
      <c r="O24" s="224"/>
      <c r="P24" s="224"/>
      <c r="Q24" s="224"/>
      <c r="R24" s="224"/>
      <c r="S24" s="224"/>
      <c r="T24" s="224"/>
      <c r="U24" s="224"/>
      <c r="V24" s="224"/>
      <c r="W24" s="224"/>
      <c r="X24" s="224"/>
      <c r="Y24" s="224"/>
      <c r="Z24" s="224"/>
      <c r="AA24" s="224"/>
      <c r="AB24" s="224"/>
      <c r="AC24" s="224"/>
      <c r="AD24" s="157"/>
      <c r="AE24" s="197"/>
      <c r="AF24" s="197"/>
    </row>
    <row r="25" spans="1:32" ht="38.25">
      <c r="A25" s="159" t="s">
        <v>312</v>
      </c>
      <c r="B25" s="167" t="s">
        <v>207</v>
      </c>
      <c r="C25" s="191" t="s">
        <v>23</v>
      </c>
      <c r="D25" s="191" t="s">
        <v>23</v>
      </c>
      <c r="E25" s="191" t="s">
        <v>23</v>
      </c>
      <c r="F25" s="191" t="s">
        <v>23</v>
      </c>
      <c r="G25" s="191" t="s">
        <v>213</v>
      </c>
      <c r="H25" s="191" t="s">
        <v>23</v>
      </c>
      <c r="I25" s="191" t="s">
        <v>23</v>
      </c>
      <c r="J25" s="191" t="s">
        <v>23</v>
      </c>
      <c r="K25" s="191" t="s">
        <v>213</v>
      </c>
      <c r="L25" s="191" t="s">
        <v>213</v>
      </c>
      <c r="M25" s="191" t="s">
        <v>213</v>
      </c>
      <c r="N25" s="191" t="s">
        <v>213</v>
      </c>
      <c r="O25" s="191" t="s">
        <v>213</v>
      </c>
      <c r="P25" s="191" t="s">
        <v>213</v>
      </c>
      <c r="Q25" s="191" t="s">
        <v>213</v>
      </c>
      <c r="R25" s="191" t="s">
        <v>213</v>
      </c>
      <c r="S25" s="191" t="s">
        <v>213</v>
      </c>
      <c r="T25" s="191" t="s">
        <v>213</v>
      </c>
      <c r="U25" s="191" t="s">
        <v>213</v>
      </c>
      <c r="V25" s="191" t="s">
        <v>213</v>
      </c>
      <c r="W25" s="191" t="s">
        <v>213</v>
      </c>
      <c r="X25" s="191" t="s">
        <v>213</v>
      </c>
      <c r="Y25" s="191" t="s">
        <v>213</v>
      </c>
      <c r="Z25" s="191" t="s">
        <v>213</v>
      </c>
      <c r="AA25" s="191" t="s">
        <v>213</v>
      </c>
      <c r="AB25" s="191" t="s">
        <v>213</v>
      </c>
      <c r="AC25" s="191" t="s">
        <v>213</v>
      </c>
      <c r="AD25" s="192"/>
      <c r="AE25" s="158"/>
      <c r="AF25" s="158"/>
    </row>
    <row r="26" spans="1:32" ht="25.5">
      <c r="A26" s="159" t="s">
        <v>313</v>
      </c>
      <c r="B26" s="167" t="s">
        <v>208</v>
      </c>
      <c r="C26" s="191" t="s">
        <v>213</v>
      </c>
      <c r="D26" s="191" t="s">
        <v>213</v>
      </c>
      <c r="E26" s="191" t="s">
        <v>213</v>
      </c>
      <c r="F26" s="191" t="s">
        <v>213</v>
      </c>
      <c r="G26" s="191" t="s">
        <v>213</v>
      </c>
      <c r="H26" s="191" t="s">
        <v>213</v>
      </c>
      <c r="I26" s="191" t="s">
        <v>213</v>
      </c>
      <c r="J26" s="191" t="s">
        <v>213</v>
      </c>
      <c r="K26" s="191" t="s">
        <v>213</v>
      </c>
      <c r="L26" s="191" t="s">
        <v>213</v>
      </c>
      <c r="M26" s="191" t="s">
        <v>213</v>
      </c>
      <c r="N26" s="191" t="s">
        <v>213</v>
      </c>
      <c r="O26" s="191" t="s">
        <v>213</v>
      </c>
      <c r="P26" s="191" t="s">
        <v>213</v>
      </c>
      <c r="Q26" s="191" t="s">
        <v>213</v>
      </c>
      <c r="R26" s="191" t="s">
        <v>213</v>
      </c>
      <c r="S26" s="191" t="s">
        <v>213</v>
      </c>
      <c r="T26" s="191" t="s">
        <v>213</v>
      </c>
      <c r="U26" s="191" t="s">
        <v>213</v>
      </c>
      <c r="V26" s="191" t="s">
        <v>213</v>
      </c>
      <c r="W26" s="191" t="s">
        <v>213</v>
      </c>
      <c r="X26" s="191" t="s">
        <v>213</v>
      </c>
      <c r="Y26" s="191" t="s">
        <v>213</v>
      </c>
      <c r="Z26" s="191" t="s">
        <v>213</v>
      </c>
      <c r="AA26" s="191" t="s">
        <v>213</v>
      </c>
      <c r="AB26" s="191" t="s">
        <v>213</v>
      </c>
      <c r="AC26" s="191" t="s">
        <v>213</v>
      </c>
      <c r="AD26" s="192"/>
      <c r="AE26" s="158"/>
      <c r="AF26" s="158"/>
    </row>
    <row r="27" spans="1:32" ht="38.25">
      <c r="A27" s="159" t="s">
        <v>314</v>
      </c>
      <c r="B27" s="167" t="s">
        <v>209</v>
      </c>
      <c r="C27" s="191" t="s">
        <v>213</v>
      </c>
      <c r="D27" s="191" t="s">
        <v>213</v>
      </c>
      <c r="E27" s="191" t="s">
        <v>213</v>
      </c>
      <c r="F27" s="191" t="s">
        <v>213</v>
      </c>
      <c r="G27" s="191" t="s">
        <v>213</v>
      </c>
      <c r="H27" s="191" t="s">
        <v>213</v>
      </c>
      <c r="I27" s="191" t="s">
        <v>213</v>
      </c>
      <c r="J27" s="191" t="s">
        <v>213</v>
      </c>
      <c r="K27" s="191" t="s">
        <v>213</v>
      </c>
      <c r="L27" s="191" t="s">
        <v>213</v>
      </c>
      <c r="M27" s="191" t="s">
        <v>213</v>
      </c>
      <c r="N27" s="191" t="s">
        <v>213</v>
      </c>
      <c r="O27" s="191" t="s">
        <v>213</v>
      </c>
      <c r="P27" s="191" t="s">
        <v>213</v>
      </c>
      <c r="Q27" s="191" t="s">
        <v>213</v>
      </c>
      <c r="R27" s="191" t="s">
        <v>213</v>
      </c>
      <c r="S27" s="191" t="s">
        <v>213</v>
      </c>
      <c r="T27" s="191" t="s">
        <v>213</v>
      </c>
      <c r="U27" s="191" t="s">
        <v>213</v>
      </c>
      <c r="V27" s="191" t="s">
        <v>213</v>
      </c>
      <c r="W27" s="191" t="s">
        <v>213</v>
      </c>
      <c r="X27" s="191" t="s">
        <v>213</v>
      </c>
      <c r="Y27" s="191" t="s">
        <v>213</v>
      </c>
      <c r="Z27" s="191" t="s">
        <v>213</v>
      </c>
      <c r="AA27" s="191" t="s">
        <v>213</v>
      </c>
      <c r="AB27" s="191" t="s">
        <v>213</v>
      </c>
      <c r="AC27" s="191" t="s">
        <v>213</v>
      </c>
      <c r="AD27" s="192"/>
      <c r="AE27" s="158"/>
      <c r="AF27" s="158"/>
    </row>
    <row r="28" spans="1:32" ht="38.25">
      <c r="A28" s="159" t="s">
        <v>315</v>
      </c>
      <c r="B28" s="167" t="s">
        <v>210</v>
      </c>
      <c r="C28" s="191" t="s">
        <v>213</v>
      </c>
      <c r="D28" s="191" t="s">
        <v>213</v>
      </c>
      <c r="E28" s="191" t="s">
        <v>213</v>
      </c>
      <c r="F28" s="191" t="s">
        <v>213</v>
      </c>
      <c r="G28" s="191" t="s">
        <v>213</v>
      </c>
      <c r="H28" s="191" t="s">
        <v>213</v>
      </c>
      <c r="I28" s="191" t="s">
        <v>213</v>
      </c>
      <c r="J28" s="191" t="s">
        <v>213</v>
      </c>
      <c r="K28" s="191" t="s">
        <v>213</v>
      </c>
      <c r="L28" s="191" t="s">
        <v>213</v>
      </c>
      <c r="M28" s="191" t="s">
        <v>213</v>
      </c>
      <c r="N28" s="191" t="s">
        <v>213</v>
      </c>
      <c r="O28" s="191" t="s">
        <v>213</v>
      </c>
      <c r="P28" s="191" t="s">
        <v>213</v>
      </c>
      <c r="Q28" s="191" t="s">
        <v>213</v>
      </c>
      <c r="R28" s="191" t="s">
        <v>213</v>
      </c>
      <c r="S28" s="191" t="s">
        <v>213</v>
      </c>
      <c r="T28" s="191" t="s">
        <v>213</v>
      </c>
      <c r="U28" s="191" t="s">
        <v>213</v>
      </c>
      <c r="V28" s="191" t="s">
        <v>213</v>
      </c>
      <c r="W28" s="191" t="s">
        <v>213</v>
      </c>
      <c r="X28" s="191" t="s">
        <v>213</v>
      </c>
      <c r="Y28" s="191" t="s">
        <v>213</v>
      </c>
      <c r="Z28" s="191" t="s">
        <v>213</v>
      </c>
      <c r="AA28" s="191" t="s">
        <v>213</v>
      </c>
      <c r="AB28" s="191" t="s">
        <v>213</v>
      </c>
      <c r="AC28" s="191" t="s">
        <v>213</v>
      </c>
      <c r="AD28" s="192"/>
      <c r="AE28" s="158"/>
      <c r="AF28" s="158"/>
    </row>
    <row r="29" spans="1:32" ht="18.75">
      <c r="A29" s="156"/>
      <c r="B29" s="164" t="s">
        <v>218</v>
      </c>
      <c r="C29" s="157"/>
      <c r="D29" s="157"/>
      <c r="E29" s="157"/>
      <c r="F29" s="157"/>
      <c r="G29" s="157"/>
      <c r="H29" s="157"/>
      <c r="I29" s="157"/>
      <c r="J29" s="157"/>
      <c r="K29" s="157"/>
      <c r="L29" s="224"/>
      <c r="M29" s="224"/>
      <c r="N29" s="224"/>
      <c r="O29" s="224"/>
      <c r="P29" s="224"/>
      <c r="Q29" s="224"/>
      <c r="R29" s="224"/>
      <c r="S29" s="224"/>
      <c r="T29" s="224"/>
      <c r="U29" s="224"/>
      <c r="V29" s="224"/>
      <c r="W29" s="224"/>
      <c r="X29" s="224"/>
      <c r="Y29" s="224"/>
      <c r="Z29" s="224"/>
      <c r="AA29" s="224"/>
      <c r="AB29" s="224"/>
      <c r="AC29" s="224"/>
      <c r="AD29" s="157"/>
      <c r="AE29" s="197"/>
      <c r="AF29" s="197"/>
    </row>
    <row r="30" spans="1:32" ht="38.25">
      <c r="A30" s="159" t="s">
        <v>316</v>
      </c>
      <c r="B30" s="167" t="s">
        <v>211</v>
      </c>
      <c r="C30" s="191" t="s">
        <v>213</v>
      </c>
      <c r="D30" s="191" t="s">
        <v>213</v>
      </c>
      <c r="E30" s="191" t="s">
        <v>213</v>
      </c>
      <c r="F30" s="191" t="s">
        <v>213</v>
      </c>
      <c r="G30" s="191" t="s">
        <v>213</v>
      </c>
      <c r="H30" s="191" t="s">
        <v>213</v>
      </c>
      <c r="I30" s="191" t="s">
        <v>213</v>
      </c>
      <c r="J30" s="191" t="s">
        <v>213</v>
      </c>
      <c r="K30" s="191" t="s">
        <v>213</v>
      </c>
      <c r="L30" s="191" t="s">
        <v>213</v>
      </c>
      <c r="M30" s="191" t="s">
        <v>213</v>
      </c>
      <c r="N30" s="191" t="s">
        <v>213</v>
      </c>
      <c r="O30" s="191" t="s">
        <v>213</v>
      </c>
      <c r="P30" s="191" t="s">
        <v>213</v>
      </c>
      <c r="Q30" s="191" t="s">
        <v>213</v>
      </c>
      <c r="R30" s="191" t="s">
        <v>213</v>
      </c>
      <c r="S30" s="191" t="s">
        <v>213</v>
      </c>
      <c r="T30" s="191" t="s">
        <v>213</v>
      </c>
      <c r="U30" s="191" t="s">
        <v>213</v>
      </c>
      <c r="V30" s="191" t="s">
        <v>213</v>
      </c>
      <c r="W30" s="191" t="s">
        <v>213</v>
      </c>
      <c r="X30" s="191" t="s">
        <v>213</v>
      </c>
      <c r="Y30" s="191" t="s">
        <v>213</v>
      </c>
      <c r="Z30" s="191" t="s">
        <v>213</v>
      </c>
      <c r="AA30" s="191" t="s">
        <v>213</v>
      </c>
      <c r="AB30" s="191" t="s">
        <v>213</v>
      </c>
      <c r="AC30" s="191" t="s">
        <v>213</v>
      </c>
      <c r="AD30" s="192"/>
      <c r="AE30" s="158"/>
      <c r="AF30" s="158"/>
    </row>
    <row r="31" spans="1:32" ht="38.25">
      <c r="A31" s="159" t="s">
        <v>317</v>
      </c>
      <c r="B31" s="167" t="s">
        <v>212</v>
      </c>
      <c r="C31" s="191" t="s">
        <v>213</v>
      </c>
      <c r="D31" s="191" t="s">
        <v>213</v>
      </c>
      <c r="E31" s="191" t="s">
        <v>213</v>
      </c>
      <c r="F31" s="191" t="s">
        <v>213</v>
      </c>
      <c r="G31" s="191" t="s">
        <v>213</v>
      </c>
      <c r="H31" s="191" t="s">
        <v>213</v>
      </c>
      <c r="I31" s="191" t="s">
        <v>213</v>
      </c>
      <c r="J31" s="191" t="s">
        <v>213</v>
      </c>
      <c r="K31" s="191" t="s">
        <v>213</v>
      </c>
      <c r="L31" s="191" t="s">
        <v>213</v>
      </c>
      <c r="M31" s="191" t="s">
        <v>213</v>
      </c>
      <c r="N31" s="191" t="s">
        <v>213</v>
      </c>
      <c r="O31" s="191" t="s">
        <v>213</v>
      </c>
      <c r="P31" s="191" t="s">
        <v>213</v>
      </c>
      <c r="Q31" s="191" t="s">
        <v>213</v>
      </c>
      <c r="R31" s="191" t="s">
        <v>213</v>
      </c>
      <c r="S31" s="191" t="s">
        <v>213</v>
      </c>
      <c r="T31" s="191" t="s">
        <v>213</v>
      </c>
      <c r="U31" s="191" t="s">
        <v>213</v>
      </c>
      <c r="V31" s="191" t="s">
        <v>213</v>
      </c>
      <c r="W31" s="191" t="s">
        <v>213</v>
      </c>
      <c r="X31" s="191" t="s">
        <v>213</v>
      </c>
      <c r="Y31" s="191" t="s">
        <v>213</v>
      </c>
      <c r="Z31" s="191" t="s">
        <v>213</v>
      </c>
      <c r="AA31" s="191" t="s">
        <v>213</v>
      </c>
      <c r="AB31" s="191" t="s">
        <v>213</v>
      </c>
      <c r="AC31" s="191" t="s">
        <v>213</v>
      </c>
      <c r="AD31" s="192"/>
      <c r="AE31" s="158"/>
      <c r="AF31" s="158"/>
    </row>
    <row r="32" spans="1:32" ht="18.75">
      <c r="A32" s="156"/>
      <c r="B32" s="164" t="s">
        <v>205</v>
      </c>
      <c r="C32" s="157"/>
      <c r="D32" s="157"/>
      <c r="E32" s="157"/>
      <c r="F32" s="157"/>
      <c r="G32" s="157"/>
      <c r="H32" s="157"/>
      <c r="I32" s="157"/>
      <c r="J32" s="157"/>
      <c r="K32" s="157"/>
      <c r="L32" s="224"/>
      <c r="M32" s="224"/>
      <c r="N32" s="224"/>
      <c r="O32" s="224"/>
      <c r="P32" s="224"/>
      <c r="Q32" s="224"/>
      <c r="R32" s="224"/>
      <c r="S32" s="224"/>
      <c r="T32" s="224"/>
      <c r="U32" s="224"/>
      <c r="V32" s="224"/>
      <c r="W32" s="224"/>
      <c r="X32" s="224"/>
      <c r="Y32" s="224"/>
      <c r="Z32" s="224"/>
      <c r="AA32" s="224"/>
      <c r="AB32" s="224"/>
      <c r="AC32" s="224"/>
      <c r="AD32" s="157"/>
      <c r="AE32" s="197"/>
      <c r="AF32" s="197"/>
    </row>
    <row r="33" spans="1:32" ht="51">
      <c r="A33" s="159" t="s">
        <v>318</v>
      </c>
      <c r="B33" s="167" t="s">
        <v>206</v>
      </c>
      <c r="C33" s="191" t="s">
        <v>11</v>
      </c>
      <c r="D33" s="191" t="s">
        <v>11</v>
      </c>
      <c r="E33" s="191" t="s">
        <v>11</v>
      </c>
      <c r="F33" s="191" t="s">
        <v>11</v>
      </c>
      <c r="G33" s="191" t="s">
        <v>11</v>
      </c>
      <c r="H33" s="191" t="s">
        <v>11</v>
      </c>
      <c r="I33" s="191" t="s">
        <v>11</v>
      </c>
      <c r="J33" s="191" t="s">
        <v>11</v>
      </c>
      <c r="K33" s="191" t="s">
        <v>11</v>
      </c>
      <c r="L33" s="191" t="s">
        <v>11</v>
      </c>
      <c r="M33" s="191" t="s">
        <v>11</v>
      </c>
      <c r="N33" s="191" t="s">
        <v>11</v>
      </c>
      <c r="O33" s="191" t="s">
        <v>11</v>
      </c>
      <c r="P33" s="191" t="s">
        <v>11</v>
      </c>
      <c r="Q33" s="191" t="s">
        <v>11</v>
      </c>
      <c r="R33" s="191" t="s">
        <v>11</v>
      </c>
      <c r="S33" s="191" t="s">
        <v>11</v>
      </c>
      <c r="T33" s="191" t="s">
        <v>11</v>
      </c>
      <c r="U33" s="191" t="s">
        <v>11</v>
      </c>
      <c r="V33" s="191" t="s">
        <v>11</v>
      </c>
      <c r="W33" s="191" t="s">
        <v>11</v>
      </c>
      <c r="X33" s="191" t="s">
        <v>11</v>
      </c>
      <c r="Y33" s="191" t="s">
        <v>11</v>
      </c>
      <c r="Z33" s="191" t="s">
        <v>11</v>
      </c>
      <c r="AA33" s="191" t="s">
        <v>11</v>
      </c>
      <c r="AB33" s="191" t="s">
        <v>11</v>
      </c>
      <c r="AC33" s="191" t="s">
        <v>11</v>
      </c>
      <c r="AD33" s="200" t="s">
        <v>358</v>
      </c>
      <c r="AE33" s="158"/>
      <c r="AF33" s="158"/>
    </row>
    <row r="34" spans="1:32" ht="18">
      <c r="A34" s="193"/>
      <c r="B34" s="194" t="s">
        <v>222</v>
      </c>
      <c r="C34" s="193"/>
      <c r="D34" s="193"/>
      <c r="E34" s="193"/>
      <c r="F34" s="193"/>
      <c r="G34" s="193"/>
      <c r="H34" s="193"/>
      <c r="I34" s="193"/>
      <c r="J34" s="193"/>
      <c r="K34" s="193"/>
      <c r="L34" s="193"/>
      <c r="M34" s="193"/>
      <c r="N34" s="193"/>
      <c r="O34" s="193"/>
      <c r="P34" s="193"/>
      <c r="Q34" s="193"/>
      <c r="R34" s="193"/>
      <c r="S34" s="193"/>
      <c r="T34" s="193"/>
      <c r="U34" s="193"/>
      <c r="V34" s="193"/>
      <c r="W34" s="193"/>
      <c r="X34" s="193"/>
      <c r="Y34" s="193"/>
      <c r="Z34" s="193"/>
      <c r="AA34" s="193"/>
      <c r="AB34" s="193"/>
      <c r="AC34" s="193"/>
      <c r="AD34" s="193"/>
      <c r="AE34" s="193"/>
      <c r="AF34" s="193"/>
    </row>
    <row r="35" spans="1:32" ht="15">
      <c r="A35" s="160"/>
      <c r="B35" s="161"/>
      <c r="C35" s="162"/>
      <c r="D35" s="162"/>
      <c r="E35" s="162"/>
      <c r="F35" s="162"/>
      <c r="G35" s="162"/>
      <c r="H35" s="162"/>
      <c r="I35" s="162"/>
      <c r="J35" s="162"/>
      <c r="K35" s="162"/>
      <c r="L35" s="225"/>
      <c r="M35" s="225"/>
      <c r="N35" s="225"/>
      <c r="O35" s="225"/>
      <c r="P35" s="225"/>
      <c r="Q35" s="225"/>
      <c r="R35" s="225"/>
      <c r="S35" s="225"/>
      <c r="T35" s="225"/>
      <c r="U35" s="225"/>
      <c r="V35" s="225"/>
      <c r="W35" s="225"/>
      <c r="X35" s="225"/>
      <c r="Y35" s="225"/>
      <c r="Z35" s="225"/>
      <c r="AA35" s="225"/>
      <c r="AB35" s="225"/>
      <c r="AC35" s="225"/>
      <c r="AD35" s="162"/>
      <c r="AE35" s="162"/>
      <c r="AF35" s="163"/>
    </row>
    <row r="36" spans="1:32" ht="15">
      <c r="A36" s="198"/>
      <c r="B36" s="199" t="s">
        <v>336</v>
      </c>
      <c r="C36" s="198"/>
      <c r="D36" s="198"/>
      <c r="E36" s="198"/>
      <c r="F36" s="198"/>
      <c r="G36" s="198"/>
      <c r="H36" s="198"/>
      <c r="I36" s="198"/>
      <c r="J36" s="198"/>
      <c r="K36" s="198"/>
      <c r="L36" s="229"/>
      <c r="M36" s="229"/>
      <c r="N36" s="229"/>
      <c r="O36" s="229"/>
      <c r="P36" s="229"/>
      <c r="Q36" s="229"/>
      <c r="R36" s="229"/>
      <c r="S36" s="229"/>
      <c r="T36" s="229"/>
      <c r="U36" s="229"/>
      <c r="V36" s="229"/>
      <c r="W36" s="229"/>
      <c r="X36" s="229"/>
      <c r="Y36" s="229"/>
      <c r="Z36" s="229"/>
      <c r="AA36" s="229"/>
      <c r="AB36" s="229"/>
      <c r="AC36" s="229"/>
      <c r="AD36" s="198"/>
      <c r="AE36" s="198"/>
      <c r="AF36" s="198"/>
    </row>
  </sheetData>
  <mergeCells count="1">
    <mergeCell ref="AE2:AF2"/>
  </mergeCells>
  <conditionalFormatting sqref="C6">
    <cfRule type="cellIs" dxfId="1946" priority="3991" operator="equal">
      <formula>"No"</formula>
    </cfRule>
    <cfRule type="cellIs" dxfId="1945" priority="3992" operator="equal">
      <formula>"NA"</formula>
    </cfRule>
    <cfRule type="cellIs" dxfId="1944" priority="3993" operator="equal">
      <formula>"Yes"</formula>
    </cfRule>
  </conditionalFormatting>
  <conditionalFormatting sqref="C7">
    <cfRule type="cellIs" dxfId="1943" priority="3945" operator="equal">
      <formula>"No"</formula>
    </cfRule>
    <cfRule type="cellIs" dxfId="1942" priority="3946" operator="equal">
      <formula>"NA"</formula>
    </cfRule>
    <cfRule type="cellIs" dxfId="1941" priority="3947" operator="equal">
      <formula>"Yes"</formula>
    </cfRule>
  </conditionalFormatting>
  <conditionalFormatting sqref="C10">
    <cfRule type="cellIs" dxfId="1940" priority="3853" operator="equal">
      <formula>"No"</formula>
    </cfRule>
    <cfRule type="cellIs" dxfId="1939" priority="3854" operator="equal">
      <formula>"NA"</formula>
    </cfRule>
    <cfRule type="cellIs" dxfId="1938" priority="3855" operator="equal">
      <formula>"Yes"</formula>
    </cfRule>
  </conditionalFormatting>
  <conditionalFormatting sqref="C12">
    <cfRule type="cellIs" dxfId="1937" priority="3761" operator="equal">
      <formula>"No"</formula>
    </cfRule>
    <cfRule type="cellIs" dxfId="1936" priority="3762" operator="equal">
      <formula>"NA"</formula>
    </cfRule>
    <cfRule type="cellIs" dxfId="1935" priority="3763" operator="equal">
      <formula>"Yes"</formula>
    </cfRule>
  </conditionalFormatting>
  <conditionalFormatting sqref="C13">
    <cfRule type="cellIs" dxfId="1934" priority="3715" operator="equal">
      <formula>"No"</formula>
    </cfRule>
    <cfRule type="cellIs" dxfId="1933" priority="3716" operator="equal">
      <formula>"NA"</formula>
    </cfRule>
    <cfRule type="cellIs" dxfId="1932" priority="3717" operator="equal">
      <formula>"Yes"</formula>
    </cfRule>
  </conditionalFormatting>
  <conditionalFormatting sqref="C15">
    <cfRule type="cellIs" dxfId="1931" priority="3623" operator="equal">
      <formula>"No"</formula>
    </cfRule>
    <cfRule type="cellIs" dxfId="1930" priority="3624" operator="equal">
      <formula>"NA"</formula>
    </cfRule>
    <cfRule type="cellIs" dxfId="1929" priority="3625" operator="equal">
      <formula>"Yes"</formula>
    </cfRule>
  </conditionalFormatting>
  <conditionalFormatting sqref="C16">
    <cfRule type="cellIs" dxfId="1928" priority="3577" operator="equal">
      <formula>"No"</formula>
    </cfRule>
    <cfRule type="cellIs" dxfId="1927" priority="3578" operator="equal">
      <formula>"NA"</formula>
    </cfRule>
    <cfRule type="cellIs" dxfId="1926" priority="3579" operator="equal">
      <formula>"Yes"</formula>
    </cfRule>
  </conditionalFormatting>
  <conditionalFormatting sqref="C17">
    <cfRule type="cellIs" dxfId="1925" priority="3531" operator="equal">
      <formula>"No"</formula>
    </cfRule>
    <cfRule type="cellIs" dxfId="1924" priority="3532" operator="equal">
      <formula>"NA"</formula>
    </cfRule>
    <cfRule type="cellIs" dxfId="1923" priority="3533" operator="equal">
      <formula>"Yes"</formula>
    </cfRule>
  </conditionalFormatting>
  <conditionalFormatting sqref="C18">
    <cfRule type="cellIs" dxfId="1922" priority="3485" operator="equal">
      <formula>"No"</formula>
    </cfRule>
    <cfRule type="cellIs" dxfId="1921" priority="3486" operator="equal">
      <formula>"NA"</formula>
    </cfRule>
    <cfRule type="cellIs" dxfId="1920" priority="3487" operator="equal">
      <formula>"Yes"</formula>
    </cfRule>
  </conditionalFormatting>
  <conditionalFormatting sqref="C19">
    <cfRule type="cellIs" dxfId="1919" priority="3439" operator="equal">
      <formula>"No"</formula>
    </cfRule>
    <cfRule type="cellIs" dxfId="1918" priority="3440" operator="equal">
      <formula>"NA"</formula>
    </cfRule>
    <cfRule type="cellIs" dxfId="1917" priority="3441" operator="equal">
      <formula>"Yes"</formula>
    </cfRule>
  </conditionalFormatting>
  <conditionalFormatting sqref="C20">
    <cfRule type="cellIs" dxfId="1916" priority="3393" operator="equal">
      <formula>"No"</formula>
    </cfRule>
    <cfRule type="cellIs" dxfId="1915" priority="3394" operator="equal">
      <formula>"NA"</formula>
    </cfRule>
    <cfRule type="cellIs" dxfId="1914" priority="3395" operator="equal">
      <formula>"Yes"</formula>
    </cfRule>
  </conditionalFormatting>
  <conditionalFormatting sqref="C21">
    <cfRule type="cellIs" dxfId="1913" priority="3347" operator="equal">
      <formula>"No"</formula>
    </cfRule>
    <cfRule type="cellIs" dxfId="1912" priority="3348" operator="equal">
      <formula>"NA"</formula>
    </cfRule>
    <cfRule type="cellIs" dxfId="1911" priority="3349" operator="equal">
      <formula>"Yes"</formula>
    </cfRule>
  </conditionalFormatting>
  <conditionalFormatting sqref="C22">
    <cfRule type="cellIs" dxfId="1910" priority="3301" operator="equal">
      <formula>"No"</formula>
    </cfRule>
    <cfRule type="cellIs" dxfId="1909" priority="3302" operator="equal">
      <formula>"NA"</formula>
    </cfRule>
    <cfRule type="cellIs" dxfId="1908" priority="3303" operator="equal">
      <formula>"Yes"</formula>
    </cfRule>
  </conditionalFormatting>
  <conditionalFormatting sqref="C23">
    <cfRule type="cellIs" dxfId="1907" priority="3255" operator="equal">
      <formula>"No"</formula>
    </cfRule>
    <cfRule type="cellIs" dxfId="1906" priority="3256" operator="equal">
      <formula>"NA"</formula>
    </cfRule>
    <cfRule type="cellIs" dxfId="1905" priority="3257" operator="equal">
      <formula>"Yes"</formula>
    </cfRule>
  </conditionalFormatting>
  <conditionalFormatting sqref="C25">
    <cfRule type="cellIs" dxfId="1904" priority="3209" operator="equal">
      <formula>"No"</formula>
    </cfRule>
    <cfRule type="cellIs" dxfId="1903" priority="3210" operator="equal">
      <formula>"NA"</formula>
    </cfRule>
    <cfRule type="cellIs" dxfId="1902" priority="3211" operator="equal">
      <formula>"Yes"</formula>
    </cfRule>
  </conditionalFormatting>
  <conditionalFormatting sqref="C26">
    <cfRule type="cellIs" dxfId="1901" priority="3163" operator="equal">
      <formula>"No"</formula>
    </cfRule>
    <cfRule type="cellIs" dxfId="1900" priority="3164" operator="equal">
      <formula>"NA"</formula>
    </cfRule>
    <cfRule type="cellIs" dxfId="1899" priority="3165" operator="equal">
      <formula>"Yes"</formula>
    </cfRule>
  </conditionalFormatting>
  <conditionalFormatting sqref="C27">
    <cfRule type="cellIs" dxfId="1898" priority="3117" operator="equal">
      <formula>"No"</formula>
    </cfRule>
    <cfRule type="cellIs" dxfId="1897" priority="3118" operator="equal">
      <formula>"NA"</formula>
    </cfRule>
    <cfRule type="cellIs" dxfId="1896" priority="3119" operator="equal">
      <formula>"Yes"</formula>
    </cfRule>
  </conditionalFormatting>
  <conditionalFormatting sqref="C28">
    <cfRule type="cellIs" dxfId="1895" priority="3071" operator="equal">
      <formula>"No"</formula>
    </cfRule>
    <cfRule type="cellIs" dxfId="1894" priority="3072" operator="equal">
      <formula>"NA"</formula>
    </cfRule>
    <cfRule type="cellIs" dxfId="1893" priority="3073" operator="equal">
      <formula>"Yes"</formula>
    </cfRule>
  </conditionalFormatting>
  <conditionalFormatting sqref="C30">
    <cfRule type="cellIs" dxfId="1892" priority="3025" operator="equal">
      <formula>"No"</formula>
    </cfRule>
    <cfRule type="cellIs" dxfId="1891" priority="3026" operator="equal">
      <formula>"NA"</formula>
    </cfRule>
    <cfRule type="cellIs" dxfId="1890" priority="3027" operator="equal">
      <formula>"Yes"</formula>
    </cfRule>
  </conditionalFormatting>
  <conditionalFormatting sqref="C31">
    <cfRule type="cellIs" dxfId="1889" priority="2979" operator="equal">
      <formula>"No"</formula>
    </cfRule>
    <cfRule type="cellIs" dxfId="1888" priority="2980" operator="equal">
      <formula>"NA"</formula>
    </cfRule>
    <cfRule type="cellIs" dxfId="1887" priority="2981" operator="equal">
      <formula>"Yes"</formula>
    </cfRule>
  </conditionalFormatting>
  <conditionalFormatting sqref="C33">
    <cfRule type="cellIs" dxfId="1886" priority="2933" operator="equal">
      <formula>"No"</formula>
    </cfRule>
    <cfRule type="cellIs" dxfId="1885" priority="2934" operator="equal">
      <formula>"NA"</formula>
    </cfRule>
    <cfRule type="cellIs" dxfId="1884" priority="2935" operator="equal">
      <formula>"Yes"</formula>
    </cfRule>
  </conditionalFormatting>
  <conditionalFormatting sqref="C9">
    <cfRule type="cellIs" dxfId="1883" priority="1807" operator="equal">
      <formula>"No"</formula>
    </cfRule>
    <cfRule type="cellIs" dxfId="1882" priority="1808" operator="equal">
      <formula>"NA"</formula>
    </cfRule>
    <cfRule type="cellIs" dxfId="1881" priority="1809" operator="equal">
      <formula>"Yes"</formula>
    </cfRule>
  </conditionalFormatting>
  <conditionalFormatting sqref="C11">
    <cfRule type="cellIs" dxfId="1880" priority="1804" operator="equal">
      <formula>"No"</formula>
    </cfRule>
    <cfRule type="cellIs" dxfId="1879" priority="1805" operator="equal">
      <formula>"NA"</formula>
    </cfRule>
    <cfRule type="cellIs" dxfId="1878" priority="1806" operator="equal">
      <formula>"Yes"</formula>
    </cfRule>
  </conditionalFormatting>
  <conditionalFormatting sqref="C14">
    <cfRule type="cellIs" dxfId="1877" priority="1801" operator="equal">
      <formula>"No"</formula>
    </cfRule>
    <cfRule type="cellIs" dxfId="1876" priority="1802" operator="equal">
      <formula>"NA"</formula>
    </cfRule>
    <cfRule type="cellIs" dxfId="1875" priority="1803" operator="equal">
      <formula>"Yes"</formula>
    </cfRule>
  </conditionalFormatting>
  <conditionalFormatting sqref="D6">
    <cfRule type="cellIs" dxfId="1874" priority="1798" operator="equal">
      <formula>"No"</formula>
    </cfRule>
    <cfRule type="cellIs" dxfId="1873" priority="1799" operator="equal">
      <formula>"NA"</formula>
    </cfRule>
    <cfRule type="cellIs" dxfId="1872" priority="1800" operator="equal">
      <formula>"Yes"</formula>
    </cfRule>
  </conditionalFormatting>
  <conditionalFormatting sqref="D7">
    <cfRule type="cellIs" dxfId="1871" priority="1795" operator="equal">
      <formula>"No"</formula>
    </cfRule>
    <cfRule type="cellIs" dxfId="1870" priority="1796" operator="equal">
      <formula>"NA"</formula>
    </cfRule>
    <cfRule type="cellIs" dxfId="1869" priority="1797" operator="equal">
      <formula>"Yes"</formula>
    </cfRule>
  </conditionalFormatting>
  <conditionalFormatting sqref="D10">
    <cfRule type="cellIs" dxfId="1868" priority="1792" operator="equal">
      <formula>"No"</formula>
    </cfRule>
    <cfRule type="cellIs" dxfId="1867" priority="1793" operator="equal">
      <formula>"NA"</formula>
    </cfRule>
    <cfRule type="cellIs" dxfId="1866" priority="1794" operator="equal">
      <formula>"Yes"</formula>
    </cfRule>
  </conditionalFormatting>
  <conditionalFormatting sqref="D12">
    <cfRule type="cellIs" dxfId="1865" priority="1789" operator="equal">
      <formula>"No"</formula>
    </cfRule>
    <cfRule type="cellIs" dxfId="1864" priority="1790" operator="equal">
      <formula>"NA"</formula>
    </cfRule>
    <cfRule type="cellIs" dxfId="1863" priority="1791" operator="equal">
      <formula>"Yes"</formula>
    </cfRule>
  </conditionalFormatting>
  <conditionalFormatting sqref="D13">
    <cfRule type="cellIs" dxfId="1862" priority="1786" operator="equal">
      <formula>"No"</formula>
    </cfRule>
    <cfRule type="cellIs" dxfId="1861" priority="1787" operator="equal">
      <formula>"NA"</formula>
    </cfRule>
    <cfRule type="cellIs" dxfId="1860" priority="1788" operator="equal">
      <formula>"Yes"</formula>
    </cfRule>
  </conditionalFormatting>
  <conditionalFormatting sqref="D15">
    <cfRule type="cellIs" dxfId="1859" priority="1783" operator="equal">
      <formula>"No"</formula>
    </cfRule>
    <cfRule type="cellIs" dxfId="1858" priority="1784" operator="equal">
      <formula>"NA"</formula>
    </cfRule>
    <cfRule type="cellIs" dxfId="1857" priority="1785" operator="equal">
      <formula>"Yes"</formula>
    </cfRule>
  </conditionalFormatting>
  <conditionalFormatting sqref="D16">
    <cfRule type="cellIs" dxfId="1856" priority="1780" operator="equal">
      <formula>"No"</formula>
    </cfRule>
    <cfRule type="cellIs" dxfId="1855" priority="1781" operator="equal">
      <formula>"NA"</formula>
    </cfRule>
    <cfRule type="cellIs" dxfId="1854" priority="1782" operator="equal">
      <formula>"Yes"</formula>
    </cfRule>
  </conditionalFormatting>
  <conditionalFormatting sqref="D17">
    <cfRule type="cellIs" dxfId="1853" priority="1777" operator="equal">
      <formula>"No"</formula>
    </cfRule>
    <cfRule type="cellIs" dxfId="1852" priority="1778" operator="equal">
      <formula>"NA"</formula>
    </cfRule>
    <cfRule type="cellIs" dxfId="1851" priority="1779" operator="equal">
      <formula>"Yes"</formula>
    </cfRule>
  </conditionalFormatting>
  <conditionalFormatting sqref="D18">
    <cfRule type="cellIs" dxfId="1850" priority="1774" operator="equal">
      <formula>"No"</formula>
    </cfRule>
    <cfRule type="cellIs" dxfId="1849" priority="1775" operator="equal">
      <formula>"NA"</formula>
    </cfRule>
    <cfRule type="cellIs" dxfId="1848" priority="1776" operator="equal">
      <formula>"Yes"</formula>
    </cfRule>
  </conditionalFormatting>
  <conditionalFormatting sqref="D19">
    <cfRule type="cellIs" dxfId="1847" priority="1771" operator="equal">
      <formula>"No"</formula>
    </cfRule>
    <cfRule type="cellIs" dxfId="1846" priority="1772" operator="equal">
      <formula>"NA"</formula>
    </cfRule>
    <cfRule type="cellIs" dxfId="1845" priority="1773" operator="equal">
      <formula>"Yes"</formula>
    </cfRule>
  </conditionalFormatting>
  <conditionalFormatting sqref="D20">
    <cfRule type="cellIs" dxfId="1844" priority="1768" operator="equal">
      <formula>"No"</formula>
    </cfRule>
    <cfRule type="cellIs" dxfId="1843" priority="1769" operator="equal">
      <formula>"NA"</formula>
    </cfRule>
    <cfRule type="cellIs" dxfId="1842" priority="1770" operator="equal">
      <formula>"Yes"</formula>
    </cfRule>
  </conditionalFormatting>
  <conditionalFormatting sqref="D21">
    <cfRule type="cellIs" dxfId="1841" priority="1765" operator="equal">
      <formula>"No"</formula>
    </cfRule>
    <cfRule type="cellIs" dxfId="1840" priority="1766" operator="equal">
      <formula>"NA"</formula>
    </cfRule>
    <cfRule type="cellIs" dxfId="1839" priority="1767" operator="equal">
      <formula>"Yes"</formula>
    </cfRule>
  </conditionalFormatting>
  <conditionalFormatting sqref="D22">
    <cfRule type="cellIs" dxfId="1838" priority="1762" operator="equal">
      <formula>"No"</formula>
    </cfRule>
    <cfRule type="cellIs" dxfId="1837" priority="1763" operator="equal">
      <formula>"NA"</formula>
    </cfRule>
    <cfRule type="cellIs" dxfId="1836" priority="1764" operator="equal">
      <formula>"Yes"</formula>
    </cfRule>
  </conditionalFormatting>
  <conditionalFormatting sqref="D23">
    <cfRule type="cellIs" dxfId="1835" priority="1759" operator="equal">
      <formula>"No"</formula>
    </cfRule>
    <cfRule type="cellIs" dxfId="1834" priority="1760" operator="equal">
      <formula>"NA"</formula>
    </cfRule>
    <cfRule type="cellIs" dxfId="1833" priority="1761" operator="equal">
      <formula>"Yes"</formula>
    </cfRule>
  </conditionalFormatting>
  <conditionalFormatting sqref="D25">
    <cfRule type="cellIs" dxfId="1832" priority="1756" operator="equal">
      <formula>"No"</formula>
    </cfRule>
    <cfRule type="cellIs" dxfId="1831" priority="1757" operator="equal">
      <formula>"NA"</formula>
    </cfRule>
    <cfRule type="cellIs" dxfId="1830" priority="1758" operator="equal">
      <formula>"Yes"</formula>
    </cfRule>
  </conditionalFormatting>
  <conditionalFormatting sqref="D26">
    <cfRule type="cellIs" dxfId="1829" priority="1753" operator="equal">
      <formula>"No"</formula>
    </cfRule>
    <cfRule type="cellIs" dxfId="1828" priority="1754" operator="equal">
      <formula>"NA"</formula>
    </cfRule>
    <cfRule type="cellIs" dxfId="1827" priority="1755" operator="equal">
      <formula>"Yes"</formula>
    </cfRule>
  </conditionalFormatting>
  <conditionalFormatting sqref="D27">
    <cfRule type="cellIs" dxfId="1826" priority="1750" operator="equal">
      <formula>"No"</formula>
    </cfRule>
    <cfRule type="cellIs" dxfId="1825" priority="1751" operator="equal">
      <formula>"NA"</formula>
    </cfRule>
    <cfRule type="cellIs" dxfId="1824" priority="1752" operator="equal">
      <formula>"Yes"</formula>
    </cfRule>
  </conditionalFormatting>
  <conditionalFormatting sqref="D28">
    <cfRule type="cellIs" dxfId="1823" priority="1747" operator="equal">
      <formula>"No"</formula>
    </cfRule>
    <cfRule type="cellIs" dxfId="1822" priority="1748" operator="equal">
      <formula>"NA"</formula>
    </cfRule>
    <cfRule type="cellIs" dxfId="1821" priority="1749" operator="equal">
      <formula>"Yes"</formula>
    </cfRule>
  </conditionalFormatting>
  <conditionalFormatting sqref="D30">
    <cfRule type="cellIs" dxfId="1820" priority="1744" operator="equal">
      <formula>"No"</formula>
    </cfRule>
    <cfRule type="cellIs" dxfId="1819" priority="1745" operator="equal">
      <formula>"NA"</formula>
    </cfRule>
    <cfRule type="cellIs" dxfId="1818" priority="1746" operator="equal">
      <formula>"Yes"</formula>
    </cfRule>
  </conditionalFormatting>
  <conditionalFormatting sqref="D31">
    <cfRule type="cellIs" dxfId="1817" priority="1741" operator="equal">
      <formula>"No"</formula>
    </cfRule>
    <cfRule type="cellIs" dxfId="1816" priority="1742" operator="equal">
      <formula>"NA"</formula>
    </cfRule>
    <cfRule type="cellIs" dxfId="1815" priority="1743" operator="equal">
      <formula>"Yes"</formula>
    </cfRule>
  </conditionalFormatting>
  <conditionalFormatting sqref="D33">
    <cfRule type="cellIs" dxfId="1814" priority="1738" operator="equal">
      <formula>"No"</formula>
    </cfRule>
    <cfRule type="cellIs" dxfId="1813" priority="1739" operator="equal">
      <formula>"NA"</formula>
    </cfRule>
    <cfRule type="cellIs" dxfId="1812" priority="1740" operator="equal">
      <formula>"Yes"</formula>
    </cfRule>
  </conditionalFormatting>
  <conditionalFormatting sqref="D9">
    <cfRule type="cellIs" dxfId="1811" priority="1735" operator="equal">
      <formula>"No"</formula>
    </cfRule>
    <cfRule type="cellIs" dxfId="1810" priority="1736" operator="equal">
      <formula>"NA"</formula>
    </cfRule>
    <cfRule type="cellIs" dxfId="1809" priority="1737" operator="equal">
      <formula>"Yes"</formula>
    </cfRule>
  </conditionalFormatting>
  <conditionalFormatting sqref="D11">
    <cfRule type="cellIs" dxfId="1808" priority="1732" operator="equal">
      <formula>"No"</formula>
    </cfRule>
    <cfRule type="cellIs" dxfId="1807" priority="1733" operator="equal">
      <formula>"NA"</formula>
    </cfRule>
    <cfRule type="cellIs" dxfId="1806" priority="1734" operator="equal">
      <formula>"Yes"</formula>
    </cfRule>
  </conditionalFormatting>
  <conditionalFormatting sqref="D14">
    <cfRule type="cellIs" dxfId="1805" priority="1729" operator="equal">
      <formula>"No"</formula>
    </cfRule>
    <cfRule type="cellIs" dxfId="1804" priority="1730" operator="equal">
      <formula>"NA"</formula>
    </cfRule>
    <cfRule type="cellIs" dxfId="1803" priority="1731" operator="equal">
      <formula>"Yes"</formula>
    </cfRule>
  </conditionalFormatting>
  <conditionalFormatting sqref="E6">
    <cfRule type="cellIs" dxfId="1802" priority="1726" operator="equal">
      <formula>"No"</formula>
    </cfRule>
    <cfRule type="cellIs" dxfId="1801" priority="1727" operator="equal">
      <formula>"NA"</formula>
    </cfRule>
    <cfRule type="cellIs" dxfId="1800" priority="1728" operator="equal">
      <formula>"Yes"</formula>
    </cfRule>
  </conditionalFormatting>
  <conditionalFormatting sqref="E7">
    <cfRule type="cellIs" dxfId="1799" priority="1723" operator="equal">
      <formula>"No"</formula>
    </cfRule>
    <cfRule type="cellIs" dxfId="1798" priority="1724" operator="equal">
      <formula>"NA"</formula>
    </cfRule>
    <cfRule type="cellIs" dxfId="1797" priority="1725" operator="equal">
      <formula>"Yes"</formula>
    </cfRule>
  </conditionalFormatting>
  <conditionalFormatting sqref="E10">
    <cfRule type="cellIs" dxfId="1796" priority="1720" operator="equal">
      <formula>"No"</formula>
    </cfRule>
    <cfRule type="cellIs" dxfId="1795" priority="1721" operator="equal">
      <formula>"NA"</formula>
    </cfRule>
    <cfRule type="cellIs" dxfId="1794" priority="1722" operator="equal">
      <formula>"Yes"</formula>
    </cfRule>
  </conditionalFormatting>
  <conditionalFormatting sqref="E12">
    <cfRule type="cellIs" dxfId="1793" priority="1717" operator="equal">
      <formula>"No"</formula>
    </cfRule>
    <cfRule type="cellIs" dxfId="1792" priority="1718" operator="equal">
      <formula>"NA"</formula>
    </cfRule>
    <cfRule type="cellIs" dxfId="1791" priority="1719" operator="equal">
      <formula>"Yes"</formula>
    </cfRule>
  </conditionalFormatting>
  <conditionalFormatting sqref="E13">
    <cfRule type="cellIs" dxfId="1790" priority="1714" operator="equal">
      <formula>"No"</formula>
    </cfRule>
    <cfRule type="cellIs" dxfId="1789" priority="1715" operator="equal">
      <formula>"NA"</formula>
    </cfRule>
    <cfRule type="cellIs" dxfId="1788" priority="1716" operator="equal">
      <formula>"Yes"</formula>
    </cfRule>
  </conditionalFormatting>
  <conditionalFormatting sqref="E15">
    <cfRule type="cellIs" dxfId="1787" priority="1711" operator="equal">
      <formula>"No"</formula>
    </cfRule>
    <cfRule type="cellIs" dxfId="1786" priority="1712" operator="equal">
      <formula>"NA"</formula>
    </cfRule>
    <cfRule type="cellIs" dxfId="1785" priority="1713" operator="equal">
      <formula>"Yes"</formula>
    </cfRule>
  </conditionalFormatting>
  <conditionalFormatting sqref="E16">
    <cfRule type="cellIs" dxfId="1784" priority="1708" operator="equal">
      <formula>"No"</formula>
    </cfRule>
    <cfRule type="cellIs" dxfId="1783" priority="1709" operator="equal">
      <formula>"NA"</formula>
    </cfRule>
    <cfRule type="cellIs" dxfId="1782" priority="1710" operator="equal">
      <formula>"Yes"</formula>
    </cfRule>
  </conditionalFormatting>
  <conditionalFormatting sqref="E17">
    <cfRule type="cellIs" dxfId="1781" priority="1705" operator="equal">
      <formula>"No"</formula>
    </cfRule>
    <cfRule type="cellIs" dxfId="1780" priority="1706" operator="equal">
      <formula>"NA"</formula>
    </cfRule>
    <cfRule type="cellIs" dxfId="1779" priority="1707" operator="equal">
      <formula>"Yes"</formula>
    </cfRule>
  </conditionalFormatting>
  <conditionalFormatting sqref="E18">
    <cfRule type="cellIs" dxfId="1778" priority="1702" operator="equal">
      <formula>"No"</formula>
    </cfRule>
    <cfRule type="cellIs" dxfId="1777" priority="1703" operator="equal">
      <formula>"NA"</formula>
    </cfRule>
    <cfRule type="cellIs" dxfId="1776" priority="1704" operator="equal">
      <formula>"Yes"</formula>
    </cfRule>
  </conditionalFormatting>
  <conditionalFormatting sqref="E19">
    <cfRule type="cellIs" dxfId="1775" priority="1699" operator="equal">
      <formula>"No"</formula>
    </cfRule>
    <cfRule type="cellIs" dxfId="1774" priority="1700" operator="equal">
      <formula>"NA"</formula>
    </cfRule>
    <cfRule type="cellIs" dxfId="1773" priority="1701" operator="equal">
      <formula>"Yes"</formula>
    </cfRule>
  </conditionalFormatting>
  <conditionalFormatting sqref="E20">
    <cfRule type="cellIs" dxfId="1772" priority="1696" operator="equal">
      <formula>"No"</formula>
    </cfRule>
    <cfRule type="cellIs" dxfId="1771" priority="1697" operator="equal">
      <formula>"NA"</formula>
    </cfRule>
    <cfRule type="cellIs" dxfId="1770" priority="1698" operator="equal">
      <formula>"Yes"</formula>
    </cfRule>
  </conditionalFormatting>
  <conditionalFormatting sqref="E21">
    <cfRule type="cellIs" dxfId="1769" priority="1693" operator="equal">
      <formula>"No"</formula>
    </cfRule>
    <cfRule type="cellIs" dxfId="1768" priority="1694" operator="equal">
      <formula>"NA"</formula>
    </cfRule>
    <cfRule type="cellIs" dxfId="1767" priority="1695" operator="equal">
      <formula>"Yes"</formula>
    </cfRule>
  </conditionalFormatting>
  <conditionalFormatting sqref="E22">
    <cfRule type="cellIs" dxfId="1766" priority="1690" operator="equal">
      <formula>"No"</formula>
    </cfRule>
    <cfRule type="cellIs" dxfId="1765" priority="1691" operator="equal">
      <formula>"NA"</formula>
    </cfRule>
    <cfRule type="cellIs" dxfId="1764" priority="1692" operator="equal">
      <formula>"Yes"</formula>
    </cfRule>
  </conditionalFormatting>
  <conditionalFormatting sqref="E23">
    <cfRule type="cellIs" dxfId="1763" priority="1687" operator="equal">
      <formula>"No"</formula>
    </cfRule>
    <cfRule type="cellIs" dxfId="1762" priority="1688" operator="equal">
      <formula>"NA"</formula>
    </cfRule>
    <cfRule type="cellIs" dxfId="1761" priority="1689" operator="equal">
      <formula>"Yes"</formula>
    </cfRule>
  </conditionalFormatting>
  <conditionalFormatting sqref="E25">
    <cfRule type="cellIs" dxfId="1760" priority="1684" operator="equal">
      <formula>"No"</formula>
    </cfRule>
    <cfRule type="cellIs" dxfId="1759" priority="1685" operator="equal">
      <formula>"NA"</formula>
    </cfRule>
    <cfRule type="cellIs" dxfId="1758" priority="1686" operator="equal">
      <formula>"Yes"</formula>
    </cfRule>
  </conditionalFormatting>
  <conditionalFormatting sqref="E26">
    <cfRule type="cellIs" dxfId="1757" priority="1681" operator="equal">
      <formula>"No"</formula>
    </cfRule>
    <cfRule type="cellIs" dxfId="1756" priority="1682" operator="equal">
      <formula>"NA"</formula>
    </cfRule>
    <cfRule type="cellIs" dxfId="1755" priority="1683" operator="equal">
      <formula>"Yes"</formula>
    </cfRule>
  </conditionalFormatting>
  <conditionalFormatting sqref="E27">
    <cfRule type="cellIs" dxfId="1754" priority="1678" operator="equal">
      <formula>"No"</formula>
    </cfRule>
    <cfRule type="cellIs" dxfId="1753" priority="1679" operator="equal">
      <formula>"NA"</formula>
    </cfRule>
    <cfRule type="cellIs" dxfId="1752" priority="1680" operator="equal">
      <formula>"Yes"</formula>
    </cfRule>
  </conditionalFormatting>
  <conditionalFormatting sqref="E28">
    <cfRule type="cellIs" dxfId="1751" priority="1675" operator="equal">
      <formula>"No"</formula>
    </cfRule>
    <cfRule type="cellIs" dxfId="1750" priority="1676" operator="equal">
      <formula>"NA"</formula>
    </cfRule>
    <cfRule type="cellIs" dxfId="1749" priority="1677" operator="equal">
      <formula>"Yes"</formula>
    </cfRule>
  </conditionalFormatting>
  <conditionalFormatting sqref="E30">
    <cfRule type="cellIs" dxfId="1748" priority="1672" operator="equal">
      <formula>"No"</formula>
    </cfRule>
    <cfRule type="cellIs" dxfId="1747" priority="1673" operator="equal">
      <formula>"NA"</formula>
    </cfRule>
    <cfRule type="cellIs" dxfId="1746" priority="1674" operator="equal">
      <formula>"Yes"</formula>
    </cfRule>
  </conditionalFormatting>
  <conditionalFormatting sqref="E31">
    <cfRule type="cellIs" dxfId="1745" priority="1669" operator="equal">
      <formula>"No"</formula>
    </cfRule>
    <cfRule type="cellIs" dxfId="1744" priority="1670" operator="equal">
      <formula>"NA"</formula>
    </cfRule>
    <cfRule type="cellIs" dxfId="1743" priority="1671" operator="equal">
      <formula>"Yes"</formula>
    </cfRule>
  </conditionalFormatting>
  <conditionalFormatting sqref="E33">
    <cfRule type="cellIs" dxfId="1742" priority="1666" operator="equal">
      <formula>"No"</formula>
    </cfRule>
    <cfRule type="cellIs" dxfId="1741" priority="1667" operator="equal">
      <formula>"NA"</formula>
    </cfRule>
    <cfRule type="cellIs" dxfId="1740" priority="1668" operator="equal">
      <formula>"Yes"</formula>
    </cfRule>
  </conditionalFormatting>
  <conditionalFormatting sqref="E9">
    <cfRule type="cellIs" dxfId="1739" priority="1663" operator="equal">
      <formula>"No"</formula>
    </cfRule>
    <cfRule type="cellIs" dxfId="1738" priority="1664" operator="equal">
      <formula>"NA"</formula>
    </cfRule>
    <cfRule type="cellIs" dxfId="1737" priority="1665" operator="equal">
      <formula>"Yes"</formula>
    </cfRule>
  </conditionalFormatting>
  <conditionalFormatting sqref="E11">
    <cfRule type="cellIs" dxfId="1736" priority="1660" operator="equal">
      <formula>"No"</formula>
    </cfRule>
    <cfRule type="cellIs" dxfId="1735" priority="1661" operator="equal">
      <formula>"NA"</formula>
    </cfRule>
    <cfRule type="cellIs" dxfId="1734" priority="1662" operator="equal">
      <formula>"Yes"</formula>
    </cfRule>
  </conditionalFormatting>
  <conditionalFormatting sqref="E14">
    <cfRule type="cellIs" dxfId="1733" priority="1657" operator="equal">
      <formula>"No"</formula>
    </cfRule>
    <cfRule type="cellIs" dxfId="1732" priority="1658" operator="equal">
      <formula>"NA"</formula>
    </cfRule>
    <cfRule type="cellIs" dxfId="1731" priority="1659" operator="equal">
      <formula>"Yes"</formula>
    </cfRule>
  </conditionalFormatting>
  <conditionalFormatting sqref="F6">
    <cfRule type="cellIs" dxfId="1730" priority="1654" operator="equal">
      <formula>"No"</formula>
    </cfRule>
    <cfRule type="cellIs" dxfId="1729" priority="1655" operator="equal">
      <formula>"NA"</formula>
    </cfRule>
    <cfRule type="cellIs" dxfId="1728" priority="1656" operator="equal">
      <formula>"Yes"</formula>
    </cfRule>
  </conditionalFormatting>
  <conditionalFormatting sqref="F7">
    <cfRule type="cellIs" dxfId="1727" priority="1651" operator="equal">
      <formula>"No"</formula>
    </cfRule>
    <cfRule type="cellIs" dxfId="1726" priority="1652" operator="equal">
      <formula>"NA"</formula>
    </cfRule>
    <cfRule type="cellIs" dxfId="1725" priority="1653" operator="equal">
      <formula>"Yes"</formula>
    </cfRule>
  </conditionalFormatting>
  <conditionalFormatting sqref="F10">
    <cfRule type="cellIs" dxfId="1724" priority="1648" operator="equal">
      <formula>"No"</formula>
    </cfRule>
    <cfRule type="cellIs" dxfId="1723" priority="1649" operator="equal">
      <formula>"NA"</formula>
    </cfRule>
    <cfRule type="cellIs" dxfId="1722" priority="1650" operator="equal">
      <formula>"Yes"</formula>
    </cfRule>
  </conditionalFormatting>
  <conditionalFormatting sqref="F12">
    <cfRule type="cellIs" dxfId="1721" priority="1645" operator="equal">
      <formula>"No"</formula>
    </cfRule>
    <cfRule type="cellIs" dxfId="1720" priority="1646" operator="equal">
      <formula>"NA"</formula>
    </cfRule>
    <cfRule type="cellIs" dxfId="1719" priority="1647" operator="equal">
      <formula>"Yes"</formula>
    </cfRule>
  </conditionalFormatting>
  <conditionalFormatting sqref="F13">
    <cfRule type="cellIs" dxfId="1718" priority="1642" operator="equal">
      <formula>"No"</formula>
    </cfRule>
    <cfRule type="cellIs" dxfId="1717" priority="1643" operator="equal">
      <formula>"NA"</formula>
    </cfRule>
    <cfRule type="cellIs" dxfId="1716" priority="1644" operator="equal">
      <formula>"Yes"</formula>
    </cfRule>
  </conditionalFormatting>
  <conditionalFormatting sqref="F15">
    <cfRule type="cellIs" dxfId="1715" priority="1639" operator="equal">
      <formula>"No"</formula>
    </cfRule>
    <cfRule type="cellIs" dxfId="1714" priority="1640" operator="equal">
      <formula>"NA"</formula>
    </cfRule>
    <cfRule type="cellIs" dxfId="1713" priority="1641" operator="equal">
      <formula>"Yes"</formula>
    </cfRule>
  </conditionalFormatting>
  <conditionalFormatting sqref="F16">
    <cfRule type="cellIs" dxfId="1712" priority="1636" operator="equal">
      <formula>"No"</formula>
    </cfRule>
    <cfRule type="cellIs" dxfId="1711" priority="1637" operator="equal">
      <formula>"NA"</formula>
    </cfRule>
    <cfRule type="cellIs" dxfId="1710" priority="1638" operator="equal">
      <formula>"Yes"</formula>
    </cfRule>
  </conditionalFormatting>
  <conditionalFormatting sqref="F17">
    <cfRule type="cellIs" dxfId="1709" priority="1633" operator="equal">
      <formula>"No"</formula>
    </cfRule>
    <cfRule type="cellIs" dxfId="1708" priority="1634" operator="equal">
      <formula>"NA"</formula>
    </cfRule>
    <cfRule type="cellIs" dxfId="1707" priority="1635" operator="equal">
      <formula>"Yes"</formula>
    </cfRule>
  </conditionalFormatting>
  <conditionalFormatting sqref="F18">
    <cfRule type="cellIs" dxfId="1706" priority="1630" operator="equal">
      <formula>"No"</formula>
    </cfRule>
    <cfRule type="cellIs" dxfId="1705" priority="1631" operator="equal">
      <formula>"NA"</formula>
    </cfRule>
    <cfRule type="cellIs" dxfId="1704" priority="1632" operator="equal">
      <formula>"Yes"</formula>
    </cfRule>
  </conditionalFormatting>
  <conditionalFormatting sqref="F19">
    <cfRule type="cellIs" dxfId="1703" priority="1627" operator="equal">
      <formula>"No"</formula>
    </cfRule>
    <cfRule type="cellIs" dxfId="1702" priority="1628" operator="equal">
      <formula>"NA"</formula>
    </cfRule>
    <cfRule type="cellIs" dxfId="1701" priority="1629" operator="equal">
      <formula>"Yes"</formula>
    </cfRule>
  </conditionalFormatting>
  <conditionalFormatting sqref="F20">
    <cfRule type="cellIs" dxfId="1700" priority="1624" operator="equal">
      <formula>"No"</formula>
    </cfRule>
    <cfRule type="cellIs" dxfId="1699" priority="1625" operator="equal">
      <formula>"NA"</formula>
    </cfRule>
    <cfRule type="cellIs" dxfId="1698" priority="1626" operator="equal">
      <formula>"Yes"</formula>
    </cfRule>
  </conditionalFormatting>
  <conditionalFormatting sqref="F21">
    <cfRule type="cellIs" dxfId="1697" priority="1621" operator="equal">
      <formula>"No"</formula>
    </cfRule>
    <cfRule type="cellIs" dxfId="1696" priority="1622" operator="equal">
      <formula>"NA"</formula>
    </cfRule>
    <cfRule type="cellIs" dxfId="1695" priority="1623" operator="equal">
      <formula>"Yes"</formula>
    </cfRule>
  </conditionalFormatting>
  <conditionalFormatting sqref="F22">
    <cfRule type="cellIs" dxfId="1694" priority="1618" operator="equal">
      <formula>"No"</formula>
    </cfRule>
    <cfRule type="cellIs" dxfId="1693" priority="1619" operator="equal">
      <formula>"NA"</formula>
    </cfRule>
    <cfRule type="cellIs" dxfId="1692" priority="1620" operator="equal">
      <formula>"Yes"</formula>
    </cfRule>
  </conditionalFormatting>
  <conditionalFormatting sqref="F23">
    <cfRule type="cellIs" dxfId="1691" priority="1615" operator="equal">
      <formula>"No"</formula>
    </cfRule>
    <cfRule type="cellIs" dxfId="1690" priority="1616" operator="equal">
      <formula>"NA"</formula>
    </cfRule>
    <cfRule type="cellIs" dxfId="1689" priority="1617" operator="equal">
      <formula>"Yes"</formula>
    </cfRule>
  </conditionalFormatting>
  <conditionalFormatting sqref="F25">
    <cfRule type="cellIs" dxfId="1688" priority="1612" operator="equal">
      <formula>"No"</formula>
    </cfRule>
    <cfRule type="cellIs" dxfId="1687" priority="1613" operator="equal">
      <formula>"NA"</formula>
    </cfRule>
    <cfRule type="cellIs" dxfId="1686" priority="1614" operator="equal">
      <formula>"Yes"</formula>
    </cfRule>
  </conditionalFormatting>
  <conditionalFormatting sqref="F26">
    <cfRule type="cellIs" dxfId="1685" priority="1609" operator="equal">
      <formula>"No"</formula>
    </cfRule>
    <cfRule type="cellIs" dxfId="1684" priority="1610" operator="equal">
      <formula>"NA"</formula>
    </cfRule>
    <cfRule type="cellIs" dxfId="1683" priority="1611" operator="equal">
      <formula>"Yes"</formula>
    </cfRule>
  </conditionalFormatting>
  <conditionalFormatting sqref="F27">
    <cfRule type="cellIs" dxfId="1682" priority="1606" operator="equal">
      <formula>"No"</formula>
    </cfRule>
    <cfRule type="cellIs" dxfId="1681" priority="1607" operator="equal">
      <formula>"NA"</formula>
    </cfRule>
    <cfRule type="cellIs" dxfId="1680" priority="1608" operator="equal">
      <formula>"Yes"</formula>
    </cfRule>
  </conditionalFormatting>
  <conditionalFormatting sqref="F28">
    <cfRule type="cellIs" dxfId="1679" priority="1603" operator="equal">
      <formula>"No"</formula>
    </cfRule>
    <cfRule type="cellIs" dxfId="1678" priority="1604" operator="equal">
      <formula>"NA"</formula>
    </cfRule>
    <cfRule type="cellIs" dxfId="1677" priority="1605" operator="equal">
      <formula>"Yes"</formula>
    </cfRule>
  </conditionalFormatting>
  <conditionalFormatting sqref="F30">
    <cfRule type="cellIs" dxfId="1676" priority="1600" operator="equal">
      <formula>"No"</formula>
    </cfRule>
    <cfRule type="cellIs" dxfId="1675" priority="1601" operator="equal">
      <formula>"NA"</formula>
    </cfRule>
    <cfRule type="cellIs" dxfId="1674" priority="1602" operator="equal">
      <formula>"Yes"</formula>
    </cfRule>
  </conditionalFormatting>
  <conditionalFormatting sqref="F31">
    <cfRule type="cellIs" dxfId="1673" priority="1597" operator="equal">
      <formula>"No"</formula>
    </cfRule>
    <cfRule type="cellIs" dxfId="1672" priority="1598" operator="equal">
      <formula>"NA"</formula>
    </cfRule>
    <cfRule type="cellIs" dxfId="1671" priority="1599" operator="equal">
      <formula>"Yes"</formula>
    </cfRule>
  </conditionalFormatting>
  <conditionalFormatting sqref="F33">
    <cfRule type="cellIs" dxfId="1670" priority="1594" operator="equal">
      <formula>"No"</formula>
    </cfRule>
    <cfRule type="cellIs" dxfId="1669" priority="1595" operator="equal">
      <formula>"NA"</formula>
    </cfRule>
    <cfRule type="cellIs" dxfId="1668" priority="1596" operator="equal">
      <formula>"Yes"</formula>
    </cfRule>
  </conditionalFormatting>
  <conditionalFormatting sqref="F9">
    <cfRule type="cellIs" dxfId="1667" priority="1591" operator="equal">
      <formula>"No"</formula>
    </cfRule>
    <cfRule type="cellIs" dxfId="1666" priority="1592" operator="equal">
      <formula>"NA"</formula>
    </cfRule>
    <cfRule type="cellIs" dxfId="1665" priority="1593" operator="equal">
      <formula>"Yes"</formula>
    </cfRule>
  </conditionalFormatting>
  <conditionalFormatting sqref="F11">
    <cfRule type="cellIs" dxfId="1664" priority="1588" operator="equal">
      <formula>"No"</formula>
    </cfRule>
    <cfRule type="cellIs" dxfId="1663" priority="1589" operator="equal">
      <formula>"NA"</formula>
    </cfRule>
    <cfRule type="cellIs" dxfId="1662" priority="1590" operator="equal">
      <formula>"Yes"</formula>
    </cfRule>
  </conditionalFormatting>
  <conditionalFormatting sqref="F14">
    <cfRule type="cellIs" dxfId="1661" priority="1585" operator="equal">
      <formula>"No"</formula>
    </cfRule>
    <cfRule type="cellIs" dxfId="1660" priority="1586" operator="equal">
      <formula>"NA"</formula>
    </cfRule>
    <cfRule type="cellIs" dxfId="1659" priority="1587" operator="equal">
      <formula>"Yes"</formula>
    </cfRule>
  </conditionalFormatting>
  <conditionalFormatting sqref="G6">
    <cfRule type="cellIs" dxfId="1658" priority="1582" operator="equal">
      <formula>"No"</formula>
    </cfRule>
    <cfRule type="cellIs" dxfId="1657" priority="1583" operator="equal">
      <formula>"NA"</formula>
    </cfRule>
    <cfRule type="cellIs" dxfId="1656" priority="1584" operator="equal">
      <formula>"Yes"</formula>
    </cfRule>
  </conditionalFormatting>
  <conditionalFormatting sqref="G7">
    <cfRule type="cellIs" dxfId="1655" priority="1579" operator="equal">
      <formula>"No"</formula>
    </cfRule>
    <cfRule type="cellIs" dxfId="1654" priority="1580" operator="equal">
      <formula>"NA"</formula>
    </cfRule>
    <cfRule type="cellIs" dxfId="1653" priority="1581" operator="equal">
      <formula>"Yes"</formula>
    </cfRule>
  </conditionalFormatting>
  <conditionalFormatting sqref="G10">
    <cfRule type="cellIs" dxfId="1652" priority="1576" operator="equal">
      <formula>"No"</formula>
    </cfRule>
    <cfRule type="cellIs" dxfId="1651" priority="1577" operator="equal">
      <formula>"NA"</formula>
    </cfRule>
    <cfRule type="cellIs" dxfId="1650" priority="1578" operator="equal">
      <formula>"Yes"</formula>
    </cfRule>
  </conditionalFormatting>
  <conditionalFormatting sqref="G12">
    <cfRule type="cellIs" dxfId="1649" priority="1573" operator="equal">
      <formula>"No"</formula>
    </cfRule>
    <cfRule type="cellIs" dxfId="1648" priority="1574" operator="equal">
      <formula>"NA"</formula>
    </cfRule>
    <cfRule type="cellIs" dxfId="1647" priority="1575" operator="equal">
      <formula>"Yes"</formula>
    </cfRule>
  </conditionalFormatting>
  <conditionalFormatting sqref="G13">
    <cfRule type="cellIs" dxfId="1646" priority="1570" operator="equal">
      <formula>"No"</formula>
    </cfRule>
    <cfRule type="cellIs" dxfId="1645" priority="1571" operator="equal">
      <formula>"NA"</formula>
    </cfRule>
    <cfRule type="cellIs" dxfId="1644" priority="1572" operator="equal">
      <formula>"Yes"</formula>
    </cfRule>
  </conditionalFormatting>
  <conditionalFormatting sqref="G15">
    <cfRule type="cellIs" dxfId="1643" priority="1567" operator="equal">
      <formula>"No"</formula>
    </cfRule>
    <cfRule type="cellIs" dxfId="1642" priority="1568" operator="equal">
      <formula>"NA"</formula>
    </cfRule>
    <cfRule type="cellIs" dxfId="1641" priority="1569" operator="equal">
      <formula>"Yes"</formula>
    </cfRule>
  </conditionalFormatting>
  <conditionalFormatting sqref="G16">
    <cfRule type="cellIs" dxfId="1640" priority="1564" operator="equal">
      <formula>"No"</formula>
    </cfRule>
    <cfRule type="cellIs" dxfId="1639" priority="1565" operator="equal">
      <formula>"NA"</formula>
    </cfRule>
    <cfRule type="cellIs" dxfId="1638" priority="1566" operator="equal">
      <formula>"Yes"</formula>
    </cfRule>
  </conditionalFormatting>
  <conditionalFormatting sqref="G17">
    <cfRule type="cellIs" dxfId="1637" priority="1561" operator="equal">
      <formula>"No"</formula>
    </cfRule>
    <cfRule type="cellIs" dxfId="1636" priority="1562" operator="equal">
      <formula>"NA"</formula>
    </cfRule>
    <cfRule type="cellIs" dxfId="1635" priority="1563" operator="equal">
      <formula>"Yes"</formula>
    </cfRule>
  </conditionalFormatting>
  <conditionalFormatting sqref="G18">
    <cfRule type="cellIs" dxfId="1634" priority="1558" operator="equal">
      <formula>"No"</formula>
    </cfRule>
    <cfRule type="cellIs" dxfId="1633" priority="1559" operator="equal">
      <formula>"NA"</formula>
    </cfRule>
    <cfRule type="cellIs" dxfId="1632" priority="1560" operator="equal">
      <formula>"Yes"</formula>
    </cfRule>
  </conditionalFormatting>
  <conditionalFormatting sqref="G19">
    <cfRule type="cellIs" dxfId="1631" priority="1555" operator="equal">
      <formula>"No"</formula>
    </cfRule>
    <cfRule type="cellIs" dxfId="1630" priority="1556" operator="equal">
      <formula>"NA"</formula>
    </cfRule>
    <cfRule type="cellIs" dxfId="1629" priority="1557" operator="equal">
      <formula>"Yes"</formula>
    </cfRule>
  </conditionalFormatting>
  <conditionalFormatting sqref="G20">
    <cfRule type="cellIs" dxfId="1628" priority="1552" operator="equal">
      <formula>"No"</formula>
    </cfRule>
    <cfRule type="cellIs" dxfId="1627" priority="1553" operator="equal">
      <formula>"NA"</formula>
    </cfRule>
    <cfRule type="cellIs" dxfId="1626" priority="1554" operator="equal">
      <formula>"Yes"</formula>
    </cfRule>
  </conditionalFormatting>
  <conditionalFormatting sqref="G21">
    <cfRule type="cellIs" dxfId="1625" priority="1549" operator="equal">
      <formula>"No"</formula>
    </cfRule>
    <cfRule type="cellIs" dxfId="1624" priority="1550" operator="equal">
      <formula>"NA"</formula>
    </cfRule>
    <cfRule type="cellIs" dxfId="1623" priority="1551" operator="equal">
      <formula>"Yes"</formula>
    </cfRule>
  </conditionalFormatting>
  <conditionalFormatting sqref="G22">
    <cfRule type="cellIs" dxfId="1622" priority="1546" operator="equal">
      <formula>"No"</formula>
    </cfRule>
    <cfRule type="cellIs" dxfId="1621" priority="1547" operator="equal">
      <formula>"NA"</formula>
    </cfRule>
    <cfRule type="cellIs" dxfId="1620" priority="1548" operator="equal">
      <formula>"Yes"</formula>
    </cfRule>
  </conditionalFormatting>
  <conditionalFormatting sqref="G23">
    <cfRule type="cellIs" dxfId="1619" priority="1543" operator="equal">
      <formula>"No"</formula>
    </cfRule>
    <cfRule type="cellIs" dxfId="1618" priority="1544" operator="equal">
      <formula>"NA"</formula>
    </cfRule>
    <cfRule type="cellIs" dxfId="1617" priority="1545" operator="equal">
      <formula>"Yes"</formula>
    </cfRule>
  </conditionalFormatting>
  <conditionalFormatting sqref="G25">
    <cfRule type="cellIs" dxfId="1616" priority="1540" operator="equal">
      <formula>"No"</formula>
    </cfRule>
    <cfRule type="cellIs" dxfId="1615" priority="1541" operator="equal">
      <formula>"NA"</formula>
    </cfRule>
    <cfRule type="cellIs" dxfId="1614" priority="1542" operator="equal">
      <formula>"Yes"</formula>
    </cfRule>
  </conditionalFormatting>
  <conditionalFormatting sqref="G26">
    <cfRule type="cellIs" dxfId="1613" priority="1537" operator="equal">
      <formula>"No"</formula>
    </cfRule>
    <cfRule type="cellIs" dxfId="1612" priority="1538" operator="equal">
      <formula>"NA"</formula>
    </cfRule>
    <cfRule type="cellIs" dxfId="1611" priority="1539" operator="equal">
      <formula>"Yes"</formula>
    </cfRule>
  </conditionalFormatting>
  <conditionalFormatting sqref="G27">
    <cfRule type="cellIs" dxfId="1610" priority="1534" operator="equal">
      <formula>"No"</formula>
    </cfRule>
    <cfRule type="cellIs" dxfId="1609" priority="1535" operator="equal">
      <formula>"NA"</formula>
    </cfRule>
    <cfRule type="cellIs" dxfId="1608" priority="1536" operator="equal">
      <formula>"Yes"</formula>
    </cfRule>
  </conditionalFormatting>
  <conditionalFormatting sqref="G28">
    <cfRule type="cellIs" dxfId="1607" priority="1531" operator="equal">
      <formula>"No"</formula>
    </cfRule>
    <cfRule type="cellIs" dxfId="1606" priority="1532" operator="equal">
      <formula>"NA"</formula>
    </cfRule>
    <cfRule type="cellIs" dxfId="1605" priority="1533" operator="equal">
      <formula>"Yes"</formula>
    </cfRule>
  </conditionalFormatting>
  <conditionalFormatting sqref="G30">
    <cfRule type="cellIs" dxfId="1604" priority="1528" operator="equal">
      <formula>"No"</formula>
    </cfRule>
    <cfRule type="cellIs" dxfId="1603" priority="1529" operator="equal">
      <formula>"NA"</formula>
    </cfRule>
    <cfRule type="cellIs" dxfId="1602" priority="1530" operator="equal">
      <formula>"Yes"</formula>
    </cfRule>
  </conditionalFormatting>
  <conditionalFormatting sqref="G31">
    <cfRule type="cellIs" dxfId="1601" priority="1525" operator="equal">
      <formula>"No"</formula>
    </cfRule>
    <cfRule type="cellIs" dxfId="1600" priority="1526" operator="equal">
      <formula>"NA"</formula>
    </cfRule>
    <cfRule type="cellIs" dxfId="1599" priority="1527" operator="equal">
      <formula>"Yes"</formula>
    </cfRule>
  </conditionalFormatting>
  <conditionalFormatting sqref="G33">
    <cfRule type="cellIs" dxfId="1598" priority="1522" operator="equal">
      <formula>"No"</formula>
    </cfRule>
    <cfRule type="cellIs" dxfId="1597" priority="1523" operator="equal">
      <formula>"NA"</formula>
    </cfRule>
    <cfRule type="cellIs" dxfId="1596" priority="1524" operator="equal">
      <formula>"Yes"</formula>
    </cfRule>
  </conditionalFormatting>
  <conditionalFormatting sqref="G9">
    <cfRule type="cellIs" dxfId="1595" priority="1519" operator="equal">
      <formula>"No"</formula>
    </cfRule>
    <cfRule type="cellIs" dxfId="1594" priority="1520" operator="equal">
      <formula>"NA"</formula>
    </cfRule>
    <cfRule type="cellIs" dxfId="1593" priority="1521" operator="equal">
      <formula>"Yes"</formula>
    </cfRule>
  </conditionalFormatting>
  <conditionalFormatting sqref="G11">
    <cfRule type="cellIs" dxfId="1592" priority="1516" operator="equal">
      <formula>"No"</formula>
    </cfRule>
    <cfRule type="cellIs" dxfId="1591" priority="1517" operator="equal">
      <formula>"NA"</formula>
    </cfRule>
    <cfRule type="cellIs" dxfId="1590" priority="1518" operator="equal">
      <formula>"Yes"</formula>
    </cfRule>
  </conditionalFormatting>
  <conditionalFormatting sqref="G14">
    <cfRule type="cellIs" dxfId="1589" priority="1513" operator="equal">
      <formula>"No"</formula>
    </cfRule>
    <cfRule type="cellIs" dxfId="1588" priority="1514" operator="equal">
      <formula>"NA"</formula>
    </cfRule>
    <cfRule type="cellIs" dxfId="1587" priority="1515" operator="equal">
      <formula>"Yes"</formula>
    </cfRule>
  </conditionalFormatting>
  <conditionalFormatting sqref="H6">
    <cfRule type="cellIs" dxfId="1586" priority="1510" operator="equal">
      <formula>"No"</formula>
    </cfRule>
    <cfRule type="cellIs" dxfId="1585" priority="1511" operator="equal">
      <formula>"NA"</formula>
    </cfRule>
    <cfRule type="cellIs" dxfId="1584" priority="1512" operator="equal">
      <formula>"Yes"</formula>
    </cfRule>
  </conditionalFormatting>
  <conditionalFormatting sqref="H7">
    <cfRule type="cellIs" dxfId="1583" priority="1507" operator="equal">
      <formula>"No"</formula>
    </cfRule>
    <cfRule type="cellIs" dxfId="1582" priority="1508" operator="equal">
      <formula>"NA"</formula>
    </cfRule>
    <cfRule type="cellIs" dxfId="1581" priority="1509" operator="equal">
      <formula>"Yes"</formula>
    </cfRule>
  </conditionalFormatting>
  <conditionalFormatting sqref="H10">
    <cfRule type="cellIs" dxfId="1580" priority="1504" operator="equal">
      <formula>"No"</formula>
    </cfRule>
    <cfRule type="cellIs" dxfId="1579" priority="1505" operator="equal">
      <formula>"NA"</formula>
    </cfRule>
    <cfRule type="cellIs" dxfId="1578" priority="1506" operator="equal">
      <formula>"Yes"</formula>
    </cfRule>
  </conditionalFormatting>
  <conditionalFormatting sqref="H12">
    <cfRule type="cellIs" dxfId="1577" priority="1501" operator="equal">
      <formula>"No"</formula>
    </cfRule>
    <cfRule type="cellIs" dxfId="1576" priority="1502" operator="equal">
      <formula>"NA"</formula>
    </cfRule>
    <cfRule type="cellIs" dxfId="1575" priority="1503" operator="equal">
      <formula>"Yes"</formula>
    </cfRule>
  </conditionalFormatting>
  <conditionalFormatting sqref="H13">
    <cfRule type="cellIs" dxfId="1574" priority="1498" operator="equal">
      <formula>"No"</formula>
    </cfRule>
    <cfRule type="cellIs" dxfId="1573" priority="1499" operator="equal">
      <formula>"NA"</formula>
    </cfRule>
    <cfRule type="cellIs" dxfId="1572" priority="1500" operator="equal">
      <formula>"Yes"</formula>
    </cfRule>
  </conditionalFormatting>
  <conditionalFormatting sqref="H15">
    <cfRule type="cellIs" dxfId="1571" priority="1495" operator="equal">
      <formula>"No"</formula>
    </cfRule>
    <cfRule type="cellIs" dxfId="1570" priority="1496" operator="equal">
      <formula>"NA"</formula>
    </cfRule>
    <cfRule type="cellIs" dxfId="1569" priority="1497" operator="equal">
      <formula>"Yes"</formula>
    </cfRule>
  </conditionalFormatting>
  <conditionalFormatting sqref="H16">
    <cfRule type="cellIs" dxfId="1568" priority="1492" operator="equal">
      <formula>"No"</formula>
    </cfRule>
    <cfRule type="cellIs" dxfId="1567" priority="1493" operator="equal">
      <formula>"NA"</formula>
    </cfRule>
    <cfRule type="cellIs" dxfId="1566" priority="1494" operator="equal">
      <formula>"Yes"</formula>
    </cfRule>
  </conditionalFormatting>
  <conditionalFormatting sqref="H17">
    <cfRule type="cellIs" dxfId="1565" priority="1489" operator="equal">
      <formula>"No"</formula>
    </cfRule>
    <cfRule type="cellIs" dxfId="1564" priority="1490" operator="equal">
      <formula>"NA"</formula>
    </cfRule>
    <cfRule type="cellIs" dxfId="1563" priority="1491" operator="equal">
      <formula>"Yes"</formula>
    </cfRule>
  </conditionalFormatting>
  <conditionalFormatting sqref="H18">
    <cfRule type="cellIs" dxfId="1562" priority="1486" operator="equal">
      <formula>"No"</formula>
    </cfRule>
    <cfRule type="cellIs" dxfId="1561" priority="1487" operator="equal">
      <formula>"NA"</formula>
    </cfRule>
    <cfRule type="cellIs" dxfId="1560" priority="1488" operator="equal">
      <formula>"Yes"</formula>
    </cfRule>
  </conditionalFormatting>
  <conditionalFormatting sqref="H19">
    <cfRule type="cellIs" dxfId="1559" priority="1483" operator="equal">
      <formula>"No"</formula>
    </cfRule>
    <cfRule type="cellIs" dxfId="1558" priority="1484" operator="equal">
      <formula>"NA"</formula>
    </cfRule>
    <cfRule type="cellIs" dxfId="1557" priority="1485" operator="equal">
      <formula>"Yes"</formula>
    </cfRule>
  </conditionalFormatting>
  <conditionalFormatting sqref="H20">
    <cfRule type="cellIs" dxfId="1556" priority="1480" operator="equal">
      <formula>"No"</formula>
    </cfRule>
    <cfRule type="cellIs" dxfId="1555" priority="1481" operator="equal">
      <formula>"NA"</formula>
    </cfRule>
    <cfRule type="cellIs" dxfId="1554" priority="1482" operator="equal">
      <formula>"Yes"</formula>
    </cfRule>
  </conditionalFormatting>
  <conditionalFormatting sqref="H21">
    <cfRule type="cellIs" dxfId="1553" priority="1477" operator="equal">
      <formula>"No"</formula>
    </cfRule>
    <cfRule type="cellIs" dxfId="1552" priority="1478" operator="equal">
      <formula>"NA"</formula>
    </cfRule>
    <cfRule type="cellIs" dxfId="1551" priority="1479" operator="equal">
      <formula>"Yes"</formula>
    </cfRule>
  </conditionalFormatting>
  <conditionalFormatting sqref="H22">
    <cfRule type="cellIs" dxfId="1550" priority="1474" operator="equal">
      <formula>"No"</formula>
    </cfRule>
    <cfRule type="cellIs" dxfId="1549" priority="1475" operator="equal">
      <formula>"NA"</formula>
    </cfRule>
    <cfRule type="cellIs" dxfId="1548" priority="1476" operator="equal">
      <formula>"Yes"</formula>
    </cfRule>
  </conditionalFormatting>
  <conditionalFormatting sqref="H23">
    <cfRule type="cellIs" dxfId="1547" priority="1471" operator="equal">
      <formula>"No"</formula>
    </cfRule>
    <cfRule type="cellIs" dxfId="1546" priority="1472" operator="equal">
      <formula>"NA"</formula>
    </cfRule>
    <cfRule type="cellIs" dxfId="1545" priority="1473" operator="equal">
      <formula>"Yes"</formula>
    </cfRule>
  </conditionalFormatting>
  <conditionalFormatting sqref="H25">
    <cfRule type="cellIs" dxfId="1544" priority="1468" operator="equal">
      <formula>"No"</formula>
    </cfRule>
    <cfRule type="cellIs" dxfId="1543" priority="1469" operator="equal">
      <formula>"NA"</formula>
    </cfRule>
    <cfRule type="cellIs" dxfId="1542" priority="1470" operator="equal">
      <formula>"Yes"</formula>
    </cfRule>
  </conditionalFormatting>
  <conditionalFormatting sqref="H26">
    <cfRule type="cellIs" dxfId="1541" priority="1465" operator="equal">
      <formula>"No"</formula>
    </cfRule>
    <cfRule type="cellIs" dxfId="1540" priority="1466" operator="equal">
      <formula>"NA"</formula>
    </cfRule>
    <cfRule type="cellIs" dxfId="1539" priority="1467" operator="equal">
      <formula>"Yes"</formula>
    </cfRule>
  </conditionalFormatting>
  <conditionalFormatting sqref="H27">
    <cfRule type="cellIs" dxfId="1538" priority="1462" operator="equal">
      <formula>"No"</formula>
    </cfRule>
    <cfRule type="cellIs" dxfId="1537" priority="1463" operator="equal">
      <formula>"NA"</formula>
    </cfRule>
    <cfRule type="cellIs" dxfId="1536" priority="1464" operator="equal">
      <formula>"Yes"</formula>
    </cfRule>
  </conditionalFormatting>
  <conditionalFormatting sqref="H28">
    <cfRule type="cellIs" dxfId="1535" priority="1459" operator="equal">
      <formula>"No"</formula>
    </cfRule>
    <cfRule type="cellIs" dxfId="1534" priority="1460" operator="equal">
      <formula>"NA"</formula>
    </cfRule>
    <cfRule type="cellIs" dxfId="1533" priority="1461" operator="equal">
      <formula>"Yes"</formula>
    </cfRule>
  </conditionalFormatting>
  <conditionalFormatting sqref="H30">
    <cfRule type="cellIs" dxfId="1532" priority="1456" operator="equal">
      <formula>"No"</formula>
    </cfRule>
    <cfRule type="cellIs" dxfId="1531" priority="1457" operator="equal">
      <formula>"NA"</formula>
    </cfRule>
    <cfRule type="cellIs" dxfId="1530" priority="1458" operator="equal">
      <formula>"Yes"</formula>
    </cfRule>
  </conditionalFormatting>
  <conditionalFormatting sqref="H31">
    <cfRule type="cellIs" dxfId="1529" priority="1453" operator="equal">
      <formula>"No"</formula>
    </cfRule>
    <cfRule type="cellIs" dxfId="1528" priority="1454" operator="equal">
      <formula>"NA"</formula>
    </cfRule>
    <cfRule type="cellIs" dxfId="1527" priority="1455" operator="equal">
      <formula>"Yes"</formula>
    </cfRule>
  </conditionalFormatting>
  <conditionalFormatting sqref="H33">
    <cfRule type="cellIs" dxfId="1526" priority="1450" operator="equal">
      <formula>"No"</formula>
    </cfRule>
    <cfRule type="cellIs" dxfId="1525" priority="1451" operator="equal">
      <formula>"NA"</formula>
    </cfRule>
    <cfRule type="cellIs" dxfId="1524" priority="1452" operator="equal">
      <formula>"Yes"</formula>
    </cfRule>
  </conditionalFormatting>
  <conditionalFormatting sqref="H9">
    <cfRule type="cellIs" dxfId="1523" priority="1447" operator="equal">
      <formula>"No"</formula>
    </cfRule>
    <cfRule type="cellIs" dxfId="1522" priority="1448" operator="equal">
      <formula>"NA"</formula>
    </cfRule>
    <cfRule type="cellIs" dxfId="1521" priority="1449" operator="equal">
      <formula>"Yes"</formula>
    </cfRule>
  </conditionalFormatting>
  <conditionalFormatting sqref="H11">
    <cfRule type="cellIs" dxfId="1520" priority="1444" operator="equal">
      <formula>"No"</formula>
    </cfRule>
    <cfRule type="cellIs" dxfId="1519" priority="1445" operator="equal">
      <formula>"NA"</formula>
    </cfRule>
    <cfRule type="cellIs" dxfId="1518" priority="1446" operator="equal">
      <formula>"Yes"</formula>
    </cfRule>
  </conditionalFormatting>
  <conditionalFormatting sqref="H14">
    <cfRule type="cellIs" dxfId="1517" priority="1441" operator="equal">
      <formula>"No"</formula>
    </cfRule>
    <cfRule type="cellIs" dxfId="1516" priority="1442" operator="equal">
      <formula>"NA"</formula>
    </cfRule>
    <cfRule type="cellIs" dxfId="1515" priority="1443" operator="equal">
      <formula>"Yes"</formula>
    </cfRule>
  </conditionalFormatting>
  <conditionalFormatting sqref="I6">
    <cfRule type="cellIs" dxfId="1514" priority="1438" operator="equal">
      <formula>"No"</formula>
    </cfRule>
    <cfRule type="cellIs" dxfId="1513" priority="1439" operator="equal">
      <formula>"NA"</formula>
    </cfRule>
    <cfRule type="cellIs" dxfId="1512" priority="1440" operator="equal">
      <formula>"Yes"</formula>
    </cfRule>
  </conditionalFormatting>
  <conditionalFormatting sqref="I7">
    <cfRule type="cellIs" dxfId="1511" priority="1435" operator="equal">
      <formula>"No"</formula>
    </cfRule>
    <cfRule type="cellIs" dxfId="1510" priority="1436" operator="equal">
      <formula>"NA"</formula>
    </cfRule>
    <cfRule type="cellIs" dxfId="1509" priority="1437" operator="equal">
      <formula>"Yes"</formula>
    </cfRule>
  </conditionalFormatting>
  <conditionalFormatting sqref="I10">
    <cfRule type="cellIs" dxfId="1508" priority="1432" operator="equal">
      <formula>"No"</formula>
    </cfRule>
    <cfRule type="cellIs" dxfId="1507" priority="1433" operator="equal">
      <formula>"NA"</formula>
    </cfRule>
    <cfRule type="cellIs" dxfId="1506" priority="1434" operator="equal">
      <formula>"Yes"</formula>
    </cfRule>
  </conditionalFormatting>
  <conditionalFormatting sqref="I12">
    <cfRule type="cellIs" dxfId="1505" priority="1429" operator="equal">
      <formula>"No"</formula>
    </cfRule>
    <cfRule type="cellIs" dxfId="1504" priority="1430" operator="equal">
      <formula>"NA"</formula>
    </cfRule>
    <cfRule type="cellIs" dxfId="1503" priority="1431" operator="equal">
      <formula>"Yes"</formula>
    </cfRule>
  </conditionalFormatting>
  <conditionalFormatting sqref="I13">
    <cfRule type="cellIs" dxfId="1502" priority="1426" operator="equal">
      <formula>"No"</formula>
    </cfRule>
    <cfRule type="cellIs" dxfId="1501" priority="1427" operator="equal">
      <formula>"NA"</formula>
    </cfRule>
    <cfRule type="cellIs" dxfId="1500" priority="1428" operator="equal">
      <formula>"Yes"</formula>
    </cfRule>
  </conditionalFormatting>
  <conditionalFormatting sqref="I15">
    <cfRule type="cellIs" dxfId="1499" priority="1423" operator="equal">
      <formula>"No"</formula>
    </cfRule>
    <cfRule type="cellIs" dxfId="1498" priority="1424" operator="equal">
      <formula>"NA"</formula>
    </cfRule>
    <cfRule type="cellIs" dxfId="1497" priority="1425" operator="equal">
      <formula>"Yes"</formula>
    </cfRule>
  </conditionalFormatting>
  <conditionalFormatting sqref="I16">
    <cfRule type="cellIs" dxfId="1496" priority="1420" operator="equal">
      <formula>"No"</formula>
    </cfRule>
    <cfRule type="cellIs" dxfId="1495" priority="1421" operator="equal">
      <formula>"NA"</formula>
    </cfRule>
    <cfRule type="cellIs" dxfId="1494" priority="1422" operator="equal">
      <formula>"Yes"</formula>
    </cfRule>
  </conditionalFormatting>
  <conditionalFormatting sqref="I17">
    <cfRule type="cellIs" dxfId="1493" priority="1417" operator="equal">
      <formula>"No"</formula>
    </cfRule>
    <cfRule type="cellIs" dxfId="1492" priority="1418" operator="equal">
      <formula>"NA"</formula>
    </cfRule>
    <cfRule type="cellIs" dxfId="1491" priority="1419" operator="equal">
      <formula>"Yes"</formula>
    </cfRule>
  </conditionalFormatting>
  <conditionalFormatting sqref="I18">
    <cfRule type="cellIs" dxfId="1490" priority="1414" operator="equal">
      <formula>"No"</formula>
    </cfRule>
    <cfRule type="cellIs" dxfId="1489" priority="1415" operator="equal">
      <formula>"NA"</formula>
    </cfRule>
    <cfRule type="cellIs" dxfId="1488" priority="1416" operator="equal">
      <formula>"Yes"</formula>
    </cfRule>
  </conditionalFormatting>
  <conditionalFormatting sqref="I19">
    <cfRule type="cellIs" dxfId="1487" priority="1411" operator="equal">
      <formula>"No"</formula>
    </cfRule>
    <cfRule type="cellIs" dxfId="1486" priority="1412" operator="equal">
      <formula>"NA"</formula>
    </cfRule>
    <cfRule type="cellIs" dxfId="1485" priority="1413" operator="equal">
      <formula>"Yes"</formula>
    </cfRule>
  </conditionalFormatting>
  <conditionalFormatting sqref="I20">
    <cfRule type="cellIs" dxfId="1484" priority="1408" operator="equal">
      <formula>"No"</formula>
    </cfRule>
    <cfRule type="cellIs" dxfId="1483" priority="1409" operator="equal">
      <formula>"NA"</formula>
    </cfRule>
    <cfRule type="cellIs" dxfId="1482" priority="1410" operator="equal">
      <formula>"Yes"</formula>
    </cfRule>
  </conditionalFormatting>
  <conditionalFormatting sqref="I21">
    <cfRule type="cellIs" dxfId="1481" priority="1405" operator="equal">
      <formula>"No"</formula>
    </cfRule>
    <cfRule type="cellIs" dxfId="1480" priority="1406" operator="equal">
      <formula>"NA"</formula>
    </cfRule>
    <cfRule type="cellIs" dxfId="1479" priority="1407" operator="equal">
      <formula>"Yes"</formula>
    </cfRule>
  </conditionalFormatting>
  <conditionalFormatting sqref="I22">
    <cfRule type="cellIs" dxfId="1478" priority="1402" operator="equal">
      <formula>"No"</formula>
    </cfRule>
    <cfRule type="cellIs" dxfId="1477" priority="1403" operator="equal">
      <formula>"NA"</formula>
    </cfRule>
    <cfRule type="cellIs" dxfId="1476" priority="1404" operator="equal">
      <formula>"Yes"</formula>
    </cfRule>
  </conditionalFormatting>
  <conditionalFormatting sqref="I23">
    <cfRule type="cellIs" dxfId="1475" priority="1399" operator="equal">
      <formula>"No"</formula>
    </cfRule>
    <cfRule type="cellIs" dxfId="1474" priority="1400" operator="equal">
      <formula>"NA"</formula>
    </cfRule>
    <cfRule type="cellIs" dxfId="1473" priority="1401" operator="equal">
      <formula>"Yes"</formula>
    </cfRule>
  </conditionalFormatting>
  <conditionalFormatting sqref="I25">
    <cfRule type="cellIs" dxfId="1472" priority="1396" operator="equal">
      <formula>"No"</formula>
    </cfRule>
    <cfRule type="cellIs" dxfId="1471" priority="1397" operator="equal">
      <formula>"NA"</formula>
    </cfRule>
    <cfRule type="cellIs" dxfId="1470" priority="1398" operator="equal">
      <formula>"Yes"</formula>
    </cfRule>
  </conditionalFormatting>
  <conditionalFormatting sqref="I26">
    <cfRule type="cellIs" dxfId="1469" priority="1393" operator="equal">
      <formula>"No"</formula>
    </cfRule>
    <cfRule type="cellIs" dxfId="1468" priority="1394" operator="equal">
      <formula>"NA"</formula>
    </cfRule>
    <cfRule type="cellIs" dxfId="1467" priority="1395" operator="equal">
      <formula>"Yes"</formula>
    </cfRule>
  </conditionalFormatting>
  <conditionalFormatting sqref="I27">
    <cfRule type="cellIs" dxfId="1466" priority="1390" operator="equal">
      <formula>"No"</formula>
    </cfRule>
    <cfRule type="cellIs" dxfId="1465" priority="1391" operator="equal">
      <formula>"NA"</formula>
    </cfRule>
    <cfRule type="cellIs" dxfId="1464" priority="1392" operator="equal">
      <formula>"Yes"</formula>
    </cfRule>
  </conditionalFormatting>
  <conditionalFormatting sqref="I28">
    <cfRule type="cellIs" dxfId="1463" priority="1387" operator="equal">
      <formula>"No"</formula>
    </cfRule>
    <cfRule type="cellIs" dxfId="1462" priority="1388" operator="equal">
      <formula>"NA"</formula>
    </cfRule>
    <cfRule type="cellIs" dxfId="1461" priority="1389" operator="equal">
      <formula>"Yes"</formula>
    </cfRule>
  </conditionalFormatting>
  <conditionalFormatting sqref="I30">
    <cfRule type="cellIs" dxfId="1460" priority="1384" operator="equal">
      <formula>"No"</formula>
    </cfRule>
    <cfRule type="cellIs" dxfId="1459" priority="1385" operator="equal">
      <formula>"NA"</formula>
    </cfRule>
    <cfRule type="cellIs" dxfId="1458" priority="1386" operator="equal">
      <formula>"Yes"</formula>
    </cfRule>
  </conditionalFormatting>
  <conditionalFormatting sqref="I31">
    <cfRule type="cellIs" dxfId="1457" priority="1381" operator="equal">
      <formula>"No"</formula>
    </cfRule>
    <cfRule type="cellIs" dxfId="1456" priority="1382" operator="equal">
      <formula>"NA"</formula>
    </cfRule>
    <cfRule type="cellIs" dxfId="1455" priority="1383" operator="equal">
      <formula>"Yes"</formula>
    </cfRule>
  </conditionalFormatting>
  <conditionalFormatting sqref="I33">
    <cfRule type="cellIs" dxfId="1454" priority="1378" operator="equal">
      <formula>"No"</formula>
    </cfRule>
    <cfRule type="cellIs" dxfId="1453" priority="1379" operator="equal">
      <formula>"NA"</formula>
    </cfRule>
    <cfRule type="cellIs" dxfId="1452" priority="1380" operator="equal">
      <formula>"Yes"</formula>
    </cfRule>
  </conditionalFormatting>
  <conditionalFormatting sqref="I9">
    <cfRule type="cellIs" dxfId="1451" priority="1375" operator="equal">
      <formula>"No"</formula>
    </cfRule>
    <cfRule type="cellIs" dxfId="1450" priority="1376" operator="equal">
      <formula>"NA"</formula>
    </cfRule>
    <cfRule type="cellIs" dxfId="1449" priority="1377" operator="equal">
      <formula>"Yes"</formula>
    </cfRule>
  </conditionalFormatting>
  <conditionalFormatting sqref="I11">
    <cfRule type="cellIs" dxfId="1448" priority="1372" operator="equal">
      <formula>"No"</formula>
    </cfRule>
    <cfRule type="cellIs" dxfId="1447" priority="1373" operator="equal">
      <formula>"NA"</formula>
    </cfRule>
    <cfRule type="cellIs" dxfId="1446" priority="1374" operator="equal">
      <formula>"Yes"</formula>
    </cfRule>
  </conditionalFormatting>
  <conditionalFormatting sqref="I14">
    <cfRule type="cellIs" dxfId="1445" priority="1369" operator="equal">
      <formula>"No"</formula>
    </cfRule>
    <cfRule type="cellIs" dxfId="1444" priority="1370" operator="equal">
      <formula>"NA"</formula>
    </cfRule>
    <cfRule type="cellIs" dxfId="1443" priority="1371" operator="equal">
      <formula>"Yes"</formula>
    </cfRule>
  </conditionalFormatting>
  <conditionalFormatting sqref="J6">
    <cfRule type="cellIs" dxfId="1442" priority="1366" operator="equal">
      <formula>"No"</formula>
    </cfRule>
    <cfRule type="cellIs" dxfId="1441" priority="1367" operator="equal">
      <formula>"NA"</formula>
    </cfRule>
    <cfRule type="cellIs" dxfId="1440" priority="1368" operator="equal">
      <formula>"Yes"</formula>
    </cfRule>
  </conditionalFormatting>
  <conditionalFormatting sqref="J7">
    <cfRule type="cellIs" dxfId="1439" priority="1363" operator="equal">
      <formula>"No"</formula>
    </cfRule>
    <cfRule type="cellIs" dxfId="1438" priority="1364" operator="equal">
      <formula>"NA"</formula>
    </cfRule>
    <cfRule type="cellIs" dxfId="1437" priority="1365" operator="equal">
      <formula>"Yes"</formula>
    </cfRule>
  </conditionalFormatting>
  <conditionalFormatting sqref="J10">
    <cfRule type="cellIs" dxfId="1436" priority="1360" operator="equal">
      <formula>"No"</formula>
    </cfRule>
    <cfRule type="cellIs" dxfId="1435" priority="1361" operator="equal">
      <formula>"NA"</formula>
    </cfRule>
    <cfRule type="cellIs" dxfId="1434" priority="1362" operator="equal">
      <formula>"Yes"</formula>
    </cfRule>
  </conditionalFormatting>
  <conditionalFormatting sqref="J12">
    <cfRule type="cellIs" dxfId="1433" priority="1357" operator="equal">
      <formula>"No"</formula>
    </cfRule>
    <cfRule type="cellIs" dxfId="1432" priority="1358" operator="equal">
      <formula>"NA"</formula>
    </cfRule>
    <cfRule type="cellIs" dxfId="1431" priority="1359" operator="equal">
      <formula>"Yes"</formula>
    </cfRule>
  </conditionalFormatting>
  <conditionalFormatting sqref="J13">
    <cfRule type="cellIs" dxfId="1430" priority="1354" operator="equal">
      <formula>"No"</formula>
    </cfRule>
    <cfRule type="cellIs" dxfId="1429" priority="1355" operator="equal">
      <formula>"NA"</formula>
    </cfRule>
    <cfRule type="cellIs" dxfId="1428" priority="1356" operator="equal">
      <formula>"Yes"</formula>
    </cfRule>
  </conditionalFormatting>
  <conditionalFormatting sqref="J15">
    <cfRule type="cellIs" dxfId="1427" priority="1351" operator="equal">
      <formula>"No"</formula>
    </cfRule>
    <cfRule type="cellIs" dxfId="1426" priority="1352" operator="equal">
      <formula>"NA"</formula>
    </cfRule>
    <cfRule type="cellIs" dxfId="1425" priority="1353" operator="equal">
      <formula>"Yes"</formula>
    </cfRule>
  </conditionalFormatting>
  <conditionalFormatting sqref="J16">
    <cfRule type="cellIs" dxfId="1424" priority="1348" operator="equal">
      <formula>"No"</formula>
    </cfRule>
    <cfRule type="cellIs" dxfId="1423" priority="1349" operator="equal">
      <formula>"NA"</formula>
    </cfRule>
    <cfRule type="cellIs" dxfId="1422" priority="1350" operator="equal">
      <formula>"Yes"</formula>
    </cfRule>
  </conditionalFormatting>
  <conditionalFormatting sqref="J17">
    <cfRule type="cellIs" dxfId="1421" priority="1345" operator="equal">
      <formula>"No"</formula>
    </cfRule>
    <cfRule type="cellIs" dxfId="1420" priority="1346" operator="equal">
      <formula>"NA"</formula>
    </cfRule>
    <cfRule type="cellIs" dxfId="1419" priority="1347" operator="equal">
      <formula>"Yes"</formula>
    </cfRule>
  </conditionalFormatting>
  <conditionalFormatting sqref="J18">
    <cfRule type="cellIs" dxfId="1418" priority="1342" operator="equal">
      <formula>"No"</formula>
    </cfRule>
    <cfRule type="cellIs" dxfId="1417" priority="1343" operator="equal">
      <formula>"NA"</formula>
    </cfRule>
    <cfRule type="cellIs" dxfId="1416" priority="1344" operator="equal">
      <formula>"Yes"</formula>
    </cfRule>
  </conditionalFormatting>
  <conditionalFormatting sqref="J19">
    <cfRule type="cellIs" dxfId="1415" priority="1339" operator="equal">
      <formula>"No"</formula>
    </cfRule>
    <cfRule type="cellIs" dxfId="1414" priority="1340" operator="equal">
      <formula>"NA"</formula>
    </cfRule>
    <cfRule type="cellIs" dxfId="1413" priority="1341" operator="equal">
      <formula>"Yes"</formula>
    </cfRule>
  </conditionalFormatting>
  <conditionalFormatting sqref="J20">
    <cfRule type="cellIs" dxfId="1412" priority="1336" operator="equal">
      <formula>"No"</formula>
    </cfRule>
    <cfRule type="cellIs" dxfId="1411" priority="1337" operator="equal">
      <formula>"NA"</formula>
    </cfRule>
    <cfRule type="cellIs" dxfId="1410" priority="1338" operator="equal">
      <formula>"Yes"</formula>
    </cfRule>
  </conditionalFormatting>
  <conditionalFormatting sqref="J21">
    <cfRule type="cellIs" dxfId="1409" priority="1333" operator="equal">
      <formula>"No"</formula>
    </cfRule>
    <cfRule type="cellIs" dxfId="1408" priority="1334" operator="equal">
      <formula>"NA"</formula>
    </cfRule>
    <cfRule type="cellIs" dxfId="1407" priority="1335" operator="equal">
      <formula>"Yes"</formula>
    </cfRule>
  </conditionalFormatting>
  <conditionalFormatting sqref="J22">
    <cfRule type="cellIs" dxfId="1406" priority="1330" operator="equal">
      <formula>"No"</formula>
    </cfRule>
    <cfRule type="cellIs" dxfId="1405" priority="1331" operator="equal">
      <formula>"NA"</formula>
    </cfRule>
    <cfRule type="cellIs" dxfId="1404" priority="1332" operator="equal">
      <formula>"Yes"</formula>
    </cfRule>
  </conditionalFormatting>
  <conditionalFormatting sqref="J23">
    <cfRule type="cellIs" dxfId="1403" priority="1327" operator="equal">
      <formula>"No"</formula>
    </cfRule>
    <cfRule type="cellIs" dxfId="1402" priority="1328" operator="equal">
      <formula>"NA"</formula>
    </cfRule>
    <cfRule type="cellIs" dxfId="1401" priority="1329" operator="equal">
      <formula>"Yes"</formula>
    </cfRule>
  </conditionalFormatting>
  <conditionalFormatting sqref="J25">
    <cfRule type="cellIs" dxfId="1400" priority="1324" operator="equal">
      <formula>"No"</formula>
    </cfRule>
    <cfRule type="cellIs" dxfId="1399" priority="1325" operator="equal">
      <formula>"NA"</formula>
    </cfRule>
    <cfRule type="cellIs" dxfId="1398" priority="1326" operator="equal">
      <formula>"Yes"</formula>
    </cfRule>
  </conditionalFormatting>
  <conditionalFormatting sqref="J26">
    <cfRule type="cellIs" dxfId="1397" priority="1321" operator="equal">
      <formula>"No"</formula>
    </cfRule>
    <cfRule type="cellIs" dxfId="1396" priority="1322" operator="equal">
      <formula>"NA"</formula>
    </cfRule>
    <cfRule type="cellIs" dxfId="1395" priority="1323" operator="equal">
      <formula>"Yes"</formula>
    </cfRule>
  </conditionalFormatting>
  <conditionalFormatting sqref="J27">
    <cfRule type="cellIs" dxfId="1394" priority="1318" operator="equal">
      <formula>"No"</formula>
    </cfRule>
    <cfRule type="cellIs" dxfId="1393" priority="1319" operator="equal">
      <formula>"NA"</formula>
    </cfRule>
    <cfRule type="cellIs" dxfId="1392" priority="1320" operator="equal">
      <formula>"Yes"</formula>
    </cfRule>
  </conditionalFormatting>
  <conditionalFormatting sqref="J28">
    <cfRule type="cellIs" dxfId="1391" priority="1315" operator="equal">
      <formula>"No"</formula>
    </cfRule>
    <cfRule type="cellIs" dxfId="1390" priority="1316" operator="equal">
      <formula>"NA"</formula>
    </cfRule>
    <cfRule type="cellIs" dxfId="1389" priority="1317" operator="equal">
      <formula>"Yes"</formula>
    </cfRule>
  </conditionalFormatting>
  <conditionalFormatting sqref="J30">
    <cfRule type="cellIs" dxfId="1388" priority="1312" operator="equal">
      <formula>"No"</formula>
    </cfRule>
    <cfRule type="cellIs" dxfId="1387" priority="1313" operator="equal">
      <formula>"NA"</formula>
    </cfRule>
    <cfRule type="cellIs" dxfId="1386" priority="1314" operator="equal">
      <formula>"Yes"</formula>
    </cfRule>
  </conditionalFormatting>
  <conditionalFormatting sqref="J31">
    <cfRule type="cellIs" dxfId="1385" priority="1309" operator="equal">
      <formula>"No"</formula>
    </cfRule>
    <cfRule type="cellIs" dxfId="1384" priority="1310" operator="equal">
      <formula>"NA"</formula>
    </cfRule>
    <cfRule type="cellIs" dxfId="1383" priority="1311" operator="equal">
      <formula>"Yes"</formula>
    </cfRule>
  </conditionalFormatting>
  <conditionalFormatting sqref="J33">
    <cfRule type="cellIs" dxfId="1382" priority="1306" operator="equal">
      <formula>"No"</formula>
    </cfRule>
    <cfRule type="cellIs" dxfId="1381" priority="1307" operator="equal">
      <formula>"NA"</formula>
    </cfRule>
    <cfRule type="cellIs" dxfId="1380" priority="1308" operator="equal">
      <formula>"Yes"</formula>
    </cfRule>
  </conditionalFormatting>
  <conditionalFormatting sqref="J9">
    <cfRule type="cellIs" dxfId="1379" priority="1303" operator="equal">
      <formula>"No"</formula>
    </cfRule>
    <cfRule type="cellIs" dxfId="1378" priority="1304" operator="equal">
      <formula>"NA"</formula>
    </cfRule>
    <cfRule type="cellIs" dxfId="1377" priority="1305" operator="equal">
      <formula>"Yes"</formula>
    </cfRule>
  </conditionalFormatting>
  <conditionalFormatting sqref="J11">
    <cfRule type="cellIs" dxfId="1376" priority="1300" operator="equal">
      <formula>"No"</formula>
    </cfRule>
    <cfRule type="cellIs" dxfId="1375" priority="1301" operator="equal">
      <formula>"NA"</formula>
    </cfRule>
    <cfRule type="cellIs" dxfId="1374" priority="1302" operator="equal">
      <formula>"Yes"</formula>
    </cfRule>
  </conditionalFormatting>
  <conditionalFormatting sqref="J14">
    <cfRule type="cellIs" dxfId="1373" priority="1297" operator="equal">
      <formula>"No"</formula>
    </cfRule>
    <cfRule type="cellIs" dxfId="1372" priority="1298" operator="equal">
      <formula>"NA"</formula>
    </cfRule>
    <cfRule type="cellIs" dxfId="1371" priority="1299" operator="equal">
      <formula>"Yes"</formula>
    </cfRule>
  </conditionalFormatting>
  <conditionalFormatting sqref="K6">
    <cfRule type="cellIs" dxfId="1370" priority="1294" operator="equal">
      <formula>"No"</formula>
    </cfRule>
    <cfRule type="cellIs" dxfId="1369" priority="1295" operator="equal">
      <formula>"NA"</formula>
    </cfRule>
    <cfRule type="cellIs" dxfId="1368" priority="1296" operator="equal">
      <formula>"Yes"</formula>
    </cfRule>
  </conditionalFormatting>
  <conditionalFormatting sqref="K7">
    <cfRule type="cellIs" dxfId="1367" priority="1291" operator="equal">
      <formula>"No"</formula>
    </cfRule>
    <cfRule type="cellIs" dxfId="1366" priority="1292" operator="equal">
      <formula>"NA"</formula>
    </cfRule>
    <cfRule type="cellIs" dxfId="1365" priority="1293" operator="equal">
      <formula>"Yes"</formula>
    </cfRule>
  </conditionalFormatting>
  <conditionalFormatting sqref="K10">
    <cfRule type="cellIs" dxfId="1364" priority="1288" operator="equal">
      <formula>"No"</formula>
    </cfRule>
    <cfRule type="cellIs" dxfId="1363" priority="1289" operator="equal">
      <formula>"NA"</formula>
    </cfRule>
    <cfRule type="cellIs" dxfId="1362" priority="1290" operator="equal">
      <formula>"Yes"</formula>
    </cfRule>
  </conditionalFormatting>
  <conditionalFormatting sqref="K12">
    <cfRule type="cellIs" dxfId="1361" priority="1285" operator="equal">
      <formula>"No"</formula>
    </cfRule>
    <cfRule type="cellIs" dxfId="1360" priority="1286" operator="equal">
      <formula>"NA"</formula>
    </cfRule>
    <cfRule type="cellIs" dxfId="1359" priority="1287" operator="equal">
      <formula>"Yes"</formula>
    </cfRule>
  </conditionalFormatting>
  <conditionalFormatting sqref="K13">
    <cfRule type="cellIs" dxfId="1358" priority="1282" operator="equal">
      <formula>"No"</formula>
    </cfRule>
    <cfRule type="cellIs" dxfId="1357" priority="1283" operator="equal">
      <formula>"NA"</formula>
    </cfRule>
    <cfRule type="cellIs" dxfId="1356" priority="1284" operator="equal">
      <formula>"Yes"</formula>
    </cfRule>
  </conditionalFormatting>
  <conditionalFormatting sqref="K15">
    <cfRule type="cellIs" dxfId="1355" priority="1279" operator="equal">
      <formula>"No"</formula>
    </cfRule>
    <cfRule type="cellIs" dxfId="1354" priority="1280" operator="equal">
      <formula>"NA"</formula>
    </cfRule>
    <cfRule type="cellIs" dxfId="1353" priority="1281" operator="equal">
      <formula>"Yes"</formula>
    </cfRule>
  </conditionalFormatting>
  <conditionalFormatting sqref="K16">
    <cfRule type="cellIs" dxfId="1352" priority="1276" operator="equal">
      <formula>"No"</formula>
    </cfRule>
    <cfRule type="cellIs" dxfId="1351" priority="1277" operator="equal">
      <formula>"NA"</formula>
    </cfRule>
    <cfRule type="cellIs" dxfId="1350" priority="1278" operator="equal">
      <formula>"Yes"</formula>
    </cfRule>
  </conditionalFormatting>
  <conditionalFormatting sqref="K17">
    <cfRule type="cellIs" dxfId="1349" priority="1273" operator="equal">
      <formula>"No"</formula>
    </cfRule>
    <cfRule type="cellIs" dxfId="1348" priority="1274" operator="equal">
      <formula>"NA"</formula>
    </cfRule>
    <cfRule type="cellIs" dxfId="1347" priority="1275" operator="equal">
      <formula>"Yes"</formula>
    </cfRule>
  </conditionalFormatting>
  <conditionalFormatting sqref="K18">
    <cfRule type="cellIs" dxfId="1346" priority="1270" operator="equal">
      <formula>"No"</formula>
    </cfRule>
    <cfRule type="cellIs" dxfId="1345" priority="1271" operator="equal">
      <formula>"NA"</formula>
    </cfRule>
    <cfRule type="cellIs" dxfId="1344" priority="1272" operator="equal">
      <formula>"Yes"</formula>
    </cfRule>
  </conditionalFormatting>
  <conditionalFormatting sqref="K19">
    <cfRule type="cellIs" dxfId="1343" priority="1267" operator="equal">
      <formula>"No"</formula>
    </cfRule>
    <cfRule type="cellIs" dxfId="1342" priority="1268" operator="equal">
      <formula>"NA"</formula>
    </cfRule>
    <cfRule type="cellIs" dxfId="1341" priority="1269" operator="equal">
      <formula>"Yes"</formula>
    </cfRule>
  </conditionalFormatting>
  <conditionalFormatting sqref="K20">
    <cfRule type="cellIs" dxfId="1340" priority="1264" operator="equal">
      <formula>"No"</formula>
    </cfRule>
    <cfRule type="cellIs" dxfId="1339" priority="1265" operator="equal">
      <formula>"NA"</formula>
    </cfRule>
    <cfRule type="cellIs" dxfId="1338" priority="1266" operator="equal">
      <formula>"Yes"</formula>
    </cfRule>
  </conditionalFormatting>
  <conditionalFormatting sqref="K21">
    <cfRule type="cellIs" dxfId="1337" priority="1261" operator="equal">
      <formula>"No"</formula>
    </cfRule>
    <cfRule type="cellIs" dxfId="1336" priority="1262" operator="equal">
      <formula>"NA"</formula>
    </cfRule>
    <cfRule type="cellIs" dxfId="1335" priority="1263" operator="equal">
      <formula>"Yes"</formula>
    </cfRule>
  </conditionalFormatting>
  <conditionalFormatting sqref="K22">
    <cfRule type="cellIs" dxfId="1334" priority="1258" operator="equal">
      <formula>"No"</formula>
    </cfRule>
    <cfRule type="cellIs" dxfId="1333" priority="1259" operator="equal">
      <formula>"NA"</formula>
    </cfRule>
    <cfRule type="cellIs" dxfId="1332" priority="1260" operator="equal">
      <formula>"Yes"</formula>
    </cfRule>
  </conditionalFormatting>
  <conditionalFormatting sqref="K23">
    <cfRule type="cellIs" dxfId="1331" priority="1255" operator="equal">
      <formula>"No"</formula>
    </cfRule>
    <cfRule type="cellIs" dxfId="1330" priority="1256" operator="equal">
      <formula>"NA"</formula>
    </cfRule>
    <cfRule type="cellIs" dxfId="1329" priority="1257" operator="equal">
      <formula>"Yes"</formula>
    </cfRule>
  </conditionalFormatting>
  <conditionalFormatting sqref="K25">
    <cfRule type="cellIs" dxfId="1328" priority="1252" operator="equal">
      <formula>"No"</formula>
    </cfRule>
    <cfRule type="cellIs" dxfId="1327" priority="1253" operator="equal">
      <formula>"NA"</formula>
    </cfRule>
    <cfRule type="cellIs" dxfId="1326" priority="1254" operator="equal">
      <formula>"Yes"</formula>
    </cfRule>
  </conditionalFormatting>
  <conditionalFormatting sqref="K26">
    <cfRule type="cellIs" dxfId="1325" priority="1249" operator="equal">
      <formula>"No"</formula>
    </cfRule>
    <cfRule type="cellIs" dxfId="1324" priority="1250" operator="equal">
      <formula>"NA"</formula>
    </cfRule>
    <cfRule type="cellIs" dxfId="1323" priority="1251" operator="equal">
      <formula>"Yes"</formula>
    </cfRule>
  </conditionalFormatting>
  <conditionalFormatting sqref="K27">
    <cfRule type="cellIs" dxfId="1322" priority="1246" operator="equal">
      <formula>"No"</formula>
    </cfRule>
    <cfRule type="cellIs" dxfId="1321" priority="1247" operator="equal">
      <formula>"NA"</formula>
    </cfRule>
    <cfRule type="cellIs" dxfId="1320" priority="1248" operator="equal">
      <formula>"Yes"</formula>
    </cfRule>
  </conditionalFormatting>
  <conditionalFormatting sqref="K28">
    <cfRule type="cellIs" dxfId="1319" priority="1243" operator="equal">
      <formula>"No"</formula>
    </cfRule>
    <cfRule type="cellIs" dxfId="1318" priority="1244" operator="equal">
      <formula>"NA"</formula>
    </cfRule>
    <cfRule type="cellIs" dxfId="1317" priority="1245" operator="equal">
      <formula>"Yes"</formula>
    </cfRule>
  </conditionalFormatting>
  <conditionalFormatting sqref="K30">
    <cfRule type="cellIs" dxfId="1316" priority="1240" operator="equal">
      <formula>"No"</formula>
    </cfRule>
    <cfRule type="cellIs" dxfId="1315" priority="1241" operator="equal">
      <formula>"NA"</formula>
    </cfRule>
    <cfRule type="cellIs" dxfId="1314" priority="1242" operator="equal">
      <formula>"Yes"</formula>
    </cfRule>
  </conditionalFormatting>
  <conditionalFormatting sqref="K31">
    <cfRule type="cellIs" dxfId="1313" priority="1237" operator="equal">
      <formula>"No"</formula>
    </cfRule>
    <cfRule type="cellIs" dxfId="1312" priority="1238" operator="equal">
      <formula>"NA"</formula>
    </cfRule>
    <cfRule type="cellIs" dxfId="1311" priority="1239" operator="equal">
      <formula>"Yes"</formula>
    </cfRule>
  </conditionalFormatting>
  <conditionalFormatting sqref="K33">
    <cfRule type="cellIs" dxfId="1310" priority="1234" operator="equal">
      <formula>"No"</formula>
    </cfRule>
    <cfRule type="cellIs" dxfId="1309" priority="1235" operator="equal">
      <formula>"NA"</formula>
    </cfRule>
    <cfRule type="cellIs" dxfId="1308" priority="1236" operator="equal">
      <formula>"Yes"</formula>
    </cfRule>
  </conditionalFormatting>
  <conditionalFormatting sqref="K9">
    <cfRule type="cellIs" dxfId="1307" priority="1231" operator="equal">
      <formula>"No"</formula>
    </cfRule>
    <cfRule type="cellIs" dxfId="1306" priority="1232" operator="equal">
      <formula>"NA"</formula>
    </cfRule>
    <cfRule type="cellIs" dxfId="1305" priority="1233" operator="equal">
      <formula>"Yes"</formula>
    </cfRule>
  </conditionalFormatting>
  <conditionalFormatting sqref="K11">
    <cfRule type="cellIs" dxfId="1304" priority="1228" operator="equal">
      <formula>"No"</formula>
    </cfRule>
    <cfRule type="cellIs" dxfId="1303" priority="1229" operator="equal">
      <formula>"NA"</formula>
    </cfRule>
    <cfRule type="cellIs" dxfId="1302" priority="1230" operator="equal">
      <formula>"Yes"</formula>
    </cfRule>
  </conditionalFormatting>
  <conditionalFormatting sqref="K14">
    <cfRule type="cellIs" dxfId="1301" priority="1225" operator="equal">
      <formula>"No"</formula>
    </cfRule>
    <cfRule type="cellIs" dxfId="1300" priority="1226" operator="equal">
      <formula>"NA"</formula>
    </cfRule>
    <cfRule type="cellIs" dxfId="1299" priority="1227" operator="equal">
      <formula>"Yes"</formula>
    </cfRule>
  </conditionalFormatting>
  <conditionalFormatting sqref="L6">
    <cfRule type="cellIs" dxfId="1298" priority="1222" operator="equal">
      <formula>"No"</formula>
    </cfRule>
    <cfRule type="cellIs" dxfId="1297" priority="1223" operator="equal">
      <formula>"NA"</formula>
    </cfRule>
    <cfRule type="cellIs" dxfId="1296" priority="1224" operator="equal">
      <formula>"Yes"</formula>
    </cfRule>
  </conditionalFormatting>
  <conditionalFormatting sqref="L7">
    <cfRule type="cellIs" dxfId="1295" priority="1219" operator="equal">
      <formula>"No"</formula>
    </cfRule>
    <cfRule type="cellIs" dxfId="1294" priority="1220" operator="equal">
      <formula>"NA"</formula>
    </cfRule>
    <cfRule type="cellIs" dxfId="1293" priority="1221" operator="equal">
      <formula>"Yes"</formula>
    </cfRule>
  </conditionalFormatting>
  <conditionalFormatting sqref="L10">
    <cfRule type="cellIs" dxfId="1292" priority="1216" operator="equal">
      <formula>"No"</formula>
    </cfRule>
    <cfRule type="cellIs" dxfId="1291" priority="1217" operator="equal">
      <formula>"NA"</formula>
    </cfRule>
    <cfRule type="cellIs" dxfId="1290" priority="1218" operator="equal">
      <formula>"Yes"</formula>
    </cfRule>
  </conditionalFormatting>
  <conditionalFormatting sqref="L12">
    <cfRule type="cellIs" dxfId="1289" priority="1213" operator="equal">
      <formula>"No"</formula>
    </cfRule>
    <cfRule type="cellIs" dxfId="1288" priority="1214" operator="equal">
      <formula>"NA"</formula>
    </cfRule>
    <cfRule type="cellIs" dxfId="1287" priority="1215" operator="equal">
      <formula>"Yes"</formula>
    </cfRule>
  </conditionalFormatting>
  <conditionalFormatting sqref="L13">
    <cfRule type="cellIs" dxfId="1286" priority="1210" operator="equal">
      <formula>"No"</formula>
    </cfRule>
    <cfRule type="cellIs" dxfId="1285" priority="1211" operator="equal">
      <formula>"NA"</formula>
    </cfRule>
    <cfRule type="cellIs" dxfId="1284" priority="1212" operator="equal">
      <formula>"Yes"</formula>
    </cfRule>
  </conditionalFormatting>
  <conditionalFormatting sqref="L15">
    <cfRule type="cellIs" dxfId="1283" priority="1207" operator="equal">
      <formula>"No"</formula>
    </cfRule>
    <cfRule type="cellIs" dxfId="1282" priority="1208" operator="equal">
      <formula>"NA"</formula>
    </cfRule>
    <cfRule type="cellIs" dxfId="1281" priority="1209" operator="equal">
      <formula>"Yes"</formula>
    </cfRule>
  </conditionalFormatting>
  <conditionalFormatting sqref="L16">
    <cfRule type="cellIs" dxfId="1280" priority="1204" operator="equal">
      <formula>"No"</formula>
    </cfRule>
    <cfRule type="cellIs" dxfId="1279" priority="1205" operator="equal">
      <formula>"NA"</formula>
    </cfRule>
    <cfRule type="cellIs" dxfId="1278" priority="1206" operator="equal">
      <formula>"Yes"</formula>
    </cfRule>
  </conditionalFormatting>
  <conditionalFormatting sqref="L17">
    <cfRule type="cellIs" dxfId="1277" priority="1201" operator="equal">
      <formula>"No"</formula>
    </cfRule>
    <cfRule type="cellIs" dxfId="1276" priority="1202" operator="equal">
      <formula>"NA"</formula>
    </cfRule>
    <cfRule type="cellIs" dxfId="1275" priority="1203" operator="equal">
      <formula>"Yes"</formula>
    </cfRule>
  </conditionalFormatting>
  <conditionalFormatting sqref="L18">
    <cfRule type="cellIs" dxfId="1274" priority="1198" operator="equal">
      <formula>"No"</formula>
    </cfRule>
    <cfRule type="cellIs" dxfId="1273" priority="1199" operator="equal">
      <formula>"NA"</formula>
    </cfRule>
    <cfRule type="cellIs" dxfId="1272" priority="1200" operator="equal">
      <formula>"Yes"</formula>
    </cfRule>
  </conditionalFormatting>
  <conditionalFormatting sqref="L19">
    <cfRule type="cellIs" dxfId="1271" priority="1195" operator="equal">
      <formula>"No"</formula>
    </cfRule>
    <cfRule type="cellIs" dxfId="1270" priority="1196" operator="equal">
      <formula>"NA"</formula>
    </cfRule>
    <cfRule type="cellIs" dxfId="1269" priority="1197" operator="equal">
      <formula>"Yes"</formula>
    </cfRule>
  </conditionalFormatting>
  <conditionalFormatting sqref="L20">
    <cfRule type="cellIs" dxfId="1268" priority="1192" operator="equal">
      <formula>"No"</formula>
    </cfRule>
    <cfRule type="cellIs" dxfId="1267" priority="1193" operator="equal">
      <formula>"NA"</formula>
    </cfRule>
    <cfRule type="cellIs" dxfId="1266" priority="1194" operator="equal">
      <formula>"Yes"</formula>
    </cfRule>
  </conditionalFormatting>
  <conditionalFormatting sqref="L21">
    <cfRule type="cellIs" dxfId="1265" priority="1189" operator="equal">
      <formula>"No"</formula>
    </cfRule>
    <cfRule type="cellIs" dxfId="1264" priority="1190" operator="equal">
      <formula>"NA"</formula>
    </cfRule>
    <cfRule type="cellIs" dxfId="1263" priority="1191" operator="equal">
      <formula>"Yes"</formula>
    </cfRule>
  </conditionalFormatting>
  <conditionalFormatting sqref="L22">
    <cfRule type="cellIs" dxfId="1262" priority="1186" operator="equal">
      <formula>"No"</formula>
    </cfRule>
    <cfRule type="cellIs" dxfId="1261" priority="1187" operator="equal">
      <formula>"NA"</formula>
    </cfRule>
    <cfRule type="cellIs" dxfId="1260" priority="1188" operator="equal">
      <formula>"Yes"</formula>
    </cfRule>
  </conditionalFormatting>
  <conditionalFormatting sqref="L23">
    <cfRule type="cellIs" dxfId="1259" priority="1183" operator="equal">
      <formula>"No"</formula>
    </cfRule>
    <cfRule type="cellIs" dxfId="1258" priority="1184" operator="equal">
      <formula>"NA"</formula>
    </cfRule>
    <cfRule type="cellIs" dxfId="1257" priority="1185" operator="equal">
      <formula>"Yes"</formula>
    </cfRule>
  </conditionalFormatting>
  <conditionalFormatting sqref="L25">
    <cfRule type="cellIs" dxfId="1256" priority="1180" operator="equal">
      <formula>"No"</formula>
    </cfRule>
    <cfRule type="cellIs" dxfId="1255" priority="1181" operator="equal">
      <formula>"NA"</formula>
    </cfRule>
    <cfRule type="cellIs" dxfId="1254" priority="1182" operator="equal">
      <formula>"Yes"</formula>
    </cfRule>
  </conditionalFormatting>
  <conditionalFormatting sqref="L26">
    <cfRule type="cellIs" dxfId="1253" priority="1177" operator="equal">
      <formula>"No"</formula>
    </cfRule>
    <cfRule type="cellIs" dxfId="1252" priority="1178" operator="equal">
      <formula>"NA"</formula>
    </cfRule>
    <cfRule type="cellIs" dxfId="1251" priority="1179" operator="equal">
      <formula>"Yes"</formula>
    </cfRule>
  </conditionalFormatting>
  <conditionalFormatting sqref="L27">
    <cfRule type="cellIs" dxfId="1250" priority="1174" operator="equal">
      <formula>"No"</formula>
    </cfRule>
    <cfRule type="cellIs" dxfId="1249" priority="1175" operator="equal">
      <formula>"NA"</formula>
    </cfRule>
    <cfRule type="cellIs" dxfId="1248" priority="1176" operator="equal">
      <formula>"Yes"</formula>
    </cfRule>
  </conditionalFormatting>
  <conditionalFormatting sqref="L28">
    <cfRule type="cellIs" dxfId="1247" priority="1171" operator="equal">
      <formula>"No"</formula>
    </cfRule>
    <cfRule type="cellIs" dxfId="1246" priority="1172" operator="equal">
      <formula>"NA"</formula>
    </cfRule>
    <cfRule type="cellIs" dxfId="1245" priority="1173" operator="equal">
      <formula>"Yes"</formula>
    </cfRule>
  </conditionalFormatting>
  <conditionalFormatting sqref="L30">
    <cfRule type="cellIs" dxfId="1244" priority="1168" operator="equal">
      <formula>"No"</formula>
    </cfRule>
    <cfRule type="cellIs" dxfId="1243" priority="1169" operator="equal">
      <formula>"NA"</formula>
    </cfRule>
    <cfRule type="cellIs" dxfId="1242" priority="1170" operator="equal">
      <formula>"Yes"</formula>
    </cfRule>
  </conditionalFormatting>
  <conditionalFormatting sqref="L31">
    <cfRule type="cellIs" dxfId="1241" priority="1165" operator="equal">
      <formula>"No"</formula>
    </cfRule>
    <cfRule type="cellIs" dxfId="1240" priority="1166" operator="equal">
      <formula>"NA"</formula>
    </cfRule>
    <cfRule type="cellIs" dxfId="1239" priority="1167" operator="equal">
      <formula>"Yes"</formula>
    </cfRule>
  </conditionalFormatting>
  <conditionalFormatting sqref="L33">
    <cfRule type="cellIs" dxfId="1238" priority="1162" operator="equal">
      <formula>"No"</formula>
    </cfRule>
    <cfRule type="cellIs" dxfId="1237" priority="1163" operator="equal">
      <formula>"NA"</formula>
    </cfRule>
    <cfRule type="cellIs" dxfId="1236" priority="1164" operator="equal">
      <formula>"Yes"</formula>
    </cfRule>
  </conditionalFormatting>
  <conditionalFormatting sqref="L9">
    <cfRule type="cellIs" dxfId="1235" priority="1159" operator="equal">
      <formula>"No"</formula>
    </cfRule>
    <cfRule type="cellIs" dxfId="1234" priority="1160" operator="equal">
      <formula>"NA"</formula>
    </cfRule>
    <cfRule type="cellIs" dxfId="1233" priority="1161" operator="equal">
      <formula>"Yes"</formula>
    </cfRule>
  </conditionalFormatting>
  <conditionalFormatting sqref="L11">
    <cfRule type="cellIs" dxfId="1232" priority="1156" operator="equal">
      <formula>"No"</formula>
    </cfRule>
    <cfRule type="cellIs" dxfId="1231" priority="1157" operator="equal">
      <formula>"NA"</formula>
    </cfRule>
    <cfRule type="cellIs" dxfId="1230" priority="1158" operator="equal">
      <formula>"Yes"</formula>
    </cfRule>
  </conditionalFormatting>
  <conditionalFormatting sqref="L14">
    <cfRule type="cellIs" dxfId="1229" priority="1153" operator="equal">
      <formula>"No"</formula>
    </cfRule>
    <cfRule type="cellIs" dxfId="1228" priority="1154" operator="equal">
      <formula>"NA"</formula>
    </cfRule>
    <cfRule type="cellIs" dxfId="1227" priority="1155" operator="equal">
      <formula>"Yes"</formula>
    </cfRule>
  </conditionalFormatting>
  <conditionalFormatting sqref="M6">
    <cfRule type="cellIs" dxfId="1226" priority="1150" operator="equal">
      <formula>"No"</formula>
    </cfRule>
    <cfRule type="cellIs" dxfId="1225" priority="1151" operator="equal">
      <formula>"NA"</formula>
    </cfRule>
    <cfRule type="cellIs" dxfId="1224" priority="1152" operator="equal">
      <formula>"Yes"</formula>
    </cfRule>
  </conditionalFormatting>
  <conditionalFormatting sqref="M7">
    <cfRule type="cellIs" dxfId="1223" priority="1147" operator="equal">
      <formula>"No"</formula>
    </cfRule>
    <cfRule type="cellIs" dxfId="1222" priority="1148" operator="equal">
      <formula>"NA"</formula>
    </cfRule>
    <cfRule type="cellIs" dxfId="1221" priority="1149" operator="equal">
      <formula>"Yes"</formula>
    </cfRule>
  </conditionalFormatting>
  <conditionalFormatting sqref="M10">
    <cfRule type="cellIs" dxfId="1220" priority="1144" operator="equal">
      <formula>"No"</formula>
    </cfRule>
    <cfRule type="cellIs" dxfId="1219" priority="1145" operator="equal">
      <formula>"NA"</formula>
    </cfRule>
    <cfRule type="cellIs" dxfId="1218" priority="1146" operator="equal">
      <formula>"Yes"</formula>
    </cfRule>
  </conditionalFormatting>
  <conditionalFormatting sqref="M12">
    <cfRule type="cellIs" dxfId="1217" priority="1141" operator="equal">
      <formula>"No"</formula>
    </cfRule>
    <cfRule type="cellIs" dxfId="1216" priority="1142" operator="equal">
      <formula>"NA"</formula>
    </cfRule>
    <cfRule type="cellIs" dxfId="1215" priority="1143" operator="equal">
      <formula>"Yes"</formula>
    </cfRule>
  </conditionalFormatting>
  <conditionalFormatting sqref="M13">
    <cfRule type="cellIs" dxfId="1214" priority="1138" operator="equal">
      <formula>"No"</formula>
    </cfRule>
    <cfRule type="cellIs" dxfId="1213" priority="1139" operator="equal">
      <formula>"NA"</formula>
    </cfRule>
    <cfRule type="cellIs" dxfId="1212" priority="1140" operator="equal">
      <formula>"Yes"</formula>
    </cfRule>
  </conditionalFormatting>
  <conditionalFormatting sqref="M15">
    <cfRule type="cellIs" dxfId="1211" priority="1135" operator="equal">
      <formula>"No"</formula>
    </cfRule>
    <cfRule type="cellIs" dxfId="1210" priority="1136" operator="equal">
      <formula>"NA"</formula>
    </cfRule>
    <cfRule type="cellIs" dxfId="1209" priority="1137" operator="equal">
      <formula>"Yes"</formula>
    </cfRule>
  </conditionalFormatting>
  <conditionalFormatting sqref="M16">
    <cfRule type="cellIs" dxfId="1208" priority="1132" operator="equal">
      <formula>"No"</formula>
    </cfRule>
    <cfRule type="cellIs" dxfId="1207" priority="1133" operator="equal">
      <formula>"NA"</formula>
    </cfRule>
    <cfRule type="cellIs" dxfId="1206" priority="1134" operator="equal">
      <formula>"Yes"</formula>
    </cfRule>
  </conditionalFormatting>
  <conditionalFormatting sqref="M17">
    <cfRule type="cellIs" dxfId="1205" priority="1129" operator="equal">
      <formula>"No"</formula>
    </cfRule>
    <cfRule type="cellIs" dxfId="1204" priority="1130" operator="equal">
      <formula>"NA"</formula>
    </cfRule>
    <cfRule type="cellIs" dxfId="1203" priority="1131" operator="equal">
      <formula>"Yes"</formula>
    </cfRule>
  </conditionalFormatting>
  <conditionalFormatting sqref="M18">
    <cfRule type="cellIs" dxfId="1202" priority="1126" operator="equal">
      <formula>"No"</formula>
    </cfRule>
    <cfRule type="cellIs" dxfId="1201" priority="1127" operator="equal">
      <formula>"NA"</formula>
    </cfRule>
    <cfRule type="cellIs" dxfId="1200" priority="1128" operator="equal">
      <formula>"Yes"</formula>
    </cfRule>
  </conditionalFormatting>
  <conditionalFormatting sqref="M19">
    <cfRule type="cellIs" dxfId="1199" priority="1123" operator="equal">
      <formula>"No"</formula>
    </cfRule>
    <cfRule type="cellIs" dxfId="1198" priority="1124" operator="equal">
      <formula>"NA"</formula>
    </cfRule>
    <cfRule type="cellIs" dxfId="1197" priority="1125" operator="equal">
      <formula>"Yes"</formula>
    </cfRule>
  </conditionalFormatting>
  <conditionalFormatting sqref="M20">
    <cfRule type="cellIs" dxfId="1196" priority="1120" operator="equal">
      <formula>"No"</formula>
    </cfRule>
    <cfRule type="cellIs" dxfId="1195" priority="1121" operator="equal">
      <formula>"NA"</formula>
    </cfRule>
    <cfRule type="cellIs" dxfId="1194" priority="1122" operator="equal">
      <formula>"Yes"</formula>
    </cfRule>
  </conditionalFormatting>
  <conditionalFormatting sqref="M21">
    <cfRule type="cellIs" dxfId="1193" priority="1117" operator="equal">
      <formula>"No"</formula>
    </cfRule>
    <cfRule type="cellIs" dxfId="1192" priority="1118" operator="equal">
      <formula>"NA"</formula>
    </cfRule>
    <cfRule type="cellIs" dxfId="1191" priority="1119" operator="equal">
      <formula>"Yes"</formula>
    </cfRule>
  </conditionalFormatting>
  <conditionalFormatting sqref="M22">
    <cfRule type="cellIs" dxfId="1190" priority="1114" operator="equal">
      <formula>"No"</formula>
    </cfRule>
    <cfRule type="cellIs" dxfId="1189" priority="1115" operator="equal">
      <formula>"NA"</formula>
    </cfRule>
    <cfRule type="cellIs" dxfId="1188" priority="1116" operator="equal">
      <formula>"Yes"</formula>
    </cfRule>
  </conditionalFormatting>
  <conditionalFormatting sqref="M23">
    <cfRule type="cellIs" dxfId="1187" priority="1111" operator="equal">
      <formula>"No"</formula>
    </cfRule>
    <cfRule type="cellIs" dxfId="1186" priority="1112" operator="equal">
      <formula>"NA"</formula>
    </cfRule>
    <cfRule type="cellIs" dxfId="1185" priority="1113" operator="equal">
      <formula>"Yes"</formula>
    </cfRule>
  </conditionalFormatting>
  <conditionalFormatting sqref="M25">
    <cfRule type="cellIs" dxfId="1184" priority="1108" operator="equal">
      <formula>"No"</formula>
    </cfRule>
    <cfRule type="cellIs" dxfId="1183" priority="1109" operator="equal">
      <formula>"NA"</formula>
    </cfRule>
    <cfRule type="cellIs" dxfId="1182" priority="1110" operator="equal">
      <formula>"Yes"</formula>
    </cfRule>
  </conditionalFormatting>
  <conditionalFormatting sqref="M26">
    <cfRule type="cellIs" dxfId="1181" priority="1105" operator="equal">
      <formula>"No"</formula>
    </cfRule>
    <cfRule type="cellIs" dxfId="1180" priority="1106" operator="equal">
      <formula>"NA"</formula>
    </cfRule>
    <cfRule type="cellIs" dxfId="1179" priority="1107" operator="equal">
      <formula>"Yes"</formula>
    </cfRule>
  </conditionalFormatting>
  <conditionalFormatting sqref="M27">
    <cfRule type="cellIs" dxfId="1178" priority="1102" operator="equal">
      <formula>"No"</formula>
    </cfRule>
    <cfRule type="cellIs" dxfId="1177" priority="1103" operator="equal">
      <formula>"NA"</formula>
    </cfRule>
    <cfRule type="cellIs" dxfId="1176" priority="1104" operator="equal">
      <formula>"Yes"</formula>
    </cfRule>
  </conditionalFormatting>
  <conditionalFormatting sqref="M28">
    <cfRule type="cellIs" dxfId="1175" priority="1099" operator="equal">
      <formula>"No"</formula>
    </cfRule>
    <cfRule type="cellIs" dxfId="1174" priority="1100" operator="equal">
      <formula>"NA"</formula>
    </cfRule>
    <cfRule type="cellIs" dxfId="1173" priority="1101" operator="equal">
      <formula>"Yes"</formula>
    </cfRule>
  </conditionalFormatting>
  <conditionalFormatting sqref="M30">
    <cfRule type="cellIs" dxfId="1172" priority="1096" operator="equal">
      <formula>"No"</formula>
    </cfRule>
    <cfRule type="cellIs" dxfId="1171" priority="1097" operator="equal">
      <formula>"NA"</formula>
    </cfRule>
    <cfRule type="cellIs" dxfId="1170" priority="1098" operator="equal">
      <formula>"Yes"</formula>
    </cfRule>
  </conditionalFormatting>
  <conditionalFormatting sqref="M31">
    <cfRule type="cellIs" dxfId="1169" priority="1093" operator="equal">
      <formula>"No"</formula>
    </cfRule>
    <cfRule type="cellIs" dxfId="1168" priority="1094" operator="equal">
      <formula>"NA"</formula>
    </cfRule>
    <cfRule type="cellIs" dxfId="1167" priority="1095" operator="equal">
      <formula>"Yes"</formula>
    </cfRule>
  </conditionalFormatting>
  <conditionalFormatting sqref="M33">
    <cfRule type="cellIs" dxfId="1166" priority="1090" operator="equal">
      <formula>"No"</formula>
    </cfRule>
    <cfRule type="cellIs" dxfId="1165" priority="1091" operator="equal">
      <formula>"NA"</formula>
    </cfRule>
    <cfRule type="cellIs" dxfId="1164" priority="1092" operator="equal">
      <formula>"Yes"</formula>
    </cfRule>
  </conditionalFormatting>
  <conditionalFormatting sqref="M9">
    <cfRule type="cellIs" dxfId="1163" priority="1087" operator="equal">
      <formula>"No"</formula>
    </cfRule>
    <cfRule type="cellIs" dxfId="1162" priority="1088" operator="equal">
      <formula>"NA"</formula>
    </cfRule>
    <cfRule type="cellIs" dxfId="1161" priority="1089" operator="equal">
      <formula>"Yes"</formula>
    </cfRule>
  </conditionalFormatting>
  <conditionalFormatting sqref="M11">
    <cfRule type="cellIs" dxfId="1160" priority="1084" operator="equal">
      <formula>"No"</formula>
    </cfRule>
    <cfRule type="cellIs" dxfId="1159" priority="1085" operator="equal">
      <formula>"NA"</formula>
    </cfRule>
    <cfRule type="cellIs" dxfId="1158" priority="1086" operator="equal">
      <formula>"Yes"</formula>
    </cfRule>
  </conditionalFormatting>
  <conditionalFormatting sqref="M14">
    <cfRule type="cellIs" dxfId="1157" priority="1081" operator="equal">
      <formula>"No"</formula>
    </cfRule>
    <cfRule type="cellIs" dxfId="1156" priority="1082" operator="equal">
      <formula>"NA"</formula>
    </cfRule>
    <cfRule type="cellIs" dxfId="1155" priority="1083" operator="equal">
      <formula>"Yes"</formula>
    </cfRule>
  </conditionalFormatting>
  <conditionalFormatting sqref="N6">
    <cfRule type="cellIs" dxfId="1154" priority="1078" operator="equal">
      <formula>"No"</formula>
    </cfRule>
    <cfRule type="cellIs" dxfId="1153" priority="1079" operator="equal">
      <formula>"NA"</formula>
    </cfRule>
    <cfRule type="cellIs" dxfId="1152" priority="1080" operator="equal">
      <formula>"Yes"</formula>
    </cfRule>
  </conditionalFormatting>
  <conditionalFormatting sqref="N7">
    <cfRule type="cellIs" dxfId="1151" priority="1075" operator="equal">
      <formula>"No"</formula>
    </cfRule>
    <cfRule type="cellIs" dxfId="1150" priority="1076" operator="equal">
      <formula>"NA"</formula>
    </cfRule>
    <cfRule type="cellIs" dxfId="1149" priority="1077" operator="equal">
      <formula>"Yes"</formula>
    </cfRule>
  </conditionalFormatting>
  <conditionalFormatting sqref="N10">
    <cfRule type="cellIs" dxfId="1148" priority="1072" operator="equal">
      <formula>"No"</formula>
    </cfRule>
    <cfRule type="cellIs" dxfId="1147" priority="1073" operator="equal">
      <formula>"NA"</formula>
    </cfRule>
    <cfRule type="cellIs" dxfId="1146" priority="1074" operator="equal">
      <formula>"Yes"</formula>
    </cfRule>
  </conditionalFormatting>
  <conditionalFormatting sqref="N12">
    <cfRule type="cellIs" dxfId="1145" priority="1069" operator="equal">
      <formula>"No"</formula>
    </cfRule>
    <cfRule type="cellIs" dxfId="1144" priority="1070" operator="equal">
      <formula>"NA"</formula>
    </cfRule>
    <cfRule type="cellIs" dxfId="1143" priority="1071" operator="equal">
      <formula>"Yes"</formula>
    </cfRule>
  </conditionalFormatting>
  <conditionalFormatting sqref="N13">
    <cfRule type="cellIs" dxfId="1142" priority="1066" operator="equal">
      <formula>"No"</formula>
    </cfRule>
    <cfRule type="cellIs" dxfId="1141" priority="1067" operator="equal">
      <formula>"NA"</formula>
    </cfRule>
    <cfRule type="cellIs" dxfId="1140" priority="1068" operator="equal">
      <formula>"Yes"</formula>
    </cfRule>
  </conditionalFormatting>
  <conditionalFormatting sqref="N15">
    <cfRule type="cellIs" dxfId="1139" priority="1063" operator="equal">
      <formula>"No"</formula>
    </cfRule>
    <cfRule type="cellIs" dxfId="1138" priority="1064" operator="equal">
      <formula>"NA"</formula>
    </cfRule>
    <cfRule type="cellIs" dxfId="1137" priority="1065" operator="equal">
      <formula>"Yes"</formula>
    </cfRule>
  </conditionalFormatting>
  <conditionalFormatting sqref="N16">
    <cfRule type="cellIs" dxfId="1136" priority="1060" operator="equal">
      <formula>"No"</formula>
    </cfRule>
    <cfRule type="cellIs" dxfId="1135" priority="1061" operator="equal">
      <formula>"NA"</formula>
    </cfRule>
    <cfRule type="cellIs" dxfId="1134" priority="1062" operator="equal">
      <formula>"Yes"</formula>
    </cfRule>
  </conditionalFormatting>
  <conditionalFormatting sqref="N17">
    <cfRule type="cellIs" dxfId="1133" priority="1057" operator="equal">
      <formula>"No"</formula>
    </cfRule>
    <cfRule type="cellIs" dxfId="1132" priority="1058" operator="equal">
      <formula>"NA"</formula>
    </cfRule>
    <cfRule type="cellIs" dxfId="1131" priority="1059" operator="equal">
      <formula>"Yes"</formula>
    </cfRule>
  </conditionalFormatting>
  <conditionalFormatting sqref="N18">
    <cfRule type="cellIs" dxfId="1130" priority="1054" operator="equal">
      <formula>"No"</formula>
    </cfRule>
    <cfRule type="cellIs" dxfId="1129" priority="1055" operator="equal">
      <formula>"NA"</formula>
    </cfRule>
    <cfRule type="cellIs" dxfId="1128" priority="1056" operator="equal">
      <formula>"Yes"</formula>
    </cfRule>
  </conditionalFormatting>
  <conditionalFormatting sqref="N19">
    <cfRule type="cellIs" dxfId="1127" priority="1051" operator="equal">
      <formula>"No"</formula>
    </cfRule>
    <cfRule type="cellIs" dxfId="1126" priority="1052" operator="equal">
      <formula>"NA"</formula>
    </cfRule>
    <cfRule type="cellIs" dxfId="1125" priority="1053" operator="equal">
      <formula>"Yes"</formula>
    </cfRule>
  </conditionalFormatting>
  <conditionalFormatting sqref="N20">
    <cfRule type="cellIs" dxfId="1124" priority="1048" operator="equal">
      <formula>"No"</formula>
    </cfRule>
    <cfRule type="cellIs" dxfId="1123" priority="1049" operator="equal">
      <formula>"NA"</formula>
    </cfRule>
    <cfRule type="cellIs" dxfId="1122" priority="1050" operator="equal">
      <formula>"Yes"</formula>
    </cfRule>
  </conditionalFormatting>
  <conditionalFormatting sqref="N21">
    <cfRule type="cellIs" dxfId="1121" priority="1045" operator="equal">
      <formula>"No"</formula>
    </cfRule>
    <cfRule type="cellIs" dxfId="1120" priority="1046" operator="equal">
      <formula>"NA"</formula>
    </cfRule>
    <cfRule type="cellIs" dxfId="1119" priority="1047" operator="equal">
      <formula>"Yes"</formula>
    </cfRule>
  </conditionalFormatting>
  <conditionalFormatting sqref="N22">
    <cfRule type="cellIs" dxfId="1118" priority="1042" operator="equal">
      <formula>"No"</formula>
    </cfRule>
    <cfRule type="cellIs" dxfId="1117" priority="1043" operator="equal">
      <formula>"NA"</formula>
    </cfRule>
    <cfRule type="cellIs" dxfId="1116" priority="1044" operator="equal">
      <formula>"Yes"</formula>
    </cfRule>
  </conditionalFormatting>
  <conditionalFormatting sqref="N23">
    <cfRule type="cellIs" dxfId="1115" priority="1039" operator="equal">
      <formula>"No"</formula>
    </cfRule>
    <cfRule type="cellIs" dxfId="1114" priority="1040" operator="equal">
      <formula>"NA"</formula>
    </cfRule>
    <cfRule type="cellIs" dxfId="1113" priority="1041" operator="equal">
      <formula>"Yes"</formula>
    </cfRule>
  </conditionalFormatting>
  <conditionalFormatting sqref="N25">
    <cfRule type="cellIs" dxfId="1112" priority="1036" operator="equal">
      <formula>"No"</formula>
    </cfRule>
    <cfRule type="cellIs" dxfId="1111" priority="1037" operator="equal">
      <formula>"NA"</formula>
    </cfRule>
    <cfRule type="cellIs" dxfId="1110" priority="1038" operator="equal">
      <formula>"Yes"</formula>
    </cfRule>
  </conditionalFormatting>
  <conditionalFormatting sqref="N26">
    <cfRule type="cellIs" dxfId="1109" priority="1033" operator="equal">
      <formula>"No"</formula>
    </cfRule>
    <cfRule type="cellIs" dxfId="1108" priority="1034" operator="equal">
      <formula>"NA"</formula>
    </cfRule>
    <cfRule type="cellIs" dxfId="1107" priority="1035" operator="equal">
      <formula>"Yes"</formula>
    </cfRule>
  </conditionalFormatting>
  <conditionalFormatting sqref="N27">
    <cfRule type="cellIs" dxfId="1106" priority="1030" operator="equal">
      <formula>"No"</formula>
    </cfRule>
    <cfRule type="cellIs" dxfId="1105" priority="1031" operator="equal">
      <formula>"NA"</formula>
    </cfRule>
    <cfRule type="cellIs" dxfId="1104" priority="1032" operator="equal">
      <formula>"Yes"</formula>
    </cfRule>
  </conditionalFormatting>
  <conditionalFormatting sqref="N28">
    <cfRule type="cellIs" dxfId="1103" priority="1027" operator="equal">
      <formula>"No"</formula>
    </cfRule>
    <cfRule type="cellIs" dxfId="1102" priority="1028" operator="equal">
      <formula>"NA"</formula>
    </cfRule>
    <cfRule type="cellIs" dxfId="1101" priority="1029" operator="equal">
      <formula>"Yes"</formula>
    </cfRule>
  </conditionalFormatting>
  <conditionalFormatting sqref="N30">
    <cfRule type="cellIs" dxfId="1100" priority="1024" operator="equal">
      <formula>"No"</formula>
    </cfRule>
    <cfRule type="cellIs" dxfId="1099" priority="1025" operator="equal">
      <formula>"NA"</formula>
    </cfRule>
    <cfRule type="cellIs" dxfId="1098" priority="1026" operator="equal">
      <formula>"Yes"</formula>
    </cfRule>
  </conditionalFormatting>
  <conditionalFormatting sqref="N31">
    <cfRule type="cellIs" dxfId="1097" priority="1021" operator="equal">
      <formula>"No"</formula>
    </cfRule>
    <cfRule type="cellIs" dxfId="1096" priority="1022" operator="equal">
      <formula>"NA"</formula>
    </cfRule>
    <cfRule type="cellIs" dxfId="1095" priority="1023" operator="equal">
      <formula>"Yes"</formula>
    </cfRule>
  </conditionalFormatting>
  <conditionalFormatting sqref="N33">
    <cfRule type="cellIs" dxfId="1094" priority="1018" operator="equal">
      <formula>"No"</formula>
    </cfRule>
    <cfRule type="cellIs" dxfId="1093" priority="1019" operator="equal">
      <formula>"NA"</formula>
    </cfRule>
    <cfRule type="cellIs" dxfId="1092" priority="1020" operator="equal">
      <formula>"Yes"</formula>
    </cfRule>
  </conditionalFormatting>
  <conditionalFormatting sqref="N9">
    <cfRule type="cellIs" dxfId="1091" priority="1015" operator="equal">
      <formula>"No"</formula>
    </cfRule>
    <cfRule type="cellIs" dxfId="1090" priority="1016" operator="equal">
      <formula>"NA"</formula>
    </cfRule>
    <cfRule type="cellIs" dxfId="1089" priority="1017" operator="equal">
      <formula>"Yes"</formula>
    </cfRule>
  </conditionalFormatting>
  <conditionalFormatting sqref="N11">
    <cfRule type="cellIs" dxfId="1088" priority="1012" operator="equal">
      <formula>"No"</formula>
    </cfRule>
    <cfRule type="cellIs" dxfId="1087" priority="1013" operator="equal">
      <formula>"NA"</formula>
    </cfRule>
    <cfRule type="cellIs" dxfId="1086" priority="1014" operator="equal">
      <formula>"Yes"</formula>
    </cfRule>
  </conditionalFormatting>
  <conditionalFormatting sqref="N14">
    <cfRule type="cellIs" dxfId="1085" priority="1009" operator="equal">
      <formula>"No"</formula>
    </cfRule>
    <cfRule type="cellIs" dxfId="1084" priority="1010" operator="equal">
      <formula>"NA"</formula>
    </cfRule>
    <cfRule type="cellIs" dxfId="1083" priority="1011" operator="equal">
      <formula>"Yes"</formula>
    </cfRule>
  </conditionalFormatting>
  <conditionalFormatting sqref="O6">
    <cfRule type="cellIs" dxfId="1082" priority="1006" operator="equal">
      <formula>"No"</formula>
    </cfRule>
    <cfRule type="cellIs" dxfId="1081" priority="1007" operator="equal">
      <formula>"NA"</formula>
    </cfRule>
    <cfRule type="cellIs" dxfId="1080" priority="1008" operator="equal">
      <formula>"Yes"</formula>
    </cfRule>
  </conditionalFormatting>
  <conditionalFormatting sqref="O7">
    <cfRule type="cellIs" dxfId="1079" priority="1003" operator="equal">
      <formula>"No"</formula>
    </cfRule>
    <cfRule type="cellIs" dxfId="1078" priority="1004" operator="equal">
      <formula>"NA"</formula>
    </cfRule>
    <cfRule type="cellIs" dxfId="1077" priority="1005" operator="equal">
      <formula>"Yes"</formula>
    </cfRule>
  </conditionalFormatting>
  <conditionalFormatting sqref="O10">
    <cfRule type="cellIs" dxfId="1076" priority="1000" operator="equal">
      <formula>"No"</formula>
    </cfRule>
    <cfRule type="cellIs" dxfId="1075" priority="1001" operator="equal">
      <formula>"NA"</formula>
    </cfRule>
    <cfRule type="cellIs" dxfId="1074" priority="1002" operator="equal">
      <formula>"Yes"</formula>
    </cfRule>
  </conditionalFormatting>
  <conditionalFormatting sqref="O12">
    <cfRule type="cellIs" dxfId="1073" priority="997" operator="equal">
      <formula>"No"</formula>
    </cfRule>
    <cfRule type="cellIs" dxfId="1072" priority="998" operator="equal">
      <formula>"NA"</formula>
    </cfRule>
    <cfRule type="cellIs" dxfId="1071" priority="999" operator="equal">
      <formula>"Yes"</formula>
    </cfRule>
  </conditionalFormatting>
  <conditionalFormatting sqref="O13">
    <cfRule type="cellIs" dxfId="1070" priority="994" operator="equal">
      <formula>"No"</formula>
    </cfRule>
    <cfRule type="cellIs" dxfId="1069" priority="995" operator="equal">
      <formula>"NA"</formula>
    </cfRule>
    <cfRule type="cellIs" dxfId="1068" priority="996" operator="equal">
      <formula>"Yes"</formula>
    </cfRule>
  </conditionalFormatting>
  <conditionalFormatting sqref="O15">
    <cfRule type="cellIs" dxfId="1067" priority="991" operator="equal">
      <formula>"No"</formula>
    </cfRule>
    <cfRule type="cellIs" dxfId="1066" priority="992" operator="equal">
      <formula>"NA"</formula>
    </cfRule>
    <cfRule type="cellIs" dxfId="1065" priority="993" operator="equal">
      <formula>"Yes"</formula>
    </cfRule>
  </conditionalFormatting>
  <conditionalFormatting sqref="O16">
    <cfRule type="cellIs" dxfId="1064" priority="988" operator="equal">
      <formula>"No"</formula>
    </cfRule>
    <cfRule type="cellIs" dxfId="1063" priority="989" operator="equal">
      <formula>"NA"</formula>
    </cfRule>
    <cfRule type="cellIs" dxfId="1062" priority="990" operator="equal">
      <formula>"Yes"</formula>
    </cfRule>
  </conditionalFormatting>
  <conditionalFormatting sqref="O17">
    <cfRule type="cellIs" dxfId="1061" priority="985" operator="equal">
      <formula>"No"</formula>
    </cfRule>
    <cfRule type="cellIs" dxfId="1060" priority="986" operator="equal">
      <formula>"NA"</formula>
    </cfRule>
    <cfRule type="cellIs" dxfId="1059" priority="987" operator="equal">
      <formula>"Yes"</formula>
    </cfRule>
  </conditionalFormatting>
  <conditionalFormatting sqref="O18">
    <cfRule type="cellIs" dxfId="1058" priority="982" operator="equal">
      <formula>"No"</formula>
    </cfRule>
    <cfRule type="cellIs" dxfId="1057" priority="983" operator="equal">
      <formula>"NA"</formula>
    </cfRule>
    <cfRule type="cellIs" dxfId="1056" priority="984" operator="equal">
      <formula>"Yes"</formula>
    </cfRule>
  </conditionalFormatting>
  <conditionalFormatting sqref="O19">
    <cfRule type="cellIs" dxfId="1055" priority="979" operator="equal">
      <formula>"No"</formula>
    </cfRule>
    <cfRule type="cellIs" dxfId="1054" priority="980" operator="equal">
      <formula>"NA"</formula>
    </cfRule>
    <cfRule type="cellIs" dxfId="1053" priority="981" operator="equal">
      <formula>"Yes"</formula>
    </cfRule>
  </conditionalFormatting>
  <conditionalFormatting sqref="O20">
    <cfRule type="cellIs" dxfId="1052" priority="976" operator="equal">
      <formula>"No"</formula>
    </cfRule>
    <cfRule type="cellIs" dxfId="1051" priority="977" operator="equal">
      <formula>"NA"</formula>
    </cfRule>
    <cfRule type="cellIs" dxfId="1050" priority="978" operator="equal">
      <formula>"Yes"</formula>
    </cfRule>
  </conditionalFormatting>
  <conditionalFormatting sqref="O21">
    <cfRule type="cellIs" dxfId="1049" priority="973" operator="equal">
      <formula>"No"</formula>
    </cfRule>
    <cfRule type="cellIs" dxfId="1048" priority="974" operator="equal">
      <formula>"NA"</formula>
    </cfRule>
    <cfRule type="cellIs" dxfId="1047" priority="975" operator="equal">
      <formula>"Yes"</formula>
    </cfRule>
  </conditionalFormatting>
  <conditionalFormatting sqref="O22">
    <cfRule type="cellIs" dxfId="1046" priority="970" operator="equal">
      <formula>"No"</formula>
    </cfRule>
    <cfRule type="cellIs" dxfId="1045" priority="971" operator="equal">
      <formula>"NA"</formula>
    </cfRule>
    <cfRule type="cellIs" dxfId="1044" priority="972" operator="equal">
      <formula>"Yes"</formula>
    </cfRule>
  </conditionalFormatting>
  <conditionalFormatting sqref="O23">
    <cfRule type="cellIs" dxfId="1043" priority="967" operator="equal">
      <formula>"No"</formula>
    </cfRule>
    <cfRule type="cellIs" dxfId="1042" priority="968" operator="equal">
      <formula>"NA"</formula>
    </cfRule>
    <cfRule type="cellIs" dxfId="1041" priority="969" operator="equal">
      <formula>"Yes"</formula>
    </cfRule>
  </conditionalFormatting>
  <conditionalFormatting sqref="O25">
    <cfRule type="cellIs" dxfId="1040" priority="964" operator="equal">
      <formula>"No"</formula>
    </cfRule>
    <cfRule type="cellIs" dxfId="1039" priority="965" operator="equal">
      <formula>"NA"</formula>
    </cfRule>
    <cfRule type="cellIs" dxfId="1038" priority="966" operator="equal">
      <formula>"Yes"</formula>
    </cfRule>
  </conditionalFormatting>
  <conditionalFormatting sqref="O26">
    <cfRule type="cellIs" dxfId="1037" priority="961" operator="equal">
      <formula>"No"</formula>
    </cfRule>
    <cfRule type="cellIs" dxfId="1036" priority="962" operator="equal">
      <formula>"NA"</formula>
    </cfRule>
    <cfRule type="cellIs" dxfId="1035" priority="963" operator="equal">
      <formula>"Yes"</formula>
    </cfRule>
  </conditionalFormatting>
  <conditionalFormatting sqref="O27">
    <cfRule type="cellIs" dxfId="1034" priority="958" operator="equal">
      <formula>"No"</formula>
    </cfRule>
    <cfRule type="cellIs" dxfId="1033" priority="959" operator="equal">
      <formula>"NA"</formula>
    </cfRule>
    <cfRule type="cellIs" dxfId="1032" priority="960" operator="equal">
      <formula>"Yes"</formula>
    </cfRule>
  </conditionalFormatting>
  <conditionalFormatting sqref="O28">
    <cfRule type="cellIs" dxfId="1031" priority="955" operator="equal">
      <formula>"No"</formula>
    </cfRule>
    <cfRule type="cellIs" dxfId="1030" priority="956" operator="equal">
      <formula>"NA"</formula>
    </cfRule>
    <cfRule type="cellIs" dxfId="1029" priority="957" operator="equal">
      <formula>"Yes"</formula>
    </cfRule>
  </conditionalFormatting>
  <conditionalFormatting sqref="O30">
    <cfRule type="cellIs" dxfId="1028" priority="952" operator="equal">
      <formula>"No"</formula>
    </cfRule>
    <cfRule type="cellIs" dxfId="1027" priority="953" operator="equal">
      <formula>"NA"</formula>
    </cfRule>
    <cfRule type="cellIs" dxfId="1026" priority="954" operator="equal">
      <formula>"Yes"</formula>
    </cfRule>
  </conditionalFormatting>
  <conditionalFormatting sqref="O31">
    <cfRule type="cellIs" dxfId="1025" priority="949" operator="equal">
      <formula>"No"</formula>
    </cfRule>
    <cfRule type="cellIs" dxfId="1024" priority="950" operator="equal">
      <formula>"NA"</formula>
    </cfRule>
    <cfRule type="cellIs" dxfId="1023" priority="951" operator="equal">
      <formula>"Yes"</formula>
    </cfRule>
  </conditionalFormatting>
  <conditionalFormatting sqref="O33">
    <cfRule type="cellIs" dxfId="1022" priority="946" operator="equal">
      <formula>"No"</formula>
    </cfRule>
    <cfRule type="cellIs" dxfId="1021" priority="947" operator="equal">
      <formula>"NA"</formula>
    </cfRule>
    <cfRule type="cellIs" dxfId="1020" priority="948" operator="equal">
      <formula>"Yes"</formula>
    </cfRule>
  </conditionalFormatting>
  <conditionalFormatting sqref="O9">
    <cfRule type="cellIs" dxfId="1019" priority="943" operator="equal">
      <formula>"No"</formula>
    </cfRule>
    <cfRule type="cellIs" dxfId="1018" priority="944" operator="equal">
      <formula>"NA"</formula>
    </cfRule>
    <cfRule type="cellIs" dxfId="1017" priority="945" operator="equal">
      <formula>"Yes"</formula>
    </cfRule>
  </conditionalFormatting>
  <conditionalFormatting sqref="O11">
    <cfRule type="cellIs" dxfId="1016" priority="940" operator="equal">
      <formula>"No"</formula>
    </cfRule>
    <cfRule type="cellIs" dxfId="1015" priority="941" operator="equal">
      <formula>"NA"</formula>
    </cfRule>
    <cfRule type="cellIs" dxfId="1014" priority="942" operator="equal">
      <formula>"Yes"</formula>
    </cfRule>
  </conditionalFormatting>
  <conditionalFormatting sqref="O14">
    <cfRule type="cellIs" dxfId="1013" priority="937" operator="equal">
      <formula>"No"</formula>
    </cfRule>
    <cfRule type="cellIs" dxfId="1012" priority="938" operator="equal">
      <formula>"NA"</formula>
    </cfRule>
    <cfRule type="cellIs" dxfId="1011" priority="939" operator="equal">
      <formula>"Yes"</formula>
    </cfRule>
  </conditionalFormatting>
  <conditionalFormatting sqref="P6">
    <cfRule type="cellIs" dxfId="1010" priority="934" operator="equal">
      <formula>"No"</formula>
    </cfRule>
    <cfRule type="cellIs" dxfId="1009" priority="935" operator="equal">
      <formula>"NA"</formula>
    </cfRule>
    <cfRule type="cellIs" dxfId="1008" priority="936" operator="equal">
      <formula>"Yes"</formula>
    </cfRule>
  </conditionalFormatting>
  <conditionalFormatting sqref="P7">
    <cfRule type="cellIs" dxfId="1007" priority="931" operator="equal">
      <formula>"No"</formula>
    </cfRule>
    <cfRule type="cellIs" dxfId="1006" priority="932" operator="equal">
      <formula>"NA"</formula>
    </cfRule>
    <cfRule type="cellIs" dxfId="1005" priority="933" operator="equal">
      <formula>"Yes"</formula>
    </cfRule>
  </conditionalFormatting>
  <conditionalFormatting sqref="P10">
    <cfRule type="cellIs" dxfId="1004" priority="928" operator="equal">
      <formula>"No"</formula>
    </cfRule>
    <cfRule type="cellIs" dxfId="1003" priority="929" operator="equal">
      <formula>"NA"</formula>
    </cfRule>
    <cfRule type="cellIs" dxfId="1002" priority="930" operator="equal">
      <formula>"Yes"</formula>
    </cfRule>
  </conditionalFormatting>
  <conditionalFormatting sqref="P12">
    <cfRule type="cellIs" dxfId="1001" priority="925" operator="equal">
      <formula>"No"</formula>
    </cfRule>
    <cfRule type="cellIs" dxfId="1000" priority="926" operator="equal">
      <formula>"NA"</formula>
    </cfRule>
    <cfRule type="cellIs" dxfId="999" priority="927" operator="equal">
      <formula>"Yes"</formula>
    </cfRule>
  </conditionalFormatting>
  <conditionalFormatting sqref="P13">
    <cfRule type="cellIs" dxfId="998" priority="922" operator="equal">
      <formula>"No"</formula>
    </cfRule>
    <cfRule type="cellIs" dxfId="997" priority="923" operator="equal">
      <formula>"NA"</formula>
    </cfRule>
    <cfRule type="cellIs" dxfId="996" priority="924" operator="equal">
      <formula>"Yes"</formula>
    </cfRule>
  </conditionalFormatting>
  <conditionalFormatting sqref="P15">
    <cfRule type="cellIs" dxfId="995" priority="919" operator="equal">
      <formula>"No"</formula>
    </cfRule>
    <cfRule type="cellIs" dxfId="994" priority="920" operator="equal">
      <formula>"NA"</formula>
    </cfRule>
    <cfRule type="cellIs" dxfId="993" priority="921" operator="equal">
      <formula>"Yes"</formula>
    </cfRule>
  </conditionalFormatting>
  <conditionalFormatting sqref="P16">
    <cfRule type="cellIs" dxfId="992" priority="916" operator="equal">
      <formula>"No"</formula>
    </cfRule>
    <cfRule type="cellIs" dxfId="991" priority="917" operator="equal">
      <formula>"NA"</formula>
    </cfRule>
    <cfRule type="cellIs" dxfId="990" priority="918" operator="equal">
      <formula>"Yes"</formula>
    </cfRule>
  </conditionalFormatting>
  <conditionalFormatting sqref="P17">
    <cfRule type="cellIs" dxfId="989" priority="913" operator="equal">
      <formula>"No"</formula>
    </cfRule>
    <cfRule type="cellIs" dxfId="988" priority="914" operator="equal">
      <formula>"NA"</formula>
    </cfRule>
    <cfRule type="cellIs" dxfId="987" priority="915" operator="equal">
      <formula>"Yes"</formula>
    </cfRule>
  </conditionalFormatting>
  <conditionalFormatting sqref="P18">
    <cfRule type="cellIs" dxfId="986" priority="910" operator="equal">
      <formula>"No"</formula>
    </cfRule>
    <cfRule type="cellIs" dxfId="985" priority="911" operator="equal">
      <formula>"NA"</formula>
    </cfRule>
    <cfRule type="cellIs" dxfId="984" priority="912" operator="equal">
      <formula>"Yes"</formula>
    </cfRule>
  </conditionalFormatting>
  <conditionalFormatting sqref="P19">
    <cfRule type="cellIs" dxfId="983" priority="907" operator="equal">
      <formula>"No"</formula>
    </cfRule>
    <cfRule type="cellIs" dxfId="982" priority="908" operator="equal">
      <formula>"NA"</formula>
    </cfRule>
    <cfRule type="cellIs" dxfId="981" priority="909" operator="equal">
      <formula>"Yes"</formula>
    </cfRule>
  </conditionalFormatting>
  <conditionalFormatting sqref="P20">
    <cfRule type="cellIs" dxfId="980" priority="904" operator="equal">
      <formula>"No"</formula>
    </cfRule>
    <cfRule type="cellIs" dxfId="979" priority="905" operator="equal">
      <formula>"NA"</formula>
    </cfRule>
    <cfRule type="cellIs" dxfId="978" priority="906" operator="equal">
      <formula>"Yes"</formula>
    </cfRule>
  </conditionalFormatting>
  <conditionalFormatting sqref="P21">
    <cfRule type="cellIs" dxfId="977" priority="901" operator="equal">
      <formula>"No"</formula>
    </cfRule>
    <cfRule type="cellIs" dxfId="976" priority="902" operator="equal">
      <formula>"NA"</formula>
    </cfRule>
    <cfRule type="cellIs" dxfId="975" priority="903" operator="equal">
      <formula>"Yes"</formula>
    </cfRule>
  </conditionalFormatting>
  <conditionalFormatting sqref="P22">
    <cfRule type="cellIs" dxfId="974" priority="898" operator="equal">
      <formula>"No"</formula>
    </cfRule>
    <cfRule type="cellIs" dxfId="973" priority="899" operator="equal">
      <formula>"NA"</formula>
    </cfRule>
    <cfRule type="cellIs" dxfId="972" priority="900" operator="equal">
      <formula>"Yes"</formula>
    </cfRule>
  </conditionalFormatting>
  <conditionalFormatting sqref="P23">
    <cfRule type="cellIs" dxfId="971" priority="895" operator="equal">
      <formula>"No"</formula>
    </cfRule>
    <cfRule type="cellIs" dxfId="970" priority="896" operator="equal">
      <formula>"NA"</formula>
    </cfRule>
    <cfRule type="cellIs" dxfId="969" priority="897" operator="equal">
      <formula>"Yes"</formula>
    </cfRule>
  </conditionalFormatting>
  <conditionalFormatting sqref="P25">
    <cfRule type="cellIs" dxfId="968" priority="892" operator="equal">
      <formula>"No"</formula>
    </cfRule>
    <cfRule type="cellIs" dxfId="967" priority="893" operator="equal">
      <formula>"NA"</formula>
    </cfRule>
    <cfRule type="cellIs" dxfId="966" priority="894" operator="equal">
      <formula>"Yes"</formula>
    </cfRule>
  </conditionalFormatting>
  <conditionalFormatting sqref="P26">
    <cfRule type="cellIs" dxfId="965" priority="889" operator="equal">
      <formula>"No"</formula>
    </cfRule>
    <cfRule type="cellIs" dxfId="964" priority="890" operator="equal">
      <formula>"NA"</formula>
    </cfRule>
    <cfRule type="cellIs" dxfId="963" priority="891" operator="equal">
      <formula>"Yes"</formula>
    </cfRule>
  </conditionalFormatting>
  <conditionalFormatting sqref="P27">
    <cfRule type="cellIs" dxfId="962" priority="886" operator="equal">
      <formula>"No"</formula>
    </cfRule>
    <cfRule type="cellIs" dxfId="961" priority="887" operator="equal">
      <formula>"NA"</formula>
    </cfRule>
    <cfRule type="cellIs" dxfId="960" priority="888" operator="equal">
      <formula>"Yes"</formula>
    </cfRule>
  </conditionalFormatting>
  <conditionalFormatting sqref="P28">
    <cfRule type="cellIs" dxfId="959" priority="883" operator="equal">
      <formula>"No"</formula>
    </cfRule>
    <cfRule type="cellIs" dxfId="958" priority="884" operator="equal">
      <formula>"NA"</formula>
    </cfRule>
    <cfRule type="cellIs" dxfId="957" priority="885" operator="equal">
      <formula>"Yes"</formula>
    </cfRule>
  </conditionalFormatting>
  <conditionalFormatting sqref="P30">
    <cfRule type="cellIs" dxfId="956" priority="880" operator="equal">
      <formula>"No"</formula>
    </cfRule>
    <cfRule type="cellIs" dxfId="955" priority="881" operator="equal">
      <formula>"NA"</formula>
    </cfRule>
    <cfRule type="cellIs" dxfId="954" priority="882" operator="equal">
      <formula>"Yes"</formula>
    </cfRule>
  </conditionalFormatting>
  <conditionalFormatting sqref="P31">
    <cfRule type="cellIs" dxfId="953" priority="877" operator="equal">
      <formula>"No"</formula>
    </cfRule>
    <cfRule type="cellIs" dxfId="952" priority="878" operator="equal">
      <formula>"NA"</formula>
    </cfRule>
    <cfRule type="cellIs" dxfId="951" priority="879" operator="equal">
      <formula>"Yes"</formula>
    </cfRule>
  </conditionalFormatting>
  <conditionalFormatting sqref="P33">
    <cfRule type="cellIs" dxfId="950" priority="874" operator="equal">
      <formula>"No"</formula>
    </cfRule>
    <cfRule type="cellIs" dxfId="949" priority="875" operator="equal">
      <formula>"NA"</formula>
    </cfRule>
    <cfRule type="cellIs" dxfId="948" priority="876" operator="equal">
      <formula>"Yes"</formula>
    </cfRule>
  </conditionalFormatting>
  <conditionalFormatting sqref="P9">
    <cfRule type="cellIs" dxfId="947" priority="871" operator="equal">
      <formula>"No"</formula>
    </cfRule>
    <cfRule type="cellIs" dxfId="946" priority="872" operator="equal">
      <formula>"NA"</formula>
    </cfRule>
    <cfRule type="cellIs" dxfId="945" priority="873" operator="equal">
      <formula>"Yes"</formula>
    </cfRule>
  </conditionalFormatting>
  <conditionalFormatting sqref="P11">
    <cfRule type="cellIs" dxfId="944" priority="868" operator="equal">
      <formula>"No"</formula>
    </cfRule>
    <cfRule type="cellIs" dxfId="943" priority="869" operator="equal">
      <formula>"NA"</formula>
    </cfRule>
    <cfRule type="cellIs" dxfId="942" priority="870" operator="equal">
      <formula>"Yes"</formula>
    </cfRule>
  </conditionalFormatting>
  <conditionalFormatting sqref="P14">
    <cfRule type="cellIs" dxfId="941" priority="865" operator="equal">
      <formula>"No"</formula>
    </cfRule>
    <cfRule type="cellIs" dxfId="940" priority="866" operator="equal">
      <formula>"NA"</formula>
    </cfRule>
    <cfRule type="cellIs" dxfId="939" priority="867" operator="equal">
      <formula>"Yes"</formula>
    </cfRule>
  </conditionalFormatting>
  <conditionalFormatting sqref="Q6">
    <cfRule type="cellIs" dxfId="938" priority="862" operator="equal">
      <formula>"No"</formula>
    </cfRule>
    <cfRule type="cellIs" dxfId="937" priority="863" operator="equal">
      <formula>"NA"</formula>
    </cfRule>
    <cfRule type="cellIs" dxfId="936" priority="864" operator="equal">
      <formula>"Yes"</formula>
    </cfRule>
  </conditionalFormatting>
  <conditionalFormatting sqref="Q7">
    <cfRule type="cellIs" dxfId="935" priority="859" operator="equal">
      <formula>"No"</formula>
    </cfRule>
    <cfRule type="cellIs" dxfId="934" priority="860" operator="equal">
      <formula>"NA"</formula>
    </cfRule>
    <cfRule type="cellIs" dxfId="933" priority="861" operator="equal">
      <formula>"Yes"</formula>
    </cfRule>
  </conditionalFormatting>
  <conditionalFormatting sqref="Q10">
    <cfRule type="cellIs" dxfId="932" priority="856" operator="equal">
      <formula>"No"</formula>
    </cfRule>
    <cfRule type="cellIs" dxfId="931" priority="857" operator="equal">
      <formula>"NA"</formula>
    </cfRule>
    <cfRule type="cellIs" dxfId="930" priority="858" operator="equal">
      <formula>"Yes"</formula>
    </cfRule>
  </conditionalFormatting>
  <conditionalFormatting sqref="Q12">
    <cfRule type="cellIs" dxfId="929" priority="853" operator="equal">
      <formula>"No"</formula>
    </cfRule>
    <cfRule type="cellIs" dxfId="928" priority="854" operator="equal">
      <formula>"NA"</formula>
    </cfRule>
    <cfRule type="cellIs" dxfId="927" priority="855" operator="equal">
      <formula>"Yes"</formula>
    </cfRule>
  </conditionalFormatting>
  <conditionalFormatting sqref="Q13">
    <cfRule type="cellIs" dxfId="926" priority="850" operator="equal">
      <formula>"No"</formula>
    </cfRule>
    <cfRule type="cellIs" dxfId="925" priority="851" operator="equal">
      <formula>"NA"</formula>
    </cfRule>
    <cfRule type="cellIs" dxfId="924" priority="852" operator="equal">
      <formula>"Yes"</formula>
    </cfRule>
  </conditionalFormatting>
  <conditionalFormatting sqref="Q15">
    <cfRule type="cellIs" dxfId="923" priority="847" operator="equal">
      <formula>"No"</formula>
    </cfRule>
    <cfRule type="cellIs" dxfId="922" priority="848" operator="equal">
      <formula>"NA"</formula>
    </cfRule>
    <cfRule type="cellIs" dxfId="921" priority="849" operator="equal">
      <formula>"Yes"</formula>
    </cfRule>
  </conditionalFormatting>
  <conditionalFormatting sqref="Q16">
    <cfRule type="cellIs" dxfId="920" priority="844" operator="equal">
      <formula>"No"</formula>
    </cfRule>
    <cfRule type="cellIs" dxfId="919" priority="845" operator="equal">
      <formula>"NA"</formula>
    </cfRule>
    <cfRule type="cellIs" dxfId="918" priority="846" operator="equal">
      <formula>"Yes"</formula>
    </cfRule>
  </conditionalFormatting>
  <conditionalFormatting sqref="Q17">
    <cfRule type="cellIs" dxfId="917" priority="841" operator="equal">
      <formula>"No"</formula>
    </cfRule>
    <cfRule type="cellIs" dxfId="916" priority="842" operator="equal">
      <formula>"NA"</formula>
    </cfRule>
    <cfRule type="cellIs" dxfId="915" priority="843" operator="equal">
      <formula>"Yes"</formula>
    </cfRule>
  </conditionalFormatting>
  <conditionalFormatting sqref="Q18">
    <cfRule type="cellIs" dxfId="914" priority="838" operator="equal">
      <formula>"No"</formula>
    </cfRule>
    <cfRule type="cellIs" dxfId="913" priority="839" operator="equal">
      <formula>"NA"</formula>
    </cfRule>
    <cfRule type="cellIs" dxfId="912" priority="840" operator="equal">
      <formula>"Yes"</formula>
    </cfRule>
  </conditionalFormatting>
  <conditionalFormatting sqref="Q19">
    <cfRule type="cellIs" dxfId="911" priority="835" operator="equal">
      <formula>"No"</formula>
    </cfRule>
    <cfRule type="cellIs" dxfId="910" priority="836" operator="equal">
      <formula>"NA"</formula>
    </cfRule>
    <cfRule type="cellIs" dxfId="909" priority="837" operator="equal">
      <formula>"Yes"</formula>
    </cfRule>
  </conditionalFormatting>
  <conditionalFormatting sqref="Q20">
    <cfRule type="cellIs" dxfId="908" priority="832" operator="equal">
      <formula>"No"</formula>
    </cfRule>
    <cfRule type="cellIs" dxfId="907" priority="833" operator="equal">
      <formula>"NA"</formula>
    </cfRule>
    <cfRule type="cellIs" dxfId="906" priority="834" operator="equal">
      <formula>"Yes"</formula>
    </cfRule>
  </conditionalFormatting>
  <conditionalFormatting sqref="Q21">
    <cfRule type="cellIs" dxfId="905" priority="829" operator="equal">
      <formula>"No"</formula>
    </cfRule>
    <cfRule type="cellIs" dxfId="904" priority="830" operator="equal">
      <formula>"NA"</formula>
    </cfRule>
    <cfRule type="cellIs" dxfId="903" priority="831" operator="equal">
      <formula>"Yes"</formula>
    </cfRule>
  </conditionalFormatting>
  <conditionalFormatting sqref="Q22">
    <cfRule type="cellIs" dxfId="902" priority="826" operator="equal">
      <formula>"No"</formula>
    </cfRule>
    <cfRule type="cellIs" dxfId="901" priority="827" operator="equal">
      <formula>"NA"</formula>
    </cfRule>
    <cfRule type="cellIs" dxfId="900" priority="828" operator="equal">
      <formula>"Yes"</formula>
    </cfRule>
  </conditionalFormatting>
  <conditionalFormatting sqref="Q23">
    <cfRule type="cellIs" dxfId="899" priority="823" operator="equal">
      <formula>"No"</formula>
    </cfRule>
    <cfRule type="cellIs" dxfId="898" priority="824" operator="equal">
      <formula>"NA"</formula>
    </cfRule>
    <cfRule type="cellIs" dxfId="897" priority="825" operator="equal">
      <formula>"Yes"</formula>
    </cfRule>
  </conditionalFormatting>
  <conditionalFormatting sqref="Q25">
    <cfRule type="cellIs" dxfId="896" priority="820" operator="equal">
      <formula>"No"</formula>
    </cfRule>
    <cfRule type="cellIs" dxfId="895" priority="821" operator="equal">
      <formula>"NA"</formula>
    </cfRule>
    <cfRule type="cellIs" dxfId="894" priority="822" operator="equal">
      <formula>"Yes"</formula>
    </cfRule>
  </conditionalFormatting>
  <conditionalFormatting sqref="Q26">
    <cfRule type="cellIs" dxfId="893" priority="817" operator="equal">
      <formula>"No"</formula>
    </cfRule>
    <cfRule type="cellIs" dxfId="892" priority="818" operator="equal">
      <formula>"NA"</formula>
    </cfRule>
    <cfRule type="cellIs" dxfId="891" priority="819" operator="equal">
      <formula>"Yes"</formula>
    </cfRule>
  </conditionalFormatting>
  <conditionalFormatting sqref="Q27">
    <cfRule type="cellIs" dxfId="890" priority="814" operator="equal">
      <formula>"No"</formula>
    </cfRule>
    <cfRule type="cellIs" dxfId="889" priority="815" operator="equal">
      <formula>"NA"</formula>
    </cfRule>
    <cfRule type="cellIs" dxfId="888" priority="816" operator="equal">
      <formula>"Yes"</formula>
    </cfRule>
  </conditionalFormatting>
  <conditionalFormatting sqref="Q28">
    <cfRule type="cellIs" dxfId="887" priority="811" operator="equal">
      <formula>"No"</formula>
    </cfRule>
    <cfRule type="cellIs" dxfId="886" priority="812" operator="equal">
      <formula>"NA"</formula>
    </cfRule>
    <cfRule type="cellIs" dxfId="885" priority="813" operator="equal">
      <formula>"Yes"</formula>
    </cfRule>
  </conditionalFormatting>
  <conditionalFormatting sqref="Q30">
    <cfRule type="cellIs" dxfId="884" priority="808" operator="equal">
      <formula>"No"</formula>
    </cfRule>
    <cfRule type="cellIs" dxfId="883" priority="809" operator="equal">
      <formula>"NA"</formula>
    </cfRule>
    <cfRule type="cellIs" dxfId="882" priority="810" operator="equal">
      <formula>"Yes"</formula>
    </cfRule>
  </conditionalFormatting>
  <conditionalFormatting sqref="Q31">
    <cfRule type="cellIs" dxfId="881" priority="805" operator="equal">
      <formula>"No"</formula>
    </cfRule>
    <cfRule type="cellIs" dxfId="880" priority="806" operator="equal">
      <formula>"NA"</formula>
    </cfRule>
    <cfRule type="cellIs" dxfId="879" priority="807" operator="equal">
      <formula>"Yes"</formula>
    </cfRule>
  </conditionalFormatting>
  <conditionalFormatting sqref="Q33">
    <cfRule type="cellIs" dxfId="878" priority="802" operator="equal">
      <formula>"No"</formula>
    </cfRule>
    <cfRule type="cellIs" dxfId="877" priority="803" operator="equal">
      <formula>"NA"</formula>
    </cfRule>
    <cfRule type="cellIs" dxfId="876" priority="804" operator="equal">
      <formula>"Yes"</formula>
    </cfRule>
  </conditionalFormatting>
  <conditionalFormatting sqref="Q9">
    <cfRule type="cellIs" dxfId="875" priority="799" operator="equal">
      <formula>"No"</formula>
    </cfRule>
    <cfRule type="cellIs" dxfId="874" priority="800" operator="equal">
      <formula>"NA"</formula>
    </cfRule>
    <cfRule type="cellIs" dxfId="873" priority="801" operator="equal">
      <formula>"Yes"</formula>
    </cfRule>
  </conditionalFormatting>
  <conditionalFormatting sqref="Q11">
    <cfRule type="cellIs" dxfId="872" priority="796" operator="equal">
      <formula>"No"</formula>
    </cfRule>
    <cfRule type="cellIs" dxfId="871" priority="797" operator="equal">
      <formula>"NA"</formula>
    </cfRule>
    <cfRule type="cellIs" dxfId="870" priority="798" operator="equal">
      <formula>"Yes"</formula>
    </cfRule>
  </conditionalFormatting>
  <conditionalFormatting sqref="Q14">
    <cfRule type="cellIs" dxfId="869" priority="793" operator="equal">
      <formula>"No"</formula>
    </cfRule>
    <cfRule type="cellIs" dxfId="868" priority="794" operator="equal">
      <formula>"NA"</formula>
    </cfRule>
    <cfRule type="cellIs" dxfId="867" priority="795" operator="equal">
      <formula>"Yes"</formula>
    </cfRule>
  </conditionalFormatting>
  <conditionalFormatting sqref="R6">
    <cfRule type="cellIs" dxfId="866" priority="790" operator="equal">
      <formula>"No"</formula>
    </cfRule>
    <cfRule type="cellIs" dxfId="865" priority="791" operator="equal">
      <formula>"NA"</formula>
    </cfRule>
    <cfRule type="cellIs" dxfId="864" priority="792" operator="equal">
      <formula>"Yes"</formula>
    </cfRule>
  </conditionalFormatting>
  <conditionalFormatting sqref="R7">
    <cfRule type="cellIs" dxfId="863" priority="787" operator="equal">
      <formula>"No"</formula>
    </cfRule>
    <cfRule type="cellIs" dxfId="862" priority="788" operator="equal">
      <formula>"NA"</formula>
    </cfRule>
    <cfRule type="cellIs" dxfId="861" priority="789" operator="equal">
      <formula>"Yes"</formula>
    </cfRule>
  </conditionalFormatting>
  <conditionalFormatting sqref="R10">
    <cfRule type="cellIs" dxfId="860" priority="784" operator="equal">
      <formula>"No"</formula>
    </cfRule>
    <cfRule type="cellIs" dxfId="859" priority="785" operator="equal">
      <formula>"NA"</formula>
    </cfRule>
    <cfRule type="cellIs" dxfId="858" priority="786" operator="equal">
      <formula>"Yes"</formula>
    </cfRule>
  </conditionalFormatting>
  <conditionalFormatting sqref="R12">
    <cfRule type="cellIs" dxfId="857" priority="781" operator="equal">
      <formula>"No"</formula>
    </cfRule>
    <cfRule type="cellIs" dxfId="856" priority="782" operator="equal">
      <formula>"NA"</formula>
    </cfRule>
    <cfRule type="cellIs" dxfId="855" priority="783" operator="equal">
      <formula>"Yes"</formula>
    </cfRule>
  </conditionalFormatting>
  <conditionalFormatting sqref="R13">
    <cfRule type="cellIs" dxfId="854" priority="778" operator="equal">
      <formula>"No"</formula>
    </cfRule>
    <cfRule type="cellIs" dxfId="853" priority="779" operator="equal">
      <formula>"NA"</formula>
    </cfRule>
    <cfRule type="cellIs" dxfId="852" priority="780" operator="equal">
      <formula>"Yes"</formula>
    </cfRule>
  </conditionalFormatting>
  <conditionalFormatting sqref="R15">
    <cfRule type="cellIs" dxfId="851" priority="775" operator="equal">
      <formula>"No"</formula>
    </cfRule>
    <cfRule type="cellIs" dxfId="850" priority="776" operator="equal">
      <formula>"NA"</formula>
    </cfRule>
    <cfRule type="cellIs" dxfId="849" priority="777" operator="equal">
      <formula>"Yes"</formula>
    </cfRule>
  </conditionalFormatting>
  <conditionalFormatting sqref="R16">
    <cfRule type="cellIs" dxfId="848" priority="772" operator="equal">
      <formula>"No"</formula>
    </cfRule>
    <cfRule type="cellIs" dxfId="847" priority="773" operator="equal">
      <formula>"NA"</formula>
    </cfRule>
    <cfRule type="cellIs" dxfId="846" priority="774" operator="equal">
      <formula>"Yes"</formula>
    </cfRule>
  </conditionalFormatting>
  <conditionalFormatting sqref="R17">
    <cfRule type="cellIs" dxfId="845" priority="769" operator="equal">
      <formula>"No"</formula>
    </cfRule>
    <cfRule type="cellIs" dxfId="844" priority="770" operator="equal">
      <formula>"NA"</formula>
    </cfRule>
    <cfRule type="cellIs" dxfId="843" priority="771" operator="equal">
      <formula>"Yes"</formula>
    </cfRule>
  </conditionalFormatting>
  <conditionalFormatting sqref="R18">
    <cfRule type="cellIs" dxfId="842" priority="766" operator="equal">
      <formula>"No"</formula>
    </cfRule>
    <cfRule type="cellIs" dxfId="841" priority="767" operator="equal">
      <formula>"NA"</formula>
    </cfRule>
    <cfRule type="cellIs" dxfId="840" priority="768" operator="equal">
      <formula>"Yes"</formula>
    </cfRule>
  </conditionalFormatting>
  <conditionalFormatting sqref="R19">
    <cfRule type="cellIs" dxfId="839" priority="763" operator="equal">
      <formula>"No"</formula>
    </cfRule>
    <cfRule type="cellIs" dxfId="838" priority="764" operator="equal">
      <formula>"NA"</formula>
    </cfRule>
    <cfRule type="cellIs" dxfId="837" priority="765" operator="equal">
      <formula>"Yes"</formula>
    </cfRule>
  </conditionalFormatting>
  <conditionalFormatting sqref="R20">
    <cfRule type="cellIs" dxfId="836" priority="760" operator="equal">
      <formula>"No"</formula>
    </cfRule>
    <cfRule type="cellIs" dxfId="835" priority="761" operator="equal">
      <formula>"NA"</formula>
    </cfRule>
    <cfRule type="cellIs" dxfId="834" priority="762" operator="equal">
      <formula>"Yes"</formula>
    </cfRule>
  </conditionalFormatting>
  <conditionalFormatting sqref="R21">
    <cfRule type="cellIs" dxfId="833" priority="757" operator="equal">
      <formula>"No"</formula>
    </cfRule>
    <cfRule type="cellIs" dxfId="832" priority="758" operator="equal">
      <formula>"NA"</formula>
    </cfRule>
    <cfRule type="cellIs" dxfId="831" priority="759" operator="equal">
      <formula>"Yes"</formula>
    </cfRule>
  </conditionalFormatting>
  <conditionalFormatting sqref="R22">
    <cfRule type="cellIs" dxfId="830" priority="754" operator="equal">
      <formula>"No"</formula>
    </cfRule>
    <cfRule type="cellIs" dxfId="829" priority="755" operator="equal">
      <formula>"NA"</formula>
    </cfRule>
    <cfRule type="cellIs" dxfId="828" priority="756" operator="equal">
      <formula>"Yes"</formula>
    </cfRule>
  </conditionalFormatting>
  <conditionalFormatting sqref="R23">
    <cfRule type="cellIs" dxfId="827" priority="751" operator="equal">
      <formula>"No"</formula>
    </cfRule>
    <cfRule type="cellIs" dxfId="826" priority="752" operator="equal">
      <formula>"NA"</formula>
    </cfRule>
    <cfRule type="cellIs" dxfId="825" priority="753" operator="equal">
      <formula>"Yes"</formula>
    </cfRule>
  </conditionalFormatting>
  <conditionalFormatting sqref="R25">
    <cfRule type="cellIs" dxfId="824" priority="748" operator="equal">
      <formula>"No"</formula>
    </cfRule>
    <cfRule type="cellIs" dxfId="823" priority="749" operator="equal">
      <formula>"NA"</formula>
    </cfRule>
    <cfRule type="cellIs" dxfId="822" priority="750" operator="equal">
      <formula>"Yes"</formula>
    </cfRule>
  </conditionalFormatting>
  <conditionalFormatting sqref="R26">
    <cfRule type="cellIs" dxfId="821" priority="745" operator="equal">
      <formula>"No"</formula>
    </cfRule>
    <cfRule type="cellIs" dxfId="820" priority="746" operator="equal">
      <formula>"NA"</formula>
    </cfRule>
    <cfRule type="cellIs" dxfId="819" priority="747" operator="equal">
      <formula>"Yes"</formula>
    </cfRule>
  </conditionalFormatting>
  <conditionalFormatting sqref="R27">
    <cfRule type="cellIs" dxfId="818" priority="742" operator="equal">
      <formula>"No"</formula>
    </cfRule>
    <cfRule type="cellIs" dxfId="817" priority="743" operator="equal">
      <formula>"NA"</formula>
    </cfRule>
    <cfRule type="cellIs" dxfId="816" priority="744" operator="equal">
      <formula>"Yes"</formula>
    </cfRule>
  </conditionalFormatting>
  <conditionalFormatting sqref="R28">
    <cfRule type="cellIs" dxfId="815" priority="739" operator="equal">
      <formula>"No"</formula>
    </cfRule>
    <cfRule type="cellIs" dxfId="814" priority="740" operator="equal">
      <formula>"NA"</formula>
    </cfRule>
    <cfRule type="cellIs" dxfId="813" priority="741" operator="equal">
      <formula>"Yes"</formula>
    </cfRule>
  </conditionalFormatting>
  <conditionalFormatting sqref="R30">
    <cfRule type="cellIs" dxfId="812" priority="736" operator="equal">
      <formula>"No"</formula>
    </cfRule>
    <cfRule type="cellIs" dxfId="811" priority="737" operator="equal">
      <formula>"NA"</formula>
    </cfRule>
    <cfRule type="cellIs" dxfId="810" priority="738" operator="equal">
      <formula>"Yes"</formula>
    </cfRule>
  </conditionalFormatting>
  <conditionalFormatting sqref="R31">
    <cfRule type="cellIs" dxfId="809" priority="733" operator="equal">
      <formula>"No"</formula>
    </cfRule>
    <cfRule type="cellIs" dxfId="808" priority="734" operator="equal">
      <formula>"NA"</formula>
    </cfRule>
    <cfRule type="cellIs" dxfId="807" priority="735" operator="equal">
      <formula>"Yes"</formula>
    </cfRule>
  </conditionalFormatting>
  <conditionalFormatting sqref="R33">
    <cfRule type="cellIs" dxfId="806" priority="730" operator="equal">
      <formula>"No"</formula>
    </cfRule>
    <cfRule type="cellIs" dxfId="805" priority="731" operator="equal">
      <formula>"NA"</formula>
    </cfRule>
    <cfRule type="cellIs" dxfId="804" priority="732" operator="equal">
      <formula>"Yes"</formula>
    </cfRule>
  </conditionalFormatting>
  <conditionalFormatting sqref="R9">
    <cfRule type="cellIs" dxfId="803" priority="727" operator="equal">
      <formula>"No"</formula>
    </cfRule>
    <cfRule type="cellIs" dxfId="802" priority="728" operator="equal">
      <formula>"NA"</formula>
    </cfRule>
    <cfRule type="cellIs" dxfId="801" priority="729" operator="equal">
      <formula>"Yes"</formula>
    </cfRule>
  </conditionalFormatting>
  <conditionalFormatting sqref="R11">
    <cfRule type="cellIs" dxfId="800" priority="724" operator="equal">
      <formula>"No"</formula>
    </cfRule>
    <cfRule type="cellIs" dxfId="799" priority="725" operator="equal">
      <formula>"NA"</formula>
    </cfRule>
    <cfRule type="cellIs" dxfId="798" priority="726" operator="equal">
      <formula>"Yes"</formula>
    </cfRule>
  </conditionalFormatting>
  <conditionalFormatting sqref="R14">
    <cfRule type="cellIs" dxfId="797" priority="721" operator="equal">
      <formula>"No"</formula>
    </cfRule>
    <cfRule type="cellIs" dxfId="796" priority="722" operator="equal">
      <formula>"NA"</formula>
    </cfRule>
    <cfRule type="cellIs" dxfId="795" priority="723" operator="equal">
      <formula>"Yes"</formula>
    </cfRule>
  </conditionalFormatting>
  <conditionalFormatting sqref="S6">
    <cfRule type="cellIs" dxfId="794" priority="718" operator="equal">
      <formula>"No"</formula>
    </cfRule>
    <cfRule type="cellIs" dxfId="793" priority="719" operator="equal">
      <formula>"NA"</formula>
    </cfRule>
    <cfRule type="cellIs" dxfId="792" priority="720" operator="equal">
      <formula>"Yes"</formula>
    </cfRule>
  </conditionalFormatting>
  <conditionalFormatting sqref="S7">
    <cfRule type="cellIs" dxfId="791" priority="715" operator="equal">
      <formula>"No"</formula>
    </cfRule>
    <cfRule type="cellIs" dxfId="790" priority="716" operator="equal">
      <formula>"NA"</formula>
    </cfRule>
    <cfRule type="cellIs" dxfId="789" priority="717" operator="equal">
      <formula>"Yes"</formula>
    </cfRule>
  </conditionalFormatting>
  <conditionalFormatting sqref="S10">
    <cfRule type="cellIs" dxfId="788" priority="712" operator="equal">
      <formula>"No"</formula>
    </cfRule>
    <cfRule type="cellIs" dxfId="787" priority="713" operator="equal">
      <formula>"NA"</formula>
    </cfRule>
    <cfRule type="cellIs" dxfId="786" priority="714" operator="equal">
      <formula>"Yes"</formula>
    </cfRule>
  </conditionalFormatting>
  <conditionalFormatting sqref="S12">
    <cfRule type="cellIs" dxfId="785" priority="709" operator="equal">
      <formula>"No"</formula>
    </cfRule>
    <cfRule type="cellIs" dxfId="784" priority="710" operator="equal">
      <formula>"NA"</formula>
    </cfRule>
    <cfRule type="cellIs" dxfId="783" priority="711" operator="equal">
      <formula>"Yes"</formula>
    </cfRule>
  </conditionalFormatting>
  <conditionalFormatting sqref="S13">
    <cfRule type="cellIs" dxfId="782" priority="706" operator="equal">
      <formula>"No"</formula>
    </cfRule>
    <cfRule type="cellIs" dxfId="781" priority="707" operator="equal">
      <formula>"NA"</formula>
    </cfRule>
    <cfRule type="cellIs" dxfId="780" priority="708" operator="equal">
      <formula>"Yes"</formula>
    </cfRule>
  </conditionalFormatting>
  <conditionalFormatting sqref="S15">
    <cfRule type="cellIs" dxfId="779" priority="703" operator="equal">
      <formula>"No"</formula>
    </cfRule>
    <cfRule type="cellIs" dxfId="778" priority="704" operator="equal">
      <formula>"NA"</formula>
    </cfRule>
    <cfRule type="cellIs" dxfId="777" priority="705" operator="equal">
      <formula>"Yes"</formula>
    </cfRule>
  </conditionalFormatting>
  <conditionalFormatting sqref="S16">
    <cfRule type="cellIs" dxfId="776" priority="700" operator="equal">
      <formula>"No"</formula>
    </cfRule>
    <cfRule type="cellIs" dxfId="775" priority="701" operator="equal">
      <formula>"NA"</formula>
    </cfRule>
    <cfRule type="cellIs" dxfId="774" priority="702" operator="equal">
      <formula>"Yes"</formula>
    </cfRule>
  </conditionalFormatting>
  <conditionalFormatting sqref="S17">
    <cfRule type="cellIs" dxfId="773" priority="697" operator="equal">
      <formula>"No"</formula>
    </cfRule>
    <cfRule type="cellIs" dxfId="772" priority="698" operator="equal">
      <formula>"NA"</formula>
    </cfRule>
    <cfRule type="cellIs" dxfId="771" priority="699" operator="equal">
      <formula>"Yes"</formula>
    </cfRule>
  </conditionalFormatting>
  <conditionalFormatting sqref="S18">
    <cfRule type="cellIs" dxfId="770" priority="694" operator="equal">
      <formula>"No"</formula>
    </cfRule>
    <cfRule type="cellIs" dxfId="769" priority="695" operator="equal">
      <formula>"NA"</formula>
    </cfRule>
    <cfRule type="cellIs" dxfId="768" priority="696" operator="equal">
      <formula>"Yes"</formula>
    </cfRule>
  </conditionalFormatting>
  <conditionalFormatting sqref="S19">
    <cfRule type="cellIs" dxfId="767" priority="691" operator="equal">
      <formula>"No"</formula>
    </cfRule>
    <cfRule type="cellIs" dxfId="766" priority="692" operator="equal">
      <formula>"NA"</formula>
    </cfRule>
    <cfRule type="cellIs" dxfId="765" priority="693" operator="equal">
      <formula>"Yes"</formula>
    </cfRule>
  </conditionalFormatting>
  <conditionalFormatting sqref="S20">
    <cfRule type="cellIs" dxfId="764" priority="688" operator="equal">
      <formula>"No"</formula>
    </cfRule>
    <cfRule type="cellIs" dxfId="763" priority="689" operator="equal">
      <formula>"NA"</formula>
    </cfRule>
    <cfRule type="cellIs" dxfId="762" priority="690" operator="equal">
      <formula>"Yes"</formula>
    </cfRule>
  </conditionalFormatting>
  <conditionalFormatting sqref="S21">
    <cfRule type="cellIs" dxfId="761" priority="685" operator="equal">
      <formula>"No"</formula>
    </cfRule>
    <cfRule type="cellIs" dxfId="760" priority="686" operator="equal">
      <formula>"NA"</formula>
    </cfRule>
    <cfRule type="cellIs" dxfId="759" priority="687" operator="equal">
      <formula>"Yes"</formula>
    </cfRule>
  </conditionalFormatting>
  <conditionalFormatting sqref="S22">
    <cfRule type="cellIs" dxfId="758" priority="682" operator="equal">
      <formula>"No"</formula>
    </cfRule>
    <cfRule type="cellIs" dxfId="757" priority="683" operator="equal">
      <formula>"NA"</formula>
    </cfRule>
    <cfRule type="cellIs" dxfId="756" priority="684" operator="equal">
      <formula>"Yes"</formula>
    </cfRule>
  </conditionalFormatting>
  <conditionalFormatting sqref="S23">
    <cfRule type="cellIs" dxfId="755" priority="679" operator="equal">
      <formula>"No"</formula>
    </cfRule>
    <cfRule type="cellIs" dxfId="754" priority="680" operator="equal">
      <formula>"NA"</formula>
    </cfRule>
    <cfRule type="cellIs" dxfId="753" priority="681" operator="equal">
      <formula>"Yes"</formula>
    </cfRule>
  </conditionalFormatting>
  <conditionalFormatting sqref="S25">
    <cfRule type="cellIs" dxfId="752" priority="676" operator="equal">
      <formula>"No"</formula>
    </cfRule>
    <cfRule type="cellIs" dxfId="751" priority="677" operator="equal">
      <formula>"NA"</formula>
    </cfRule>
    <cfRule type="cellIs" dxfId="750" priority="678" operator="equal">
      <formula>"Yes"</formula>
    </cfRule>
  </conditionalFormatting>
  <conditionalFormatting sqref="S26">
    <cfRule type="cellIs" dxfId="749" priority="673" operator="equal">
      <formula>"No"</formula>
    </cfRule>
    <cfRule type="cellIs" dxfId="748" priority="674" operator="equal">
      <formula>"NA"</formula>
    </cfRule>
    <cfRule type="cellIs" dxfId="747" priority="675" operator="equal">
      <formula>"Yes"</formula>
    </cfRule>
  </conditionalFormatting>
  <conditionalFormatting sqref="S27">
    <cfRule type="cellIs" dxfId="746" priority="670" operator="equal">
      <formula>"No"</formula>
    </cfRule>
    <cfRule type="cellIs" dxfId="745" priority="671" operator="equal">
      <formula>"NA"</formula>
    </cfRule>
    <cfRule type="cellIs" dxfId="744" priority="672" operator="equal">
      <formula>"Yes"</formula>
    </cfRule>
  </conditionalFormatting>
  <conditionalFormatting sqref="S28">
    <cfRule type="cellIs" dxfId="743" priority="667" operator="equal">
      <formula>"No"</formula>
    </cfRule>
    <cfRule type="cellIs" dxfId="742" priority="668" operator="equal">
      <formula>"NA"</formula>
    </cfRule>
    <cfRule type="cellIs" dxfId="741" priority="669" operator="equal">
      <formula>"Yes"</formula>
    </cfRule>
  </conditionalFormatting>
  <conditionalFormatting sqref="S30">
    <cfRule type="cellIs" dxfId="740" priority="664" operator="equal">
      <formula>"No"</formula>
    </cfRule>
    <cfRule type="cellIs" dxfId="739" priority="665" operator="equal">
      <formula>"NA"</formula>
    </cfRule>
    <cfRule type="cellIs" dxfId="738" priority="666" operator="equal">
      <formula>"Yes"</formula>
    </cfRule>
  </conditionalFormatting>
  <conditionalFormatting sqref="S31">
    <cfRule type="cellIs" dxfId="737" priority="661" operator="equal">
      <formula>"No"</formula>
    </cfRule>
    <cfRule type="cellIs" dxfId="736" priority="662" operator="equal">
      <formula>"NA"</formula>
    </cfRule>
    <cfRule type="cellIs" dxfId="735" priority="663" operator="equal">
      <formula>"Yes"</formula>
    </cfRule>
  </conditionalFormatting>
  <conditionalFormatting sqref="S33">
    <cfRule type="cellIs" dxfId="734" priority="658" operator="equal">
      <formula>"No"</formula>
    </cfRule>
    <cfRule type="cellIs" dxfId="733" priority="659" operator="equal">
      <formula>"NA"</formula>
    </cfRule>
    <cfRule type="cellIs" dxfId="732" priority="660" operator="equal">
      <formula>"Yes"</formula>
    </cfRule>
  </conditionalFormatting>
  <conditionalFormatting sqref="S9">
    <cfRule type="cellIs" dxfId="731" priority="655" operator="equal">
      <formula>"No"</formula>
    </cfRule>
    <cfRule type="cellIs" dxfId="730" priority="656" operator="equal">
      <formula>"NA"</formula>
    </cfRule>
    <cfRule type="cellIs" dxfId="729" priority="657" operator="equal">
      <formula>"Yes"</formula>
    </cfRule>
  </conditionalFormatting>
  <conditionalFormatting sqref="S11">
    <cfRule type="cellIs" dxfId="728" priority="652" operator="equal">
      <formula>"No"</formula>
    </cfRule>
    <cfRule type="cellIs" dxfId="727" priority="653" operator="equal">
      <formula>"NA"</formula>
    </cfRule>
    <cfRule type="cellIs" dxfId="726" priority="654" operator="equal">
      <formula>"Yes"</formula>
    </cfRule>
  </conditionalFormatting>
  <conditionalFormatting sqref="S14">
    <cfRule type="cellIs" dxfId="725" priority="649" operator="equal">
      <formula>"No"</formula>
    </cfRule>
    <cfRule type="cellIs" dxfId="724" priority="650" operator="equal">
      <formula>"NA"</formula>
    </cfRule>
    <cfRule type="cellIs" dxfId="723" priority="651" operator="equal">
      <formula>"Yes"</formula>
    </cfRule>
  </conditionalFormatting>
  <conditionalFormatting sqref="T6">
    <cfRule type="cellIs" dxfId="722" priority="646" operator="equal">
      <formula>"No"</formula>
    </cfRule>
    <cfRule type="cellIs" dxfId="721" priority="647" operator="equal">
      <formula>"NA"</formula>
    </cfRule>
    <cfRule type="cellIs" dxfId="720" priority="648" operator="equal">
      <formula>"Yes"</formula>
    </cfRule>
  </conditionalFormatting>
  <conditionalFormatting sqref="T7">
    <cfRule type="cellIs" dxfId="719" priority="643" operator="equal">
      <formula>"No"</formula>
    </cfRule>
    <cfRule type="cellIs" dxfId="718" priority="644" operator="equal">
      <formula>"NA"</formula>
    </cfRule>
    <cfRule type="cellIs" dxfId="717" priority="645" operator="equal">
      <formula>"Yes"</formula>
    </cfRule>
  </conditionalFormatting>
  <conditionalFormatting sqref="T10">
    <cfRule type="cellIs" dxfId="716" priority="640" operator="equal">
      <formula>"No"</formula>
    </cfRule>
    <cfRule type="cellIs" dxfId="715" priority="641" operator="equal">
      <formula>"NA"</formula>
    </cfRule>
    <cfRule type="cellIs" dxfId="714" priority="642" operator="equal">
      <formula>"Yes"</formula>
    </cfRule>
  </conditionalFormatting>
  <conditionalFormatting sqref="T12">
    <cfRule type="cellIs" dxfId="713" priority="637" operator="equal">
      <formula>"No"</formula>
    </cfRule>
    <cfRule type="cellIs" dxfId="712" priority="638" operator="equal">
      <formula>"NA"</formula>
    </cfRule>
    <cfRule type="cellIs" dxfId="711" priority="639" operator="equal">
      <formula>"Yes"</formula>
    </cfRule>
  </conditionalFormatting>
  <conditionalFormatting sqref="T13">
    <cfRule type="cellIs" dxfId="710" priority="634" operator="equal">
      <formula>"No"</formula>
    </cfRule>
    <cfRule type="cellIs" dxfId="709" priority="635" operator="equal">
      <formula>"NA"</formula>
    </cfRule>
    <cfRule type="cellIs" dxfId="708" priority="636" operator="equal">
      <formula>"Yes"</formula>
    </cfRule>
  </conditionalFormatting>
  <conditionalFormatting sqref="T15">
    <cfRule type="cellIs" dxfId="707" priority="631" operator="equal">
      <formula>"No"</formula>
    </cfRule>
    <cfRule type="cellIs" dxfId="706" priority="632" operator="equal">
      <formula>"NA"</formula>
    </cfRule>
    <cfRule type="cellIs" dxfId="705" priority="633" operator="equal">
      <formula>"Yes"</formula>
    </cfRule>
  </conditionalFormatting>
  <conditionalFormatting sqref="T16">
    <cfRule type="cellIs" dxfId="704" priority="628" operator="equal">
      <formula>"No"</formula>
    </cfRule>
    <cfRule type="cellIs" dxfId="703" priority="629" operator="equal">
      <formula>"NA"</formula>
    </cfRule>
    <cfRule type="cellIs" dxfId="702" priority="630" operator="equal">
      <formula>"Yes"</formula>
    </cfRule>
  </conditionalFormatting>
  <conditionalFormatting sqref="T17">
    <cfRule type="cellIs" dxfId="701" priority="625" operator="equal">
      <formula>"No"</formula>
    </cfRule>
    <cfRule type="cellIs" dxfId="700" priority="626" operator="equal">
      <formula>"NA"</formula>
    </cfRule>
    <cfRule type="cellIs" dxfId="699" priority="627" operator="equal">
      <formula>"Yes"</formula>
    </cfRule>
  </conditionalFormatting>
  <conditionalFormatting sqref="T18">
    <cfRule type="cellIs" dxfId="698" priority="622" operator="equal">
      <formula>"No"</formula>
    </cfRule>
    <cfRule type="cellIs" dxfId="697" priority="623" operator="equal">
      <formula>"NA"</formula>
    </cfRule>
    <cfRule type="cellIs" dxfId="696" priority="624" operator="equal">
      <formula>"Yes"</formula>
    </cfRule>
  </conditionalFormatting>
  <conditionalFormatting sqref="T19">
    <cfRule type="cellIs" dxfId="695" priority="619" operator="equal">
      <formula>"No"</formula>
    </cfRule>
    <cfRule type="cellIs" dxfId="694" priority="620" operator="equal">
      <formula>"NA"</formula>
    </cfRule>
    <cfRule type="cellIs" dxfId="693" priority="621" operator="equal">
      <formula>"Yes"</formula>
    </cfRule>
  </conditionalFormatting>
  <conditionalFormatting sqref="T20">
    <cfRule type="cellIs" dxfId="692" priority="616" operator="equal">
      <formula>"No"</formula>
    </cfRule>
    <cfRule type="cellIs" dxfId="691" priority="617" operator="equal">
      <formula>"NA"</formula>
    </cfRule>
    <cfRule type="cellIs" dxfId="690" priority="618" operator="equal">
      <formula>"Yes"</formula>
    </cfRule>
  </conditionalFormatting>
  <conditionalFormatting sqref="T21">
    <cfRule type="cellIs" dxfId="689" priority="613" operator="equal">
      <formula>"No"</formula>
    </cfRule>
    <cfRule type="cellIs" dxfId="688" priority="614" operator="equal">
      <formula>"NA"</formula>
    </cfRule>
    <cfRule type="cellIs" dxfId="687" priority="615" operator="equal">
      <formula>"Yes"</formula>
    </cfRule>
  </conditionalFormatting>
  <conditionalFormatting sqref="T22">
    <cfRule type="cellIs" dxfId="686" priority="610" operator="equal">
      <formula>"No"</formula>
    </cfRule>
    <cfRule type="cellIs" dxfId="685" priority="611" operator="equal">
      <formula>"NA"</formula>
    </cfRule>
    <cfRule type="cellIs" dxfId="684" priority="612" operator="equal">
      <formula>"Yes"</formula>
    </cfRule>
  </conditionalFormatting>
  <conditionalFormatting sqref="T23">
    <cfRule type="cellIs" dxfId="683" priority="607" operator="equal">
      <formula>"No"</formula>
    </cfRule>
    <cfRule type="cellIs" dxfId="682" priority="608" operator="equal">
      <formula>"NA"</formula>
    </cfRule>
    <cfRule type="cellIs" dxfId="681" priority="609" operator="equal">
      <formula>"Yes"</formula>
    </cfRule>
  </conditionalFormatting>
  <conditionalFormatting sqref="T25">
    <cfRule type="cellIs" dxfId="680" priority="604" operator="equal">
      <formula>"No"</formula>
    </cfRule>
    <cfRule type="cellIs" dxfId="679" priority="605" operator="equal">
      <formula>"NA"</formula>
    </cfRule>
    <cfRule type="cellIs" dxfId="678" priority="606" operator="equal">
      <formula>"Yes"</formula>
    </cfRule>
  </conditionalFormatting>
  <conditionalFormatting sqref="T26">
    <cfRule type="cellIs" dxfId="677" priority="601" operator="equal">
      <formula>"No"</formula>
    </cfRule>
    <cfRule type="cellIs" dxfId="676" priority="602" operator="equal">
      <formula>"NA"</formula>
    </cfRule>
    <cfRule type="cellIs" dxfId="675" priority="603" operator="equal">
      <formula>"Yes"</formula>
    </cfRule>
  </conditionalFormatting>
  <conditionalFormatting sqref="T27">
    <cfRule type="cellIs" dxfId="674" priority="598" operator="equal">
      <formula>"No"</formula>
    </cfRule>
    <cfRule type="cellIs" dxfId="673" priority="599" operator="equal">
      <formula>"NA"</formula>
    </cfRule>
    <cfRule type="cellIs" dxfId="672" priority="600" operator="equal">
      <formula>"Yes"</formula>
    </cfRule>
  </conditionalFormatting>
  <conditionalFormatting sqref="T28">
    <cfRule type="cellIs" dxfId="671" priority="595" operator="equal">
      <formula>"No"</formula>
    </cfRule>
    <cfRule type="cellIs" dxfId="670" priority="596" operator="equal">
      <formula>"NA"</formula>
    </cfRule>
    <cfRule type="cellIs" dxfId="669" priority="597" operator="equal">
      <formula>"Yes"</formula>
    </cfRule>
  </conditionalFormatting>
  <conditionalFormatting sqref="T30">
    <cfRule type="cellIs" dxfId="668" priority="592" operator="equal">
      <formula>"No"</formula>
    </cfRule>
    <cfRule type="cellIs" dxfId="667" priority="593" operator="equal">
      <formula>"NA"</formula>
    </cfRule>
    <cfRule type="cellIs" dxfId="666" priority="594" operator="equal">
      <formula>"Yes"</formula>
    </cfRule>
  </conditionalFormatting>
  <conditionalFormatting sqref="T31">
    <cfRule type="cellIs" dxfId="665" priority="589" operator="equal">
      <formula>"No"</formula>
    </cfRule>
    <cfRule type="cellIs" dxfId="664" priority="590" operator="equal">
      <formula>"NA"</formula>
    </cfRule>
    <cfRule type="cellIs" dxfId="663" priority="591" operator="equal">
      <formula>"Yes"</formula>
    </cfRule>
  </conditionalFormatting>
  <conditionalFormatting sqref="T33">
    <cfRule type="cellIs" dxfId="662" priority="586" operator="equal">
      <formula>"No"</formula>
    </cfRule>
    <cfRule type="cellIs" dxfId="661" priority="587" operator="equal">
      <formula>"NA"</formula>
    </cfRule>
    <cfRule type="cellIs" dxfId="660" priority="588" operator="equal">
      <formula>"Yes"</formula>
    </cfRule>
  </conditionalFormatting>
  <conditionalFormatting sqref="T9">
    <cfRule type="cellIs" dxfId="659" priority="583" operator="equal">
      <formula>"No"</formula>
    </cfRule>
    <cfRule type="cellIs" dxfId="658" priority="584" operator="equal">
      <formula>"NA"</formula>
    </cfRule>
    <cfRule type="cellIs" dxfId="657" priority="585" operator="equal">
      <formula>"Yes"</formula>
    </cfRule>
  </conditionalFormatting>
  <conditionalFormatting sqref="T11">
    <cfRule type="cellIs" dxfId="656" priority="580" operator="equal">
      <formula>"No"</formula>
    </cfRule>
    <cfRule type="cellIs" dxfId="655" priority="581" operator="equal">
      <formula>"NA"</formula>
    </cfRule>
    <cfRule type="cellIs" dxfId="654" priority="582" operator="equal">
      <formula>"Yes"</formula>
    </cfRule>
  </conditionalFormatting>
  <conditionalFormatting sqref="T14">
    <cfRule type="cellIs" dxfId="653" priority="577" operator="equal">
      <formula>"No"</formula>
    </cfRule>
    <cfRule type="cellIs" dxfId="652" priority="578" operator="equal">
      <formula>"NA"</formula>
    </cfRule>
    <cfRule type="cellIs" dxfId="651" priority="579" operator="equal">
      <formula>"Yes"</formula>
    </cfRule>
  </conditionalFormatting>
  <conditionalFormatting sqref="U6">
    <cfRule type="cellIs" dxfId="650" priority="574" operator="equal">
      <formula>"No"</formula>
    </cfRule>
    <cfRule type="cellIs" dxfId="649" priority="575" operator="equal">
      <formula>"NA"</formula>
    </cfRule>
    <cfRule type="cellIs" dxfId="648" priority="576" operator="equal">
      <formula>"Yes"</formula>
    </cfRule>
  </conditionalFormatting>
  <conditionalFormatting sqref="U7">
    <cfRule type="cellIs" dxfId="647" priority="571" operator="equal">
      <formula>"No"</formula>
    </cfRule>
    <cfRule type="cellIs" dxfId="646" priority="572" operator="equal">
      <formula>"NA"</formula>
    </cfRule>
    <cfRule type="cellIs" dxfId="645" priority="573" operator="equal">
      <formula>"Yes"</formula>
    </cfRule>
  </conditionalFormatting>
  <conditionalFormatting sqref="U10">
    <cfRule type="cellIs" dxfId="644" priority="568" operator="equal">
      <formula>"No"</formula>
    </cfRule>
    <cfRule type="cellIs" dxfId="643" priority="569" operator="equal">
      <formula>"NA"</formula>
    </cfRule>
    <cfRule type="cellIs" dxfId="642" priority="570" operator="equal">
      <formula>"Yes"</formula>
    </cfRule>
  </conditionalFormatting>
  <conditionalFormatting sqref="U12">
    <cfRule type="cellIs" dxfId="641" priority="565" operator="equal">
      <formula>"No"</formula>
    </cfRule>
    <cfRule type="cellIs" dxfId="640" priority="566" operator="equal">
      <formula>"NA"</formula>
    </cfRule>
    <cfRule type="cellIs" dxfId="639" priority="567" operator="equal">
      <formula>"Yes"</formula>
    </cfRule>
  </conditionalFormatting>
  <conditionalFormatting sqref="U13">
    <cfRule type="cellIs" dxfId="638" priority="562" operator="equal">
      <formula>"No"</formula>
    </cfRule>
    <cfRule type="cellIs" dxfId="637" priority="563" operator="equal">
      <formula>"NA"</formula>
    </cfRule>
    <cfRule type="cellIs" dxfId="636" priority="564" operator="equal">
      <formula>"Yes"</formula>
    </cfRule>
  </conditionalFormatting>
  <conditionalFormatting sqref="U15">
    <cfRule type="cellIs" dxfId="635" priority="559" operator="equal">
      <formula>"No"</formula>
    </cfRule>
    <cfRule type="cellIs" dxfId="634" priority="560" operator="equal">
      <formula>"NA"</formula>
    </cfRule>
    <cfRule type="cellIs" dxfId="633" priority="561" operator="equal">
      <formula>"Yes"</formula>
    </cfRule>
  </conditionalFormatting>
  <conditionalFormatting sqref="U16">
    <cfRule type="cellIs" dxfId="632" priority="556" operator="equal">
      <formula>"No"</formula>
    </cfRule>
    <cfRule type="cellIs" dxfId="631" priority="557" operator="equal">
      <formula>"NA"</formula>
    </cfRule>
    <cfRule type="cellIs" dxfId="630" priority="558" operator="equal">
      <formula>"Yes"</formula>
    </cfRule>
  </conditionalFormatting>
  <conditionalFormatting sqref="U17">
    <cfRule type="cellIs" dxfId="629" priority="553" operator="equal">
      <formula>"No"</formula>
    </cfRule>
    <cfRule type="cellIs" dxfId="628" priority="554" operator="equal">
      <formula>"NA"</formula>
    </cfRule>
    <cfRule type="cellIs" dxfId="627" priority="555" operator="equal">
      <formula>"Yes"</formula>
    </cfRule>
  </conditionalFormatting>
  <conditionalFormatting sqref="U18">
    <cfRule type="cellIs" dxfId="626" priority="550" operator="equal">
      <formula>"No"</formula>
    </cfRule>
    <cfRule type="cellIs" dxfId="625" priority="551" operator="equal">
      <formula>"NA"</formula>
    </cfRule>
    <cfRule type="cellIs" dxfId="624" priority="552" operator="equal">
      <formula>"Yes"</formula>
    </cfRule>
  </conditionalFormatting>
  <conditionalFormatting sqref="U19">
    <cfRule type="cellIs" dxfId="623" priority="547" operator="equal">
      <formula>"No"</formula>
    </cfRule>
    <cfRule type="cellIs" dxfId="622" priority="548" operator="equal">
      <formula>"NA"</formula>
    </cfRule>
    <cfRule type="cellIs" dxfId="621" priority="549" operator="equal">
      <formula>"Yes"</formula>
    </cfRule>
  </conditionalFormatting>
  <conditionalFormatting sqref="U20">
    <cfRule type="cellIs" dxfId="620" priority="544" operator="equal">
      <formula>"No"</formula>
    </cfRule>
    <cfRule type="cellIs" dxfId="619" priority="545" operator="equal">
      <formula>"NA"</formula>
    </cfRule>
    <cfRule type="cellIs" dxfId="618" priority="546" operator="equal">
      <formula>"Yes"</formula>
    </cfRule>
  </conditionalFormatting>
  <conditionalFormatting sqref="U21">
    <cfRule type="cellIs" dxfId="617" priority="541" operator="equal">
      <formula>"No"</formula>
    </cfRule>
    <cfRule type="cellIs" dxfId="616" priority="542" operator="equal">
      <formula>"NA"</formula>
    </cfRule>
    <cfRule type="cellIs" dxfId="615" priority="543" operator="equal">
      <formula>"Yes"</formula>
    </cfRule>
  </conditionalFormatting>
  <conditionalFormatting sqref="U22">
    <cfRule type="cellIs" dxfId="614" priority="538" operator="equal">
      <formula>"No"</formula>
    </cfRule>
    <cfRule type="cellIs" dxfId="613" priority="539" operator="equal">
      <formula>"NA"</formula>
    </cfRule>
    <cfRule type="cellIs" dxfId="612" priority="540" operator="equal">
      <formula>"Yes"</formula>
    </cfRule>
  </conditionalFormatting>
  <conditionalFormatting sqref="U23">
    <cfRule type="cellIs" dxfId="611" priority="535" operator="equal">
      <formula>"No"</formula>
    </cfRule>
    <cfRule type="cellIs" dxfId="610" priority="536" operator="equal">
      <formula>"NA"</formula>
    </cfRule>
    <cfRule type="cellIs" dxfId="609" priority="537" operator="equal">
      <formula>"Yes"</formula>
    </cfRule>
  </conditionalFormatting>
  <conditionalFormatting sqref="U25">
    <cfRule type="cellIs" dxfId="608" priority="532" operator="equal">
      <formula>"No"</formula>
    </cfRule>
    <cfRule type="cellIs" dxfId="607" priority="533" operator="equal">
      <formula>"NA"</formula>
    </cfRule>
    <cfRule type="cellIs" dxfId="606" priority="534" operator="equal">
      <formula>"Yes"</formula>
    </cfRule>
  </conditionalFormatting>
  <conditionalFormatting sqref="U26">
    <cfRule type="cellIs" dxfId="605" priority="529" operator="equal">
      <formula>"No"</formula>
    </cfRule>
    <cfRule type="cellIs" dxfId="604" priority="530" operator="equal">
      <formula>"NA"</formula>
    </cfRule>
    <cfRule type="cellIs" dxfId="603" priority="531" operator="equal">
      <formula>"Yes"</formula>
    </cfRule>
  </conditionalFormatting>
  <conditionalFormatting sqref="U27">
    <cfRule type="cellIs" dxfId="602" priority="526" operator="equal">
      <formula>"No"</formula>
    </cfRule>
    <cfRule type="cellIs" dxfId="601" priority="527" operator="equal">
      <formula>"NA"</formula>
    </cfRule>
    <cfRule type="cellIs" dxfId="600" priority="528" operator="equal">
      <formula>"Yes"</formula>
    </cfRule>
  </conditionalFormatting>
  <conditionalFormatting sqref="U28">
    <cfRule type="cellIs" dxfId="599" priority="523" operator="equal">
      <formula>"No"</formula>
    </cfRule>
    <cfRule type="cellIs" dxfId="598" priority="524" operator="equal">
      <formula>"NA"</formula>
    </cfRule>
    <cfRule type="cellIs" dxfId="597" priority="525" operator="equal">
      <formula>"Yes"</formula>
    </cfRule>
  </conditionalFormatting>
  <conditionalFormatting sqref="U30">
    <cfRule type="cellIs" dxfId="596" priority="520" operator="equal">
      <formula>"No"</formula>
    </cfRule>
    <cfRule type="cellIs" dxfId="595" priority="521" operator="equal">
      <formula>"NA"</formula>
    </cfRule>
    <cfRule type="cellIs" dxfId="594" priority="522" operator="equal">
      <formula>"Yes"</formula>
    </cfRule>
  </conditionalFormatting>
  <conditionalFormatting sqref="U31">
    <cfRule type="cellIs" dxfId="593" priority="517" operator="equal">
      <formula>"No"</formula>
    </cfRule>
    <cfRule type="cellIs" dxfId="592" priority="518" operator="equal">
      <formula>"NA"</formula>
    </cfRule>
    <cfRule type="cellIs" dxfId="591" priority="519" operator="equal">
      <formula>"Yes"</formula>
    </cfRule>
  </conditionalFormatting>
  <conditionalFormatting sqref="U33">
    <cfRule type="cellIs" dxfId="590" priority="514" operator="equal">
      <formula>"No"</formula>
    </cfRule>
    <cfRule type="cellIs" dxfId="589" priority="515" operator="equal">
      <formula>"NA"</formula>
    </cfRule>
    <cfRule type="cellIs" dxfId="588" priority="516" operator="equal">
      <formula>"Yes"</formula>
    </cfRule>
  </conditionalFormatting>
  <conditionalFormatting sqref="U9">
    <cfRule type="cellIs" dxfId="587" priority="511" operator="equal">
      <formula>"No"</formula>
    </cfRule>
    <cfRule type="cellIs" dxfId="586" priority="512" operator="equal">
      <formula>"NA"</formula>
    </cfRule>
    <cfRule type="cellIs" dxfId="585" priority="513" operator="equal">
      <formula>"Yes"</formula>
    </cfRule>
  </conditionalFormatting>
  <conditionalFormatting sqref="U11">
    <cfRule type="cellIs" dxfId="584" priority="508" operator="equal">
      <formula>"No"</formula>
    </cfRule>
    <cfRule type="cellIs" dxfId="583" priority="509" operator="equal">
      <formula>"NA"</formula>
    </cfRule>
    <cfRule type="cellIs" dxfId="582" priority="510" operator="equal">
      <formula>"Yes"</formula>
    </cfRule>
  </conditionalFormatting>
  <conditionalFormatting sqref="U14">
    <cfRule type="cellIs" dxfId="581" priority="505" operator="equal">
      <formula>"No"</formula>
    </cfRule>
    <cfRule type="cellIs" dxfId="580" priority="506" operator="equal">
      <formula>"NA"</formula>
    </cfRule>
    <cfRule type="cellIs" dxfId="579" priority="507" operator="equal">
      <formula>"Yes"</formula>
    </cfRule>
  </conditionalFormatting>
  <conditionalFormatting sqref="V6">
    <cfRule type="cellIs" dxfId="578" priority="502" operator="equal">
      <formula>"No"</formula>
    </cfRule>
    <cfRule type="cellIs" dxfId="577" priority="503" operator="equal">
      <formula>"NA"</formula>
    </cfRule>
    <cfRule type="cellIs" dxfId="576" priority="504" operator="equal">
      <formula>"Yes"</formula>
    </cfRule>
  </conditionalFormatting>
  <conditionalFormatting sqref="V7">
    <cfRule type="cellIs" dxfId="575" priority="499" operator="equal">
      <formula>"No"</formula>
    </cfRule>
    <cfRule type="cellIs" dxfId="574" priority="500" operator="equal">
      <formula>"NA"</formula>
    </cfRule>
    <cfRule type="cellIs" dxfId="573" priority="501" operator="equal">
      <formula>"Yes"</formula>
    </cfRule>
  </conditionalFormatting>
  <conditionalFormatting sqref="V10">
    <cfRule type="cellIs" dxfId="572" priority="496" operator="equal">
      <formula>"No"</formula>
    </cfRule>
    <cfRule type="cellIs" dxfId="571" priority="497" operator="equal">
      <formula>"NA"</formula>
    </cfRule>
    <cfRule type="cellIs" dxfId="570" priority="498" operator="equal">
      <formula>"Yes"</formula>
    </cfRule>
  </conditionalFormatting>
  <conditionalFormatting sqref="V12">
    <cfRule type="cellIs" dxfId="569" priority="493" operator="equal">
      <formula>"No"</formula>
    </cfRule>
    <cfRule type="cellIs" dxfId="568" priority="494" operator="equal">
      <formula>"NA"</formula>
    </cfRule>
    <cfRule type="cellIs" dxfId="567" priority="495" operator="equal">
      <formula>"Yes"</formula>
    </cfRule>
  </conditionalFormatting>
  <conditionalFormatting sqref="V13">
    <cfRule type="cellIs" dxfId="566" priority="490" operator="equal">
      <formula>"No"</formula>
    </cfRule>
    <cfRule type="cellIs" dxfId="565" priority="491" operator="equal">
      <formula>"NA"</formula>
    </cfRule>
    <cfRule type="cellIs" dxfId="564" priority="492" operator="equal">
      <formula>"Yes"</formula>
    </cfRule>
  </conditionalFormatting>
  <conditionalFormatting sqref="V15">
    <cfRule type="cellIs" dxfId="563" priority="487" operator="equal">
      <formula>"No"</formula>
    </cfRule>
    <cfRule type="cellIs" dxfId="562" priority="488" operator="equal">
      <formula>"NA"</formula>
    </cfRule>
    <cfRule type="cellIs" dxfId="561" priority="489" operator="equal">
      <formula>"Yes"</formula>
    </cfRule>
  </conditionalFormatting>
  <conditionalFormatting sqref="V16">
    <cfRule type="cellIs" dxfId="560" priority="484" operator="equal">
      <formula>"No"</formula>
    </cfRule>
    <cfRule type="cellIs" dxfId="559" priority="485" operator="equal">
      <formula>"NA"</formula>
    </cfRule>
    <cfRule type="cellIs" dxfId="558" priority="486" operator="equal">
      <formula>"Yes"</formula>
    </cfRule>
  </conditionalFormatting>
  <conditionalFormatting sqref="V17">
    <cfRule type="cellIs" dxfId="557" priority="481" operator="equal">
      <formula>"No"</formula>
    </cfRule>
    <cfRule type="cellIs" dxfId="556" priority="482" operator="equal">
      <formula>"NA"</formula>
    </cfRule>
    <cfRule type="cellIs" dxfId="555" priority="483" operator="equal">
      <formula>"Yes"</formula>
    </cfRule>
  </conditionalFormatting>
  <conditionalFormatting sqref="V18">
    <cfRule type="cellIs" dxfId="554" priority="478" operator="equal">
      <formula>"No"</formula>
    </cfRule>
    <cfRule type="cellIs" dxfId="553" priority="479" operator="equal">
      <formula>"NA"</formula>
    </cfRule>
    <cfRule type="cellIs" dxfId="552" priority="480" operator="equal">
      <formula>"Yes"</formula>
    </cfRule>
  </conditionalFormatting>
  <conditionalFormatting sqref="V19">
    <cfRule type="cellIs" dxfId="551" priority="475" operator="equal">
      <formula>"No"</formula>
    </cfRule>
    <cfRule type="cellIs" dxfId="550" priority="476" operator="equal">
      <formula>"NA"</formula>
    </cfRule>
    <cfRule type="cellIs" dxfId="549" priority="477" operator="equal">
      <formula>"Yes"</formula>
    </cfRule>
  </conditionalFormatting>
  <conditionalFormatting sqref="V20">
    <cfRule type="cellIs" dxfId="548" priority="472" operator="equal">
      <formula>"No"</formula>
    </cfRule>
    <cfRule type="cellIs" dxfId="547" priority="473" operator="equal">
      <formula>"NA"</formula>
    </cfRule>
    <cfRule type="cellIs" dxfId="546" priority="474" operator="equal">
      <formula>"Yes"</formula>
    </cfRule>
  </conditionalFormatting>
  <conditionalFormatting sqref="V21">
    <cfRule type="cellIs" dxfId="545" priority="469" operator="equal">
      <formula>"No"</formula>
    </cfRule>
    <cfRule type="cellIs" dxfId="544" priority="470" operator="equal">
      <formula>"NA"</formula>
    </cfRule>
    <cfRule type="cellIs" dxfId="543" priority="471" operator="equal">
      <formula>"Yes"</formula>
    </cfRule>
  </conditionalFormatting>
  <conditionalFormatting sqref="V22">
    <cfRule type="cellIs" dxfId="542" priority="466" operator="equal">
      <formula>"No"</formula>
    </cfRule>
    <cfRule type="cellIs" dxfId="541" priority="467" operator="equal">
      <formula>"NA"</formula>
    </cfRule>
    <cfRule type="cellIs" dxfId="540" priority="468" operator="equal">
      <formula>"Yes"</formula>
    </cfRule>
  </conditionalFormatting>
  <conditionalFormatting sqref="V23">
    <cfRule type="cellIs" dxfId="539" priority="463" operator="equal">
      <formula>"No"</formula>
    </cfRule>
    <cfRule type="cellIs" dxfId="538" priority="464" operator="equal">
      <formula>"NA"</formula>
    </cfRule>
    <cfRule type="cellIs" dxfId="537" priority="465" operator="equal">
      <formula>"Yes"</formula>
    </cfRule>
  </conditionalFormatting>
  <conditionalFormatting sqref="V25">
    <cfRule type="cellIs" dxfId="536" priority="460" operator="equal">
      <formula>"No"</formula>
    </cfRule>
    <cfRule type="cellIs" dxfId="535" priority="461" operator="equal">
      <formula>"NA"</formula>
    </cfRule>
    <cfRule type="cellIs" dxfId="534" priority="462" operator="equal">
      <formula>"Yes"</formula>
    </cfRule>
  </conditionalFormatting>
  <conditionalFormatting sqref="V26">
    <cfRule type="cellIs" dxfId="533" priority="457" operator="equal">
      <formula>"No"</formula>
    </cfRule>
    <cfRule type="cellIs" dxfId="532" priority="458" operator="equal">
      <formula>"NA"</formula>
    </cfRule>
    <cfRule type="cellIs" dxfId="531" priority="459" operator="equal">
      <formula>"Yes"</formula>
    </cfRule>
  </conditionalFormatting>
  <conditionalFormatting sqref="V27">
    <cfRule type="cellIs" dxfId="530" priority="454" operator="equal">
      <formula>"No"</formula>
    </cfRule>
    <cfRule type="cellIs" dxfId="529" priority="455" operator="equal">
      <formula>"NA"</formula>
    </cfRule>
    <cfRule type="cellIs" dxfId="528" priority="456" operator="equal">
      <formula>"Yes"</formula>
    </cfRule>
  </conditionalFormatting>
  <conditionalFormatting sqref="V28">
    <cfRule type="cellIs" dxfId="527" priority="451" operator="equal">
      <formula>"No"</formula>
    </cfRule>
    <cfRule type="cellIs" dxfId="526" priority="452" operator="equal">
      <formula>"NA"</formula>
    </cfRule>
    <cfRule type="cellIs" dxfId="525" priority="453" operator="equal">
      <formula>"Yes"</formula>
    </cfRule>
  </conditionalFormatting>
  <conditionalFormatting sqref="V30">
    <cfRule type="cellIs" dxfId="524" priority="448" operator="equal">
      <formula>"No"</formula>
    </cfRule>
    <cfRule type="cellIs" dxfId="523" priority="449" operator="equal">
      <formula>"NA"</formula>
    </cfRule>
    <cfRule type="cellIs" dxfId="522" priority="450" operator="equal">
      <formula>"Yes"</formula>
    </cfRule>
  </conditionalFormatting>
  <conditionalFormatting sqref="V31">
    <cfRule type="cellIs" dxfId="521" priority="445" operator="equal">
      <formula>"No"</formula>
    </cfRule>
    <cfRule type="cellIs" dxfId="520" priority="446" operator="equal">
      <formula>"NA"</formula>
    </cfRule>
    <cfRule type="cellIs" dxfId="519" priority="447" operator="equal">
      <formula>"Yes"</formula>
    </cfRule>
  </conditionalFormatting>
  <conditionalFormatting sqref="V33">
    <cfRule type="cellIs" dxfId="518" priority="442" operator="equal">
      <formula>"No"</formula>
    </cfRule>
    <cfRule type="cellIs" dxfId="517" priority="443" operator="equal">
      <formula>"NA"</formula>
    </cfRule>
    <cfRule type="cellIs" dxfId="516" priority="444" operator="equal">
      <formula>"Yes"</formula>
    </cfRule>
  </conditionalFormatting>
  <conditionalFormatting sqref="V9">
    <cfRule type="cellIs" dxfId="515" priority="439" operator="equal">
      <formula>"No"</formula>
    </cfRule>
    <cfRule type="cellIs" dxfId="514" priority="440" operator="equal">
      <formula>"NA"</formula>
    </cfRule>
    <cfRule type="cellIs" dxfId="513" priority="441" operator="equal">
      <formula>"Yes"</formula>
    </cfRule>
  </conditionalFormatting>
  <conditionalFormatting sqref="V11">
    <cfRule type="cellIs" dxfId="512" priority="436" operator="equal">
      <formula>"No"</formula>
    </cfRule>
    <cfRule type="cellIs" dxfId="511" priority="437" operator="equal">
      <formula>"NA"</formula>
    </cfRule>
    <cfRule type="cellIs" dxfId="510" priority="438" operator="equal">
      <formula>"Yes"</formula>
    </cfRule>
  </conditionalFormatting>
  <conditionalFormatting sqref="V14">
    <cfRule type="cellIs" dxfId="509" priority="433" operator="equal">
      <formula>"No"</formula>
    </cfRule>
    <cfRule type="cellIs" dxfId="508" priority="434" operator="equal">
      <formula>"NA"</formula>
    </cfRule>
    <cfRule type="cellIs" dxfId="507" priority="435" operator="equal">
      <formula>"Yes"</formula>
    </cfRule>
  </conditionalFormatting>
  <conditionalFormatting sqref="W6">
    <cfRule type="cellIs" dxfId="506" priority="430" operator="equal">
      <formula>"No"</formula>
    </cfRule>
    <cfRule type="cellIs" dxfId="505" priority="431" operator="equal">
      <formula>"NA"</formula>
    </cfRule>
    <cfRule type="cellIs" dxfId="504" priority="432" operator="equal">
      <formula>"Yes"</formula>
    </cfRule>
  </conditionalFormatting>
  <conditionalFormatting sqref="W7">
    <cfRule type="cellIs" dxfId="503" priority="427" operator="equal">
      <formula>"No"</formula>
    </cfRule>
    <cfRule type="cellIs" dxfId="502" priority="428" operator="equal">
      <formula>"NA"</formula>
    </cfRule>
    <cfRule type="cellIs" dxfId="501" priority="429" operator="equal">
      <formula>"Yes"</formula>
    </cfRule>
  </conditionalFormatting>
  <conditionalFormatting sqref="W10">
    <cfRule type="cellIs" dxfId="500" priority="424" operator="equal">
      <formula>"No"</formula>
    </cfRule>
    <cfRule type="cellIs" dxfId="499" priority="425" operator="equal">
      <formula>"NA"</formula>
    </cfRule>
    <cfRule type="cellIs" dxfId="498" priority="426" operator="equal">
      <formula>"Yes"</formula>
    </cfRule>
  </conditionalFormatting>
  <conditionalFormatting sqref="W12">
    <cfRule type="cellIs" dxfId="497" priority="421" operator="equal">
      <formula>"No"</formula>
    </cfRule>
    <cfRule type="cellIs" dxfId="496" priority="422" operator="equal">
      <formula>"NA"</formula>
    </cfRule>
    <cfRule type="cellIs" dxfId="495" priority="423" operator="equal">
      <formula>"Yes"</formula>
    </cfRule>
  </conditionalFormatting>
  <conditionalFormatting sqref="W13">
    <cfRule type="cellIs" dxfId="494" priority="418" operator="equal">
      <formula>"No"</formula>
    </cfRule>
    <cfRule type="cellIs" dxfId="493" priority="419" operator="equal">
      <formula>"NA"</formula>
    </cfRule>
    <cfRule type="cellIs" dxfId="492" priority="420" operator="equal">
      <formula>"Yes"</formula>
    </cfRule>
  </conditionalFormatting>
  <conditionalFormatting sqref="W15">
    <cfRule type="cellIs" dxfId="491" priority="415" operator="equal">
      <formula>"No"</formula>
    </cfRule>
    <cfRule type="cellIs" dxfId="490" priority="416" operator="equal">
      <formula>"NA"</formula>
    </cfRule>
    <cfRule type="cellIs" dxfId="489" priority="417" operator="equal">
      <formula>"Yes"</formula>
    </cfRule>
  </conditionalFormatting>
  <conditionalFormatting sqref="W16">
    <cfRule type="cellIs" dxfId="488" priority="412" operator="equal">
      <formula>"No"</formula>
    </cfRule>
    <cfRule type="cellIs" dxfId="487" priority="413" operator="equal">
      <formula>"NA"</formula>
    </cfRule>
    <cfRule type="cellIs" dxfId="486" priority="414" operator="equal">
      <formula>"Yes"</formula>
    </cfRule>
  </conditionalFormatting>
  <conditionalFormatting sqref="W17">
    <cfRule type="cellIs" dxfId="485" priority="409" operator="equal">
      <formula>"No"</formula>
    </cfRule>
    <cfRule type="cellIs" dxfId="484" priority="410" operator="equal">
      <formula>"NA"</formula>
    </cfRule>
    <cfRule type="cellIs" dxfId="483" priority="411" operator="equal">
      <formula>"Yes"</formula>
    </cfRule>
  </conditionalFormatting>
  <conditionalFormatting sqref="W18">
    <cfRule type="cellIs" dxfId="482" priority="406" operator="equal">
      <formula>"No"</formula>
    </cfRule>
    <cfRule type="cellIs" dxfId="481" priority="407" operator="equal">
      <formula>"NA"</formula>
    </cfRule>
    <cfRule type="cellIs" dxfId="480" priority="408" operator="equal">
      <formula>"Yes"</formula>
    </cfRule>
  </conditionalFormatting>
  <conditionalFormatting sqref="W19">
    <cfRule type="cellIs" dxfId="479" priority="403" operator="equal">
      <formula>"No"</formula>
    </cfRule>
    <cfRule type="cellIs" dxfId="478" priority="404" operator="equal">
      <formula>"NA"</formula>
    </cfRule>
    <cfRule type="cellIs" dxfId="477" priority="405" operator="equal">
      <formula>"Yes"</formula>
    </cfRule>
  </conditionalFormatting>
  <conditionalFormatting sqref="W20">
    <cfRule type="cellIs" dxfId="476" priority="400" operator="equal">
      <formula>"No"</formula>
    </cfRule>
    <cfRule type="cellIs" dxfId="475" priority="401" operator="equal">
      <formula>"NA"</formula>
    </cfRule>
    <cfRule type="cellIs" dxfId="474" priority="402" operator="equal">
      <formula>"Yes"</formula>
    </cfRule>
  </conditionalFormatting>
  <conditionalFormatting sqref="W21">
    <cfRule type="cellIs" dxfId="473" priority="397" operator="equal">
      <formula>"No"</formula>
    </cfRule>
    <cfRule type="cellIs" dxfId="472" priority="398" operator="equal">
      <formula>"NA"</formula>
    </cfRule>
    <cfRule type="cellIs" dxfId="471" priority="399" operator="equal">
      <formula>"Yes"</formula>
    </cfRule>
  </conditionalFormatting>
  <conditionalFormatting sqref="W22">
    <cfRule type="cellIs" dxfId="470" priority="394" operator="equal">
      <formula>"No"</formula>
    </cfRule>
    <cfRule type="cellIs" dxfId="469" priority="395" operator="equal">
      <formula>"NA"</formula>
    </cfRule>
    <cfRule type="cellIs" dxfId="468" priority="396" operator="equal">
      <formula>"Yes"</formula>
    </cfRule>
  </conditionalFormatting>
  <conditionalFormatting sqref="W23">
    <cfRule type="cellIs" dxfId="467" priority="391" operator="equal">
      <formula>"No"</formula>
    </cfRule>
    <cfRule type="cellIs" dxfId="466" priority="392" operator="equal">
      <formula>"NA"</formula>
    </cfRule>
    <cfRule type="cellIs" dxfId="465" priority="393" operator="equal">
      <formula>"Yes"</formula>
    </cfRule>
  </conditionalFormatting>
  <conditionalFormatting sqref="W25">
    <cfRule type="cellIs" dxfId="464" priority="388" operator="equal">
      <formula>"No"</formula>
    </cfRule>
    <cfRule type="cellIs" dxfId="463" priority="389" operator="equal">
      <formula>"NA"</formula>
    </cfRule>
    <cfRule type="cellIs" dxfId="462" priority="390" operator="equal">
      <formula>"Yes"</formula>
    </cfRule>
  </conditionalFormatting>
  <conditionalFormatting sqref="W26">
    <cfRule type="cellIs" dxfId="461" priority="385" operator="equal">
      <formula>"No"</formula>
    </cfRule>
    <cfRule type="cellIs" dxfId="460" priority="386" operator="equal">
      <formula>"NA"</formula>
    </cfRule>
    <cfRule type="cellIs" dxfId="459" priority="387" operator="equal">
      <formula>"Yes"</formula>
    </cfRule>
  </conditionalFormatting>
  <conditionalFormatting sqref="W27">
    <cfRule type="cellIs" dxfId="458" priority="382" operator="equal">
      <formula>"No"</formula>
    </cfRule>
    <cfRule type="cellIs" dxfId="457" priority="383" operator="equal">
      <formula>"NA"</formula>
    </cfRule>
    <cfRule type="cellIs" dxfId="456" priority="384" operator="equal">
      <formula>"Yes"</formula>
    </cfRule>
  </conditionalFormatting>
  <conditionalFormatting sqref="W28">
    <cfRule type="cellIs" dxfId="455" priority="379" operator="equal">
      <formula>"No"</formula>
    </cfRule>
    <cfRule type="cellIs" dxfId="454" priority="380" operator="equal">
      <formula>"NA"</formula>
    </cfRule>
    <cfRule type="cellIs" dxfId="453" priority="381" operator="equal">
      <formula>"Yes"</formula>
    </cfRule>
  </conditionalFormatting>
  <conditionalFormatting sqref="W30">
    <cfRule type="cellIs" dxfId="452" priority="376" operator="equal">
      <formula>"No"</formula>
    </cfRule>
    <cfRule type="cellIs" dxfId="451" priority="377" operator="equal">
      <formula>"NA"</formula>
    </cfRule>
    <cfRule type="cellIs" dxfId="450" priority="378" operator="equal">
      <formula>"Yes"</formula>
    </cfRule>
  </conditionalFormatting>
  <conditionalFormatting sqref="W31">
    <cfRule type="cellIs" dxfId="449" priority="373" operator="equal">
      <formula>"No"</formula>
    </cfRule>
    <cfRule type="cellIs" dxfId="448" priority="374" operator="equal">
      <formula>"NA"</formula>
    </cfRule>
    <cfRule type="cellIs" dxfId="447" priority="375" operator="equal">
      <formula>"Yes"</formula>
    </cfRule>
  </conditionalFormatting>
  <conditionalFormatting sqref="W33">
    <cfRule type="cellIs" dxfId="446" priority="370" operator="equal">
      <formula>"No"</formula>
    </cfRule>
    <cfRule type="cellIs" dxfId="445" priority="371" operator="equal">
      <formula>"NA"</formula>
    </cfRule>
    <cfRule type="cellIs" dxfId="444" priority="372" operator="equal">
      <formula>"Yes"</formula>
    </cfRule>
  </conditionalFormatting>
  <conditionalFormatting sqref="W9">
    <cfRule type="cellIs" dxfId="443" priority="367" operator="equal">
      <formula>"No"</formula>
    </cfRule>
    <cfRule type="cellIs" dxfId="442" priority="368" operator="equal">
      <formula>"NA"</formula>
    </cfRule>
    <cfRule type="cellIs" dxfId="441" priority="369" operator="equal">
      <formula>"Yes"</formula>
    </cfRule>
  </conditionalFormatting>
  <conditionalFormatting sqref="W11">
    <cfRule type="cellIs" dxfId="440" priority="364" operator="equal">
      <formula>"No"</formula>
    </cfRule>
    <cfRule type="cellIs" dxfId="439" priority="365" operator="equal">
      <formula>"NA"</formula>
    </cfRule>
    <cfRule type="cellIs" dxfId="438" priority="366" operator="equal">
      <formula>"Yes"</formula>
    </cfRule>
  </conditionalFormatting>
  <conditionalFormatting sqref="W14">
    <cfRule type="cellIs" dxfId="437" priority="361" operator="equal">
      <formula>"No"</formula>
    </cfRule>
    <cfRule type="cellIs" dxfId="436" priority="362" operator="equal">
      <formula>"NA"</formula>
    </cfRule>
    <cfRule type="cellIs" dxfId="435" priority="363" operator="equal">
      <formula>"Yes"</formula>
    </cfRule>
  </conditionalFormatting>
  <conditionalFormatting sqref="X6">
    <cfRule type="cellIs" dxfId="434" priority="358" operator="equal">
      <formula>"No"</formula>
    </cfRule>
    <cfRule type="cellIs" dxfId="433" priority="359" operator="equal">
      <formula>"NA"</formula>
    </cfRule>
    <cfRule type="cellIs" dxfId="432" priority="360" operator="equal">
      <formula>"Yes"</formula>
    </cfRule>
  </conditionalFormatting>
  <conditionalFormatting sqref="X7">
    <cfRule type="cellIs" dxfId="431" priority="355" operator="equal">
      <formula>"No"</formula>
    </cfRule>
    <cfRule type="cellIs" dxfId="430" priority="356" operator="equal">
      <formula>"NA"</formula>
    </cfRule>
    <cfRule type="cellIs" dxfId="429" priority="357" operator="equal">
      <formula>"Yes"</formula>
    </cfRule>
  </conditionalFormatting>
  <conditionalFormatting sqref="X10">
    <cfRule type="cellIs" dxfId="428" priority="352" operator="equal">
      <formula>"No"</formula>
    </cfRule>
    <cfRule type="cellIs" dxfId="427" priority="353" operator="equal">
      <formula>"NA"</formula>
    </cfRule>
    <cfRule type="cellIs" dxfId="426" priority="354" operator="equal">
      <formula>"Yes"</formula>
    </cfRule>
  </conditionalFormatting>
  <conditionalFormatting sqref="X12">
    <cfRule type="cellIs" dxfId="425" priority="349" operator="equal">
      <formula>"No"</formula>
    </cfRule>
    <cfRule type="cellIs" dxfId="424" priority="350" operator="equal">
      <formula>"NA"</formula>
    </cfRule>
    <cfRule type="cellIs" dxfId="423" priority="351" operator="equal">
      <formula>"Yes"</formula>
    </cfRule>
  </conditionalFormatting>
  <conditionalFormatting sqref="X13">
    <cfRule type="cellIs" dxfId="422" priority="346" operator="equal">
      <formula>"No"</formula>
    </cfRule>
    <cfRule type="cellIs" dxfId="421" priority="347" operator="equal">
      <formula>"NA"</formula>
    </cfRule>
    <cfRule type="cellIs" dxfId="420" priority="348" operator="equal">
      <formula>"Yes"</formula>
    </cfRule>
  </conditionalFormatting>
  <conditionalFormatting sqref="X15">
    <cfRule type="cellIs" dxfId="419" priority="343" operator="equal">
      <formula>"No"</formula>
    </cfRule>
    <cfRule type="cellIs" dxfId="418" priority="344" operator="equal">
      <formula>"NA"</formula>
    </cfRule>
    <cfRule type="cellIs" dxfId="417" priority="345" operator="equal">
      <formula>"Yes"</formula>
    </cfRule>
  </conditionalFormatting>
  <conditionalFormatting sqref="X16">
    <cfRule type="cellIs" dxfId="416" priority="340" operator="equal">
      <formula>"No"</formula>
    </cfRule>
    <cfRule type="cellIs" dxfId="415" priority="341" operator="equal">
      <formula>"NA"</formula>
    </cfRule>
    <cfRule type="cellIs" dxfId="414" priority="342" operator="equal">
      <formula>"Yes"</formula>
    </cfRule>
  </conditionalFormatting>
  <conditionalFormatting sqref="X17">
    <cfRule type="cellIs" dxfId="413" priority="337" operator="equal">
      <formula>"No"</formula>
    </cfRule>
    <cfRule type="cellIs" dxfId="412" priority="338" operator="equal">
      <formula>"NA"</formula>
    </cfRule>
    <cfRule type="cellIs" dxfId="411" priority="339" operator="equal">
      <formula>"Yes"</formula>
    </cfRule>
  </conditionalFormatting>
  <conditionalFormatting sqref="X18">
    <cfRule type="cellIs" dxfId="410" priority="334" operator="equal">
      <formula>"No"</formula>
    </cfRule>
    <cfRule type="cellIs" dxfId="409" priority="335" operator="equal">
      <formula>"NA"</formula>
    </cfRule>
    <cfRule type="cellIs" dxfId="408" priority="336" operator="equal">
      <formula>"Yes"</formula>
    </cfRule>
  </conditionalFormatting>
  <conditionalFormatting sqref="X19">
    <cfRule type="cellIs" dxfId="407" priority="331" operator="equal">
      <formula>"No"</formula>
    </cfRule>
    <cfRule type="cellIs" dxfId="406" priority="332" operator="equal">
      <formula>"NA"</formula>
    </cfRule>
    <cfRule type="cellIs" dxfId="405" priority="333" operator="equal">
      <formula>"Yes"</formula>
    </cfRule>
  </conditionalFormatting>
  <conditionalFormatting sqref="X20">
    <cfRule type="cellIs" dxfId="404" priority="328" operator="equal">
      <formula>"No"</formula>
    </cfRule>
    <cfRule type="cellIs" dxfId="403" priority="329" operator="equal">
      <formula>"NA"</formula>
    </cfRule>
    <cfRule type="cellIs" dxfId="402" priority="330" operator="equal">
      <formula>"Yes"</formula>
    </cfRule>
  </conditionalFormatting>
  <conditionalFormatting sqref="X21">
    <cfRule type="cellIs" dxfId="401" priority="325" operator="equal">
      <formula>"No"</formula>
    </cfRule>
    <cfRule type="cellIs" dxfId="400" priority="326" operator="equal">
      <formula>"NA"</formula>
    </cfRule>
    <cfRule type="cellIs" dxfId="399" priority="327" operator="equal">
      <formula>"Yes"</formula>
    </cfRule>
  </conditionalFormatting>
  <conditionalFormatting sqref="X22">
    <cfRule type="cellIs" dxfId="398" priority="322" operator="equal">
      <formula>"No"</formula>
    </cfRule>
    <cfRule type="cellIs" dxfId="397" priority="323" operator="equal">
      <formula>"NA"</formula>
    </cfRule>
    <cfRule type="cellIs" dxfId="396" priority="324" operator="equal">
      <formula>"Yes"</formula>
    </cfRule>
  </conditionalFormatting>
  <conditionalFormatting sqref="X23">
    <cfRule type="cellIs" dxfId="395" priority="319" operator="equal">
      <formula>"No"</formula>
    </cfRule>
    <cfRule type="cellIs" dxfId="394" priority="320" operator="equal">
      <formula>"NA"</formula>
    </cfRule>
    <cfRule type="cellIs" dxfId="393" priority="321" operator="equal">
      <formula>"Yes"</formula>
    </cfRule>
  </conditionalFormatting>
  <conditionalFormatting sqref="X25">
    <cfRule type="cellIs" dxfId="392" priority="316" operator="equal">
      <formula>"No"</formula>
    </cfRule>
    <cfRule type="cellIs" dxfId="391" priority="317" operator="equal">
      <formula>"NA"</formula>
    </cfRule>
    <cfRule type="cellIs" dxfId="390" priority="318" operator="equal">
      <formula>"Yes"</formula>
    </cfRule>
  </conditionalFormatting>
  <conditionalFormatting sqref="X26">
    <cfRule type="cellIs" dxfId="389" priority="313" operator="equal">
      <formula>"No"</formula>
    </cfRule>
    <cfRule type="cellIs" dxfId="388" priority="314" operator="equal">
      <formula>"NA"</formula>
    </cfRule>
    <cfRule type="cellIs" dxfId="387" priority="315" operator="equal">
      <formula>"Yes"</formula>
    </cfRule>
  </conditionalFormatting>
  <conditionalFormatting sqref="X27">
    <cfRule type="cellIs" dxfId="386" priority="310" operator="equal">
      <formula>"No"</formula>
    </cfRule>
    <cfRule type="cellIs" dxfId="385" priority="311" operator="equal">
      <formula>"NA"</formula>
    </cfRule>
    <cfRule type="cellIs" dxfId="384" priority="312" operator="equal">
      <formula>"Yes"</formula>
    </cfRule>
  </conditionalFormatting>
  <conditionalFormatting sqref="X28">
    <cfRule type="cellIs" dxfId="383" priority="307" operator="equal">
      <formula>"No"</formula>
    </cfRule>
    <cfRule type="cellIs" dxfId="382" priority="308" operator="equal">
      <formula>"NA"</formula>
    </cfRule>
    <cfRule type="cellIs" dxfId="381" priority="309" operator="equal">
      <formula>"Yes"</formula>
    </cfRule>
  </conditionalFormatting>
  <conditionalFormatting sqref="X30">
    <cfRule type="cellIs" dxfId="380" priority="304" operator="equal">
      <formula>"No"</formula>
    </cfRule>
    <cfRule type="cellIs" dxfId="379" priority="305" operator="equal">
      <formula>"NA"</formula>
    </cfRule>
    <cfRule type="cellIs" dxfId="378" priority="306" operator="equal">
      <formula>"Yes"</formula>
    </cfRule>
  </conditionalFormatting>
  <conditionalFormatting sqref="X31">
    <cfRule type="cellIs" dxfId="377" priority="301" operator="equal">
      <formula>"No"</formula>
    </cfRule>
    <cfRule type="cellIs" dxfId="376" priority="302" operator="equal">
      <formula>"NA"</formula>
    </cfRule>
    <cfRule type="cellIs" dxfId="375" priority="303" operator="equal">
      <formula>"Yes"</formula>
    </cfRule>
  </conditionalFormatting>
  <conditionalFormatting sqref="X33">
    <cfRule type="cellIs" dxfId="374" priority="298" operator="equal">
      <formula>"No"</formula>
    </cfRule>
    <cfRule type="cellIs" dxfId="373" priority="299" operator="equal">
      <formula>"NA"</formula>
    </cfRule>
    <cfRule type="cellIs" dxfId="372" priority="300" operator="equal">
      <formula>"Yes"</formula>
    </cfRule>
  </conditionalFormatting>
  <conditionalFormatting sqref="X9">
    <cfRule type="cellIs" dxfId="371" priority="295" operator="equal">
      <formula>"No"</formula>
    </cfRule>
    <cfRule type="cellIs" dxfId="370" priority="296" operator="equal">
      <formula>"NA"</formula>
    </cfRule>
    <cfRule type="cellIs" dxfId="369" priority="297" operator="equal">
      <formula>"Yes"</formula>
    </cfRule>
  </conditionalFormatting>
  <conditionalFormatting sqref="X11">
    <cfRule type="cellIs" dxfId="368" priority="292" operator="equal">
      <formula>"No"</formula>
    </cfRule>
    <cfRule type="cellIs" dxfId="367" priority="293" operator="equal">
      <formula>"NA"</formula>
    </cfRule>
    <cfRule type="cellIs" dxfId="366" priority="294" operator="equal">
      <formula>"Yes"</formula>
    </cfRule>
  </conditionalFormatting>
  <conditionalFormatting sqref="X14">
    <cfRule type="cellIs" dxfId="365" priority="289" operator="equal">
      <formula>"No"</formula>
    </cfRule>
    <cfRule type="cellIs" dxfId="364" priority="290" operator="equal">
      <formula>"NA"</formula>
    </cfRule>
    <cfRule type="cellIs" dxfId="363" priority="291" operator="equal">
      <formula>"Yes"</formula>
    </cfRule>
  </conditionalFormatting>
  <conditionalFormatting sqref="Y6">
    <cfRule type="cellIs" dxfId="362" priority="286" operator="equal">
      <formula>"No"</formula>
    </cfRule>
    <cfRule type="cellIs" dxfId="361" priority="287" operator="equal">
      <formula>"NA"</formula>
    </cfRule>
    <cfRule type="cellIs" dxfId="360" priority="288" operator="equal">
      <formula>"Yes"</formula>
    </cfRule>
  </conditionalFormatting>
  <conditionalFormatting sqref="Y7">
    <cfRule type="cellIs" dxfId="359" priority="283" operator="equal">
      <formula>"No"</formula>
    </cfRule>
    <cfRule type="cellIs" dxfId="358" priority="284" operator="equal">
      <formula>"NA"</formula>
    </cfRule>
    <cfRule type="cellIs" dxfId="357" priority="285" operator="equal">
      <formula>"Yes"</formula>
    </cfRule>
  </conditionalFormatting>
  <conditionalFormatting sqref="Y10">
    <cfRule type="cellIs" dxfId="356" priority="280" operator="equal">
      <formula>"No"</formula>
    </cfRule>
    <cfRule type="cellIs" dxfId="355" priority="281" operator="equal">
      <formula>"NA"</formula>
    </cfRule>
    <cfRule type="cellIs" dxfId="354" priority="282" operator="equal">
      <formula>"Yes"</formula>
    </cfRule>
  </conditionalFormatting>
  <conditionalFormatting sqref="Y12">
    <cfRule type="cellIs" dxfId="353" priority="277" operator="equal">
      <formula>"No"</formula>
    </cfRule>
    <cfRule type="cellIs" dxfId="352" priority="278" operator="equal">
      <formula>"NA"</formula>
    </cfRule>
    <cfRule type="cellIs" dxfId="351" priority="279" operator="equal">
      <formula>"Yes"</formula>
    </cfRule>
  </conditionalFormatting>
  <conditionalFormatting sqref="Y13">
    <cfRule type="cellIs" dxfId="350" priority="274" operator="equal">
      <formula>"No"</formula>
    </cfRule>
    <cfRule type="cellIs" dxfId="349" priority="275" operator="equal">
      <formula>"NA"</formula>
    </cfRule>
    <cfRule type="cellIs" dxfId="348" priority="276" operator="equal">
      <formula>"Yes"</formula>
    </cfRule>
  </conditionalFormatting>
  <conditionalFormatting sqref="Y15">
    <cfRule type="cellIs" dxfId="347" priority="271" operator="equal">
      <formula>"No"</formula>
    </cfRule>
    <cfRule type="cellIs" dxfId="346" priority="272" operator="equal">
      <formula>"NA"</formula>
    </cfRule>
    <cfRule type="cellIs" dxfId="345" priority="273" operator="equal">
      <formula>"Yes"</formula>
    </cfRule>
  </conditionalFormatting>
  <conditionalFormatting sqref="Y16">
    <cfRule type="cellIs" dxfId="344" priority="268" operator="equal">
      <formula>"No"</formula>
    </cfRule>
    <cfRule type="cellIs" dxfId="343" priority="269" operator="equal">
      <formula>"NA"</formula>
    </cfRule>
    <cfRule type="cellIs" dxfId="342" priority="270" operator="equal">
      <formula>"Yes"</formula>
    </cfRule>
  </conditionalFormatting>
  <conditionalFormatting sqref="Y17">
    <cfRule type="cellIs" dxfId="341" priority="265" operator="equal">
      <formula>"No"</formula>
    </cfRule>
    <cfRule type="cellIs" dxfId="340" priority="266" operator="equal">
      <formula>"NA"</formula>
    </cfRule>
    <cfRule type="cellIs" dxfId="339" priority="267" operator="equal">
      <formula>"Yes"</formula>
    </cfRule>
  </conditionalFormatting>
  <conditionalFormatting sqref="Y18">
    <cfRule type="cellIs" dxfId="338" priority="262" operator="equal">
      <formula>"No"</formula>
    </cfRule>
    <cfRule type="cellIs" dxfId="337" priority="263" operator="equal">
      <formula>"NA"</formula>
    </cfRule>
    <cfRule type="cellIs" dxfId="336" priority="264" operator="equal">
      <formula>"Yes"</formula>
    </cfRule>
  </conditionalFormatting>
  <conditionalFormatting sqref="Y19">
    <cfRule type="cellIs" dxfId="335" priority="259" operator="equal">
      <formula>"No"</formula>
    </cfRule>
    <cfRule type="cellIs" dxfId="334" priority="260" operator="equal">
      <formula>"NA"</formula>
    </cfRule>
    <cfRule type="cellIs" dxfId="333" priority="261" operator="equal">
      <formula>"Yes"</formula>
    </cfRule>
  </conditionalFormatting>
  <conditionalFormatting sqref="Y20">
    <cfRule type="cellIs" dxfId="332" priority="256" operator="equal">
      <formula>"No"</formula>
    </cfRule>
    <cfRule type="cellIs" dxfId="331" priority="257" operator="equal">
      <formula>"NA"</formula>
    </cfRule>
    <cfRule type="cellIs" dxfId="330" priority="258" operator="equal">
      <formula>"Yes"</formula>
    </cfRule>
  </conditionalFormatting>
  <conditionalFormatting sqref="Y21">
    <cfRule type="cellIs" dxfId="329" priority="253" operator="equal">
      <formula>"No"</formula>
    </cfRule>
    <cfRule type="cellIs" dxfId="328" priority="254" operator="equal">
      <formula>"NA"</formula>
    </cfRule>
    <cfRule type="cellIs" dxfId="327" priority="255" operator="equal">
      <formula>"Yes"</formula>
    </cfRule>
  </conditionalFormatting>
  <conditionalFormatting sqref="Y22">
    <cfRule type="cellIs" dxfId="326" priority="250" operator="equal">
      <formula>"No"</formula>
    </cfRule>
    <cfRule type="cellIs" dxfId="325" priority="251" operator="equal">
      <formula>"NA"</formula>
    </cfRule>
    <cfRule type="cellIs" dxfId="324" priority="252" operator="equal">
      <formula>"Yes"</formula>
    </cfRule>
  </conditionalFormatting>
  <conditionalFormatting sqref="Y23">
    <cfRule type="cellIs" dxfId="323" priority="247" operator="equal">
      <formula>"No"</formula>
    </cfRule>
    <cfRule type="cellIs" dxfId="322" priority="248" operator="equal">
      <formula>"NA"</formula>
    </cfRule>
    <cfRule type="cellIs" dxfId="321" priority="249" operator="equal">
      <formula>"Yes"</formula>
    </cfRule>
  </conditionalFormatting>
  <conditionalFormatting sqref="Y25">
    <cfRule type="cellIs" dxfId="320" priority="244" operator="equal">
      <formula>"No"</formula>
    </cfRule>
    <cfRule type="cellIs" dxfId="319" priority="245" operator="equal">
      <formula>"NA"</formula>
    </cfRule>
    <cfRule type="cellIs" dxfId="318" priority="246" operator="equal">
      <formula>"Yes"</formula>
    </cfRule>
  </conditionalFormatting>
  <conditionalFormatting sqref="Y26">
    <cfRule type="cellIs" dxfId="317" priority="241" operator="equal">
      <formula>"No"</formula>
    </cfRule>
    <cfRule type="cellIs" dxfId="316" priority="242" operator="equal">
      <formula>"NA"</formula>
    </cfRule>
    <cfRule type="cellIs" dxfId="315" priority="243" operator="equal">
      <formula>"Yes"</formula>
    </cfRule>
  </conditionalFormatting>
  <conditionalFormatting sqref="Y27">
    <cfRule type="cellIs" dxfId="314" priority="238" operator="equal">
      <formula>"No"</formula>
    </cfRule>
    <cfRule type="cellIs" dxfId="313" priority="239" operator="equal">
      <formula>"NA"</formula>
    </cfRule>
    <cfRule type="cellIs" dxfId="312" priority="240" operator="equal">
      <formula>"Yes"</formula>
    </cfRule>
  </conditionalFormatting>
  <conditionalFormatting sqref="Y28">
    <cfRule type="cellIs" dxfId="311" priority="235" operator="equal">
      <formula>"No"</formula>
    </cfRule>
    <cfRule type="cellIs" dxfId="310" priority="236" operator="equal">
      <formula>"NA"</formula>
    </cfRule>
    <cfRule type="cellIs" dxfId="309" priority="237" operator="equal">
      <formula>"Yes"</formula>
    </cfRule>
  </conditionalFormatting>
  <conditionalFormatting sqref="Y30">
    <cfRule type="cellIs" dxfId="308" priority="232" operator="equal">
      <formula>"No"</formula>
    </cfRule>
    <cfRule type="cellIs" dxfId="307" priority="233" operator="equal">
      <formula>"NA"</formula>
    </cfRule>
    <cfRule type="cellIs" dxfId="306" priority="234" operator="equal">
      <formula>"Yes"</formula>
    </cfRule>
  </conditionalFormatting>
  <conditionalFormatting sqref="Y31">
    <cfRule type="cellIs" dxfId="305" priority="229" operator="equal">
      <formula>"No"</formula>
    </cfRule>
    <cfRule type="cellIs" dxfId="304" priority="230" operator="equal">
      <formula>"NA"</formula>
    </cfRule>
    <cfRule type="cellIs" dxfId="303" priority="231" operator="equal">
      <formula>"Yes"</formula>
    </cfRule>
  </conditionalFormatting>
  <conditionalFormatting sqref="Y33">
    <cfRule type="cellIs" dxfId="302" priority="226" operator="equal">
      <formula>"No"</formula>
    </cfRule>
    <cfRule type="cellIs" dxfId="301" priority="227" operator="equal">
      <formula>"NA"</formula>
    </cfRule>
    <cfRule type="cellIs" dxfId="300" priority="228" operator="equal">
      <formula>"Yes"</formula>
    </cfRule>
  </conditionalFormatting>
  <conditionalFormatting sqref="Y9">
    <cfRule type="cellIs" dxfId="299" priority="223" operator="equal">
      <formula>"No"</formula>
    </cfRule>
    <cfRule type="cellIs" dxfId="298" priority="224" operator="equal">
      <formula>"NA"</formula>
    </cfRule>
    <cfRule type="cellIs" dxfId="297" priority="225" operator="equal">
      <formula>"Yes"</formula>
    </cfRule>
  </conditionalFormatting>
  <conditionalFormatting sqref="Y11">
    <cfRule type="cellIs" dxfId="296" priority="220" operator="equal">
      <formula>"No"</formula>
    </cfRule>
    <cfRule type="cellIs" dxfId="295" priority="221" operator="equal">
      <formula>"NA"</formula>
    </cfRule>
    <cfRule type="cellIs" dxfId="294" priority="222" operator="equal">
      <formula>"Yes"</formula>
    </cfRule>
  </conditionalFormatting>
  <conditionalFormatting sqref="Y14">
    <cfRule type="cellIs" dxfId="293" priority="217" operator="equal">
      <formula>"No"</formula>
    </cfRule>
    <cfRule type="cellIs" dxfId="292" priority="218" operator="equal">
      <formula>"NA"</formula>
    </cfRule>
    <cfRule type="cellIs" dxfId="291" priority="219" operator="equal">
      <formula>"Yes"</formula>
    </cfRule>
  </conditionalFormatting>
  <conditionalFormatting sqref="Z6:AA6">
    <cfRule type="cellIs" dxfId="290" priority="214" operator="equal">
      <formula>"No"</formula>
    </cfRule>
    <cfRule type="cellIs" dxfId="289" priority="215" operator="equal">
      <formula>"NA"</formula>
    </cfRule>
    <cfRule type="cellIs" dxfId="288" priority="216" operator="equal">
      <formula>"Yes"</formula>
    </cfRule>
  </conditionalFormatting>
  <conditionalFormatting sqref="Z7:AA7">
    <cfRule type="cellIs" dxfId="287" priority="211" operator="equal">
      <formula>"No"</formula>
    </cfRule>
    <cfRule type="cellIs" dxfId="286" priority="212" operator="equal">
      <formula>"NA"</formula>
    </cfRule>
    <cfRule type="cellIs" dxfId="285" priority="213" operator="equal">
      <formula>"Yes"</formula>
    </cfRule>
  </conditionalFormatting>
  <conditionalFormatting sqref="Z10:AA10">
    <cfRule type="cellIs" dxfId="284" priority="208" operator="equal">
      <formula>"No"</formula>
    </cfRule>
    <cfRule type="cellIs" dxfId="283" priority="209" operator="equal">
      <formula>"NA"</formula>
    </cfRule>
    <cfRule type="cellIs" dxfId="282" priority="210" operator="equal">
      <formula>"Yes"</formula>
    </cfRule>
  </conditionalFormatting>
  <conditionalFormatting sqref="Z12:AA12">
    <cfRule type="cellIs" dxfId="281" priority="205" operator="equal">
      <formula>"No"</formula>
    </cfRule>
    <cfRule type="cellIs" dxfId="280" priority="206" operator="equal">
      <formula>"NA"</formula>
    </cfRule>
    <cfRule type="cellIs" dxfId="279" priority="207" operator="equal">
      <formula>"Yes"</formula>
    </cfRule>
  </conditionalFormatting>
  <conditionalFormatting sqref="Z13:AA13">
    <cfRule type="cellIs" dxfId="278" priority="202" operator="equal">
      <formula>"No"</formula>
    </cfRule>
    <cfRule type="cellIs" dxfId="277" priority="203" operator="equal">
      <formula>"NA"</formula>
    </cfRule>
    <cfRule type="cellIs" dxfId="276" priority="204" operator="equal">
      <formula>"Yes"</formula>
    </cfRule>
  </conditionalFormatting>
  <conditionalFormatting sqref="Z15:AA15">
    <cfRule type="cellIs" dxfId="275" priority="199" operator="equal">
      <formula>"No"</formula>
    </cfRule>
    <cfRule type="cellIs" dxfId="274" priority="200" operator="equal">
      <formula>"NA"</formula>
    </cfRule>
    <cfRule type="cellIs" dxfId="273" priority="201" operator="equal">
      <formula>"Yes"</formula>
    </cfRule>
  </conditionalFormatting>
  <conditionalFormatting sqref="Z16:AA16">
    <cfRule type="cellIs" dxfId="272" priority="196" operator="equal">
      <formula>"No"</formula>
    </cfRule>
    <cfRule type="cellIs" dxfId="271" priority="197" operator="equal">
      <formula>"NA"</formula>
    </cfRule>
    <cfRule type="cellIs" dxfId="270" priority="198" operator="equal">
      <formula>"Yes"</formula>
    </cfRule>
  </conditionalFormatting>
  <conditionalFormatting sqref="Z17:AA17">
    <cfRule type="cellIs" dxfId="269" priority="193" operator="equal">
      <formula>"No"</formula>
    </cfRule>
    <cfRule type="cellIs" dxfId="268" priority="194" operator="equal">
      <formula>"NA"</formula>
    </cfRule>
    <cfRule type="cellIs" dxfId="267" priority="195" operator="equal">
      <formula>"Yes"</formula>
    </cfRule>
  </conditionalFormatting>
  <conditionalFormatting sqref="Z18:AA18">
    <cfRule type="cellIs" dxfId="266" priority="190" operator="equal">
      <formula>"No"</formula>
    </cfRule>
    <cfRule type="cellIs" dxfId="265" priority="191" operator="equal">
      <formula>"NA"</formula>
    </cfRule>
    <cfRule type="cellIs" dxfId="264" priority="192" operator="equal">
      <formula>"Yes"</formula>
    </cfRule>
  </conditionalFormatting>
  <conditionalFormatting sqref="Z19:AA19">
    <cfRule type="cellIs" dxfId="263" priority="187" operator="equal">
      <formula>"No"</formula>
    </cfRule>
    <cfRule type="cellIs" dxfId="262" priority="188" operator="equal">
      <formula>"NA"</formula>
    </cfRule>
    <cfRule type="cellIs" dxfId="261" priority="189" operator="equal">
      <formula>"Yes"</formula>
    </cfRule>
  </conditionalFormatting>
  <conditionalFormatting sqref="Z20:AA20">
    <cfRule type="cellIs" dxfId="260" priority="184" operator="equal">
      <formula>"No"</formula>
    </cfRule>
    <cfRule type="cellIs" dxfId="259" priority="185" operator="equal">
      <formula>"NA"</formula>
    </cfRule>
    <cfRule type="cellIs" dxfId="258" priority="186" operator="equal">
      <formula>"Yes"</formula>
    </cfRule>
  </conditionalFormatting>
  <conditionalFormatting sqref="Z21:AA21">
    <cfRule type="cellIs" dxfId="257" priority="181" operator="equal">
      <formula>"No"</formula>
    </cfRule>
    <cfRule type="cellIs" dxfId="256" priority="182" operator="equal">
      <formula>"NA"</formula>
    </cfRule>
    <cfRule type="cellIs" dxfId="255" priority="183" operator="equal">
      <formula>"Yes"</formula>
    </cfRule>
  </conditionalFormatting>
  <conditionalFormatting sqref="Z22:AA22">
    <cfRule type="cellIs" dxfId="254" priority="178" operator="equal">
      <formula>"No"</formula>
    </cfRule>
    <cfRule type="cellIs" dxfId="253" priority="179" operator="equal">
      <formula>"NA"</formula>
    </cfRule>
    <cfRule type="cellIs" dxfId="252" priority="180" operator="equal">
      <formula>"Yes"</formula>
    </cfRule>
  </conditionalFormatting>
  <conditionalFormatting sqref="Z23:AA23">
    <cfRule type="cellIs" dxfId="251" priority="175" operator="equal">
      <formula>"No"</formula>
    </cfRule>
    <cfRule type="cellIs" dxfId="250" priority="176" operator="equal">
      <formula>"NA"</formula>
    </cfRule>
    <cfRule type="cellIs" dxfId="249" priority="177" operator="equal">
      <formula>"Yes"</formula>
    </cfRule>
  </conditionalFormatting>
  <conditionalFormatting sqref="Z25:AA25">
    <cfRule type="cellIs" dxfId="248" priority="172" operator="equal">
      <formula>"No"</formula>
    </cfRule>
    <cfRule type="cellIs" dxfId="247" priority="173" operator="equal">
      <formula>"NA"</formula>
    </cfRule>
    <cfRule type="cellIs" dxfId="246" priority="174" operator="equal">
      <formula>"Yes"</formula>
    </cfRule>
  </conditionalFormatting>
  <conditionalFormatting sqref="Z26:AA26">
    <cfRule type="cellIs" dxfId="245" priority="169" operator="equal">
      <formula>"No"</formula>
    </cfRule>
    <cfRule type="cellIs" dxfId="244" priority="170" operator="equal">
      <formula>"NA"</formula>
    </cfRule>
    <cfRule type="cellIs" dxfId="243" priority="171" operator="equal">
      <formula>"Yes"</formula>
    </cfRule>
  </conditionalFormatting>
  <conditionalFormatting sqref="Z27:AA27">
    <cfRule type="cellIs" dxfId="242" priority="166" operator="equal">
      <formula>"No"</formula>
    </cfRule>
    <cfRule type="cellIs" dxfId="241" priority="167" operator="equal">
      <formula>"NA"</formula>
    </cfRule>
    <cfRule type="cellIs" dxfId="240" priority="168" operator="equal">
      <formula>"Yes"</formula>
    </cfRule>
  </conditionalFormatting>
  <conditionalFormatting sqref="Z28:AA28">
    <cfRule type="cellIs" dxfId="239" priority="163" operator="equal">
      <formula>"No"</formula>
    </cfRule>
    <cfRule type="cellIs" dxfId="238" priority="164" operator="equal">
      <formula>"NA"</formula>
    </cfRule>
    <cfRule type="cellIs" dxfId="237" priority="165" operator="equal">
      <formula>"Yes"</formula>
    </cfRule>
  </conditionalFormatting>
  <conditionalFormatting sqref="Z30:AA30">
    <cfRule type="cellIs" dxfId="236" priority="160" operator="equal">
      <formula>"No"</formula>
    </cfRule>
    <cfRule type="cellIs" dxfId="235" priority="161" operator="equal">
      <formula>"NA"</formula>
    </cfRule>
    <cfRule type="cellIs" dxfId="234" priority="162" operator="equal">
      <formula>"Yes"</formula>
    </cfRule>
  </conditionalFormatting>
  <conditionalFormatting sqref="Z31:AA31">
    <cfRule type="cellIs" dxfId="233" priority="157" operator="equal">
      <formula>"No"</formula>
    </cfRule>
    <cfRule type="cellIs" dxfId="232" priority="158" operator="equal">
      <formula>"NA"</formula>
    </cfRule>
    <cfRule type="cellIs" dxfId="231" priority="159" operator="equal">
      <formula>"Yes"</formula>
    </cfRule>
  </conditionalFormatting>
  <conditionalFormatting sqref="Z33:AA33">
    <cfRule type="cellIs" dxfId="230" priority="154" operator="equal">
      <formula>"No"</formula>
    </cfRule>
    <cfRule type="cellIs" dxfId="229" priority="155" operator="equal">
      <formula>"NA"</formula>
    </cfRule>
    <cfRule type="cellIs" dxfId="228" priority="156" operator="equal">
      <formula>"Yes"</formula>
    </cfRule>
  </conditionalFormatting>
  <conditionalFormatting sqref="Z9:AA9">
    <cfRule type="cellIs" dxfId="227" priority="151" operator="equal">
      <formula>"No"</formula>
    </cfRule>
    <cfRule type="cellIs" dxfId="226" priority="152" operator="equal">
      <formula>"NA"</formula>
    </cfRule>
    <cfRule type="cellIs" dxfId="225" priority="153" operator="equal">
      <formula>"Yes"</formula>
    </cfRule>
  </conditionalFormatting>
  <conditionalFormatting sqref="Z11:AA11">
    <cfRule type="cellIs" dxfId="224" priority="148" operator="equal">
      <formula>"No"</formula>
    </cfRule>
    <cfRule type="cellIs" dxfId="223" priority="149" operator="equal">
      <formula>"NA"</formula>
    </cfRule>
    <cfRule type="cellIs" dxfId="222" priority="150" operator="equal">
      <formula>"Yes"</formula>
    </cfRule>
  </conditionalFormatting>
  <conditionalFormatting sqref="Z14:AA14">
    <cfRule type="cellIs" dxfId="221" priority="145" operator="equal">
      <formula>"No"</formula>
    </cfRule>
    <cfRule type="cellIs" dxfId="220" priority="146" operator="equal">
      <formula>"NA"</formula>
    </cfRule>
    <cfRule type="cellIs" dxfId="219" priority="147" operator="equal">
      <formula>"Yes"</formula>
    </cfRule>
  </conditionalFormatting>
  <conditionalFormatting sqref="AB6">
    <cfRule type="cellIs" dxfId="218" priority="142" operator="equal">
      <formula>"No"</formula>
    </cfRule>
    <cfRule type="cellIs" dxfId="217" priority="143" operator="equal">
      <formula>"NA"</formula>
    </cfRule>
    <cfRule type="cellIs" dxfId="216" priority="144" operator="equal">
      <formula>"Yes"</formula>
    </cfRule>
  </conditionalFormatting>
  <conditionalFormatting sqref="AB7">
    <cfRule type="cellIs" dxfId="215" priority="139" operator="equal">
      <formula>"No"</formula>
    </cfRule>
    <cfRule type="cellIs" dxfId="214" priority="140" operator="equal">
      <formula>"NA"</formula>
    </cfRule>
    <cfRule type="cellIs" dxfId="213" priority="141" operator="equal">
      <formula>"Yes"</formula>
    </cfRule>
  </conditionalFormatting>
  <conditionalFormatting sqref="AB10">
    <cfRule type="cellIs" dxfId="212" priority="136" operator="equal">
      <formula>"No"</formula>
    </cfRule>
    <cfRule type="cellIs" dxfId="211" priority="137" operator="equal">
      <formula>"NA"</formula>
    </cfRule>
    <cfRule type="cellIs" dxfId="210" priority="138" operator="equal">
      <formula>"Yes"</formula>
    </cfRule>
  </conditionalFormatting>
  <conditionalFormatting sqref="AB12">
    <cfRule type="cellIs" dxfId="209" priority="133" operator="equal">
      <formula>"No"</formula>
    </cfRule>
    <cfRule type="cellIs" dxfId="208" priority="134" operator="equal">
      <formula>"NA"</formula>
    </cfRule>
    <cfRule type="cellIs" dxfId="207" priority="135" operator="equal">
      <formula>"Yes"</formula>
    </cfRule>
  </conditionalFormatting>
  <conditionalFormatting sqref="AB13">
    <cfRule type="cellIs" dxfId="206" priority="130" operator="equal">
      <formula>"No"</formula>
    </cfRule>
    <cfRule type="cellIs" dxfId="205" priority="131" operator="equal">
      <formula>"NA"</formula>
    </cfRule>
    <cfRule type="cellIs" dxfId="204" priority="132" operator="equal">
      <formula>"Yes"</formula>
    </cfRule>
  </conditionalFormatting>
  <conditionalFormatting sqref="AB15">
    <cfRule type="cellIs" dxfId="203" priority="127" operator="equal">
      <formula>"No"</formula>
    </cfRule>
    <cfRule type="cellIs" dxfId="202" priority="128" operator="equal">
      <formula>"NA"</formula>
    </cfRule>
    <cfRule type="cellIs" dxfId="201" priority="129" operator="equal">
      <formula>"Yes"</formula>
    </cfRule>
  </conditionalFormatting>
  <conditionalFormatting sqref="AB16">
    <cfRule type="cellIs" dxfId="200" priority="124" operator="equal">
      <formula>"No"</formula>
    </cfRule>
    <cfRule type="cellIs" dxfId="199" priority="125" operator="equal">
      <formula>"NA"</formula>
    </cfRule>
    <cfRule type="cellIs" dxfId="198" priority="126" operator="equal">
      <formula>"Yes"</formula>
    </cfRule>
  </conditionalFormatting>
  <conditionalFormatting sqref="AB17">
    <cfRule type="cellIs" dxfId="197" priority="121" operator="equal">
      <formula>"No"</formula>
    </cfRule>
    <cfRule type="cellIs" dxfId="196" priority="122" operator="equal">
      <formula>"NA"</formula>
    </cfRule>
    <cfRule type="cellIs" dxfId="195" priority="123" operator="equal">
      <formula>"Yes"</formula>
    </cfRule>
  </conditionalFormatting>
  <conditionalFormatting sqref="AB18">
    <cfRule type="cellIs" dxfId="194" priority="118" operator="equal">
      <formula>"No"</formula>
    </cfRule>
    <cfRule type="cellIs" dxfId="193" priority="119" operator="equal">
      <formula>"NA"</formula>
    </cfRule>
    <cfRule type="cellIs" dxfId="192" priority="120" operator="equal">
      <formula>"Yes"</formula>
    </cfRule>
  </conditionalFormatting>
  <conditionalFormatting sqref="AB19">
    <cfRule type="cellIs" dxfId="191" priority="115" operator="equal">
      <formula>"No"</formula>
    </cfRule>
    <cfRule type="cellIs" dxfId="190" priority="116" operator="equal">
      <formula>"NA"</formula>
    </cfRule>
    <cfRule type="cellIs" dxfId="189" priority="117" operator="equal">
      <formula>"Yes"</formula>
    </cfRule>
  </conditionalFormatting>
  <conditionalFormatting sqref="AB20">
    <cfRule type="cellIs" dxfId="188" priority="112" operator="equal">
      <formula>"No"</formula>
    </cfRule>
    <cfRule type="cellIs" dxfId="187" priority="113" operator="equal">
      <formula>"NA"</formula>
    </cfRule>
    <cfRule type="cellIs" dxfId="186" priority="114" operator="equal">
      <formula>"Yes"</formula>
    </cfRule>
  </conditionalFormatting>
  <conditionalFormatting sqref="AB21">
    <cfRule type="cellIs" dxfId="185" priority="109" operator="equal">
      <formula>"No"</formula>
    </cfRule>
    <cfRule type="cellIs" dxfId="184" priority="110" operator="equal">
      <formula>"NA"</formula>
    </cfRule>
    <cfRule type="cellIs" dxfId="183" priority="111" operator="equal">
      <formula>"Yes"</formula>
    </cfRule>
  </conditionalFormatting>
  <conditionalFormatting sqref="AB22">
    <cfRule type="cellIs" dxfId="182" priority="106" operator="equal">
      <formula>"No"</formula>
    </cfRule>
    <cfRule type="cellIs" dxfId="181" priority="107" operator="equal">
      <formula>"NA"</formula>
    </cfRule>
    <cfRule type="cellIs" dxfId="180" priority="108" operator="equal">
      <formula>"Yes"</formula>
    </cfRule>
  </conditionalFormatting>
  <conditionalFormatting sqref="AB23">
    <cfRule type="cellIs" dxfId="179" priority="103" operator="equal">
      <formula>"No"</formula>
    </cfRule>
    <cfRule type="cellIs" dxfId="178" priority="104" operator="equal">
      <formula>"NA"</formula>
    </cfRule>
    <cfRule type="cellIs" dxfId="177" priority="105" operator="equal">
      <formula>"Yes"</formula>
    </cfRule>
  </conditionalFormatting>
  <conditionalFormatting sqref="AB25">
    <cfRule type="cellIs" dxfId="176" priority="100" operator="equal">
      <formula>"No"</formula>
    </cfRule>
    <cfRule type="cellIs" dxfId="175" priority="101" operator="equal">
      <formula>"NA"</formula>
    </cfRule>
    <cfRule type="cellIs" dxfId="174" priority="102" operator="equal">
      <formula>"Yes"</formula>
    </cfRule>
  </conditionalFormatting>
  <conditionalFormatting sqref="AB26">
    <cfRule type="cellIs" dxfId="173" priority="97" operator="equal">
      <formula>"No"</formula>
    </cfRule>
    <cfRule type="cellIs" dxfId="172" priority="98" operator="equal">
      <formula>"NA"</formula>
    </cfRule>
    <cfRule type="cellIs" dxfId="171" priority="99" operator="equal">
      <formula>"Yes"</formula>
    </cfRule>
  </conditionalFormatting>
  <conditionalFormatting sqref="AB27">
    <cfRule type="cellIs" dxfId="170" priority="94" operator="equal">
      <formula>"No"</formula>
    </cfRule>
    <cfRule type="cellIs" dxfId="169" priority="95" operator="equal">
      <formula>"NA"</formula>
    </cfRule>
    <cfRule type="cellIs" dxfId="168" priority="96" operator="equal">
      <formula>"Yes"</formula>
    </cfRule>
  </conditionalFormatting>
  <conditionalFormatting sqref="AB28">
    <cfRule type="cellIs" dxfId="167" priority="91" operator="equal">
      <formula>"No"</formula>
    </cfRule>
    <cfRule type="cellIs" dxfId="166" priority="92" operator="equal">
      <formula>"NA"</formula>
    </cfRule>
    <cfRule type="cellIs" dxfId="165" priority="93" operator="equal">
      <formula>"Yes"</formula>
    </cfRule>
  </conditionalFormatting>
  <conditionalFormatting sqref="AB30">
    <cfRule type="cellIs" dxfId="164" priority="88" operator="equal">
      <formula>"No"</formula>
    </cfRule>
    <cfRule type="cellIs" dxfId="163" priority="89" operator="equal">
      <formula>"NA"</formula>
    </cfRule>
    <cfRule type="cellIs" dxfId="162" priority="90" operator="equal">
      <formula>"Yes"</formula>
    </cfRule>
  </conditionalFormatting>
  <conditionalFormatting sqref="AB31">
    <cfRule type="cellIs" dxfId="161" priority="85" operator="equal">
      <formula>"No"</formula>
    </cfRule>
    <cfRule type="cellIs" dxfId="160" priority="86" operator="equal">
      <formula>"NA"</formula>
    </cfRule>
    <cfRule type="cellIs" dxfId="159" priority="87" operator="equal">
      <formula>"Yes"</formula>
    </cfRule>
  </conditionalFormatting>
  <conditionalFormatting sqref="AB33">
    <cfRule type="cellIs" dxfId="158" priority="82" operator="equal">
      <formula>"No"</formula>
    </cfRule>
    <cfRule type="cellIs" dxfId="157" priority="83" operator="equal">
      <formula>"NA"</formula>
    </cfRule>
    <cfRule type="cellIs" dxfId="156" priority="84" operator="equal">
      <formula>"Yes"</formula>
    </cfRule>
  </conditionalFormatting>
  <conditionalFormatting sqref="AB9">
    <cfRule type="cellIs" dxfId="155" priority="79" operator="equal">
      <formula>"No"</formula>
    </cfRule>
    <cfRule type="cellIs" dxfId="154" priority="80" operator="equal">
      <formula>"NA"</formula>
    </cfRule>
    <cfRule type="cellIs" dxfId="153" priority="81" operator="equal">
      <formula>"Yes"</formula>
    </cfRule>
  </conditionalFormatting>
  <conditionalFormatting sqref="AB11">
    <cfRule type="cellIs" dxfId="152" priority="76" operator="equal">
      <formula>"No"</formula>
    </cfRule>
    <cfRule type="cellIs" dxfId="151" priority="77" operator="equal">
      <formula>"NA"</formula>
    </cfRule>
    <cfRule type="cellIs" dxfId="150" priority="78" operator="equal">
      <formula>"Yes"</formula>
    </cfRule>
  </conditionalFormatting>
  <conditionalFormatting sqref="AB14">
    <cfRule type="cellIs" dxfId="149" priority="73" operator="equal">
      <formula>"No"</formula>
    </cfRule>
    <cfRule type="cellIs" dxfId="148" priority="74" operator="equal">
      <formula>"NA"</formula>
    </cfRule>
    <cfRule type="cellIs" dxfId="147" priority="75" operator="equal">
      <formula>"Yes"</formula>
    </cfRule>
  </conditionalFormatting>
  <conditionalFormatting sqref="AC6">
    <cfRule type="cellIs" dxfId="146" priority="70" operator="equal">
      <formula>"No"</formula>
    </cfRule>
    <cfRule type="cellIs" dxfId="145" priority="71" operator="equal">
      <formula>"NA"</formula>
    </cfRule>
    <cfRule type="cellIs" dxfId="144" priority="72" operator="equal">
      <formula>"Yes"</formula>
    </cfRule>
  </conditionalFormatting>
  <conditionalFormatting sqref="AC7">
    <cfRule type="cellIs" dxfId="143" priority="67" operator="equal">
      <formula>"No"</formula>
    </cfRule>
    <cfRule type="cellIs" dxfId="142" priority="68" operator="equal">
      <formula>"NA"</formula>
    </cfRule>
    <cfRule type="cellIs" dxfId="141" priority="69" operator="equal">
      <formula>"Yes"</formula>
    </cfRule>
  </conditionalFormatting>
  <conditionalFormatting sqref="AC10">
    <cfRule type="cellIs" dxfId="140" priority="64" operator="equal">
      <formula>"No"</formula>
    </cfRule>
    <cfRule type="cellIs" dxfId="139" priority="65" operator="equal">
      <formula>"NA"</formula>
    </cfRule>
    <cfRule type="cellIs" dxfId="138" priority="66" operator="equal">
      <formula>"Yes"</formula>
    </cfRule>
  </conditionalFormatting>
  <conditionalFormatting sqref="AC12">
    <cfRule type="cellIs" dxfId="137" priority="61" operator="equal">
      <formula>"No"</formula>
    </cfRule>
    <cfRule type="cellIs" dxfId="136" priority="62" operator="equal">
      <formula>"NA"</formula>
    </cfRule>
    <cfRule type="cellIs" dxfId="135" priority="63" operator="equal">
      <formula>"Yes"</formula>
    </cfRule>
  </conditionalFormatting>
  <conditionalFormatting sqref="AC13">
    <cfRule type="cellIs" dxfId="134" priority="58" operator="equal">
      <formula>"No"</formula>
    </cfRule>
    <cfRule type="cellIs" dxfId="133" priority="59" operator="equal">
      <formula>"NA"</formula>
    </cfRule>
    <cfRule type="cellIs" dxfId="132" priority="60" operator="equal">
      <formula>"Yes"</formula>
    </cfRule>
  </conditionalFormatting>
  <conditionalFormatting sqref="AC15">
    <cfRule type="cellIs" dxfId="131" priority="55" operator="equal">
      <formula>"No"</formula>
    </cfRule>
    <cfRule type="cellIs" dxfId="130" priority="56" operator="equal">
      <formula>"NA"</formula>
    </cfRule>
    <cfRule type="cellIs" dxfId="129" priority="57" operator="equal">
      <formula>"Yes"</formula>
    </cfRule>
  </conditionalFormatting>
  <conditionalFormatting sqref="AC16">
    <cfRule type="cellIs" dxfId="128" priority="52" operator="equal">
      <formula>"No"</formula>
    </cfRule>
    <cfRule type="cellIs" dxfId="127" priority="53" operator="equal">
      <formula>"NA"</formula>
    </cfRule>
    <cfRule type="cellIs" dxfId="126" priority="54" operator="equal">
      <formula>"Yes"</formula>
    </cfRule>
  </conditionalFormatting>
  <conditionalFormatting sqref="AC17">
    <cfRule type="cellIs" dxfId="125" priority="49" operator="equal">
      <formula>"No"</formula>
    </cfRule>
    <cfRule type="cellIs" dxfId="124" priority="50" operator="equal">
      <formula>"NA"</formula>
    </cfRule>
    <cfRule type="cellIs" dxfId="123" priority="51" operator="equal">
      <formula>"Yes"</formula>
    </cfRule>
  </conditionalFormatting>
  <conditionalFormatting sqref="AC18">
    <cfRule type="cellIs" dxfId="122" priority="46" operator="equal">
      <formula>"No"</formula>
    </cfRule>
    <cfRule type="cellIs" dxfId="121" priority="47" operator="equal">
      <formula>"NA"</formula>
    </cfRule>
    <cfRule type="cellIs" dxfId="120" priority="48" operator="equal">
      <formula>"Yes"</formula>
    </cfRule>
  </conditionalFormatting>
  <conditionalFormatting sqref="AC19">
    <cfRule type="cellIs" dxfId="119" priority="43" operator="equal">
      <formula>"No"</formula>
    </cfRule>
    <cfRule type="cellIs" dxfId="118" priority="44" operator="equal">
      <formula>"NA"</formula>
    </cfRule>
    <cfRule type="cellIs" dxfId="117" priority="45" operator="equal">
      <formula>"Yes"</formula>
    </cfRule>
  </conditionalFormatting>
  <conditionalFormatting sqref="AC20">
    <cfRule type="cellIs" dxfId="116" priority="40" operator="equal">
      <formula>"No"</formula>
    </cfRule>
    <cfRule type="cellIs" dxfId="115" priority="41" operator="equal">
      <formula>"NA"</formula>
    </cfRule>
    <cfRule type="cellIs" dxfId="114" priority="42" operator="equal">
      <formula>"Yes"</formula>
    </cfRule>
  </conditionalFormatting>
  <conditionalFormatting sqref="AC21">
    <cfRule type="cellIs" dxfId="113" priority="37" operator="equal">
      <formula>"No"</formula>
    </cfRule>
    <cfRule type="cellIs" dxfId="112" priority="38" operator="equal">
      <formula>"NA"</formula>
    </cfRule>
    <cfRule type="cellIs" dxfId="111" priority="39" operator="equal">
      <formula>"Yes"</formula>
    </cfRule>
  </conditionalFormatting>
  <conditionalFormatting sqref="AC22">
    <cfRule type="cellIs" dxfId="110" priority="34" operator="equal">
      <formula>"No"</formula>
    </cfRule>
    <cfRule type="cellIs" dxfId="109" priority="35" operator="equal">
      <formula>"NA"</formula>
    </cfRule>
    <cfRule type="cellIs" dxfId="108" priority="36" operator="equal">
      <formula>"Yes"</formula>
    </cfRule>
  </conditionalFormatting>
  <conditionalFormatting sqref="AC23">
    <cfRule type="cellIs" dxfId="107" priority="31" operator="equal">
      <formula>"No"</formula>
    </cfRule>
    <cfRule type="cellIs" dxfId="106" priority="32" operator="equal">
      <formula>"NA"</formula>
    </cfRule>
    <cfRule type="cellIs" dxfId="105" priority="33" operator="equal">
      <formula>"Yes"</formula>
    </cfRule>
  </conditionalFormatting>
  <conditionalFormatting sqref="AC25">
    <cfRule type="cellIs" dxfId="104" priority="28" operator="equal">
      <formula>"No"</formula>
    </cfRule>
    <cfRule type="cellIs" dxfId="103" priority="29" operator="equal">
      <formula>"NA"</formula>
    </cfRule>
    <cfRule type="cellIs" dxfId="102" priority="30" operator="equal">
      <formula>"Yes"</formula>
    </cfRule>
  </conditionalFormatting>
  <conditionalFormatting sqref="AC26">
    <cfRule type="cellIs" dxfId="101" priority="25" operator="equal">
      <formula>"No"</formula>
    </cfRule>
    <cfRule type="cellIs" dxfId="100" priority="26" operator="equal">
      <formula>"NA"</formula>
    </cfRule>
    <cfRule type="cellIs" dxfId="99" priority="27" operator="equal">
      <formula>"Yes"</formula>
    </cfRule>
  </conditionalFormatting>
  <conditionalFormatting sqref="AC27">
    <cfRule type="cellIs" dxfId="98" priority="22" operator="equal">
      <formula>"No"</formula>
    </cfRule>
    <cfRule type="cellIs" dxfId="97" priority="23" operator="equal">
      <formula>"NA"</formula>
    </cfRule>
    <cfRule type="cellIs" dxfId="96" priority="24" operator="equal">
      <formula>"Yes"</formula>
    </cfRule>
  </conditionalFormatting>
  <conditionalFormatting sqref="AC28">
    <cfRule type="cellIs" dxfId="95" priority="19" operator="equal">
      <formula>"No"</formula>
    </cfRule>
    <cfRule type="cellIs" dxfId="94" priority="20" operator="equal">
      <formula>"NA"</formula>
    </cfRule>
    <cfRule type="cellIs" dxfId="93" priority="21" operator="equal">
      <formula>"Yes"</formula>
    </cfRule>
  </conditionalFormatting>
  <conditionalFormatting sqref="AC30">
    <cfRule type="cellIs" dxfId="92" priority="16" operator="equal">
      <formula>"No"</formula>
    </cfRule>
    <cfRule type="cellIs" dxfId="91" priority="17" operator="equal">
      <formula>"NA"</formula>
    </cfRule>
    <cfRule type="cellIs" dxfId="90" priority="18" operator="equal">
      <formula>"Yes"</formula>
    </cfRule>
  </conditionalFormatting>
  <conditionalFormatting sqref="AC31">
    <cfRule type="cellIs" dxfId="89" priority="13" operator="equal">
      <formula>"No"</formula>
    </cfRule>
    <cfRule type="cellIs" dxfId="88" priority="14" operator="equal">
      <formula>"NA"</formula>
    </cfRule>
    <cfRule type="cellIs" dxfId="87" priority="15" operator="equal">
      <formula>"Yes"</formula>
    </cfRule>
  </conditionalFormatting>
  <conditionalFormatting sqref="AC33">
    <cfRule type="cellIs" dxfId="86" priority="10" operator="equal">
      <formula>"No"</formula>
    </cfRule>
    <cfRule type="cellIs" dxfId="85" priority="11" operator="equal">
      <formula>"NA"</formula>
    </cfRule>
    <cfRule type="cellIs" dxfId="84" priority="12" operator="equal">
      <formula>"Yes"</formula>
    </cfRule>
  </conditionalFormatting>
  <conditionalFormatting sqref="AC9">
    <cfRule type="cellIs" dxfId="83" priority="7" operator="equal">
      <formula>"No"</formula>
    </cfRule>
    <cfRule type="cellIs" dxfId="82" priority="8" operator="equal">
      <formula>"NA"</formula>
    </cfRule>
    <cfRule type="cellIs" dxfId="81" priority="9" operator="equal">
      <formula>"Yes"</formula>
    </cfRule>
  </conditionalFormatting>
  <conditionalFormatting sqref="AC11">
    <cfRule type="cellIs" dxfId="80" priority="4" operator="equal">
      <formula>"No"</formula>
    </cfRule>
    <cfRule type="cellIs" dxfId="79" priority="5" operator="equal">
      <formula>"NA"</formula>
    </cfRule>
    <cfRule type="cellIs" dxfId="78" priority="6" operator="equal">
      <formula>"Yes"</formula>
    </cfRule>
  </conditionalFormatting>
  <conditionalFormatting sqref="AC14">
    <cfRule type="cellIs" dxfId="77" priority="1" operator="equal">
      <formula>"No"</formula>
    </cfRule>
    <cfRule type="cellIs" dxfId="76" priority="2" operator="equal">
      <formula>"NA"</formula>
    </cfRule>
    <cfRule type="cellIs" dxfId="75" priority="3" operator="equal">
      <formula>"Yes"</formula>
    </cfRule>
  </conditionalFormatting>
  <dataValidations count="1">
    <dataValidation type="list" allowBlank="1" showInputMessage="1" showErrorMessage="1" sqref="C30:AC31 C9:AC23 C33:AC33 C25:AC28 C6:AC7" xr:uid="{E3F832A8-CD8B-462D-8ABC-551D54F60A3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11A15-D085-4828-88FB-EF5DF4BE1AE7}">
  <sheetPr codeName="Feuil27">
    <tabColor theme="7"/>
    <outlinePr summaryBelow="0" summaryRight="0"/>
    <pageSetUpPr fitToPage="1"/>
  </sheetPr>
  <dimension ref="A2:G38"/>
  <sheetViews>
    <sheetView zoomScale="130" zoomScaleNormal="130" workbookViewId="0">
      <pane xSplit="1" ySplit="3" topLeftCell="B4" activePane="bottomRight" state="frozen"/>
      <selection pane="topRight" activeCell="B1" sqref="B1"/>
      <selection pane="bottomLeft" activeCell="A4" sqref="A4"/>
      <selection pane="bottomRight" activeCell="D1" sqref="D1:D1048576"/>
    </sheetView>
  </sheetViews>
  <sheetFormatPr defaultColWidth="9.28515625" defaultRowHeight="12.75" outlineLevelCol="1"/>
  <cols>
    <col min="1" max="1" width="12.5703125" style="155" bestFit="1" customWidth="1"/>
    <col min="2" max="2" width="61" style="154" customWidth="1"/>
    <col min="3" max="3" width="6.28515625" style="153" bestFit="1" customWidth="1"/>
    <col min="4" max="4" width="33.7109375" style="153" customWidth="1"/>
    <col min="5" max="6" width="30.7109375" style="153" customWidth="1" outlineLevel="1"/>
    <col min="7" max="16384" width="9.28515625" style="153"/>
  </cols>
  <sheetData>
    <row r="2" spans="1:7" ht="69.75">
      <c r="A2" s="178" t="s">
        <v>214</v>
      </c>
      <c r="B2" s="179" t="s">
        <v>446</v>
      </c>
      <c r="C2" s="180" t="s">
        <v>440</v>
      </c>
      <c r="D2" s="181" t="s">
        <v>223</v>
      </c>
      <c r="E2" s="354" t="s">
        <v>186</v>
      </c>
      <c r="F2" s="355"/>
    </row>
    <row r="3" spans="1:7" ht="18.75">
      <c r="A3" s="182"/>
      <c r="B3" s="183"/>
      <c r="C3" s="184">
        <f>COUNTIF(Review.ratings,"Yes") / ( COUNTA(Review.QuestionIds) - COUNTIF(Review.ratings,"NA"))</f>
        <v>0.79166666666666663</v>
      </c>
      <c r="D3" s="213"/>
      <c r="E3" s="214" t="s">
        <v>220</v>
      </c>
      <c r="F3" s="214" t="s">
        <v>221</v>
      </c>
      <c r="G3" s="215"/>
    </row>
    <row r="4" spans="1:7" ht="36">
      <c r="A4" s="185"/>
      <c r="B4" s="186" t="s">
        <v>225</v>
      </c>
      <c r="C4" s="187"/>
      <c r="D4" s="187"/>
      <c r="E4" s="187"/>
      <c r="F4" s="188"/>
      <c r="G4" s="92"/>
    </row>
    <row r="5" spans="1:7" ht="18.75">
      <c r="A5" s="156"/>
      <c r="B5" s="164" t="s">
        <v>447</v>
      </c>
      <c r="C5" s="157"/>
      <c r="D5" s="157"/>
      <c r="E5" s="214"/>
      <c r="F5" s="214"/>
    </row>
    <row r="6" spans="1:7" ht="25.5">
      <c r="A6" s="159" t="s">
        <v>448</v>
      </c>
      <c r="B6" s="167" t="s">
        <v>449</v>
      </c>
      <c r="C6" s="216" t="s">
        <v>213</v>
      </c>
      <c r="D6" s="217"/>
      <c r="E6" s="158"/>
      <c r="F6" s="158"/>
    </row>
    <row r="7" spans="1:7" ht="38.25">
      <c r="A7" s="159" t="s">
        <v>450</v>
      </c>
      <c r="B7" s="167" t="s">
        <v>451</v>
      </c>
      <c r="C7" s="216" t="s">
        <v>213</v>
      </c>
      <c r="D7" s="217"/>
      <c r="E7" s="218" t="s">
        <v>452</v>
      </c>
      <c r="F7" s="158"/>
    </row>
    <row r="8" spans="1:7" ht="25.5">
      <c r="A8" s="159" t="s">
        <v>453</v>
      </c>
      <c r="B8" s="167" t="s">
        <v>454</v>
      </c>
      <c r="C8" s="216" t="s">
        <v>213</v>
      </c>
      <c r="D8" s="217"/>
      <c r="E8" s="158"/>
      <c r="F8" s="158"/>
    </row>
    <row r="9" spans="1:7" ht="25.5">
      <c r="A9" s="159" t="s">
        <v>455</v>
      </c>
      <c r="B9" s="167" t="s">
        <v>456</v>
      </c>
      <c r="C9" s="216" t="s">
        <v>213</v>
      </c>
      <c r="D9" s="217"/>
      <c r="E9" s="158"/>
      <c r="F9" s="158"/>
    </row>
    <row r="10" spans="1:7" ht="38.25">
      <c r="A10" s="159" t="s">
        <v>457</v>
      </c>
      <c r="B10" s="167" t="s">
        <v>458</v>
      </c>
      <c r="C10" s="216" t="s">
        <v>213</v>
      </c>
      <c r="D10" s="217"/>
      <c r="E10" s="158"/>
      <c r="F10" s="158"/>
    </row>
    <row r="11" spans="1:7" ht="18.75" hidden="1">
      <c r="A11" s="156"/>
      <c r="B11" s="164" t="s">
        <v>459</v>
      </c>
      <c r="C11" s="157"/>
      <c r="D11" s="157"/>
      <c r="E11" s="214"/>
      <c r="F11" s="214"/>
    </row>
    <row r="12" spans="1:7" ht="63.75" hidden="1">
      <c r="A12" s="159" t="s">
        <v>460</v>
      </c>
      <c r="B12" s="167" t="s">
        <v>461</v>
      </c>
      <c r="C12" s="216"/>
      <c r="D12" s="217"/>
      <c r="E12" s="158"/>
      <c r="F12" s="158"/>
    </row>
    <row r="13" spans="1:7" ht="63.75" hidden="1">
      <c r="A13" s="159" t="s">
        <v>462</v>
      </c>
      <c r="B13" s="167" t="s">
        <v>463</v>
      </c>
      <c r="C13" s="216"/>
      <c r="D13" s="217"/>
      <c r="E13" s="158"/>
      <c r="F13" s="158"/>
    </row>
    <row r="14" spans="1:7" ht="51" hidden="1">
      <c r="A14" s="159" t="s">
        <v>464</v>
      </c>
      <c r="B14" s="167" t="s">
        <v>465</v>
      </c>
      <c r="C14" s="216"/>
      <c r="D14" s="217"/>
      <c r="E14" s="158"/>
      <c r="F14" s="158"/>
    </row>
    <row r="15" spans="1:7" ht="25.5" hidden="1">
      <c r="A15" s="159" t="s">
        <v>466</v>
      </c>
      <c r="B15" s="167" t="s">
        <v>467</v>
      </c>
      <c r="C15" s="216"/>
      <c r="D15" s="217"/>
      <c r="E15" s="158"/>
      <c r="F15" s="158"/>
    </row>
    <row r="16" spans="1:7" ht="18.75">
      <c r="A16" s="156"/>
      <c r="B16" s="164" t="s">
        <v>468</v>
      </c>
      <c r="C16" s="157"/>
      <c r="D16" s="157"/>
      <c r="E16" s="214"/>
      <c r="F16" s="214"/>
    </row>
    <row r="17" spans="1:6" ht="38.25">
      <c r="A17" s="159" t="s">
        <v>469</v>
      </c>
      <c r="B17" s="167" t="s">
        <v>470</v>
      </c>
      <c r="C17" s="216" t="s">
        <v>213</v>
      </c>
      <c r="D17" s="217"/>
      <c r="E17" s="158"/>
      <c r="F17" s="158"/>
    </row>
    <row r="18" spans="1:6" ht="76.5">
      <c r="A18" s="159" t="s">
        <v>471</v>
      </c>
      <c r="B18" s="167" t="s">
        <v>472</v>
      </c>
      <c r="C18" s="216" t="s">
        <v>23</v>
      </c>
      <c r="D18" s="217" t="s">
        <v>473</v>
      </c>
      <c r="E18" s="158"/>
      <c r="F18" s="158"/>
    </row>
    <row r="19" spans="1:6" ht="18.75">
      <c r="A19" s="156"/>
      <c r="B19" s="164" t="s">
        <v>262</v>
      </c>
      <c r="C19" s="157"/>
      <c r="D19" s="157"/>
      <c r="E19" s="214"/>
      <c r="F19" s="214"/>
    </row>
    <row r="20" spans="1:6" ht="51">
      <c r="A20" s="159" t="s">
        <v>474</v>
      </c>
      <c r="B20" s="167" t="s">
        <v>475</v>
      </c>
      <c r="C20" s="216" t="s">
        <v>213</v>
      </c>
      <c r="D20" s="217"/>
      <c r="E20" s="158"/>
      <c r="F20" s="158"/>
    </row>
    <row r="21" spans="1:6" ht="51">
      <c r="A21" s="159" t="s">
        <v>476</v>
      </c>
      <c r="B21" s="167" t="s">
        <v>477</v>
      </c>
      <c r="C21" s="216" t="s">
        <v>213</v>
      </c>
      <c r="D21" s="217"/>
      <c r="E21" s="158"/>
      <c r="F21" s="158"/>
    </row>
    <row r="22" spans="1:6" ht="51">
      <c r="A22" s="159" t="s">
        <v>478</v>
      </c>
      <c r="B22" s="167" t="s">
        <v>479</v>
      </c>
      <c r="C22" s="216" t="s">
        <v>213</v>
      </c>
      <c r="D22" s="217"/>
      <c r="E22" s="158"/>
      <c r="F22" s="158"/>
    </row>
    <row r="23" spans="1:6" ht="25.5">
      <c r="A23" s="159" t="s">
        <v>480</v>
      </c>
      <c r="B23" s="167" t="s">
        <v>481</v>
      </c>
      <c r="C23" s="216" t="s">
        <v>213</v>
      </c>
      <c r="D23" s="217"/>
      <c r="E23" s="158"/>
      <c r="F23" s="158"/>
    </row>
    <row r="24" spans="1:6" ht="51">
      <c r="A24" s="159" t="s">
        <v>482</v>
      </c>
      <c r="B24" s="167" t="s">
        <v>483</v>
      </c>
      <c r="C24" s="216" t="s">
        <v>213</v>
      </c>
      <c r="D24" s="217"/>
      <c r="E24" s="158"/>
      <c r="F24" s="158"/>
    </row>
    <row r="25" spans="1:6" ht="25.5">
      <c r="A25" s="159" t="s">
        <v>484</v>
      </c>
      <c r="B25" s="167" t="s">
        <v>485</v>
      </c>
      <c r="C25" s="216" t="s">
        <v>213</v>
      </c>
      <c r="D25" s="217"/>
      <c r="E25" s="158"/>
      <c r="F25" s="158"/>
    </row>
    <row r="26" spans="1:6" ht="18.75">
      <c r="A26" s="156"/>
      <c r="B26" s="164" t="s">
        <v>217</v>
      </c>
      <c r="C26" s="157"/>
      <c r="D26" s="157"/>
      <c r="E26" s="214"/>
      <c r="F26" s="214"/>
    </row>
    <row r="27" spans="1:6" ht="38.25">
      <c r="A27" s="159" t="s">
        <v>312</v>
      </c>
      <c r="B27" s="167" t="s">
        <v>207</v>
      </c>
      <c r="C27" s="216" t="s">
        <v>213</v>
      </c>
      <c r="D27" s="217"/>
      <c r="E27" s="158"/>
      <c r="F27" s="158"/>
    </row>
    <row r="28" spans="1:6" ht="25.5">
      <c r="A28" s="159" t="s">
        <v>313</v>
      </c>
      <c r="B28" s="167" t="s">
        <v>208</v>
      </c>
      <c r="C28" s="216" t="s">
        <v>213</v>
      </c>
      <c r="D28" s="217"/>
      <c r="E28" s="158"/>
      <c r="F28" s="158"/>
    </row>
    <row r="29" spans="1:6" ht="38.25">
      <c r="A29" s="159" t="s">
        <v>314</v>
      </c>
      <c r="B29" s="167" t="s">
        <v>209</v>
      </c>
      <c r="C29" s="216" t="s">
        <v>213</v>
      </c>
      <c r="D29" s="217"/>
      <c r="E29" s="158"/>
      <c r="F29" s="158"/>
    </row>
    <row r="30" spans="1:6" ht="38.25">
      <c r="A30" s="159" t="s">
        <v>315</v>
      </c>
      <c r="B30" s="167" t="s">
        <v>210</v>
      </c>
      <c r="C30" s="216" t="s">
        <v>213</v>
      </c>
      <c r="D30" s="217"/>
      <c r="E30" s="158"/>
      <c r="F30" s="158"/>
    </row>
    <row r="31" spans="1:6" ht="18.75">
      <c r="A31" s="156"/>
      <c r="B31" s="164" t="s">
        <v>218</v>
      </c>
      <c r="C31" s="157"/>
      <c r="D31" s="157"/>
      <c r="E31" s="214"/>
      <c r="F31" s="214"/>
    </row>
    <row r="32" spans="1:6" ht="38.25">
      <c r="A32" s="159" t="s">
        <v>316</v>
      </c>
      <c r="B32" s="167" t="s">
        <v>211</v>
      </c>
      <c r="C32" s="216" t="s">
        <v>213</v>
      </c>
      <c r="D32" s="217"/>
      <c r="E32" s="158"/>
      <c r="F32" s="158"/>
    </row>
    <row r="33" spans="1:6" ht="38.25">
      <c r="A33" s="159" t="s">
        <v>317</v>
      </c>
      <c r="B33" s="167" t="s">
        <v>212</v>
      </c>
      <c r="C33" s="216" t="s">
        <v>213</v>
      </c>
      <c r="D33" s="217"/>
      <c r="E33" s="158"/>
      <c r="F33" s="158"/>
    </row>
    <row r="34" spans="1:6" ht="18.75">
      <c r="A34" s="156"/>
      <c r="B34" s="164" t="s">
        <v>205</v>
      </c>
      <c r="C34" s="157"/>
      <c r="D34" s="157"/>
      <c r="E34" s="214"/>
      <c r="F34" s="214"/>
    </row>
    <row r="35" spans="1:6" ht="51">
      <c r="A35" s="159" t="s">
        <v>318</v>
      </c>
      <c r="B35" s="167" t="s">
        <v>206</v>
      </c>
      <c r="C35" s="216" t="s">
        <v>213</v>
      </c>
      <c r="D35" s="217"/>
      <c r="E35" s="158"/>
      <c r="F35" s="158"/>
    </row>
    <row r="36" spans="1:6" ht="18">
      <c r="A36" s="219"/>
      <c r="B36" s="220" t="s">
        <v>222</v>
      </c>
      <c r="C36" s="219"/>
      <c r="D36" s="219"/>
      <c r="E36" s="219"/>
      <c r="F36" s="219"/>
    </row>
    <row r="37" spans="1:6">
      <c r="A37" s="159"/>
      <c r="B37" s="167"/>
    </row>
    <row r="38" spans="1:6" ht="15">
      <c r="A38" s="198"/>
      <c r="B38" s="199" t="s">
        <v>336</v>
      </c>
      <c r="C38" s="198"/>
      <c r="D38" s="198"/>
      <c r="E38" s="198"/>
      <c r="F38" s="198"/>
    </row>
  </sheetData>
  <mergeCells count="1">
    <mergeCell ref="E2:F2"/>
  </mergeCells>
  <conditionalFormatting sqref="C6">
    <cfRule type="cellIs" dxfId="74" priority="70" operator="equal">
      <formula>"No"</formula>
    </cfRule>
    <cfRule type="cellIs" dxfId="73" priority="71" operator="equal">
      <formula>"NA"</formula>
    </cfRule>
    <cfRule type="cellIs" dxfId="72" priority="72" operator="equal">
      <formula>"Yes"</formula>
    </cfRule>
  </conditionalFormatting>
  <conditionalFormatting sqref="C7">
    <cfRule type="cellIs" dxfId="71" priority="67" operator="equal">
      <formula>"No"</formula>
    </cfRule>
    <cfRule type="cellIs" dxfId="70" priority="68" operator="equal">
      <formula>"NA"</formula>
    </cfRule>
    <cfRule type="cellIs" dxfId="69" priority="69" operator="equal">
      <formula>"Yes"</formula>
    </cfRule>
  </conditionalFormatting>
  <conditionalFormatting sqref="C8">
    <cfRule type="cellIs" dxfId="68" priority="64" operator="equal">
      <formula>"No"</formula>
    </cfRule>
    <cfRule type="cellIs" dxfId="67" priority="65" operator="equal">
      <formula>"NA"</formula>
    </cfRule>
    <cfRule type="cellIs" dxfId="66" priority="66" operator="equal">
      <formula>"Yes"</formula>
    </cfRule>
  </conditionalFormatting>
  <conditionalFormatting sqref="C9">
    <cfRule type="cellIs" dxfId="65" priority="61" operator="equal">
      <formula>"No"</formula>
    </cfRule>
    <cfRule type="cellIs" dxfId="64" priority="62" operator="equal">
      <formula>"NA"</formula>
    </cfRule>
    <cfRule type="cellIs" dxfId="63" priority="63" operator="equal">
      <formula>"Yes"</formula>
    </cfRule>
  </conditionalFormatting>
  <conditionalFormatting sqref="C10">
    <cfRule type="cellIs" dxfId="62" priority="58" operator="equal">
      <formula>"No"</formula>
    </cfRule>
    <cfRule type="cellIs" dxfId="61" priority="59" operator="equal">
      <formula>"NA"</formula>
    </cfRule>
    <cfRule type="cellIs" dxfId="60" priority="60" operator="equal">
      <formula>"Yes"</formula>
    </cfRule>
  </conditionalFormatting>
  <conditionalFormatting sqref="C12">
    <cfRule type="cellIs" dxfId="59" priority="55" operator="equal">
      <formula>"No"</formula>
    </cfRule>
    <cfRule type="cellIs" dxfId="58" priority="56" operator="equal">
      <formula>"NA"</formula>
    </cfRule>
    <cfRule type="cellIs" dxfId="57" priority="57" operator="equal">
      <formula>"Yes"</formula>
    </cfRule>
  </conditionalFormatting>
  <conditionalFormatting sqref="C13">
    <cfRule type="cellIs" dxfId="56" priority="52" operator="equal">
      <formula>"No"</formula>
    </cfRule>
    <cfRule type="cellIs" dxfId="55" priority="53" operator="equal">
      <formula>"NA"</formula>
    </cfRule>
    <cfRule type="cellIs" dxfId="54" priority="54" operator="equal">
      <formula>"Yes"</formula>
    </cfRule>
  </conditionalFormatting>
  <conditionalFormatting sqref="C14">
    <cfRule type="cellIs" dxfId="53" priority="49" operator="equal">
      <formula>"No"</formula>
    </cfRule>
    <cfRule type="cellIs" dxfId="52" priority="50" operator="equal">
      <formula>"NA"</formula>
    </cfRule>
    <cfRule type="cellIs" dxfId="51" priority="51" operator="equal">
      <formula>"Yes"</formula>
    </cfRule>
  </conditionalFormatting>
  <conditionalFormatting sqref="C15">
    <cfRule type="cellIs" dxfId="50" priority="46" operator="equal">
      <formula>"No"</formula>
    </cfRule>
    <cfRule type="cellIs" dxfId="49" priority="47" operator="equal">
      <formula>"NA"</formula>
    </cfRule>
    <cfRule type="cellIs" dxfId="48" priority="48" operator="equal">
      <formula>"Yes"</formula>
    </cfRule>
  </conditionalFormatting>
  <conditionalFormatting sqref="C17">
    <cfRule type="cellIs" dxfId="47" priority="43" operator="equal">
      <formula>"No"</formula>
    </cfRule>
    <cfRule type="cellIs" dxfId="46" priority="44" operator="equal">
      <formula>"NA"</formula>
    </cfRule>
    <cfRule type="cellIs" dxfId="45" priority="45" operator="equal">
      <formula>"Yes"</formula>
    </cfRule>
  </conditionalFormatting>
  <conditionalFormatting sqref="C18">
    <cfRule type="cellIs" dxfId="44" priority="40" operator="equal">
      <formula>"No"</formula>
    </cfRule>
    <cfRule type="cellIs" dxfId="43" priority="41" operator="equal">
      <formula>"NA"</formula>
    </cfRule>
    <cfRule type="cellIs" dxfId="42" priority="42" operator="equal">
      <formula>"Yes"</formula>
    </cfRule>
  </conditionalFormatting>
  <conditionalFormatting sqref="C20">
    <cfRule type="cellIs" dxfId="41" priority="37" operator="equal">
      <formula>"No"</formula>
    </cfRule>
    <cfRule type="cellIs" dxfId="40" priority="38" operator="equal">
      <formula>"NA"</formula>
    </cfRule>
    <cfRule type="cellIs" dxfId="39" priority="39" operator="equal">
      <formula>"Yes"</formula>
    </cfRule>
  </conditionalFormatting>
  <conditionalFormatting sqref="C21">
    <cfRule type="cellIs" dxfId="38" priority="34" operator="equal">
      <formula>"No"</formula>
    </cfRule>
    <cfRule type="cellIs" dxfId="37" priority="35" operator="equal">
      <formula>"NA"</formula>
    </cfRule>
    <cfRule type="cellIs" dxfId="36" priority="36" operator="equal">
      <formula>"Yes"</formula>
    </cfRule>
  </conditionalFormatting>
  <conditionalFormatting sqref="C22">
    <cfRule type="cellIs" dxfId="35" priority="31" operator="equal">
      <formula>"No"</formula>
    </cfRule>
    <cfRule type="cellIs" dxfId="34" priority="32" operator="equal">
      <formula>"NA"</formula>
    </cfRule>
    <cfRule type="cellIs" dxfId="33" priority="33" operator="equal">
      <formula>"Yes"</formula>
    </cfRule>
  </conditionalFormatting>
  <conditionalFormatting sqref="C23">
    <cfRule type="cellIs" dxfId="32" priority="28" operator="equal">
      <formula>"No"</formula>
    </cfRule>
    <cfRule type="cellIs" dxfId="31" priority="29" operator="equal">
      <formula>"NA"</formula>
    </cfRule>
    <cfRule type="cellIs" dxfId="30" priority="30" operator="equal">
      <formula>"Yes"</formula>
    </cfRule>
  </conditionalFormatting>
  <conditionalFormatting sqref="C24">
    <cfRule type="cellIs" dxfId="29" priority="25" operator="equal">
      <formula>"No"</formula>
    </cfRule>
    <cfRule type="cellIs" dxfId="28" priority="26" operator="equal">
      <formula>"NA"</formula>
    </cfRule>
    <cfRule type="cellIs" dxfId="27" priority="27" operator="equal">
      <formula>"Yes"</formula>
    </cfRule>
  </conditionalFormatting>
  <conditionalFormatting sqref="C25">
    <cfRule type="cellIs" dxfId="26" priority="22" operator="equal">
      <formula>"No"</formula>
    </cfRule>
    <cfRule type="cellIs" dxfId="25" priority="23" operator="equal">
      <formula>"NA"</formula>
    </cfRule>
    <cfRule type="cellIs" dxfId="24" priority="24" operator="equal">
      <formula>"Yes"</formula>
    </cfRule>
  </conditionalFormatting>
  <conditionalFormatting sqref="C27">
    <cfRule type="cellIs" dxfId="23" priority="19" operator="equal">
      <formula>"No"</formula>
    </cfRule>
    <cfRule type="cellIs" dxfId="22" priority="20" operator="equal">
      <formula>"NA"</formula>
    </cfRule>
    <cfRule type="cellIs" dxfId="21" priority="21" operator="equal">
      <formula>"Yes"</formula>
    </cfRule>
  </conditionalFormatting>
  <conditionalFormatting sqref="C28">
    <cfRule type="cellIs" dxfId="20" priority="16" operator="equal">
      <formula>"No"</formula>
    </cfRule>
    <cfRule type="cellIs" dxfId="19" priority="17" operator="equal">
      <formula>"NA"</formula>
    </cfRule>
    <cfRule type="cellIs" dxfId="18" priority="18" operator="equal">
      <formula>"Yes"</formula>
    </cfRule>
  </conditionalFormatting>
  <conditionalFormatting sqref="C29">
    <cfRule type="cellIs" dxfId="17" priority="13" operator="equal">
      <formula>"No"</formula>
    </cfRule>
    <cfRule type="cellIs" dxfId="16" priority="14" operator="equal">
      <formula>"NA"</formula>
    </cfRule>
    <cfRule type="cellIs" dxfId="15" priority="15" operator="equal">
      <formula>"Yes"</formula>
    </cfRule>
  </conditionalFormatting>
  <conditionalFormatting sqref="C30">
    <cfRule type="cellIs" dxfId="14" priority="10" operator="equal">
      <formula>"No"</formula>
    </cfRule>
    <cfRule type="cellIs" dxfId="13" priority="11" operator="equal">
      <formula>"NA"</formula>
    </cfRule>
    <cfRule type="cellIs" dxfId="12" priority="12" operator="equal">
      <formula>"Yes"</formula>
    </cfRule>
  </conditionalFormatting>
  <conditionalFormatting sqref="C32">
    <cfRule type="cellIs" dxfId="11" priority="7" operator="equal">
      <formula>"No"</formula>
    </cfRule>
    <cfRule type="cellIs" dxfId="10" priority="8" operator="equal">
      <formula>"NA"</formula>
    </cfRule>
    <cfRule type="cellIs" dxfId="9" priority="9" operator="equal">
      <formula>"Yes"</formula>
    </cfRule>
  </conditionalFormatting>
  <conditionalFormatting sqref="C33">
    <cfRule type="cellIs" dxfId="8" priority="4" operator="equal">
      <formula>"No"</formula>
    </cfRule>
    <cfRule type="cellIs" dxfId="7" priority="5" operator="equal">
      <formula>"NA"</formula>
    </cfRule>
    <cfRule type="cellIs" dxfId="6" priority="6" operator="equal">
      <formula>"Yes"</formula>
    </cfRule>
  </conditionalFormatting>
  <conditionalFormatting sqref="C35">
    <cfRule type="cellIs" dxfId="5" priority="1" operator="equal">
      <formula>"No"</formula>
    </cfRule>
    <cfRule type="cellIs" dxfId="4" priority="2" operator="equal">
      <formula>"NA"</formula>
    </cfRule>
    <cfRule type="cellIs" dxfId="3" priority="3" operator="equal">
      <formula>"Yes"</formula>
    </cfRule>
  </conditionalFormatting>
  <dataValidations count="1">
    <dataValidation type="list" allowBlank="1" showInputMessage="1" showErrorMessage="1" sqref="C6:C10 C12:C15 C17:C18 C32:C33 C20:C25 C27:C30 C35" xr:uid="{161017E7-CDE5-4636-956A-5288DFF45BC2}">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4.xml><?xml version="1.0" encoding="utf-8"?>
<LongProperties xmlns="http://schemas.microsoft.com/office/2006/metadata/longProperties"/>
</file>

<file path=customXml/item5.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3.xml><?xml version="1.0" encoding="utf-8"?>
<ds:datastoreItem xmlns:ds="http://schemas.openxmlformats.org/officeDocument/2006/customXml" ds:itemID="{E2965021-A51C-4AA2-B873-44DEF42FF54E}">
  <ds:schemaRefs>
    <ds:schemaRef ds:uri="http://schemas.microsoft.com/office/2006/documentManagement/types"/>
    <ds:schemaRef ds:uri="http://purl.org/dc/elements/1.1/"/>
    <ds:schemaRef ds:uri="http://schemas.microsoft.com/office/2006/metadata/properties"/>
    <ds:schemaRef ds:uri="34c9bd9a-5a71-426a-ab93-6fe2caeb5e9e"/>
    <ds:schemaRef ds:uri="http://schemas.microsoft.com/sharepoint/v3"/>
    <ds:schemaRef ds:uri="http://purl.org/dc/terms/"/>
    <ds:schemaRef ds:uri="46fc4dd3-b727-4544-ab7c-0ad95d465289"/>
    <ds:schemaRef ds:uri="http://schemas.microsoft.com/office/infopath/2007/PartnerControl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5.xml><?xml version="1.0" encoding="utf-8"?>
<ds:datastoreItem xmlns:ds="http://schemas.openxmlformats.org/officeDocument/2006/customXml" ds:itemID="{3F123B83-34C8-4520-8355-734DFF82361D}">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80</vt:i4>
      </vt:variant>
    </vt:vector>
  </HeadingPairs>
  <TitlesOfParts>
    <vt:vector size="89" baseType="lpstr">
      <vt:lpstr>FrontPage</vt:lpstr>
      <vt:lpstr>General info</vt:lpstr>
      <vt:lpstr>Help</vt:lpstr>
      <vt:lpstr>Metrics</vt:lpstr>
      <vt:lpstr>Overview</vt:lpstr>
      <vt:lpstr>Review</vt:lpstr>
      <vt:lpstr>SDD checklist</vt:lpstr>
      <vt:lpstr>CODE checklist</vt:lpstr>
      <vt:lpstr>UTSR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'CODE checklist'!Review.QuestionIds</vt:lpstr>
      <vt:lpstr>'SDD checklist'!Review.QuestionIds</vt:lpstr>
      <vt:lpstr>'UTSR checklist'!Review.QuestionIds</vt:lpstr>
      <vt:lpstr>'CODE checklist'!Review.ratings</vt:lpstr>
      <vt:lpstr>'SDD checklist'!Review.ratings</vt:lpstr>
      <vt:lpstr>'UTSR checklist'!Review.ratings</vt:lpstr>
      <vt:lpstr>ReviewerStatus</vt:lpstr>
      <vt:lpstr>'CODE checklist'!Sheet.ReviewTempate</vt:lpstr>
      <vt:lpstr>'SDD checklist'!Sheet.ReviewTempate</vt:lpstr>
      <vt:lpstr>'UTSR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'CODE checklist'!Template.Name</vt:lpstr>
      <vt:lpstr>'SDD checklist'!Template.Name</vt:lpstr>
      <vt:lpstr>'UTSR checklist'!Template.Name</vt:lpstr>
      <vt:lpstr>TemplateColumn</vt:lpstr>
      <vt:lpstr>TemplateRef</vt:lpstr>
      <vt:lpstr>Text_AllChecklists</vt:lpstr>
      <vt:lpstr>'CODE checklist'!Title.Checklist.Actions.Description</vt:lpstr>
      <vt:lpstr>'SDD checklist'!Title.Checklist.Actions.Description</vt:lpstr>
      <vt:lpstr>'UTSR checklist'!Title.Checklist.Actions.Description</vt:lpstr>
      <vt:lpstr>'CODE checklist'!Title.Checklist.Guide.HowToRate</vt:lpstr>
      <vt:lpstr>'SDD checklist'!Title.Checklist.Guide.HowToRate</vt:lpstr>
      <vt:lpstr>'UTSR checklist'!Title.Checklist.Guide.HowToRate</vt:lpstr>
      <vt:lpstr>'CODE checklist'!Title.Checklist.Guide.WhatToCheck</vt:lpstr>
      <vt:lpstr>'SDD checklist'!Title.Checklist.Guide.WhatToCheck</vt:lpstr>
      <vt:lpstr>'UTSR checklist'!Title.Checklist.Guide.WhatToCheck</vt:lpstr>
      <vt:lpstr>'CODE checklist'!Title.Checklist.ManualQuestion</vt:lpstr>
      <vt:lpstr>'SDD checklist'!Title.Checklist.ManualQuestion</vt:lpstr>
      <vt:lpstr>'UTSR checklist'!Title.Checklist.ManualQuestion</vt:lpstr>
      <vt:lpstr>'CODE checklist'!Title.Checklist.NoteForAuditor</vt:lpstr>
      <vt:lpstr>'SDD checklist'!Title.Checklist.NoteForAuditor</vt:lpstr>
      <vt:lpstr>'UTSR checklist'!Title.Checklist.NoteForAuditor</vt:lpstr>
      <vt:lpstr>'CODE checklist'!Title.Checklist.Question</vt:lpstr>
      <vt:lpstr>'SDD checklist'!Title.Checklist.Question</vt:lpstr>
      <vt:lpstr>'UTSR checklist'!Title.Checklist.Question</vt:lpstr>
      <vt:lpstr>'CODE checklist'!Title.Checklist.QuestionReference</vt:lpstr>
      <vt:lpstr>'SDD checklist'!Title.Checklist.QuestionReference</vt:lpstr>
      <vt:lpstr>'UTSR checklist'!Title.Checklist.QuestionReference</vt:lpstr>
      <vt:lpstr>'CODE checklist'!Title.Checklist.Rate</vt:lpstr>
      <vt:lpstr>'SDD checklist'!Title.Checklist.Rate</vt:lpstr>
      <vt:lpstr>'UTSR checklist'!Title.Checklist.Rate</vt:lpstr>
      <vt:lpstr>'CODE checklist'!TitleRow</vt:lpstr>
      <vt:lpstr>'SDD checklist'!TitleRow</vt:lpstr>
      <vt:lpstr>'UTSR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creator>Microsoft Corporation</dc:creator>
  <cp:lastModifiedBy>Lucian Ardeleanu</cp:lastModifiedBy>
  <dcterms:created xsi:type="dcterms:W3CDTF">1996-10-21T11:03:58Z</dcterms:created>
  <dcterms:modified xsi:type="dcterms:W3CDTF">2023-07-31T11:49:18Z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y fmtid="{D5CDD505-2E9C-101B-9397-08002B2CF9AE}" pid="47" name="MXTitle">
    <vt:lpwstr>SAD - Peer Review Workbook</vt:lpwstr>
  </property>
</Properties>
</file>