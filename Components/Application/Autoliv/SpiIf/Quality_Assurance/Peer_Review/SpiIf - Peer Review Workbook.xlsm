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_Project\Components\Application\Autoliv\SpiIf\Quality_Assurance\Peer_Review\"/>
    </mc:Choice>
  </mc:AlternateContent>
  <xr:revisionPtr revIDLastSave="0" documentId="13_ncr:1_{ADF3AD0D-E702-465E-B977-01EE6DE70C49}" xr6:coauthVersionLast="47" xr6:coauthVersionMax="47" xr10:uidLastSave="{00000000-0000-0000-0000-000000000000}"/>
  <bookViews>
    <workbookView xWindow="-120" yWindow="-120" windowWidth="29040" windowHeight="15840" tabRatio="750" activeTab="6"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8" r:id="rId9"/>
  </sheets>
  <functionGroups builtInGroupCount="19"/>
  <externalReferences>
    <externalReference r:id="rId10"/>
    <externalReference r:id="rId11"/>
    <externalReference r:id="rId12"/>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adasdasdasdas">#REF!</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QuestionIds" localSheetId="8">'UTSR checklist'!$A$5:$A$38</definedName>
    <definedName name="Review.ratings" localSheetId="7">'CODE checklist'!$C$5:$C$36</definedName>
    <definedName name="Review.ratings" localSheetId="6">'SDD checklist'!$E$5:$E$35</definedName>
    <definedName name="Review.ratings" localSheetId="8">'UTSR checklist'!$C$5:$C$38</definedName>
    <definedName name="ReviewerStatus">Review!$M$4</definedName>
    <definedName name="ReviewFilename">'[1]Generate checklists'!$Q$23</definedName>
    <definedName name="sdadasda">#REF!</definedName>
    <definedName name="Sheet.ReviewTempate" localSheetId="7">'CODE checklist'!$A$1</definedName>
    <definedName name="Sheet.ReviewTempate" localSheetId="6">'SDD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Question" localSheetId="7">'CODE checklist'!#REF!</definedName>
    <definedName name="Template.Question" localSheetId="6">'SDD checklist'!#REF!</definedName>
    <definedName name="Template.Section" localSheetId="7">'CODE checklist'!#REF!</definedName>
    <definedName name="Template.Section" localSheetId="6">'SDD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Responsible" localSheetId="7">[1]!Table1[[#Headers],[Actions
(description)]]</definedName>
    <definedName name="Title.Checklist.Actions.Responsible" localSheetId="6">[1]!Table1[[#Headers],[Actions
(description)]]</definedName>
    <definedName name="Title.Checklist.Guide.HowToRate" localSheetId="7">'CODE checklist'!$R$3</definedName>
    <definedName name="Title.Checklist.Guide.HowToRate" localSheetId="6">'SDD checklist'!$H$3</definedName>
    <definedName name="Title.Checklist.Guide.WhatToCheck" localSheetId="7">'CODE checklist'!$Q$3</definedName>
    <definedName name="Title.Checklist.Guide.WhatToCheck" localSheetId="6">'SDD checklist'!$G$3</definedName>
    <definedName name="Title.Checklist.ManualQuestion" localSheetId="7">'CODE checklist'!$B$34</definedName>
    <definedName name="Title.Checklist.ManualQuestion" localSheetId="6">'SDD checklist'!$B$33</definedName>
    <definedName name="Title.Checklist.NoteForAuditor" localSheetId="7">'CODE checklist'!$Q$2</definedName>
    <definedName name="Title.Checklist.NoteForAuditor" localSheetId="6">'SDD checklist'!$G$2</definedName>
    <definedName name="Title.Checklist.Question" localSheetId="7">'CODE checklist'!$B$4</definedName>
    <definedName name="Title.Checklist.Question" localSheetId="6">'SDD checklist'!$B$4</definedName>
    <definedName name="Title.Checklist.QuestionReference" localSheetId="7">'CODE checklist'!$A$2</definedName>
    <definedName name="Title.Checklist.QuestionReference" localSheetId="6">'SDD checklist'!$A$2</definedName>
    <definedName name="Title.Checklist.Rate" localSheetId="7">'CODE checklist'!$C$2</definedName>
    <definedName name="Title.Checklist.Rate" localSheetId="6">'SDD checklist'!$E$2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245" l="1"/>
  <c r="E22" i="42"/>
  <c r="F3" i="248"/>
  <c r="C3" i="245"/>
  <c r="E21" i="42"/>
  <c r="O3" i="246"/>
  <c r="E20" i="42"/>
  <c r="E19" i="42"/>
  <c r="N3" i="246"/>
  <c r="E3" i="248"/>
  <c r="E18" i="42"/>
  <c r="D3" i="248"/>
  <c r="E16" i="42"/>
  <c r="E17" i="42"/>
  <c r="E15" i="42"/>
  <c r="F10" i="38"/>
  <c r="E7" i="38"/>
  <c r="AB7" i="38"/>
  <c r="AB5" i="38"/>
  <c r="A7" i="38"/>
  <c r="W7" i="38"/>
  <c r="W5" i="38"/>
  <c r="A5" i="38"/>
  <c r="M3" i="246" l="1"/>
  <c r="L3" i="246"/>
  <c r="E14" i="42"/>
  <c r="E13" i="42"/>
  <c r="G27" i="16"/>
  <c r="F27" i="16"/>
  <c r="E27" i="16"/>
  <c r="E44" i="16"/>
  <c r="E37" i="16"/>
  <c r="E12" i="42"/>
  <c r="K3" i="246"/>
  <c r="E11" i="42"/>
  <c r="J3" i="246"/>
  <c r="I3" i="246"/>
  <c r="E10" i="42"/>
  <c r="H3" i="246"/>
  <c r="G3" i="246"/>
  <c r="E9" i="42"/>
  <c r="E8" i="42"/>
  <c r="E3" i="246"/>
  <c r="F3" i="246"/>
  <c r="E7" i="42"/>
  <c r="E6" i="42"/>
  <c r="D3" i="246"/>
  <c r="C3" i="248"/>
  <c r="E5" i="42"/>
  <c r="E4" i="42"/>
  <c r="C3" i="246"/>
  <c r="E3" i="245"/>
  <c r="E3" i="42" l="1"/>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AEM_PROCESS_1.24.00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B278DB4-DCDF-446C-9597-89702E94C897}">
      <text>
        <r>
          <rPr>
            <b/>
            <sz val="9"/>
            <color indexed="81"/>
            <rFont val="Tahoma"/>
            <family val="2"/>
          </rPr>
          <t>Overview :</t>
        </r>
        <r>
          <rPr>
            <sz val="9"/>
            <color indexed="81"/>
            <rFont val="Tahoma"/>
            <family val="2"/>
          </rPr>
          <t xml:space="preserve">
Pourcentage of "yes" answers out of applicable answers</t>
        </r>
      </text>
    </comment>
    <comment ref="D3" authorId="0" shapeId="0" xr:uid="{83504C28-A665-48B6-8624-573C2AC0E49E}">
      <text>
        <r>
          <rPr>
            <b/>
            <sz val="9"/>
            <color indexed="81"/>
            <rFont val="Tahoma"/>
            <family val="2"/>
          </rPr>
          <t>Overview :</t>
        </r>
        <r>
          <rPr>
            <sz val="9"/>
            <color indexed="81"/>
            <rFont val="Tahoma"/>
            <family val="2"/>
          </rPr>
          <t xml:space="preserve">
Pourcentage of "yes" answers out of applicable answers</t>
        </r>
      </text>
    </comment>
    <comment ref="E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9D014456-56CF-4F9D-AB0B-CDABCB13AEC3}">
      <text>
        <r>
          <rPr>
            <b/>
            <sz val="9"/>
            <color indexed="81"/>
            <rFont val="Tahoma"/>
            <family val="2"/>
          </rPr>
          <t>This cell must be blank</t>
        </r>
      </text>
    </comment>
    <comment ref="D35" authorId="0" shapeId="0" xr:uid="{9C9DE35A-344C-4E72-8343-02C3FBEF5DA3}">
      <text>
        <r>
          <rPr>
            <b/>
            <sz val="9"/>
            <color indexed="81"/>
            <rFont val="Tahoma"/>
            <family val="2"/>
          </rPr>
          <t>This cell must be blank</t>
        </r>
      </text>
    </comment>
    <comment ref="E35" authorId="0" shapeId="0" xr:uid="{B34B2126-EEAB-44D0-9AF5-7CB793A8E787}">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E3" authorId="0" shapeId="0" xr:uid="{C2249803-4BBD-4C80-A7E3-99486A1F98CF}">
      <text>
        <r>
          <rPr>
            <b/>
            <sz val="9"/>
            <color indexed="81"/>
            <rFont val="Tahoma"/>
            <family val="2"/>
          </rPr>
          <t>Overview :</t>
        </r>
        <r>
          <rPr>
            <sz val="9"/>
            <color indexed="81"/>
            <rFont val="Tahoma"/>
            <family val="2"/>
          </rPr>
          <t xml:space="preserve">
Pourcentage of "yes" answers out of applicable answers</t>
        </r>
      </text>
    </comment>
    <comment ref="K3" authorId="0" shapeId="0" xr:uid="{E5031468-4676-4EEC-AE5E-DFEB70B21163}">
      <text>
        <r>
          <rPr>
            <b/>
            <sz val="9"/>
            <color indexed="81"/>
            <rFont val="Tahoma"/>
            <family val="2"/>
          </rPr>
          <t>Overview :</t>
        </r>
        <r>
          <rPr>
            <sz val="9"/>
            <color indexed="81"/>
            <rFont val="Tahoma"/>
            <family val="2"/>
          </rPr>
          <t xml:space="preserve">
Pourcentage of "yes" answers out of applicable answers</t>
        </r>
      </text>
    </comment>
    <comment ref="L3" authorId="0" shapeId="0" xr:uid="{CE645E94-879A-41D9-9A3B-F8C52EE66030}">
      <text>
        <r>
          <rPr>
            <b/>
            <sz val="9"/>
            <color indexed="81"/>
            <rFont val="Tahoma"/>
            <family val="2"/>
          </rPr>
          <t>Overview :</t>
        </r>
        <r>
          <rPr>
            <sz val="9"/>
            <color indexed="81"/>
            <rFont val="Tahoma"/>
            <family val="2"/>
          </rPr>
          <t xml:space="preserve">
Pourcentage of "yes" answers out of applicable answers</t>
        </r>
      </text>
    </comment>
    <comment ref="N3" authorId="0" shapeId="0" xr:uid="{CB023969-D5B7-4A9E-ABDA-2B3BAC6A1B76}">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E36" authorId="0" shapeId="0" xr:uid="{7B3B7244-8AAE-46A5-B3A6-A082B09CBA8D}">
      <text>
        <r>
          <rPr>
            <b/>
            <sz val="9"/>
            <color indexed="81"/>
            <rFont val="Tahoma"/>
            <family val="2"/>
          </rPr>
          <t>This cell must be blank</t>
        </r>
      </text>
    </comment>
    <comment ref="K36" authorId="0" shapeId="0" xr:uid="{CF8DED34-21AB-45F1-9423-5C0C32871C91}">
      <text>
        <r>
          <rPr>
            <b/>
            <sz val="9"/>
            <color indexed="81"/>
            <rFont val="Tahoma"/>
            <family val="2"/>
          </rPr>
          <t>This cell must be blank</t>
        </r>
      </text>
    </comment>
    <comment ref="L36" authorId="0" shapeId="0" xr:uid="{83EE3865-CDF2-493C-9183-1FB01517A2CD}">
      <text>
        <r>
          <rPr>
            <b/>
            <sz val="9"/>
            <color indexed="81"/>
            <rFont val="Tahoma"/>
            <family val="2"/>
          </rPr>
          <t>This cell must be blank</t>
        </r>
      </text>
    </comment>
    <comment ref="N36" authorId="0" shapeId="0" xr:uid="{168375FA-B902-44EC-A3F6-15909A71734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0E4FCDA-A4F9-4427-BE55-6849DEBD6DA3}">
      <text>
        <r>
          <rPr>
            <b/>
            <sz val="9"/>
            <color indexed="81"/>
            <rFont val="Tahoma"/>
            <family val="2"/>
          </rPr>
          <t>Overview :</t>
        </r>
        <r>
          <rPr>
            <sz val="9"/>
            <color indexed="81"/>
            <rFont val="Tahoma"/>
            <family val="2"/>
          </rPr>
          <t xml:space="preserve">
Pourcentage of "yes" answers out of applicable answers</t>
        </r>
      </text>
    </comment>
    <comment ref="D3" authorId="0" shapeId="0" xr:uid="{27EC040D-7D42-45E3-94AE-C24707B64AAB}">
      <text>
        <r>
          <rPr>
            <b/>
            <sz val="9"/>
            <color indexed="81"/>
            <rFont val="Tahoma"/>
            <family val="2"/>
          </rPr>
          <t>Overview :</t>
        </r>
        <r>
          <rPr>
            <sz val="9"/>
            <color indexed="81"/>
            <rFont val="Tahoma"/>
            <family val="2"/>
          </rPr>
          <t xml:space="preserve">
Pourcentage of "yes" answers out of applicable answers</t>
        </r>
      </text>
    </comment>
    <comment ref="E3" authorId="0" shapeId="0" xr:uid="{F3197CB8-5B73-40B0-BBB4-44788D3B1394}">
      <text>
        <r>
          <rPr>
            <b/>
            <sz val="9"/>
            <color indexed="81"/>
            <rFont val="Tahoma"/>
            <family val="2"/>
          </rPr>
          <t>Overview :</t>
        </r>
        <r>
          <rPr>
            <sz val="9"/>
            <color indexed="81"/>
            <rFont val="Tahoma"/>
            <family val="2"/>
          </rPr>
          <t xml:space="preserve">
Pourcentage of "yes" answers out of applicable answers</t>
        </r>
      </text>
    </comment>
    <comment ref="F3" authorId="0" shapeId="0" xr:uid="{D938C01A-E551-4366-9E99-0A50CB39C775}">
      <text>
        <r>
          <rPr>
            <b/>
            <sz val="9"/>
            <color indexed="81"/>
            <rFont val="Tahoma"/>
            <family val="2"/>
          </rPr>
          <t>Overview :</t>
        </r>
        <r>
          <rPr>
            <sz val="9"/>
            <color indexed="81"/>
            <rFont val="Tahoma"/>
            <family val="2"/>
          </rPr>
          <t xml:space="preserve">
Pourcentage of "yes" answers out of applicable answers</t>
        </r>
      </text>
    </comment>
    <comment ref="B36" authorId="0" shapeId="0" xr:uid="{28FBDE86-8149-4413-8831-751D9B273F87}">
      <text>
        <r>
          <rPr>
            <b/>
            <sz val="9"/>
            <color indexed="81"/>
            <rFont val="Tahoma"/>
            <family val="2"/>
          </rPr>
          <t xml:space="preserve">Everything above this row is generated by Question Library (TEM486 - Master questions library.xlsm) </t>
        </r>
      </text>
    </comment>
    <comment ref="A38" authorId="0" shapeId="0" xr:uid="{00C79A5B-A30D-4A41-85A3-2057A7128F72}">
      <text>
        <r>
          <rPr>
            <b/>
            <sz val="9"/>
            <color indexed="81"/>
            <rFont val="Tahoma"/>
            <family val="2"/>
          </rPr>
          <t>This cell must be blank</t>
        </r>
      </text>
    </comment>
    <comment ref="C38" authorId="0" shapeId="0" xr:uid="{5139FFBC-17B6-42E3-802B-69E590B4CC81}">
      <text>
        <r>
          <rPr>
            <b/>
            <sz val="9"/>
            <color indexed="81"/>
            <rFont val="Tahoma"/>
            <family val="2"/>
          </rPr>
          <t>This cell must be blank</t>
        </r>
      </text>
    </comment>
    <comment ref="D38" authorId="0" shapeId="0" xr:uid="{1B6790D7-9824-48A2-8C79-9D6F7519A26B}">
      <text>
        <r>
          <rPr>
            <b/>
            <sz val="9"/>
            <color indexed="81"/>
            <rFont val="Tahoma"/>
            <family val="2"/>
          </rPr>
          <t>This cell must be blank</t>
        </r>
      </text>
    </comment>
    <comment ref="E38" authorId="0" shapeId="0" xr:uid="{397EBDE9-583A-4EFA-A0E9-EBBD74334C38}">
      <text>
        <r>
          <rPr>
            <b/>
            <sz val="9"/>
            <color indexed="81"/>
            <rFont val="Tahoma"/>
            <family val="2"/>
          </rPr>
          <t>This cell must be blank</t>
        </r>
      </text>
    </comment>
    <comment ref="F38" authorId="0" shapeId="0" xr:uid="{8A1EDFFD-5DD0-4904-B567-ED758DFA20EA}">
      <text>
        <r>
          <rPr>
            <b/>
            <sz val="9"/>
            <color indexed="81"/>
            <rFont val="Tahoma"/>
            <family val="2"/>
          </rPr>
          <t>This cell must be blank</t>
        </r>
      </text>
    </comment>
  </commentList>
</comments>
</file>

<file path=xl/sharedStrings.xml><?xml version="1.0" encoding="utf-8"?>
<sst xmlns="http://schemas.openxmlformats.org/spreadsheetml/2006/main" count="1444" uniqueCount="509">
  <si>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</si>
  <si>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</si>
  <si>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</si>
  <si>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</si>
  <si>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</si>
  <si>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</si>
  <si>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</si>
  <si>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</si>
  <si>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</si>
  <si>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</si>
  <si>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</si>
  <si>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</si>
  <si>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</si>
  <si>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</si>
  <si>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</si>
  <si>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</si>
  <si>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</si>
  <si>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</si>
  <si>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</si>
  <si>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</si>
  <si>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</si>
  <si>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</si>
  <si>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</si>
  <si>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</si>
  <si>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</si>
  <si>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</si>
  <si>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</si>
  <si>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</si>
  <si>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</si>
  <si>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</si>
  <si>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</si>
  <si>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</si>
  <si>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</si>
  <si>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</si>
  <si>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</si>
  <si>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</si>
  <si>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</si>
  <si>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</si>
  <si>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</si>
  <si>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</si>
  <si>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</si>
  <si>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</si>
  <si>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</si>
  <si>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</si>
  <si>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</si>
  <si>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</si>
  <si>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</si>
  <si>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</si>
  <si>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</si>
  <si>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</si>
  <si>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</si>
  <si>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</si>
  <si>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</si>
  <si>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</si>
  <si>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</si>
  <si>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</si>
  <si>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</si>
  <si>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</si>
  <si>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</si>
  <si>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</si>
  <si>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</si>
  <si>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</si>
  <si>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</si>
  <si>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</si>
  <si>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</si>
  <si>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</si>
  <si>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</si>
  <si>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</si>
  <si>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</si>
  <si>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</si>
  <si>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</si>
  <si>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</si>
  <si>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</si>
  <si>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</si>
  <si>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</si>
  <si>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</si>
  <si>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</si>
  <si>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</si>
  <si>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</si>
  <si>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</si>
  <si>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</si>
  <si>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</si>
  <si>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</si>
  <si>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</si>
  <si>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</si>
  <si>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</si>
  <si>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</si>
  <si>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</si>
  <si>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</si>
  <si>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</si>
  <si>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</si>
  <si>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</si>
  <si>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</si>
  <si>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</si>
  <si>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</si>
  <si>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</si>
  <si>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</si>
  <si>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</si>
  <si>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</si>
  <si>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</si>
  <si>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</si>
  <si>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</si>
  <si>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</si>
  <si>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</si>
  <si>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</si>
  <si>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</si>
  <si>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</si>
  <si>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</si>
  <si>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</si>
  <si>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</si>
  <si>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</si>
  <si>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</si>
  <si>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</si>
  <si>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</si>
  <si>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</si>
  <si>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</si>
  <si>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</si>
  <si>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</si>
  <si>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</si>
  <si>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</si>
  <si>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</si>
  <si>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</si>
  <si>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</si>
  <si>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</si>
  <si>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</si>
  <si>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</si>
  <si>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</si>
  <si>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</si>
  <si>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</si>
  <si>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</si>
  <si>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</si>
  <si>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</si>
  <si>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</si>
  <si>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</si>
  <si>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</si>
  <si>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</si>
  <si>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</si>
  <si>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</si>
  <si>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</si>
  <si>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</si>
  <si>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</si>
  <si>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</si>
  <si>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</si>
  <si>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</si>
  <si>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</si>
  <si>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</si>
  <si>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</si>
  <si>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</si>
  <si>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</si>
  <si>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</si>
  <si>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</si>
  <si>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</si>
  <si>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</si>
  <si>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</si>
  <si>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</si>
  <si>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</si>
  <si>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</si>
  <si>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</si>
  <si>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</si>
  <si>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</si>
  <si>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</si>
  <si>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</si>
  <si>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</si>
  <si>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</si>
  <si>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</si>
  <si>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</si>
  <si>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</si>
  <si>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</si>
  <si>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</si>
  <si>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</si>
  <si>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</si>
  <si>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</si>
  <si>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</si>
  <si>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</si>
  <si>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</si>
  <si>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</si>
  <si>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</si>
  <si>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</si>
  <si>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</si>
  <si>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</si>
  <si>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</si>
  <si>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</si>
  <si>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</si>
  <si>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</si>
  <si>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</si>
  <si>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</si>
  <si>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</si>
  <si>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</si>
  <si>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</si>
  <si>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</si>
  <si>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</si>
  <si>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</si>
  <si>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</si>
  <si>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</si>
  <si>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</si>
  <si>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</si>
  <si>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</si>
  <si>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</si>
  <si>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</si>
  <si>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</si>
  <si>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</si>
  <si>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</si>
  <si>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</si>
  <si>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</si>
  <si>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</si>
  <si>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</si>
  <si>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</si>
  <si>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</si>
  <si>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</si>
  <si>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</si>
  <si>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</si>
  <si>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</si>
  <si>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</si>
  <si>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</si>
  <si>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</si>
  <si>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</si>
  <si>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</si>
  <si>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</si>
  <si>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</si>
  <si>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</si>
  <si>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</si>
  <si>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</si>
  <si>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</si>
  <si>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</si>
  <si>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</si>
  <si>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</si>
  <si>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</si>
  <si>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</si>
  <si>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</si>
  <si>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</si>
  <si>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</si>
  <si>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</si>
  <si>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</si>
  <si>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</si>
  <si>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</si>
  <si>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</si>
  <si>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</si>
  <si>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</si>
  <si>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</si>
  <si>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</si>
  <si>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</si>
  <si>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</si>
  <si>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</si>
  <si>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</si>
  <si>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</si>
  <si>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</si>
  <si>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</si>
  <si>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</si>
  <si>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</si>
  <si>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</si>
  <si>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</si>
  <si>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</si>
  <si>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</si>
  <si>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</si>
  <si>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</si>
  <si>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</si>
  <si>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</si>
  <si>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</si>
  <si>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</si>
  <si>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</si>
  <si>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</si>
  <si>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</si>
  <si>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</si>
  <si>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</si>
  <si>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</si>
  <si>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</si>
  <si>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</si>
  <si>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</si>
  <si>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</si>
  <si>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</si>
  <si>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</si>
  <si>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</si>
  <si>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</si>
  <si>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</si>
  <si>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</si>
  <si>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</si>
  <si>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</si>
  <si>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</si>
  <si>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</si>
  <si>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</si>
  <si>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</si>
  <si>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</si>
  <si>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</si>
  <si>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</si>
  <si>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</si>
  <si>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</si>
  <si>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</si>
  <si>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</si>
  <si>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</si>
  <si>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</si>
  <si>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</si>
  <si>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</si>
  <si>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</si>
  <si>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</si>
  <si>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</si>
  <si>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</si>
  <si>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</si>
  <si>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</si>
  <si>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</si>
  <si>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</si>
  <si>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</si>
  <si>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</si>
  <si>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</si>
  <si>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</si>
  <si>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</si>
  <si>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</si>
  <si>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</si>
  <si>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</si>
  <si>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</si>
  <si>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</si>
  <si>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</si>
  <si>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</si>
  <si>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</si>
  <si>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</si>
  <si>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</si>
  <si>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</si>
  <si>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</si>
  <si>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</si>
  <si>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</si>
  <si>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</si>
  <si>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</si>
  <si>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</si>
  <si>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</si>
  <si>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</si>
  <si>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</si>
  <si>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</si>
  <si>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</si>
  <si>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</si>
  <si>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</si>
  <si>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</si>
  <si>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</si>
  <si>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</si>
  <si>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</si>
  <si>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</si>
  <si>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</si>
  <si>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</si>
  <si>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</si>
  <si>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</si>
  <si>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</si>
  <si>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</si>
  <si>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</si>
  <si>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</si>
  <si>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</si>
  <si>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</si>
  <si>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</si>
  <si>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</si>
  <si>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</si>
  <si>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</si>
  <si>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</si>
  <si>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</si>
  <si>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</si>
  <si>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</si>
  <si>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</si>
  <si>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</si>
  <si>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</si>
  <si>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</si>
  <si>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</si>
  <si>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VCH</t>
  </si>
  <si>
    <t>GBR</t>
  </si>
  <si>
    <t>Vlad Chioveanu</t>
  </si>
  <si>
    <t>23.09.2022</t>
  </si>
  <si>
    <t>NA: There is no loop in .h file</t>
  </si>
  <si>
    <t>Unused defines shall be deleted</t>
  </si>
  <si>
    <t>SpiIf.h</t>
  </si>
  <si>
    <t>Template version not according to the process</t>
  </si>
  <si>
    <t>Header description not according to funtionality</t>
  </si>
  <si>
    <t>SpiIf.c</t>
  </si>
  <si>
    <t>No additional questions</t>
  </si>
  <si>
    <t>CAL</t>
  </si>
  <si>
    <t>SpiIf - Peer Review Workbook.xlsm</t>
  </si>
  <si>
    <t>The file template has been updated.</t>
  </si>
  <si>
    <t>David Puscasu</t>
  </si>
  <si>
    <t>The header description has been updated.</t>
  </si>
  <si>
    <t>The unused defines has been removed.</t>
  </si>
  <si>
    <t>1.9.2.3</t>
  </si>
  <si>
    <t>1.13.2.3</t>
  </si>
  <si>
    <t>PRWB</t>
  </si>
  <si>
    <t>eCS_Platform.SpiIf.tmb</t>
  </si>
  <si>
    <t>28.11.2022</t>
  </si>
  <si>
    <t>VPO</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</si>
  <si>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</si>
  <si>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</si>
  <si>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</si>
  <si>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</si>
  <si>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</si>
  <si>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</si>
  <si>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</si>
  <si>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</si>
  <si>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</si>
  <si>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</si>
  <si>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</si>
  <si>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</si>
  <si>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</si>
  <si>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</si>
  <si>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</si>
  <si>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NA: no possible logs provided by TESSY</t>
  </si>
  <si>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</si>
  <si>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</si>
  <si>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</si>
  <si>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</si>
  <si>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</si>
  <si>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</si>
  <si>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</si>
  <si>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</si>
  <si>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</si>
  <si>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</si>
  <si>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</si>
  <si>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</si>
  <si>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</si>
  <si>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NA: No HIL present</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</si>
  <si>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</si>
  <si>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</si>
  <si>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</si>
  <si>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</si>
  <si>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</si>
  <si>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</si>
  <si>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</si>
  <si>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</si>
  <si>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</si>
  <si>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</si>
  <si>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No findings</t>
  </si>
  <si>
    <t>Cornel Albu</t>
  </si>
  <si>
    <t>SpiIf.c - 1.13.2.3</t>
  </si>
  <si>
    <t>SpiIf.h - 1.9.2.3</t>
  </si>
  <si>
    <t>1.9.2.4</t>
  </si>
  <si>
    <t>1.13.2.4</t>
  </si>
  <si>
    <t>SpiIf.h - 1.9.2.4</t>
  </si>
  <si>
    <t>SpiIf.c - 1.13.2.6</t>
  </si>
  <si>
    <t>13.01.2023</t>
  </si>
  <si>
    <t>1.13.2.5</t>
  </si>
  <si>
    <t>Gabriel Brasoveanu</t>
  </si>
  <si>
    <t>1.13.2.6</t>
  </si>
  <si>
    <t>Assure that in spiif_waitSpiIdleStatus, constants are first in all comparations and conditions</t>
  </si>
  <si>
    <t>SpiIf.c v1.13.2.5</t>
  </si>
  <si>
    <t>SpiIf.c v1.13.2.6</t>
  </si>
  <si>
    <t>LAR</t>
  </si>
  <si>
    <t>SpiIf.c - 1.13.2.4</t>
  </si>
  <si>
    <t>SpiIf.c - 1.13.2.5</t>
  </si>
  <si>
    <t>Assure that all loops are protected agains infinite loops</t>
  </si>
  <si>
    <t>All constants have been moved to the left side of the conditions.</t>
  </si>
  <si>
    <t xml:space="preserve">The function spiif_waitSpiIdleStatus contains a while that are not protected  agains infinite loops, but in the next release this function will be deleted. </t>
  </si>
  <si>
    <t>1.13.2.7</t>
  </si>
  <si>
    <t>SpiIf.c v1.13.2.7</t>
  </si>
  <si>
    <t>16.01.2023</t>
  </si>
  <si>
    <t>SpiIf.c - 1.13.2.7</t>
  </si>
  <si>
    <t>1.13.2.8</t>
  </si>
  <si>
    <t>Ioan Repede</t>
  </si>
  <si>
    <t>SpiIf.c - 1.13.2.8</t>
  </si>
  <si>
    <t>SpiIf.c v1.13.2.8</t>
  </si>
  <si>
    <t>13.02.2023</t>
  </si>
  <si>
    <t>IRE</t>
  </si>
  <si>
    <t>1.9.2.5</t>
  </si>
  <si>
    <t>1.9.2.6</t>
  </si>
  <si>
    <t>Code review covered by 1.9.2.6 version.</t>
  </si>
  <si>
    <t>SpiIf.h - 1.9.2.6</t>
  </si>
  <si>
    <t>SpiIf.h v1.9.2.6</t>
  </si>
  <si>
    <t>1.9.2.7</t>
  </si>
  <si>
    <t>1.13.2.11</t>
  </si>
  <si>
    <t>No findings between 1.13.2.8 and this version</t>
  </si>
  <si>
    <t>SpiIf.c v1.13.2.11</t>
  </si>
  <si>
    <t>23.02.2023</t>
  </si>
  <si>
    <t>SpiIf.h v1.9.2.7</t>
  </si>
  <si>
    <t>SpiIf.h - 1.9.2.7</t>
  </si>
  <si>
    <t>SpiIf.c - 1.13.2.11</t>
  </si>
  <si>
    <t>SpiIf_SW_DetailedDesign.docx</t>
  </si>
  <si>
    <t>Template not updated according with process</t>
  </si>
  <si>
    <t>Author name not completed</t>
  </si>
  <si>
    <t>The document was full scope checked</t>
  </si>
  <si>
    <t>Open project no.1047503</t>
  </si>
  <si>
    <t>SpiIf_SW_DetailedDesign.docx v1.4</t>
  </si>
  <si>
    <t>SpiIf_SW_DetailedDesign.docx - v1.4</t>
  </si>
  <si>
    <t>eCS_MCC.DIA.tmb</t>
  </si>
  <si>
    <t>eCS_MCC.SpiIf.tmb</t>
  </si>
  <si>
    <t>no traceability</t>
  </si>
  <si>
    <t>Popina Victor</t>
  </si>
  <si>
    <t>no 100% C0 and C1 coverage</t>
  </si>
  <si>
    <t>medium</t>
  </si>
  <si>
    <t>Ecs_MCC.SpiIf.tmb 1.1</t>
  </si>
  <si>
    <t>eCS_MCC.SpiIf.tmb - v1.2</t>
  </si>
  <si>
    <t>Fixed on 1.2</t>
  </si>
  <si>
    <t>Robert Hadadea</t>
  </si>
  <si>
    <t>NA: no additional comments</t>
  </si>
  <si>
    <t>No: Issue OpenProject: 1048949
NA: Only specification review</t>
  </si>
  <si>
    <t>NA: Only specification review</t>
  </si>
  <si>
    <t>See Software Unit Verification Plan</t>
  </si>
  <si>
    <t>Ecs_MCC.SpiIf.tmb 1.3</t>
  </si>
  <si>
    <t>1.9.2.8</t>
  </si>
  <si>
    <t>Mihai Motoc</t>
  </si>
  <si>
    <t>SpiIf.h - 1.9.2.8</t>
  </si>
  <si>
    <t>SpiIf.h v1.9.2.8</t>
  </si>
  <si>
    <t>28.06.2023</t>
  </si>
  <si>
    <t>1.13.2.12</t>
  </si>
  <si>
    <t>SpiIf.c v1.13.2.12</t>
  </si>
  <si>
    <t>SpiIf.c - 1.13.2.12</t>
  </si>
  <si>
    <t>1.3.1.1.1.24</t>
  </si>
  <si>
    <t>eCS_SW_Arhitecture.eapx</t>
  </si>
  <si>
    <t>Lucian Ardeleanu</t>
  </si>
  <si>
    <t>eCS_SW_Arhitecture.eapx - v1.3.1.1.1.24</t>
  </si>
  <si>
    <t>25.07.2023</t>
  </si>
  <si>
    <t>DDU</t>
  </si>
  <si>
    <t>Ecs_MCC.SpiIf.tmb 1.4</t>
  </si>
  <si>
    <t>Nastase Alexandru</t>
  </si>
  <si>
    <t>Adina Macaveiu</t>
  </si>
  <si>
    <t>26.07.2023</t>
  </si>
  <si>
    <t>NAA</t>
  </si>
  <si>
    <t>eCS_SW_Arhitecture.eapx - v1.3.1.1.1.26</t>
  </si>
  <si>
    <t>31.07.2023</t>
  </si>
  <si>
    <t>1.3.1.1.1.26</t>
  </si>
  <si>
    <t>No findings between 1.3.1.1.1.25 and 1.3.1.1.1.26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</si>
</sst>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thin">
        <color theme="4"/>
      </left>
      <right/>
      <top style="thin">
        <color theme="4"/>
      </top>
      <bottom style="thin">
        <color theme="4"/>
      </bottom>
      <diagonal/>
    </border>
    <border>
      <left/>
      <right/>
      <top style="thin">
        <color theme="4"/>
      </top>
      <bottom style="thin">
        <color theme="4"/>
      </bottom>
      <diagonal/>
    </border>
  </borders>
  <cellStyleXfs count="35">
    <xf numFmtId="0" fontId="0" fillId="0" borderId="0"/>
    <xf numFmtId="0" fontId="67" fillId="6" borderId="14" applyNumberFormat="0" applyAlignment="0" applyProtection="0"/>
    <xf numFmtId="0" fontId="68" fillId="0" borderId="0" applyNumberFormat="0" applyFill="0" applyBorder="0" applyAlignment="0" applyProtection="0"/>
    <xf numFmtId="0" fontId="37" fillId="0" borderId="0"/>
    <xf numFmtId="0" fontId="62" fillId="0" borderId="0"/>
    <xf numFmtId="0" fontId="66" fillId="0" borderId="0"/>
    <xf numFmtId="0" fontId="37" fillId="0" borderId="0"/>
    <xf numFmtId="0" fontId="44" fillId="0" borderId="0"/>
    <xf numFmtId="0" fontId="69" fillId="6" borderId="15" applyNumberFormat="0" applyAlignment="0" applyProtection="0"/>
    <xf numFmtId="0" fontId="36" fillId="0" borderId="0"/>
    <xf numFmtId="0" fontId="35" fillId="0" borderId="0"/>
    <xf numFmtId="0" fontId="34" fillId="0" borderId="0"/>
    <xf numFmtId="0" fontId="94" fillId="25" borderId="14" applyNumberFormat="0" applyAlignment="0" applyProtection="0"/>
    <xf numFmtId="0" fontId="95" fillId="26" borderId="0" applyNumberFormat="0" applyBorder="0" applyAlignment="0" applyProtection="0"/>
    <xf numFmtId="0" fontId="33" fillId="27" borderId="0" applyNumberFormat="0" applyBorder="0" applyAlignment="0" applyProtection="0"/>
    <xf numFmtId="0" fontId="37" fillId="0" borderId="0"/>
    <xf numFmtId="0" fontId="32" fillId="27" borderId="0" applyNumberFormat="0" applyBorder="0" applyAlignment="0" applyProtection="0"/>
    <xf numFmtId="0" fontId="31" fillId="27" borderId="0" applyNumberFormat="0" applyBorder="0" applyAlignment="0" applyProtection="0"/>
    <xf numFmtId="0" fontId="30" fillId="27" borderId="0" applyNumberFormat="0" applyBorder="0" applyAlignment="0" applyProtection="0"/>
    <xf numFmtId="0" fontId="29" fillId="27" borderId="0" applyNumberFormat="0" applyBorder="0" applyAlignment="0" applyProtection="0"/>
    <xf numFmtId="0" fontId="28" fillId="27" borderId="0" applyNumberFormat="0" applyBorder="0" applyAlignment="0" applyProtection="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0" borderId="0"/>
    <xf numFmtId="0" fontId="20" fillId="27" borderId="0" applyNumberFormat="0" applyBorder="0" applyAlignment="0" applyProtection="0"/>
    <xf numFmtId="0" fontId="19" fillId="27" borderId="0" applyNumberFormat="0" applyBorder="0" applyAlignment="0" applyProtection="0"/>
    <xf numFmtId="0" fontId="114" fillId="0" borderId="0" applyNumberFormat="0" applyFill="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cellStyleXfs>
  <cellXfs count="352">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8" fillId="3" borderId="12" xfId="0" applyFont="1" applyFill="1" applyBorder="1" applyAlignment="1">
      <alignment horizontal="center" wrapText="1"/>
    </xf>
    <xf numFmtId="0" fontId="0" fillId="2" borderId="0" xfId="0" applyFill="1" applyAlignment="1">
      <alignment horizontal="center"/>
    </xf>
    <xf numFmtId="0" fontId="38"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7" fillId="0" borderId="1" xfId="0" applyFont="1" applyBorder="1" applyAlignment="1">
      <alignment vertical="center" wrapText="1"/>
    </xf>
    <xf numFmtId="0" fontId="37" fillId="3" borderId="1" xfId="0" applyFont="1" applyFill="1" applyBorder="1" applyAlignment="1">
      <alignment horizontal="center" vertical="center" wrapText="1"/>
    </xf>
    <xf numFmtId="0" fontId="37" fillId="2" borderId="0" xfId="0" applyFont="1" applyFill="1" applyBorder="1" applyAlignment="1">
      <alignment wrapText="1"/>
    </xf>
    <xf numFmtId="0" fontId="70" fillId="7" borderId="0" xfId="0" applyFont="1" applyFill="1" applyBorder="1" applyAlignment="1">
      <alignment horizontal="center" vertical="center" wrapText="1"/>
    </xf>
    <xf numFmtId="0" fontId="70" fillId="0" borderId="0" xfId="0" applyFont="1" applyFill="1" applyBorder="1" applyAlignment="1">
      <alignment horizontal="center" vertical="center" wrapText="1"/>
    </xf>
    <xf numFmtId="0" fontId="70" fillId="0" borderId="0" xfId="0" applyFont="1" applyFill="1" applyAlignment="1">
      <alignment vertical="center"/>
    </xf>
    <xf numFmtId="0" fontId="70" fillId="0" borderId="0" xfId="0" applyFont="1" applyFill="1" applyBorder="1" applyAlignment="1">
      <alignment vertical="center" wrapText="1"/>
    </xf>
    <xf numFmtId="0" fontId="59" fillId="2" borderId="2" xfId="0" applyFont="1" applyFill="1" applyBorder="1"/>
    <xf numFmtId="0" fontId="37" fillId="2" borderId="0" xfId="0" applyFont="1" applyFill="1" applyAlignment="1">
      <alignment horizontal="center"/>
    </xf>
    <xf numFmtId="0" fontId="0" fillId="8" borderId="0" xfId="0" applyFill="1" applyAlignment="1">
      <alignment horizontal="center"/>
    </xf>
    <xf numFmtId="0" fontId="37" fillId="2" borderId="1" xfId="0" applyFont="1" applyFill="1" applyBorder="1" applyAlignment="1">
      <alignment horizontal="center" wrapText="1"/>
    </xf>
    <xf numFmtId="0" fontId="37" fillId="2" borderId="1" xfId="0" applyFont="1" applyFill="1" applyBorder="1" applyAlignment="1">
      <alignment horizontal="center" vertical="center" wrapText="1"/>
    </xf>
    <xf numFmtId="0" fontId="37" fillId="0" borderId="1" xfId="0" applyFont="1" applyFill="1" applyBorder="1" applyAlignment="1">
      <alignment horizontal="center" vertical="center" wrapText="1"/>
    </xf>
    <xf numFmtId="0" fontId="0" fillId="2" borderId="5" xfId="0" applyFill="1" applyBorder="1" applyAlignment="1">
      <alignment wrapText="1"/>
    </xf>
    <xf numFmtId="0" fontId="37" fillId="2" borderId="0" xfId="0" applyFont="1" applyFill="1" applyBorder="1"/>
    <xf numFmtId="0" fontId="38" fillId="9" borderId="1" xfId="0" applyFont="1" applyFill="1" applyBorder="1" applyAlignment="1">
      <alignment horizontal="center" vertical="center" wrapText="1"/>
    </xf>
    <xf numFmtId="0" fontId="37" fillId="2" borderId="10" xfId="0" applyFont="1" applyFill="1" applyBorder="1"/>
    <xf numFmtId="0" fontId="70"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7" fillId="8" borderId="0" xfId="0" applyFont="1" applyFill="1" applyBorder="1" applyAlignment="1">
      <alignment horizontal="center" vertical="center"/>
    </xf>
    <xf numFmtId="0" fontId="37" fillId="8" borderId="1" xfId="0" applyFont="1" applyFill="1" applyBorder="1" applyAlignment="1">
      <alignment horizontal="center" vertical="center"/>
    </xf>
    <xf numFmtId="0" fontId="37" fillId="13" borderId="1" xfId="0" applyFont="1" applyFill="1" applyBorder="1" applyAlignment="1">
      <alignment horizontal="center" vertical="center" wrapText="1"/>
    </xf>
    <xf numFmtId="0" fontId="37"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70" fillId="8" borderId="0" xfId="0" applyFont="1" applyFill="1" applyBorder="1" applyAlignment="1">
      <alignment horizontal="center" vertical="center" wrapText="1"/>
    </xf>
    <xf numFmtId="0" fontId="70" fillId="8" borderId="0" xfId="0" applyFont="1" applyFill="1" applyAlignment="1">
      <alignment horizontal="center" vertical="center" wrapText="1"/>
    </xf>
    <xf numFmtId="0" fontId="70"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40" fillId="14" borderId="1" xfId="0" applyFont="1" applyFill="1" applyBorder="1" applyAlignment="1">
      <alignment horizontal="center" vertical="center" wrapText="1"/>
    </xf>
    <xf numFmtId="0" fontId="70"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43" fillId="13" borderId="1" xfId="0" applyFont="1" applyFill="1" applyBorder="1" applyAlignment="1">
      <alignment horizontal="center" vertical="center" wrapText="1"/>
    </xf>
    <xf numFmtId="0" fontId="0" fillId="0" borderId="0" xfId="0" applyFill="1" applyBorder="1" applyAlignment="1">
      <alignment horizontal="center"/>
    </xf>
    <xf numFmtId="0" fontId="37" fillId="13" borderId="1" xfId="0" applyFont="1" applyFill="1" applyBorder="1" applyAlignment="1">
      <alignment horizontal="center" vertical="center"/>
    </xf>
    <xf numFmtId="0" fontId="0" fillId="13" borderId="1" xfId="0" applyFill="1" applyBorder="1" applyAlignment="1">
      <alignment horizontal="center" vertical="center"/>
    </xf>
    <xf numFmtId="0" fontId="37" fillId="2" borderId="5" xfId="0" applyFont="1" applyFill="1" applyBorder="1" applyAlignment="1">
      <alignment wrapText="1"/>
    </xf>
    <xf numFmtId="0" fontId="37" fillId="10" borderId="0" xfId="0" applyFont="1" applyFill="1" applyBorder="1" applyAlignment="1">
      <alignment horizontal="left" vertical="center"/>
    </xf>
    <xf numFmtId="0" fontId="37" fillId="12" borderId="0" xfId="0" applyFont="1" applyFill="1" applyBorder="1" applyAlignment="1">
      <alignment horizontal="left" vertical="center"/>
    </xf>
    <xf numFmtId="0" fontId="37" fillId="15" borderId="0" xfId="0" applyFont="1" applyFill="1" applyBorder="1" applyAlignment="1">
      <alignment horizontal="left" vertical="center"/>
    </xf>
    <xf numFmtId="0" fontId="37" fillId="13" borderId="0" xfId="0" applyFont="1" applyFill="1" applyBorder="1" applyAlignment="1">
      <alignment horizontal="left" vertical="center"/>
    </xf>
    <xf numFmtId="0" fontId="37" fillId="2" borderId="1" xfId="0" applyFont="1" applyFill="1" applyBorder="1"/>
    <xf numFmtId="0" fontId="37" fillId="0" borderId="1" xfId="0" applyFont="1" applyBorder="1" applyAlignment="1">
      <alignment horizontal="center" vertical="center"/>
    </xf>
    <xf numFmtId="14" fontId="37"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37" fillId="3" borderId="12" xfId="0" applyFont="1" applyFill="1" applyBorder="1" applyAlignment="1">
      <alignment horizontal="center" vertical="center" wrapText="1"/>
    </xf>
    <xf numFmtId="0" fontId="67" fillId="6" borderId="1" xfId="1" applyFont="1" applyBorder="1" applyAlignment="1">
      <alignment horizontal="center"/>
    </xf>
    <xf numFmtId="0" fontId="71" fillId="6" borderId="15" xfId="8" applyFont="1" applyAlignment="1">
      <alignment horizontal="center"/>
    </xf>
    <xf numFmtId="0" fontId="71" fillId="6" borderId="17" xfId="8" applyFont="1" applyBorder="1" applyAlignment="1">
      <alignment horizontal="center"/>
    </xf>
    <xf numFmtId="0" fontId="67" fillId="6" borderId="1" xfId="1" applyBorder="1" applyAlignment="1">
      <alignment horizontal="center" vertical="center"/>
    </xf>
    <xf numFmtId="0" fontId="37" fillId="2" borderId="1" xfId="0" applyFont="1" applyFill="1" applyBorder="1" applyAlignment="1">
      <alignment horizontal="center"/>
    </xf>
    <xf numFmtId="0" fontId="37"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7" fillId="2" borderId="8" xfId="0" applyFont="1" applyFill="1" applyBorder="1" applyAlignment="1">
      <alignment wrapText="1" shrinkToFit="1"/>
    </xf>
    <xf numFmtId="0" fontId="37" fillId="2" borderId="0" xfId="0" applyFont="1" applyFill="1"/>
    <xf numFmtId="0" fontId="37" fillId="2" borderId="0" xfId="0" applyFont="1" applyFill="1" applyAlignment="1">
      <alignment vertical="top"/>
    </xf>
    <xf numFmtId="0" fontId="37" fillId="0" borderId="0" xfId="3" applyAlignment="1">
      <alignment vertical="center"/>
    </xf>
    <xf numFmtId="0" fontId="41" fillId="0" borderId="0" xfId="3" applyFont="1" applyAlignment="1">
      <alignment vertical="center" wrapText="1"/>
    </xf>
    <xf numFmtId="164" fontId="41" fillId="0" borderId="0" xfId="3" applyNumberFormat="1" applyFont="1" applyAlignment="1">
      <alignment horizontal="center" vertical="center" wrapText="1"/>
    </xf>
    <xf numFmtId="20" fontId="41" fillId="0" borderId="0" xfId="3" applyNumberFormat="1" applyFont="1" applyAlignment="1">
      <alignment vertical="center" wrapText="1"/>
    </xf>
    <xf numFmtId="0" fontId="41" fillId="0" borderId="0" xfId="3" applyFont="1" applyAlignment="1">
      <alignment horizontal="left" vertical="center" wrapText="1"/>
    </xf>
    <xf numFmtId="0" fontId="72" fillId="0" borderId="0" xfId="3" quotePrefix="1" applyFont="1" applyAlignment="1">
      <alignment horizontal="right" vertical="center"/>
    </xf>
    <xf numFmtId="0" fontId="42" fillId="0" borderId="0" xfId="3" applyFont="1" applyAlignment="1">
      <alignment horizontal="left" vertical="center" wrapText="1"/>
    </xf>
    <xf numFmtId="0" fontId="37" fillId="0" borderId="0" xfId="3" applyAlignment="1">
      <alignment vertical="center" shrinkToFit="1"/>
    </xf>
    <xf numFmtId="0" fontId="74" fillId="0" borderId="0" xfId="3" applyFont="1" applyAlignment="1">
      <alignment horizontal="left" vertical="center" shrinkToFit="1"/>
    </xf>
    <xf numFmtId="0" fontId="38" fillId="0" borderId="0" xfId="3" applyFont="1" applyAlignment="1">
      <alignment horizontal="left" vertical="center" shrinkToFit="1"/>
    </xf>
    <xf numFmtId="0" fontId="37" fillId="0" borderId="0" xfId="3" applyAlignment="1" applyProtection="1">
      <alignment vertical="center"/>
      <protection locked="0"/>
    </xf>
    <xf numFmtId="0" fontId="37" fillId="0" borderId="0" xfId="3" applyAlignment="1" applyProtection="1">
      <alignment vertical="center" shrinkToFit="1"/>
      <protection locked="0"/>
    </xf>
    <xf numFmtId="0" fontId="79" fillId="0" borderId="2" xfId="3" applyFont="1" applyBorder="1" applyAlignment="1" applyProtection="1">
      <alignment horizontal="left" vertical="center" wrapText="1" shrinkToFit="1"/>
      <protection locked="0"/>
    </xf>
    <xf numFmtId="0" fontId="80" fillId="0" borderId="0" xfId="3" applyFont="1" applyAlignment="1" applyProtection="1">
      <alignment horizontal="left" vertical="center" shrinkToFit="1"/>
      <protection locked="0"/>
    </xf>
    <xf numFmtId="0" fontId="79" fillId="0" borderId="0" xfId="3" applyFont="1" applyAlignment="1" applyProtection="1">
      <alignment horizontal="left" vertical="center" wrapText="1" shrinkToFit="1"/>
      <protection locked="0"/>
    </xf>
    <xf numFmtId="0" fontId="80" fillId="0" borderId="3" xfId="3" applyFont="1" applyBorder="1" applyAlignment="1" applyProtection="1">
      <alignment horizontal="left" vertical="center" shrinkToFit="1"/>
      <protection locked="0"/>
    </xf>
    <xf numFmtId="0" fontId="83" fillId="0" borderId="0" xfId="3" applyFont="1" applyAlignment="1" applyProtection="1">
      <alignment vertical="center"/>
      <protection locked="0"/>
    </xf>
    <xf numFmtId="0" fontId="84" fillId="0" borderId="0" xfId="3" applyFont="1" applyAlignment="1" applyProtection="1">
      <alignment horizontal="center" vertical="center"/>
      <protection locked="0"/>
    </xf>
    <xf numFmtId="0" fontId="36" fillId="8" borderId="0" xfId="9" applyFill="1"/>
    <xf numFmtId="0" fontId="85" fillId="0" borderId="0" xfId="3" applyFont="1" applyAlignment="1">
      <alignment horizontal="right" vertical="center"/>
    </xf>
    <xf numFmtId="0" fontId="86" fillId="0" borderId="18" xfId="3" applyFont="1" applyBorder="1" applyAlignment="1" applyProtection="1">
      <alignment vertical="center"/>
      <protection locked="0"/>
    </xf>
    <xf numFmtId="0" fontId="37" fillId="0" borderId="18" xfId="3" applyBorder="1" applyAlignment="1" applyProtection="1">
      <alignment vertical="center"/>
      <protection locked="0"/>
    </xf>
    <xf numFmtId="0" fontId="87" fillId="0" borderId="0" xfId="3" applyFont="1" applyAlignment="1" applyProtection="1">
      <alignment horizontal="left" vertical="center"/>
      <protection locked="0"/>
    </xf>
    <xf numFmtId="0" fontId="46" fillId="0" borderId="0" xfId="3" applyFont="1" applyAlignment="1" applyProtection="1">
      <alignment horizontal="left" vertical="center"/>
      <protection locked="0"/>
    </xf>
    <xf numFmtId="0" fontId="65" fillId="0" borderId="0" xfId="3" applyFont="1" applyAlignment="1" applyProtection="1">
      <alignment vertical="center"/>
      <protection locked="0"/>
    </xf>
    <xf numFmtId="0" fontId="38" fillId="0" borderId="0" xfId="3" applyFont="1" applyAlignment="1" applyProtection="1">
      <alignment vertical="center"/>
      <protection locked="0"/>
    </xf>
    <xf numFmtId="49" fontId="88" fillId="0" borderId="0" xfId="3" applyNumberFormat="1" applyFont="1" applyAlignment="1" applyProtection="1">
      <alignment horizontal="left" vertical="center"/>
      <protection locked="0"/>
    </xf>
    <xf numFmtId="49" fontId="37" fillId="0" borderId="0" xfId="3" applyNumberFormat="1" applyAlignment="1">
      <alignment horizontal="center" vertical="center" wrapText="1"/>
    </xf>
    <xf numFmtId="49" fontId="37" fillId="0" borderId="0" xfId="3" applyNumberFormat="1" applyAlignment="1" applyProtection="1">
      <alignment horizontal="left" vertical="center" wrapText="1"/>
      <protection locked="0"/>
    </xf>
    <xf numFmtId="49" fontId="37" fillId="0" borderId="0" xfId="3" applyNumberFormat="1" applyAlignment="1">
      <alignment horizontal="left" vertical="center" wrapText="1"/>
    </xf>
    <xf numFmtId="14" fontId="37" fillId="0" borderId="0" xfId="3" applyNumberFormat="1" applyAlignment="1" applyProtection="1">
      <alignment vertical="center"/>
      <protection locked="0"/>
    </xf>
    <xf numFmtId="0" fontId="89" fillId="0" borderId="0" xfId="3" applyFont="1" applyAlignment="1" applyProtection="1">
      <alignment horizontal="left" vertical="center"/>
      <protection locked="0"/>
    </xf>
    <xf numFmtId="0" fontId="37" fillId="0" borderId="0" xfId="3" applyAlignment="1">
      <alignment horizontal="left" vertical="center" wrapText="1"/>
    </xf>
    <xf numFmtId="0" fontId="86" fillId="0" borderId="5" xfId="3" applyFont="1" applyBorder="1" applyAlignment="1" applyProtection="1">
      <alignment vertical="center"/>
      <protection locked="0"/>
    </xf>
    <xf numFmtId="49" fontId="37" fillId="0" borderId="5" xfId="3" applyNumberFormat="1" applyBorder="1" applyAlignment="1" applyProtection="1">
      <alignment horizontal="left" vertical="center" wrapText="1"/>
      <protection locked="0"/>
    </xf>
    <xf numFmtId="0" fontId="37" fillId="0" borderId="5" xfId="3" applyBorder="1" applyAlignment="1">
      <alignment horizontal="left" vertical="center" wrapText="1"/>
    </xf>
    <xf numFmtId="0" fontId="86" fillId="0" borderId="0" xfId="3" applyFont="1" applyAlignment="1" applyProtection="1">
      <alignment vertical="center"/>
      <protection locked="0"/>
    </xf>
    <xf numFmtId="49" fontId="37" fillId="0" borderId="0" xfId="3" applyNumberFormat="1" applyAlignment="1" applyProtection="1">
      <alignment horizontal="left" vertical="center"/>
      <protection locked="0"/>
    </xf>
    <xf numFmtId="0" fontId="37" fillId="0" borderId="0" xfId="3" applyAlignment="1">
      <alignment horizontal="left" vertical="center"/>
    </xf>
    <xf numFmtId="0" fontId="38" fillId="2" borderId="1" xfId="0" applyNumberFormat="1" applyFont="1" applyFill="1" applyBorder="1" applyAlignment="1">
      <alignment horizontal="center" vertical="center"/>
    </xf>
    <xf numFmtId="0" fontId="37" fillId="21" borderId="0" xfId="0" applyFont="1" applyFill="1" applyBorder="1" applyAlignment="1">
      <alignment horizontal="left" vertical="top" wrapText="1"/>
    </xf>
    <xf numFmtId="0" fontId="37" fillId="21" borderId="0" xfId="0" applyFont="1" applyFill="1" applyBorder="1" applyAlignment="1">
      <alignment wrapText="1"/>
    </xf>
    <xf numFmtId="0" fontId="0" fillId="21" borderId="0" xfId="0" applyFill="1" applyBorder="1" applyAlignment="1">
      <alignment wrapText="1"/>
    </xf>
    <xf numFmtId="0" fontId="37" fillId="9" borderId="0" xfId="0" applyFont="1" applyFill="1" applyBorder="1" applyAlignment="1">
      <alignment wrapText="1"/>
    </xf>
    <xf numFmtId="0" fontId="0" fillId="9" borderId="0" xfId="0" applyFill="1" applyBorder="1" applyAlignment="1">
      <alignment wrapText="1"/>
    </xf>
    <xf numFmtId="0" fontId="37" fillId="2" borderId="2" xfId="0" applyFont="1" applyFill="1" applyBorder="1" applyAlignment="1">
      <alignment horizontal="right"/>
    </xf>
    <xf numFmtId="0" fontId="0" fillId="2" borderId="4" xfId="0" applyFill="1" applyBorder="1" applyAlignment="1">
      <alignment horizontal="right"/>
    </xf>
    <xf numFmtId="0" fontId="34" fillId="0" borderId="0" xfId="11"/>
    <xf numFmtId="0" fontId="40" fillId="10" borderId="1" xfId="0" applyFont="1" applyFill="1" applyBorder="1" applyAlignment="1">
      <alignment horizontal="center" vertical="center" wrapText="1"/>
    </xf>
    <xf numFmtId="0" fontId="96" fillId="12" borderId="1" xfId="0" applyFont="1" applyFill="1" applyBorder="1" applyAlignment="1">
      <alignment horizontal="center" vertical="center" wrapText="1"/>
    </xf>
    <xf numFmtId="0" fontId="40" fillId="11" borderId="1" xfId="0" applyFont="1" applyFill="1" applyBorder="1" applyAlignment="1">
      <alignment horizontal="center" vertical="center" wrapText="1"/>
    </xf>
    <xf numFmtId="14" fontId="40" fillId="11" borderId="1" xfId="0" applyNumberFormat="1" applyFont="1" applyFill="1" applyBorder="1" applyAlignment="1">
      <alignment horizontal="center" vertical="center" wrapText="1"/>
    </xf>
    <xf numFmtId="0" fontId="61" fillId="8" borderId="0" xfId="0" applyFont="1" applyFill="1" applyAlignment="1">
      <alignment horizontal="center" vertical="center"/>
    </xf>
    <xf numFmtId="0" fontId="61" fillId="8" borderId="0" xfId="0" applyFont="1" applyFill="1" applyAlignment="1">
      <alignment vertical="center"/>
    </xf>
    <xf numFmtId="0" fontId="61" fillId="0" borderId="0" xfId="0" applyFont="1" applyAlignment="1">
      <alignment vertical="center"/>
    </xf>
    <xf numFmtId="0" fontId="40" fillId="0" borderId="0" xfId="0" applyFont="1" applyFill="1" applyAlignment="1">
      <alignment vertical="center"/>
    </xf>
    <xf numFmtId="0" fontId="67" fillId="6" borderId="14" xfId="1"/>
    <xf numFmtId="0" fontId="98" fillId="29" borderId="20" xfId="14" applyFont="1" applyFill="1" applyBorder="1" applyAlignment="1" applyProtection="1">
      <alignment horizontal="center" vertical="center" wrapText="1"/>
      <protection locked="0"/>
    </xf>
    <xf numFmtId="0" fontId="99" fillId="13" borderId="20" xfId="14" applyFont="1" applyFill="1" applyBorder="1" applyAlignment="1" applyProtection="1">
      <alignment horizontal="center" vertical="center" wrapText="1"/>
    </xf>
    <xf numFmtId="0" fontId="98" fillId="7" borderId="1" xfId="14" applyFont="1" applyFill="1" applyBorder="1" applyAlignment="1">
      <alignment horizontal="left" vertical="center"/>
    </xf>
    <xf numFmtId="0" fontId="94" fillId="25" borderId="14" xfId="12" applyAlignment="1">
      <alignment horizontal="center" vertical="center"/>
    </xf>
    <xf numFmtId="0" fontId="98" fillId="7" borderId="1" xfId="14" applyFont="1" applyFill="1" applyBorder="1" applyAlignment="1">
      <alignment horizontal="center" vertical="center"/>
    </xf>
    <xf numFmtId="0" fontId="37" fillId="5" borderId="0" xfId="15" applyFill="1" applyAlignment="1">
      <alignment vertical="center"/>
    </xf>
    <xf numFmtId="0" fontId="37" fillId="5" borderId="0" xfId="15" applyFill="1" applyAlignment="1">
      <alignment vertical="center" wrapText="1"/>
    </xf>
    <xf numFmtId="0" fontId="39" fillId="5" borderId="0" xfId="15" applyFont="1" applyFill="1" applyAlignment="1">
      <alignment vertical="center"/>
    </xf>
    <xf numFmtId="0" fontId="75" fillId="30" borderId="10" xfId="15" applyFont="1" applyFill="1" applyBorder="1" applyAlignment="1">
      <alignment vertical="center"/>
    </xf>
    <xf numFmtId="0" fontId="104" fillId="30" borderId="19" xfId="15" applyFont="1" applyFill="1" applyBorder="1" applyAlignment="1">
      <alignment vertical="center" wrapText="1"/>
    </xf>
    <xf numFmtId="0" fontId="37" fillId="5" borderId="1" xfId="15" applyFill="1" applyBorder="1" applyAlignment="1">
      <alignment vertical="center"/>
    </xf>
    <xf numFmtId="0" fontId="105" fillId="5" borderId="1" xfId="15" applyFont="1" applyFill="1" applyBorder="1" applyAlignment="1">
      <alignment horizontal="center" vertical="center"/>
    </xf>
    <xf numFmtId="0" fontId="75" fillId="31" borderId="10" xfId="15" applyFont="1" applyFill="1" applyBorder="1" applyAlignment="1">
      <alignment vertical="center"/>
    </xf>
    <xf numFmtId="0" fontId="47" fillId="31" borderId="8" xfId="15" applyFont="1" applyFill="1" applyBorder="1" applyAlignment="1">
      <alignment horizontal="center" vertical="center" wrapText="1"/>
    </xf>
    <xf numFmtId="0" fontId="104" fillId="31" borderId="19" xfId="15" applyFont="1" applyFill="1" applyBorder="1" applyAlignment="1">
      <alignment vertical="center" wrapText="1"/>
    </xf>
    <xf numFmtId="0" fontId="104" fillId="31" borderId="11" xfId="15" applyFont="1" applyFill="1" applyBorder="1" applyAlignment="1">
      <alignment vertical="center" wrapText="1"/>
    </xf>
    <xf numFmtId="0" fontId="47" fillId="30" borderId="19" xfId="15" applyFont="1" applyFill="1" applyBorder="1" applyAlignment="1">
      <alignment vertical="center" wrapText="1"/>
    </xf>
    <xf numFmtId="0" fontId="0" fillId="0" borderId="0" xfId="0" applyAlignment="1" applyProtection="1">
      <alignment vertical="center"/>
      <protection locked="0"/>
    </xf>
    <xf numFmtId="0" fontId="87" fillId="0" borderId="0" xfId="0" applyFont="1" applyAlignment="1" applyProtection="1">
      <alignment horizontal="left" vertical="center"/>
      <protection locked="0"/>
    </xf>
    <xf numFmtId="0" fontId="37" fillId="0" borderId="1" xfId="15" applyBorder="1" applyAlignment="1">
      <alignment vertical="center" wrapText="1"/>
    </xf>
    <xf numFmtId="0" fontId="111" fillId="0" borderId="2" xfId="0" applyFont="1" applyBorder="1" applyAlignment="1">
      <alignment horizontal="right" vertical="center"/>
    </xf>
    <xf numFmtId="0" fontId="113" fillId="0" borderId="0" xfId="0" applyFont="1" applyBorder="1" applyAlignment="1">
      <alignment wrapText="1"/>
    </xf>
    <xf numFmtId="0" fontId="95" fillId="7" borderId="1" xfId="14" applyFont="1" applyFill="1" applyBorder="1" applyAlignment="1">
      <alignment horizontal="center" vertical="center"/>
    </xf>
    <xf numFmtId="0" fontId="114" fillId="8" borderId="0" xfId="30" applyFill="1" applyAlignment="1">
      <alignment horizontal="center" wrapText="1"/>
    </xf>
    <xf numFmtId="0" fontId="40" fillId="3" borderId="12" xfId="0" applyFont="1" applyFill="1" applyBorder="1" applyAlignment="1">
      <alignment horizontal="center" vertical="center" wrapText="1"/>
    </xf>
    <xf numFmtId="0" fontId="40" fillId="3" borderId="16" xfId="0" applyFont="1" applyFill="1" applyBorder="1" applyAlignment="1">
      <alignment horizontal="center" vertical="center" wrapText="1"/>
    </xf>
    <xf numFmtId="0" fontId="40" fillId="3" borderId="1" xfId="0" applyFont="1" applyFill="1" applyBorder="1" applyAlignment="1">
      <alignment horizontal="center" vertical="center" wrapText="1"/>
    </xf>
    <xf numFmtId="0" fontId="67" fillId="6" borderId="16" xfId="1" applyFont="1" applyBorder="1" applyAlignment="1">
      <alignment horizontal="center" vertical="center"/>
    </xf>
    <xf numFmtId="0" fontId="67" fillId="6" borderId="1" xfId="1" applyFont="1" applyBorder="1" applyAlignment="1">
      <alignment horizontal="center" vertical="center"/>
    </xf>
    <xf numFmtId="0" fontId="38" fillId="2" borderId="1" xfId="0" applyFont="1" applyFill="1" applyBorder="1" applyAlignment="1">
      <alignment horizontal="center"/>
    </xf>
    <xf numFmtId="0" fontId="75" fillId="33" borderId="12" xfId="15" applyFont="1" applyFill="1" applyBorder="1" applyAlignment="1">
      <alignment horizontal="center" vertical="center" textRotation="45" wrapText="1"/>
    </xf>
    <xf numFmtId="0" fontId="102" fillId="33" borderId="12" xfId="15" applyFont="1" applyFill="1" applyBorder="1" applyAlignment="1">
      <alignment horizontal="center" vertical="center" wrapText="1"/>
    </xf>
    <xf numFmtId="0" fontId="90" fillId="33" borderId="1" xfId="15" applyFont="1" applyFill="1" applyBorder="1" applyAlignment="1">
      <alignment horizontal="center" vertical="center" textRotation="45" wrapText="1"/>
    </xf>
    <xf numFmtId="0" fontId="90" fillId="33" borderId="1" xfId="15" applyFont="1" applyFill="1" applyBorder="1" applyAlignment="1">
      <alignment horizontal="center" vertical="center" wrapText="1"/>
    </xf>
    <xf numFmtId="0" fontId="75" fillId="33" borderId="13" xfId="15" applyFont="1" applyFill="1" applyBorder="1" applyAlignment="1">
      <alignment horizontal="center" vertical="center"/>
    </xf>
    <xf numFmtId="0" fontId="103" fillId="33" borderId="13" xfId="15" applyFont="1" applyFill="1" applyBorder="1" applyAlignment="1">
      <alignment horizontal="center" vertical="center" wrapText="1"/>
    </xf>
    <xf numFmtId="9" fontId="115" fillId="6" borderId="14" xfId="1" applyNumberFormat="1" applyFont="1" applyAlignment="1">
      <alignment horizontal="center" vertical="center" wrapText="1"/>
    </xf>
    <xf numFmtId="0" fontId="75" fillId="33" borderId="7" xfId="15" applyFont="1" applyFill="1" applyBorder="1" applyAlignment="1">
      <alignment horizontal="center" vertical="center"/>
    </xf>
    <xf numFmtId="0" fontId="106" fillId="33" borderId="8" xfId="15" applyFont="1" applyFill="1" applyBorder="1" applyAlignment="1">
      <alignment horizontal="center" vertical="center" wrapText="1"/>
    </xf>
    <xf numFmtId="0" fontId="103" fillId="33" borderId="8" xfId="15" applyFont="1" applyFill="1" applyBorder="1" applyAlignment="1">
      <alignment horizontal="center" vertical="center" wrapText="1"/>
    </xf>
    <xf numFmtId="0" fontId="103"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47" fillId="15" borderId="0" xfId="0" applyFont="1" applyFill="1" applyAlignment="1">
      <alignment horizontal="center" wrapText="1"/>
    </xf>
    <xf numFmtId="0" fontId="59" fillId="15" borderId="0" xfId="0" applyFont="1" applyFill="1" applyAlignment="1">
      <alignment horizontal="center" wrapText="1"/>
    </xf>
    <xf numFmtId="0" fontId="47" fillId="7" borderId="0" xfId="0" applyFont="1" applyFill="1" applyAlignment="1">
      <alignment horizontal="center" wrapText="1"/>
    </xf>
    <xf numFmtId="0" fontId="116" fillId="7" borderId="0" xfId="0" applyFont="1" applyFill="1" applyAlignment="1">
      <alignment horizontal="center" vertical="center" wrapText="1"/>
    </xf>
    <xf numFmtId="0" fontId="98" fillId="29" borderId="12" xfId="34" applyFont="1" applyFill="1" applyBorder="1" applyAlignment="1">
      <alignment horizontal="center" vertical="center" wrapText="1"/>
    </xf>
    <xf numFmtId="0" fontId="47" fillId="7" borderId="0" xfId="3" applyFont="1" applyFill="1" applyAlignment="1">
      <alignment horizontal="center" wrapText="1"/>
    </xf>
    <xf numFmtId="0" fontId="116" fillId="7" borderId="0" xfId="3" applyFont="1" applyFill="1" applyAlignment="1">
      <alignment horizontal="center" vertical="center" wrapText="1"/>
    </xf>
    <xf numFmtId="0" fontId="37" fillId="0" borderId="1" xfId="0" applyFont="1" applyBorder="1" applyAlignment="1">
      <alignment vertical="center"/>
    </xf>
    <xf numFmtId="0" fontId="13" fillId="0" borderId="0" xfId="11" applyFont="1"/>
    <xf numFmtId="0" fontId="37" fillId="5" borderId="1" xfId="15" applyFill="1" applyBorder="1" applyAlignment="1">
      <alignment vertical="center" wrapText="1"/>
    </xf>
    <xf numFmtId="0" fontId="12" fillId="0" borderId="0" xfId="11" applyFont="1"/>
    <xf numFmtId="0" fontId="11" fillId="0" borderId="0" xfId="11" applyFont="1"/>
    <xf numFmtId="0" fontId="10" fillId="0" borderId="0" xfId="11" applyFont="1"/>
    <xf numFmtId="0" fontId="9" fillId="0" borderId="0" xfId="11" applyFont="1"/>
    <xf numFmtId="0" fontId="8" fillId="0" borderId="0" xfId="11" applyFont="1"/>
    <xf numFmtId="14" fontId="0" fillId="0" borderId="1" xfId="0" applyNumberFormat="1" applyBorder="1" applyAlignment="1">
      <alignment horizontal="center" vertical="center" wrapText="1"/>
    </xf>
    <xf numFmtId="0" fontId="37" fillId="0" borderId="1" xfId="0" applyFont="1" applyBorder="1" applyAlignment="1">
      <alignment horizontal="center" vertical="center" wrapText="1"/>
    </xf>
    <xf numFmtId="0" fontId="67" fillId="6" borderId="21" xfId="1" applyBorder="1"/>
    <xf numFmtId="0" fontId="7" fillId="0" borderId="0" xfId="11" applyFont="1" applyBorder="1"/>
    <xf numFmtId="0" fontId="34" fillId="0" borderId="0" xfId="11" applyBorder="1"/>
    <xf numFmtId="0" fontId="6" fillId="0" borderId="0" xfId="11" applyFont="1"/>
    <xf numFmtId="0" fontId="37" fillId="0" borderId="1" xfId="3" applyBorder="1" applyAlignment="1">
      <alignment vertical="center" wrapText="1"/>
    </xf>
    <xf numFmtId="0" fontId="5" fillId="0" borderId="0" xfId="11" applyFont="1"/>
    <xf numFmtId="14" fontId="7" fillId="0" borderId="0" xfId="11" applyNumberFormat="1" applyFont="1" applyBorder="1" applyAlignment="1">
      <alignment horizontal="left" vertical="top"/>
    </xf>
    <xf numFmtId="14" fontId="34" fillId="0" borderId="0" xfId="11" applyNumberFormat="1" applyAlignment="1">
      <alignment horizontal="left" vertical="top"/>
    </xf>
    <xf numFmtId="0" fontId="98" fillId="29" borderId="20" xfId="14" applyFont="1" applyFill="1" applyBorder="1" applyAlignment="1" applyProtection="1">
      <alignment horizontal="left" vertical="top" wrapText="1"/>
      <protection locked="0"/>
    </xf>
    <xf numFmtId="0" fontId="14" fillId="0" borderId="0" xfId="11" applyFont="1" applyAlignment="1">
      <alignment horizontal="left" vertical="top"/>
    </xf>
    <xf numFmtId="0" fontId="13" fillId="0" borderId="0" xfId="11" applyFont="1" applyAlignment="1">
      <alignment horizontal="left" vertical="top"/>
    </xf>
    <xf numFmtId="0" fontId="12" fillId="0" borderId="0" xfId="11" applyFont="1" applyAlignment="1">
      <alignment horizontal="left" vertical="top"/>
    </xf>
    <xf numFmtId="0" fontId="10" fillId="0" borderId="0" xfId="11" applyFont="1" applyAlignment="1">
      <alignment horizontal="left" vertical="top"/>
    </xf>
    <xf numFmtId="0" fontId="9" fillId="0" borderId="0" xfId="11" applyFont="1" applyAlignment="1">
      <alignment horizontal="left" vertical="top"/>
    </xf>
    <xf numFmtId="0" fontId="8" fillId="0" borderId="0" xfId="11" applyFont="1" applyAlignment="1">
      <alignment horizontal="left" vertical="top"/>
    </xf>
    <xf numFmtId="0" fontId="34" fillId="0" borderId="0" xfId="11" applyAlignment="1">
      <alignment horizontal="left" vertical="top"/>
    </xf>
    <xf numFmtId="0" fontId="4" fillId="0" borderId="0" xfId="11" applyFont="1"/>
    <xf numFmtId="0" fontId="3" fillId="0" borderId="0" xfId="11" applyFont="1" applyAlignment="1">
      <alignment horizontal="left" vertical="top"/>
    </xf>
    <xf numFmtId="0" fontId="2" fillId="0" borderId="0" xfId="11" applyFont="1"/>
    <xf numFmtId="14" fontId="8" fillId="0" borderId="0" xfId="11" applyNumberFormat="1" applyFont="1" applyAlignment="1">
      <alignment horizontal="left" vertical="top"/>
    </xf>
    <xf numFmtId="0" fontId="37" fillId="35" borderId="1" xfId="0" applyFont="1" applyFill="1" applyBorder="1" applyAlignment="1">
      <alignment horizontal="center" vertical="center" wrapText="1"/>
    </xf>
    <xf numFmtId="0" fontId="37" fillId="35" borderId="11" xfId="0" applyFont="1" applyFill="1" applyBorder="1" applyAlignment="1">
      <alignment horizontal="center" vertical="center" wrapText="1"/>
    </xf>
    <xf numFmtId="0" fontId="37" fillId="35" borderId="11" xfId="0" applyFont="1" applyFill="1" applyBorder="1" applyAlignment="1">
      <alignment vertical="center" wrapText="1"/>
    </xf>
    <xf numFmtId="14" fontId="37" fillId="35" borderId="11" xfId="0" applyNumberFormat="1" applyFont="1" applyFill="1" applyBorder="1" applyAlignment="1">
      <alignment horizontal="center" vertical="center" wrapText="1"/>
    </xf>
    <xf numFmtId="0" fontId="37" fillId="35" borderId="11" xfId="0" applyFont="1" applyFill="1" applyBorder="1" applyAlignment="1">
      <alignment horizontal="center" vertical="center"/>
    </xf>
    <xf numFmtId="0" fontId="37" fillId="0" borderId="11" xfId="0" applyFont="1" applyBorder="1" applyAlignment="1">
      <alignment horizontal="center" vertical="center"/>
    </xf>
    <xf numFmtId="0" fontId="37" fillId="36" borderId="11" xfId="0" applyFont="1" applyFill="1" applyBorder="1" applyAlignment="1">
      <alignment horizontal="center" vertical="center"/>
    </xf>
    <xf numFmtId="0" fontId="34" fillId="0" borderId="22" xfId="11" applyBorder="1"/>
    <xf numFmtId="0" fontId="34" fillId="0" borderId="23" xfId="11" applyBorder="1"/>
    <xf numFmtId="0" fontId="34" fillId="0" borderId="23" xfId="11" applyBorder="1" applyAlignment="1">
      <alignment horizontal="right"/>
    </xf>
    <xf numFmtId="0" fontId="1" fillId="0" borderId="0" xfId="11" applyFont="1"/>
    <xf numFmtId="0" fontId="1" fillId="0" borderId="23" xfId="11" applyFont="1" applyBorder="1" applyAlignment="1">
      <alignment horizontal="left"/>
    </xf>
    <xf numFmtId="0" fontId="84" fillId="0" borderId="0" xfId="3" applyFont="1" applyAlignment="1" applyProtection="1">
      <alignment horizontal="center" vertical="center" wrapText="1"/>
      <protection locked="0"/>
    </xf>
    <xf numFmtId="0" fontId="37" fillId="0" borderId="0" xfId="3" applyAlignment="1">
      <alignment vertical="center" wrapText="1"/>
    </xf>
    <xf numFmtId="0" fontId="75" fillId="16" borderId="2" xfId="3" applyFont="1" applyFill="1" applyBorder="1" applyAlignment="1" applyProtection="1">
      <alignment horizontal="center" vertical="center" shrinkToFit="1"/>
      <protection locked="0"/>
    </xf>
    <xf numFmtId="0" fontId="75" fillId="16" borderId="0" xfId="3" applyFont="1" applyFill="1" applyAlignment="1" applyProtection="1">
      <alignment horizontal="center" vertical="center" shrinkToFit="1"/>
      <protection locked="0"/>
    </xf>
    <xf numFmtId="0" fontId="75" fillId="16" borderId="3" xfId="3" applyFont="1" applyFill="1" applyBorder="1" applyAlignment="1" applyProtection="1">
      <alignment horizontal="center" vertical="center" shrinkToFit="1"/>
      <protection locked="0"/>
    </xf>
    <xf numFmtId="0" fontId="37" fillId="0" borderId="4" xfId="3" applyBorder="1" applyAlignment="1" applyProtection="1">
      <alignment horizontal="right" vertical="top" wrapText="1" shrinkToFit="1"/>
      <protection locked="0"/>
    </xf>
    <xf numFmtId="0" fontId="37" fillId="0" borderId="5" xfId="3" applyBorder="1" applyAlignment="1" applyProtection="1">
      <alignment horizontal="right" vertical="top" wrapText="1" shrinkToFit="1"/>
      <protection locked="0"/>
    </xf>
    <xf numFmtId="0" fontId="76" fillId="0" borderId="5" xfId="0" applyFont="1" applyBorder="1" applyAlignment="1" applyProtection="1">
      <alignment horizontal="left" vertical="top" wrapText="1" shrinkToFit="1"/>
      <protection locked="0"/>
    </xf>
    <xf numFmtId="0" fontId="76" fillId="0" borderId="6" xfId="0" applyFont="1" applyBorder="1" applyAlignment="1" applyProtection="1">
      <alignment horizontal="left" vertical="top" wrapText="1" shrinkToFit="1"/>
      <protection locked="0"/>
    </xf>
    <xf numFmtId="0" fontId="39" fillId="0" borderId="5" xfId="3" applyFont="1" applyBorder="1" applyAlignment="1" applyProtection="1">
      <alignment horizontal="left" vertical="top" wrapText="1" shrinkToFit="1"/>
      <protection locked="0"/>
    </xf>
    <xf numFmtId="0" fontId="78" fillId="0" borderId="5" xfId="3" applyFont="1" applyBorder="1" applyAlignment="1" applyProtection="1">
      <alignment horizontal="left" vertical="top" shrinkToFit="1"/>
      <protection locked="0"/>
    </xf>
    <xf numFmtId="0" fontId="78" fillId="0" borderId="6" xfId="3" applyFont="1" applyBorder="1" applyAlignment="1" applyProtection="1">
      <alignment horizontal="left" vertical="top" shrinkToFit="1"/>
      <protection locked="0"/>
    </xf>
    <xf numFmtId="0" fontId="75" fillId="16" borderId="7" xfId="3" applyFont="1" applyFill="1" applyBorder="1" applyAlignment="1" applyProtection="1">
      <alignment horizontal="center" vertical="center" shrinkToFit="1"/>
      <protection locked="0"/>
    </xf>
    <xf numFmtId="0" fontId="75" fillId="16" borderId="8" xfId="3" applyFont="1" applyFill="1" applyBorder="1" applyAlignment="1" applyProtection="1">
      <alignment horizontal="center" vertical="center" shrinkToFit="1"/>
      <protection locked="0"/>
    </xf>
    <xf numFmtId="0" fontId="75" fillId="16" borderId="9" xfId="3" applyFont="1" applyFill="1" applyBorder="1" applyAlignment="1" applyProtection="1">
      <alignment horizontal="center" vertical="center" shrinkToFit="1"/>
      <protection locked="0"/>
    </xf>
    <xf numFmtId="0" fontId="37" fillId="0" borderId="4" xfId="3" applyBorder="1" applyAlignment="1" applyProtection="1">
      <alignment horizontal="center" vertical="top" wrapText="1" shrinkToFit="1"/>
      <protection locked="0"/>
    </xf>
    <xf numFmtId="0" fontId="37" fillId="0" borderId="5" xfId="3" applyBorder="1" applyAlignment="1" applyProtection="1">
      <alignment horizontal="center" vertical="top" wrapText="1" shrinkToFit="1"/>
      <protection locked="0"/>
    </xf>
    <xf numFmtId="0" fontId="37" fillId="0" borderId="6" xfId="3" applyBorder="1" applyAlignment="1" applyProtection="1">
      <alignment horizontal="center" vertical="top" wrapText="1" shrinkToFit="1"/>
      <protection locked="0"/>
    </xf>
    <xf numFmtId="0" fontId="75" fillId="16" borderId="8" xfId="3" applyFont="1" applyFill="1" applyBorder="1" applyAlignment="1" applyProtection="1">
      <alignment horizontal="center" vertical="center" wrapText="1"/>
      <protection locked="0"/>
    </xf>
    <xf numFmtId="0" fontId="75" fillId="16" borderId="0" xfId="3" applyFont="1" applyFill="1" applyAlignment="1" applyProtection="1">
      <alignment horizontal="center" vertical="center" wrapText="1"/>
      <protection locked="0"/>
    </xf>
    <xf numFmtId="0" fontId="37" fillId="0" borderId="7" xfId="3" applyBorder="1" applyAlignment="1" applyProtection="1">
      <alignment horizontal="left" vertical="top"/>
      <protection locked="0"/>
    </xf>
    <xf numFmtId="0" fontId="37" fillId="0" borderId="8" xfId="3" applyBorder="1" applyAlignment="1" applyProtection="1">
      <alignment horizontal="left" vertical="top"/>
      <protection locked="0"/>
    </xf>
    <xf numFmtId="0" fontId="37" fillId="0" borderId="9" xfId="3" applyBorder="1" applyAlignment="1" applyProtection="1">
      <alignment horizontal="left" vertical="top"/>
      <protection locked="0"/>
    </xf>
    <xf numFmtId="0" fontId="37" fillId="0" borderId="4" xfId="3" applyBorder="1" applyAlignment="1" applyProtection="1">
      <alignment horizontal="left" vertical="top"/>
      <protection locked="0"/>
    </xf>
    <xf numFmtId="0" fontId="37" fillId="0" borderId="5" xfId="3" applyBorder="1" applyAlignment="1" applyProtection="1">
      <alignment horizontal="left" vertical="top"/>
      <protection locked="0"/>
    </xf>
    <xf numFmtId="0" fontId="37" fillId="0" borderId="6" xfId="3" applyBorder="1" applyAlignment="1" applyProtection="1">
      <alignment horizontal="left" vertical="top"/>
      <protection locked="0"/>
    </xf>
    <xf numFmtId="0" fontId="75" fillId="16" borderId="2" xfId="3" applyFont="1" applyFill="1" applyBorder="1" applyAlignment="1" applyProtection="1">
      <alignment horizontal="center" vertical="center" wrapText="1" shrinkToFit="1"/>
      <protection locked="0"/>
    </xf>
    <xf numFmtId="0" fontId="75" fillId="16" borderId="0" xfId="3" applyFont="1" applyFill="1" applyAlignment="1" applyProtection="1">
      <alignment horizontal="center" vertical="center" wrapText="1" shrinkToFit="1"/>
      <protection locked="0"/>
    </xf>
    <xf numFmtId="0" fontId="94" fillId="25" borderId="14" xfId="12" applyAlignment="1" applyProtection="1">
      <alignment horizontal="center" vertical="center"/>
      <protection locked="0"/>
    </xf>
    <xf numFmtId="0" fontId="42" fillId="0" borderId="7" xfId="3" applyFont="1" applyBorder="1" applyAlignment="1">
      <alignment horizontal="left" vertical="center" wrapText="1"/>
    </xf>
    <xf numFmtId="0" fontId="42" fillId="0" borderId="8" xfId="3" applyFont="1" applyBorder="1" applyAlignment="1">
      <alignment horizontal="left" vertical="center" wrapText="1"/>
    </xf>
    <xf numFmtId="0" fontId="42" fillId="0" borderId="9" xfId="3" applyFont="1" applyBorder="1" applyAlignment="1">
      <alignment horizontal="left" vertical="center" wrapText="1"/>
    </xf>
    <xf numFmtId="0" fontId="42" fillId="0" borderId="7" xfId="3" applyFont="1" applyBorder="1" applyAlignment="1">
      <alignment horizontal="left" vertical="center" shrinkToFit="1"/>
    </xf>
    <xf numFmtId="0" fontId="42" fillId="0" borderId="8" xfId="3" applyFont="1" applyBorder="1" applyAlignment="1">
      <alignment horizontal="left" vertical="center" shrinkToFit="1"/>
    </xf>
    <xf numFmtId="0" fontId="42" fillId="0" borderId="9" xfId="3" applyFont="1" applyBorder="1" applyAlignment="1">
      <alignment horizontal="left" vertical="center" shrinkToFit="1"/>
    </xf>
    <xf numFmtId="0" fontId="73" fillId="0" borderId="4" xfId="0" applyFont="1" applyBorder="1" applyAlignment="1">
      <alignment horizontal="left" vertical="center" shrinkToFit="1"/>
    </xf>
    <xf numFmtId="0" fontId="73" fillId="0" borderId="5" xfId="0" applyFont="1" applyBorder="1" applyAlignment="1">
      <alignment horizontal="left" vertical="center" shrinkToFit="1"/>
    </xf>
    <xf numFmtId="0" fontId="73" fillId="0" borderId="6" xfId="0" applyFont="1" applyBorder="1" applyAlignment="1">
      <alignment horizontal="left" vertical="center" shrinkToFit="1"/>
    </xf>
    <xf numFmtId="0" fontId="73" fillId="0" borderId="4" xfId="3" applyFont="1" applyBorder="1" applyAlignment="1">
      <alignment horizontal="left" vertical="center" shrinkToFit="1"/>
    </xf>
    <xf numFmtId="0" fontId="73" fillId="0" borderId="5" xfId="3" applyFont="1" applyBorder="1" applyAlignment="1">
      <alignment horizontal="left" vertical="center" shrinkToFit="1"/>
    </xf>
    <xf numFmtId="0" fontId="73" fillId="0" borderId="6" xfId="3" applyFont="1" applyBorder="1" applyAlignment="1">
      <alignment horizontal="left" vertical="center" shrinkToFit="1"/>
    </xf>
    <xf numFmtId="49" fontId="37" fillId="0" borderId="10" xfId="3" applyNumberFormat="1" applyBorder="1" applyAlignment="1" applyProtection="1">
      <alignment horizontal="center" vertical="center" wrapText="1"/>
      <protection locked="0"/>
    </xf>
    <xf numFmtId="49" fontId="37" fillId="0" borderId="19" xfId="3" applyNumberFormat="1" applyBorder="1" applyAlignment="1" applyProtection="1">
      <alignment horizontal="center" vertical="center" wrapText="1"/>
      <protection locked="0"/>
    </xf>
    <xf numFmtId="49" fontId="37" fillId="0" borderId="11" xfId="3" applyNumberFormat="1" applyBorder="1" applyAlignment="1" applyProtection="1">
      <alignment horizontal="center" vertical="center" wrapText="1"/>
      <protection locked="0"/>
    </xf>
    <xf numFmtId="0" fontId="37" fillId="0" borderId="10" xfId="3" applyBorder="1" applyAlignment="1">
      <alignment horizontal="left" vertical="center" wrapText="1"/>
    </xf>
    <xf numFmtId="0" fontId="37" fillId="0" borderId="19" xfId="3" applyBorder="1" applyAlignment="1">
      <alignment horizontal="left" vertical="center" wrapText="1"/>
    </xf>
    <xf numFmtId="0" fontId="37" fillId="0" borderId="11" xfId="3" applyBorder="1" applyAlignment="1">
      <alignment horizontal="left" vertical="center" wrapText="1"/>
    </xf>
    <xf numFmtId="0" fontId="68" fillId="0" borderId="10" xfId="2" applyBorder="1" applyAlignment="1">
      <alignment horizontal="left" vertical="center" wrapText="1"/>
    </xf>
    <xf numFmtId="49" fontId="37" fillId="0" borderId="1" xfId="3" applyNumberFormat="1" applyBorder="1" applyAlignment="1" applyProtection="1">
      <alignment horizontal="left" vertical="center" wrapText="1"/>
      <protection locked="0"/>
    </xf>
    <xf numFmtId="0" fontId="37" fillId="0" borderId="1" xfId="3" applyBorder="1" applyAlignment="1">
      <alignment horizontal="left" vertical="center" wrapText="1"/>
    </xf>
    <xf numFmtId="49" fontId="37" fillId="0" borderId="1" xfId="3" applyNumberFormat="1" applyBorder="1" applyAlignment="1" applyProtection="1">
      <alignment vertical="center" wrapText="1"/>
      <protection locked="0"/>
    </xf>
    <xf numFmtId="0" fontId="56" fillId="18" borderId="1" xfId="3" applyFont="1" applyFill="1" applyBorder="1" applyAlignment="1" applyProtection="1">
      <alignment horizontal="center" vertical="center" wrapText="1"/>
      <protection locked="0"/>
    </xf>
    <xf numFmtId="0" fontId="90" fillId="20" borderId="1" xfId="3" applyFont="1" applyFill="1" applyBorder="1" applyAlignment="1">
      <alignment horizontal="center" vertical="center" wrapText="1"/>
    </xf>
    <xf numFmtId="0" fontId="37" fillId="0" borderId="1" xfId="3" applyBorder="1" applyAlignment="1">
      <alignment horizontal="center" vertical="center" wrapText="1"/>
    </xf>
    <xf numFmtId="14" fontId="37" fillId="0" borderId="10" xfId="3" applyNumberFormat="1" applyBorder="1" applyAlignment="1" applyProtection="1">
      <alignment horizontal="left" vertical="center" wrapText="1"/>
      <protection locked="0"/>
    </xf>
    <xf numFmtId="14" fontId="37" fillId="0" borderId="19" xfId="3" applyNumberFormat="1" applyBorder="1" applyAlignment="1" applyProtection="1">
      <alignment horizontal="left" vertical="center" wrapText="1"/>
      <protection locked="0"/>
    </xf>
    <xf numFmtId="14" fontId="37" fillId="0" borderId="11" xfId="3" applyNumberFormat="1" applyBorder="1" applyAlignment="1" applyProtection="1">
      <alignment horizontal="left" vertical="center" wrapText="1"/>
      <protection locked="0"/>
    </xf>
    <xf numFmtId="49" fontId="37" fillId="0" borderId="1" xfId="3" applyNumberFormat="1" applyBorder="1" applyAlignment="1">
      <alignment horizontal="left" vertical="center" wrapText="1"/>
    </xf>
    <xf numFmtId="49" fontId="37" fillId="0" borderId="1" xfId="3" applyNumberFormat="1" applyBorder="1" applyAlignment="1" applyProtection="1">
      <alignment horizontal="center" vertical="center" wrapText="1"/>
      <protection locked="0"/>
    </xf>
    <xf numFmtId="49" fontId="37" fillId="0" borderId="1" xfId="3" applyNumberFormat="1" applyBorder="1" applyAlignment="1">
      <alignment horizontal="center" vertical="center" wrapText="1"/>
    </xf>
    <xf numFmtId="49" fontId="37" fillId="22" borderId="1" xfId="3" applyNumberFormat="1" applyFill="1" applyBorder="1" applyAlignment="1" applyProtection="1">
      <alignment horizontal="center" vertical="center" wrapText="1"/>
      <protection locked="0"/>
    </xf>
    <xf numFmtId="49" fontId="37" fillId="32" borderId="1" xfId="3" applyNumberFormat="1" applyFont="1" applyFill="1" applyBorder="1" applyAlignment="1" applyProtection="1">
      <alignment horizontal="center" vertical="center" wrapText="1"/>
      <protection locked="0"/>
    </xf>
    <xf numFmtId="49" fontId="70" fillId="24" borderId="1" xfId="3" applyNumberFormat="1" applyFont="1" applyFill="1" applyBorder="1" applyAlignment="1" applyProtection="1">
      <alignment horizontal="center" vertical="center" wrapText="1"/>
      <protection locked="0"/>
    </xf>
    <xf numFmtId="0" fontId="42" fillId="17" borderId="7" xfId="3" applyFont="1" applyFill="1" applyBorder="1" applyAlignment="1">
      <alignment horizontal="left" vertical="center" shrinkToFit="1"/>
    </xf>
    <xf numFmtId="0" fontId="42" fillId="17" borderId="8" xfId="3" applyFont="1" applyFill="1" applyBorder="1" applyAlignment="1">
      <alignment horizontal="left" vertical="center" shrinkToFit="1"/>
    </xf>
    <xf numFmtId="0" fontId="42" fillId="17" borderId="9" xfId="3" applyFont="1" applyFill="1" applyBorder="1" applyAlignment="1">
      <alignment horizontal="left" vertical="center" shrinkToFit="1"/>
    </xf>
    <xf numFmtId="0" fontId="74" fillId="17" borderId="4" xfId="3" applyFont="1" applyFill="1" applyBorder="1" applyAlignment="1">
      <alignment horizontal="left" vertical="center" shrinkToFit="1"/>
    </xf>
    <xf numFmtId="0" fontId="74" fillId="17" borderId="5" xfId="3" applyFont="1" applyFill="1" applyBorder="1" applyAlignment="1">
      <alignment horizontal="left" vertical="center" shrinkToFit="1"/>
    </xf>
    <xf numFmtId="0" fontId="74" fillId="17" borderId="6" xfId="3" applyFont="1" applyFill="1" applyBorder="1" applyAlignment="1">
      <alignment horizontal="left" vertical="center" shrinkToFit="1"/>
    </xf>
    <xf numFmtId="0" fontId="37" fillId="18" borderId="1" xfId="3" applyFill="1" applyBorder="1" applyAlignment="1" applyProtection="1">
      <alignment horizontal="center" vertical="center" wrapText="1"/>
      <protection locked="0"/>
    </xf>
    <xf numFmtId="49" fontId="37" fillId="19" borderId="1" xfId="3" applyNumberFormat="1" applyFill="1" applyBorder="1" applyAlignment="1" applyProtection="1">
      <alignment horizontal="center" vertical="center" wrapText="1"/>
      <protection locked="0"/>
    </xf>
    <xf numFmtId="0" fontId="42" fillId="17" borderId="7" xfId="3" applyFont="1" applyFill="1" applyBorder="1" applyAlignment="1">
      <alignment horizontal="left" vertical="center" wrapText="1"/>
    </xf>
    <xf numFmtId="0" fontId="42" fillId="17" borderId="8" xfId="3" applyFont="1" applyFill="1" applyBorder="1" applyAlignment="1">
      <alignment horizontal="left" vertical="center" wrapText="1"/>
    </xf>
    <xf numFmtId="0" fontId="42" fillId="17" borderId="9" xfId="3" applyFont="1" applyFill="1" applyBorder="1" applyAlignment="1">
      <alignment horizontal="left" vertical="center" wrapText="1"/>
    </xf>
    <xf numFmtId="0" fontId="73" fillId="17" borderId="4" xfId="3" applyFont="1" applyFill="1" applyBorder="1" applyAlignment="1">
      <alignment horizontal="left" vertical="center" shrinkToFit="1"/>
    </xf>
    <xf numFmtId="0" fontId="73" fillId="17" borderId="5" xfId="3" applyFont="1" applyFill="1" applyBorder="1" applyAlignment="1">
      <alignment horizontal="left" vertical="center" shrinkToFit="1"/>
    </xf>
    <xf numFmtId="0" fontId="73" fillId="17" borderId="6" xfId="3" applyFont="1" applyFill="1" applyBorder="1" applyAlignment="1">
      <alignment horizontal="left" vertical="center" shrinkToFit="1"/>
    </xf>
    <xf numFmtId="49" fontId="37" fillId="23" borderId="1" xfId="3" applyNumberFormat="1" applyFill="1" applyBorder="1" applyAlignment="1" applyProtection="1">
      <alignment horizontal="center" vertical="center" wrapText="1"/>
      <protection locked="0"/>
    </xf>
    <xf numFmtId="0" fontId="108" fillId="2" borderId="10" xfId="7" applyFont="1" applyFill="1" applyBorder="1" applyAlignment="1">
      <alignment horizontal="center" vertical="center"/>
    </xf>
    <xf numFmtId="0" fontId="108" fillId="2" borderId="19" xfId="7" applyFont="1" applyFill="1" applyBorder="1" applyAlignment="1">
      <alignment horizontal="center" vertical="center"/>
    </xf>
    <xf numFmtId="0" fontId="108" fillId="2" borderId="11" xfId="7" applyFont="1" applyFill="1" applyBorder="1" applyAlignment="1">
      <alignment horizontal="center" vertical="center"/>
    </xf>
    <xf numFmtId="0" fontId="44" fillId="2" borderId="10" xfId="7" applyFill="1" applyBorder="1" applyAlignment="1">
      <alignment horizontal="justify" vertical="center" wrapText="1"/>
    </xf>
    <xf numFmtId="0" fontId="44" fillId="2" borderId="19" xfId="7" applyFill="1" applyBorder="1" applyAlignment="1">
      <alignment horizontal="justify" vertical="center" wrapText="1"/>
    </xf>
    <xf numFmtId="0" fontId="44" fillId="2" borderId="11" xfId="7" applyFill="1" applyBorder="1" applyAlignment="1">
      <alignment horizontal="justify" vertical="center" wrapText="1"/>
    </xf>
    <xf numFmtId="0" fontId="38" fillId="21" borderId="2" xfId="0" applyFont="1" applyFill="1" applyBorder="1" applyAlignment="1">
      <alignment horizontal="center" vertical="top" textRotation="45"/>
    </xf>
    <xf numFmtId="0" fontId="38" fillId="9" borderId="2" xfId="0" applyFont="1" applyFill="1" applyBorder="1" applyAlignment="1">
      <alignment horizontal="center" vertical="center" textRotation="45"/>
    </xf>
    <xf numFmtId="0" fontId="45" fillId="3" borderId="7" xfId="7" applyFont="1" applyFill="1" applyBorder="1" applyAlignment="1">
      <alignment horizontal="center" vertical="distributed"/>
    </xf>
    <xf numFmtId="0" fontId="45" fillId="3" borderId="8" xfId="7" applyFont="1" applyFill="1" applyBorder="1" applyAlignment="1">
      <alignment horizontal="center" vertical="distributed"/>
    </xf>
    <xf numFmtId="0" fontId="45" fillId="3" borderId="9" xfId="7" applyFont="1" applyFill="1" applyBorder="1" applyAlignment="1">
      <alignment horizontal="center" vertical="distributed"/>
    </xf>
    <xf numFmtId="0" fontId="38" fillId="3" borderId="7" xfId="0" applyFont="1" applyFill="1" applyBorder="1" applyAlignment="1">
      <alignment horizontal="center" wrapText="1"/>
    </xf>
    <xf numFmtId="0" fontId="38" fillId="3" borderId="8" xfId="0" applyFont="1" applyFill="1" applyBorder="1" applyAlignment="1">
      <alignment horizontal="center" wrapText="1"/>
    </xf>
    <xf numFmtId="0" fontId="38" fillId="3" borderId="9" xfId="0" applyFont="1" applyFill="1" applyBorder="1" applyAlignment="1">
      <alignment horizontal="center" wrapText="1"/>
    </xf>
    <xf numFmtId="0" fontId="37" fillId="2" borderId="10" xfId="0" applyFont="1" applyFill="1" applyBorder="1" applyAlignment="1">
      <alignment horizontal="left" vertical="center" wrapText="1" shrinkToFit="1"/>
    </xf>
    <xf numFmtId="0" fontId="37" fillId="2" borderId="11" xfId="0" applyFont="1" applyFill="1" applyBorder="1" applyAlignment="1">
      <alignment horizontal="left" vertical="center" wrapText="1" shrinkToFit="1"/>
    </xf>
    <xf numFmtId="0" fontId="97" fillId="28" borderId="4" xfId="13" applyFont="1" applyFill="1" applyBorder="1" applyAlignment="1" applyProtection="1">
      <alignment horizontal="center" vertical="center" wrapText="1"/>
      <protection locked="0"/>
    </xf>
    <xf numFmtId="0" fontId="97" fillId="28" borderId="5" xfId="13" applyFont="1" applyFill="1" applyBorder="1" applyAlignment="1" applyProtection="1">
      <alignment horizontal="center" vertical="center" wrapText="1"/>
      <protection locked="0"/>
    </xf>
    <xf numFmtId="0" fontId="97" fillId="28" borderId="6" xfId="13" applyFont="1" applyFill="1" applyBorder="1" applyAlignment="1" applyProtection="1">
      <alignment horizontal="center" vertical="center" wrapText="1"/>
      <protection locked="0"/>
    </xf>
    <xf numFmtId="0" fontId="97" fillId="16" borderId="4" xfId="13" applyFont="1" applyFill="1" applyBorder="1" applyAlignment="1" applyProtection="1">
      <alignment horizontal="center" vertical="center" wrapText="1"/>
    </xf>
    <xf numFmtId="0" fontId="97" fillId="16" borderId="5" xfId="13" applyFont="1" applyFill="1" applyBorder="1" applyAlignment="1" applyProtection="1">
      <alignment horizontal="center" vertical="center" wrapText="1"/>
    </xf>
    <xf numFmtId="0" fontId="94" fillId="25" borderId="14" xfId="12" applyAlignment="1">
      <alignment horizontal="left" vertical="center"/>
    </xf>
    <xf numFmtId="0" fontId="47" fillId="8" borderId="5" xfId="0" applyFont="1" applyFill="1" applyBorder="1" applyAlignment="1">
      <alignment horizontal="center" vertical="center"/>
    </xf>
    <xf numFmtId="0" fontId="47" fillId="8" borderId="6" xfId="0" applyFont="1" applyFill="1" applyBorder="1" applyAlignment="1">
      <alignment horizontal="center" vertical="center"/>
    </xf>
    <xf numFmtId="0" fontId="102" fillId="28" borderId="10" xfId="2" applyFont="1" applyFill="1" applyBorder="1" applyAlignment="1" applyProtection="1">
      <alignment horizontal="center" vertical="center" wrapText="1"/>
      <protection locked="0"/>
    </xf>
    <xf numFmtId="0" fontId="102" fillId="28" borderId="11" xfId="2" applyFont="1" applyFill="1" applyBorder="1" applyAlignment="1" applyProtection="1">
      <alignment horizontal="center" vertical="center" wrapText="1"/>
      <protection locked="0"/>
    </xf>
    <xf numFmtId="0" fontId="34" fillId="0" borderId="23" xfId="11" applyBorder="1" applyAlignment="1">
      <alignment horizontal="left"/>
    </xf>
  </cellXfs>
  <cellStyles count="35">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729">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val="0"/>
        <i val="0"/>
        <strike val="0"/>
        <condense val="0"/>
        <extend val="0"/>
        <outline val="0"/>
        <shadow val="0"/>
        <u val="none"/>
        <vertAlign val="baseline"/>
        <sz val="11"/>
        <color theme="1"/>
        <name val="Calibri"/>
        <family val="2"/>
        <scheme val="minor"/>
      </font>
      <alignment horizontal="left" vertical="top" textRotation="0" indent="0" justifyLastLine="0" shrinkToFit="0" readingOrder="0"/>
    </dxf>
    <dxf>
      <alignment horizontal="left" vertical="top" textRotation="0" indent="0" justifyLastLine="0" shrinkToFit="0" readingOrder="0"/>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18</c:v>
                </c:pt>
                <c:pt idx="1">
                  <c:v>4</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5</c:v>
                </c:pt>
                <c:pt idx="3">
                  <c:v>0</c:v>
                </c:pt>
                <c:pt idx="4">
                  <c:v>9</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14</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ucian.ardel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v>971</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cell r="BM75" t="str">
            <v>AEF1128 - MM Checklists.xlsm</v>
          </cell>
          <cell r="BO75" t="str">
            <v>delete this row</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cell r="BJ76" t="str">
            <v>Released</v>
          </cell>
          <cell r="BM76" t="str">
            <v>AEF1128 - Major Milestones (MM) checklists.xlsm</v>
          </cell>
          <cell r="BO76" t="str">
            <v>MM</v>
          </cell>
        </row>
        <row r="77">
          <cell r="AI77" t="str">
            <v>Mechanical</v>
          </cell>
          <cell r="AJ77" t="str">
            <v>ME</v>
          </cell>
          <cell r="AL77" t="str">
            <v>Milestone</v>
          </cell>
          <cell r="AM77" t="str">
            <v>M</v>
          </cell>
          <cell r="AO77" t="str">
            <v>swM2 - Qualification execution</v>
          </cell>
          <cell r="AR77" t="str">
            <v>Construction</v>
          </cell>
          <cell r="AS77" t="str">
            <v>COD</v>
          </cell>
          <cell r="AU77" t="str">
            <v>Integration test plan (SW/SYS)</v>
          </cell>
          <cell r="BA77" t="str">
            <v>Low</v>
          </cell>
          <cell r="BM77" t="str">
            <v>TEM479 - System and software milestones checklist.xlsm</v>
          </cell>
          <cell r="BO77" t="str">
            <v>sysM</v>
          </cell>
        </row>
        <row r="78">
          <cell r="AI78" t="str">
            <v>Product</v>
          </cell>
          <cell r="AJ78" t="str">
            <v>PD</v>
          </cell>
          <cell r="AO78" t="str">
            <v>swM3 - End of release</v>
          </cell>
          <cell r="AR78" t="str">
            <v>Delivery and release</v>
          </cell>
          <cell r="AS78" t="str">
            <v>DLV</v>
          </cell>
          <cell r="AU78" t="str">
            <v>Integration tests specifications and report</v>
          </cell>
          <cell r="BO78" t="str">
            <v>swM</v>
          </cell>
        </row>
        <row r="79">
          <cell r="AI79" t="str">
            <v>Project</v>
          </cell>
          <cell r="AJ79" t="str">
            <v>PJ</v>
          </cell>
          <cell r="AO79" t="str">
            <v>swM3 - End of release</v>
          </cell>
          <cell r="AR79" t="str">
            <v>Design</v>
          </cell>
          <cell r="AS79" t="str">
            <v>DSG</v>
          </cell>
          <cell r="AU79" t="str">
            <v>Model-Based Design</v>
          </cell>
          <cell r="BO79" t="str">
            <v>saM</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I83" t="str">
            <v>Software</v>
          </cell>
          <cell r="AJ83" t="str">
            <v>SW</v>
          </cell>
          <cell r="AO83" t="str">
            <v>sysMR - End of release</v>
          </cell>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O90" t="str">
            <v>Major milestone 3.2</v>
          </cell>
          <cell r="AR90" t="str">
            <v>Unit verification</v>
          </cell>
          <cell r="AS90" t="str">
            <v>UV</v>
          </cell>
          <cell r="AU90" t="str">
            <v>System architecture</v>
          </cell>
        </row>
        <row r="91">
          <cell r="AO91" t="str">
            <v>FUSA - Safety Milestone for TG1</v>
          </cell>
          <cell r="AR91" t="str">
            <v>Unit verification</v>
          </cell>
          <cell r="AS91" t="str">
            <v>UV</v>
          </cell>
          <cell r="AU91" t="str">
            <v>Unit Test specifications and report</v>
          </cell>
        </row>
        <row r="92">
          <cell r="AO92" t="str">
            <v>FUSA - Safety Milestone for MM2.1</v>
          </cell>
          <cell r="AU92" t="str">
            <v>Unit Test specifications and report</v>
          </cell>
        </row>
        <row r="93">
          <cell r="AO93" t="str">
            <v>FUSA -Safety Milestone for TG2</v>
          </cell>
        </row>
        <row r="94">
          <cell r="AO94" t="str">
            <v>FUSA - Safety Milestone for TG3</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3" totalsRowShown="0" headerRowDxfId="728" headerRowBorderDxfId="727" tableBorderDxfId="726" headerRowCellStyle="40% - Accent5" dataCellStyle="Normal 4">
  <autoFilter ref="A2:O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DxfId="725" dataCellStyle="Normal 4"/>
    <tableColumn id="4" xr3:uid="{7CAB5B69-9FD6-4BE7-A3E1-3148F51E8C55}" name="Due date" dataDxfId="724" dataCellStyle="Normal 4"/>
    <tableColumn id="5" xr3:uid="{A7E8DB5D-2E5B-4D50-802A-7373C2649DB9}" name="Effort (in mn)" dataCellStyle="Calculation">
      <calculatedColumnFormula>SUM(F3:O3)</calculatedColumnFormula>
    </tableColumn>
    <tableColumn id="6" xr3:uid="{DD9655BE-E53F-4CA5-885B-7FC10F8D2395}" name="VCH" dataCellStyle="Normal 4"/>
    <tableColumn id="7" xr3:uid="{525D8884-0C8A-4478-BF05-7E1372CD45F9}" name="CAL" dataCellStyle="Normal 4"/>
    <tableColumn id="8" xr3:uid="{967B83B5-4BDD-455D-9479-4517937966AE}" name="GBR" dataCellStyle="Normal 4"/>
    <tableColumn id="9" xr3:uid="{B1B837F4-0787-4CAA-BD5D-A6B2F7E9368A}" name="VPO" dataCellStyle="Normal 4"/>
    <tableColumn id="10" xr3:uid="{4B029EAF-CE65-4128-A016-A786C51E5D01}" name="LAR" dataCellStyle="Normal 4"/>
    <tableColumn id="11" xr3:uid="{5B3D026C-0D6F-4D5D-949A-921EED9750D8}" name="IRE" dataCellStyle="Normal 4"/>
    <tableColumn id="12" xr3:uid="{F47E4945-FC46-4596-99F8-6868803682F5}" name="DDU" dataCellStyle="Normal 4"/>
    <tableColumn id="13" xr3:uid="{5139BD5E-7132-4168-905C-F6084CD7F3D0}" name="NAA"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E8" sqref="AE8"/>
    </sheetView>
  </sheetViews>
  <sheetFormatPr defaultColWidth="0" defaultRowHeight="12.75" customHeight="1" zeroHeight="1"/>
  <cols>
    <col min="1" max="3" width="2.85546875" style="106" customWidth="1"/>
    <col min="4" max="4" width="3.28515625" style="106" customWidth="1"/>
    <col min="5" max="33" width="2.85546875" style="106" customWidth="1"/>
    <col min="34" max="34" width="1.28515625" style="106" customWidth="1"/>
    <col min="35" max="60" width="3.28515625" style="106" hidden="1" customWidth="1"/>
    <col min="61" max="16384" width="0" style="106" hidden="1"/>
  </cols>
  <sheetData>
    <row r="1" spans="1:37" s="96" customFormat="1">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c r="AI1" s="100"/>
      <c r="AJ1" s="100"/>
      <c r="AK1" s="100"/>
    </row>
    <row r="2" spans="1:37" s="96" customFormat="1"/>
    <row r="3" spans="1:37" s="96" customFormat="1">
      <c r="AD3" s="101" t="s">
        <v>369</v>
      </c>
    </row>
    <row r="4" spans="1:37" s="96" customFormat="1" ht="11.1" customHeight="1">
      <c r="A4" s="279" t="s">
        <v>5</v>
      </c>
      <c r="B4" s="280"/>
      <c r="C4" s="280"/>
      <c r="D4" s="280"/>
      <c r="E4" s="280"/>
      <c r="F4" s="280"/>
      <c r="G4" s="280"/>
      <c r="H4" s="280"/>
      <c r="I4" s="280"/>
      <c r="J4" s="280"/>
      <c r="K4" s="280"/>
      <c r="L4" s="280"/>
      <c r="M4" s="280"/>
      <c r="N4" s="280"/>
      <c r="O4" s="280"/>
      <c r="P4" s="280"/>
      <c r="Q4" s="281"/>
      <c r="R4" s="276" t="s">
        <v>12</v>
      </c>
      <c r="S4" s="277"/>
      <c r="T4" s="277"/>
      <c r="U4" s="277"/>
      <c r="V4" s="278"/>
      <c r="W4" s="276" t="s">
        <v>6</v>
      </c>
      <c r="X4" s="277"/>
      <c r="Y4" s="277"/>
      <c r="Z4" s="277"/>
      <c r="AA4" s="278"/>
      <c r="AB4" s="279" t="s">
        <v>136</v>
      </c>
      <c r="AC4" s="280"/>
      <c r="AD4" s="280"/>
      <c r="AE4" s="280"/>
      <c r="AF4" s="280"/>
      <c r="AG4" s="281"/>
      <c r="AH4" s="102"/>
      <c r="AI4" s="102"/>
      <c r="AJ4" s="102"/>
    </row>
    <row r="5" spans="1:37" s="103" customFormat="1" ht="12.75" customHeight="1">
      <c r="A5" s="282" t="str">
        <f ca="1" xml:space="preserve"> IFERROR(IF([3]!alvDocProperty("MXAuthority")="","272502 VW VWA VN 41S1_NAR EL SB",[3]!alvDocProperty("MXAuthority")),"272502 VW VWA VN 41S1_NAR EL SB")</f>
        <v>272502 VW VWA VN 41S1_NAR EL SB</v>
      </c>
      <c r="B5" s="283"/>
      <c r="C5" s="283"/>
      <c r="D5" s="283"/>
      <c r="E5" s="283"/>
      <c r="F5" s="283"/>
      <c r="G5" s="283"/>
      <c r="H5" s="283"/>
      <c r="I5" s="283"/>
      <c r="J5" s="283"/>
      <c r="K5" s="283"/>
      <c r="L5" s="283"/>
      <c r="M5" s="283"/>
      <c r="N5" s="283"/>
      <c r="O5" s="283"/>
      <c r="P5" s="283"/>
      <c r="Q5" s="284"/>
      <c r="R5" s="282" t="s">
        <v>376</v>
      </c>
      <c r="S5" s="283"/>
      <c r="T5" s="283"/>
      <c r="U5" s="283"/>
      <c r="V5" s="284"/>
      <c r="W5" s="282" t="str">
        <f ca="1" xml:space="preserve"> IFERROR(IF([3]!alvDocProperty("MXCurrent.Localized")="","Template released",[3]!alvDocProperty("MXCurrent.Localized")),"Template released")</f>
        <v>Template released</v>
      </c>
      <c r="X5" s="283"/>
      <c r="Y5" s="283"/>
      <c r="Z5" s="283"/>
      <c r="AA5" s="284"/>
      <c r="AB5" s="282" t="str">
        <f ca="1" xml:space="preserve"> IFERROR(IF([3]!alvDocProperty("MXActual_state_Released")="","2022-07",[3]!alvDocProperty("MXActual_state_Released")),"2022-07")</f>
        <v>2022-07</v>
      </c>
      <c r="AC5" s="283"/>
      <c r="AD5" s="283"/>
      <c r="AE5" s="283"/>
      <c r="AF5" s="283"/>
      <c r="AG5" s="284"/>
    </row>
    <row r="6" spans="1:37" s="96" customFormat="1" ht="11.1" customHeight="1">
      <c r="A6" s="276" t="s">
        <v>7</v>
      </c>
      <c r="B6" s="277"/>
      <c r="C6" s="277"/>
      <c r="D6" s="278"/>
      <c r="E6" s="276" t="s">
        <v>8</v>
      </c>
      <c r="F6" s="277"/>
      <c r="G6" s="277"/>
      <c r="H6" s="277"/>
      <c r="I6" s="277"/>
      <c r="J6" s="277"/>
      <c r="K6" s="277"/>
      <c r="L6" s="277"/>
      <c r="M6" s="277"/>
      <c r="N6" s="277"/>
      <c r="O6" s="277"/>
      <c r="P6" s="277"/>
      <c r="Q6" s="277"/>
      <c r="R6" s="277"/>
      <c r="S6" s="277"/>
      <c r="T6" s="277"/>
      <c r="U6" s="277"/>
      <c r="V6" s="278"/>
      <c r="W6" s="279" t="s">
        <v>10</v>
      </c>
      <c r="X6" s="280"/>
      <c r="Y6" s="280"/>
      <c r="Z6" s="280"/>
      <c r="AA6" s="281"/>
      <c r="AB6" s="276" t="s">
        <v>34</v>
      </c>
      <c r="AC6" s="277"/>
      <c r="AD6" s="278"/>
      <c r="AE6" s="276" t="s">
        <v>9</v>
      </c>
      <c r="AF6" s="277"/>
      <c r="AG6" s="278"/>
    </row>
    <row r="7" spans="1:37" s="103" customFormat="1" ht="12.75" customHeight="1">
      <c r="A7" s="282" t="str">
        <f ca="1" xml:space="preserve"> IFERROR(IF([3]!alvDocProperty("MXName")="","TBD",[3]!alvDocProperty("MXName")),"TBD")</f>
        <v>TBD</v>
      </c>
      <c r="B7" s="283"/>
      <c r="C7" s="283"/>
      <c r="D7" s="284"/>
      <c r="E7" s="282" t="str">
        <f ca="1" xml:space="preserve"> IFERROR(IF([3]!alvDocProperty("MXTitle")="","SpiIf - Peer Review Workbook (PRWB)",[3]!alvDocProperty("MXTitle")),"SpiIf - Peer Review Workbook (PRWB)")</f>
        <v>SpiIf - Peer Review Workbook (PRWB)</v>
      </c>
      <c r="F7" s="283"/>
      <c r="G7" s="283"/>
      <c r="H7" s="283"/>
      <c r="I7" s="283"/>
      <c r="J7" s="283"/>
      <c r="K7" s="283"/>
      <c r="L7" s="283"/>
      <c r="M7" s="283"/>
      <c r="N7" s="283"/>
      <c r="O7" s="283"/>
      <c r="P7" s="283"/>
      <c r="Q7" s="283"/>
      <c r="R7" s="283"/>
      <c r="S7" s="283"/>
      <c r="T7" s="283"/>
      <c r="U7" s="283"/>
      <c r="V7" s="284"/>
      <c r="W7" s="285" t="str">
        <f ca="1" xml:space="preserve"> IFERROR(IF([3]!alvDocProperty("MXDocTemplate_Name")="","AEF1007",[3]!alvDocProperty("MXDocTemplate_Name")),"AEF1007")</f>
        <v>AEF1007</v>
      </c>
      <c r="X7" s="286"/>
      <c r="Y7" s="286"/>
      <c r="Z7" s="286"/>
      <c r="AA7" s="287"/>
      <c r="AB7" s="282" t="str">
        <f ca="1" xml:space="preserve"> IFERROR(IF([3]!alvDocProperty("MXRevision")="","TBD",[3]!alvDocProperty("MXRevision")),"TBD")</f>
        <v>TBD</v>
      </c>
      <c r="AC7" s="283"/>
      <c r="AD7" s="284"/>
      <c r="AE7" s="282">
        <v>1.3</v>
      </c>
      <c r="AF7" s="283"/>
      <c r="AG7" s="284"/>
    </row>
    <row r="8" spans="1:37" s="103" customFormat="1">
      <c r="A8" s="104"/>
      <c r="B8" s="104"/>
      <c r="C8" s="104"/>
      <c r="D8" s="104"/>
      <c r="E8" s="104"/>
      <c r="F8" s="104"/>
      <c r="G8" s="104"/>
      <c r="H8" s="104"/>
      <c r="I8" s="104"/>
      <c r="J8" s="104"/>
      <c r="K8" s="104"/>
      <c r="L8" s="104"/>
      <c r="M8" s="104"/>
      <c r="N8" s="104"/>
      <c r="O8" s="104"/>
      <c r="P8" s="104"/>
      <c r="Q8" s="104"/>
      <c r="R8" s="104"/>
      <c r="S8" s="104"/>
      <c r="T8" s="104"/>
      <c r="U8" s="104"/>
      <c r="V8" s="104"/>
      <c r="W8" s="105"/>
      <c r="X8" s="105"/>
      <c r="Y8" s="105"/>
      <c r="Z8" s="105"/>
      <c r="AA8" s="105"/>
      <c r="AB8" s="104"/>
      <c r="AC8" s="104"/>
      <c r="AD8" s="104"/>
      <c r="AE8" s="104"/>
      <c r="AF8" s="104"/>
      <c r="AG8" s="104"/>
    </row>
    <row r="9" spans="1:37" ht="11.1" customHeight="1">
      <c r="A9" s="249" t="s">
        <v>60</v>
      </c>
      <c r="B9" s="250"/>
      <c r="C9" s="250"/>
      <c r="D9" s="250"/>
      <c r="E9" s="250"/>
      <c r="F9" s="250"/>
      <c r="G9" s="250"/>
      <c r="H9" s="250"/>
      <c r="I9" s="250"/>
      <c r="J9" s="250"/>
      <c r="K9" s="251"/>
      <c r="L9" s="249" t="s">
        <v>12</v>
      </c>
      <c r="M9" s="250"/>
      <c r="N9" s="250"/>
      <c r="O9" s="250"/>
      <c r="P9" s="250"/>
      <c r="Q9" s="250"/>
      <c r="R9" s="250"/>
      <c r="S9" s="250"/>
      <c r="T9" s="250"/>
      <c r="U9" s="250"/>
      <c r="V9" s="251"/>
      <c r="W9" s="249" t="s">
        <v>17</v>
      </c>
      <c r="X9" s="250"/>
      <c r="Y9" s="250"/>
      <c r="Z9" s="250"/>
      <c r="AA9" s="250"/>
      <c r="AB9" s="250"/>
      <c r="AC9" s="250"/>
      <c r="AD9" s="250"/>
      <c r="AE9" s="250"/>
      <c r="AF9" s="250"/>
      <c r="AG9" s="251"/>
    </row>
    <row r="10" spans="1:37" s="107" customFormat="1" ht="39" customHeight="1">
      <c r="A10" s="252" t="s">
        <v>137</v>
      </c>
      <c r="B10" s="253"/>
      <c r="C10" s="253"/>
      <c r="D10" s="253"/>
      <c r="E10" s="253"/>
      <c r="F10" s="254" t="str">
        <f ca="1" xml:space="preserve"> IFERROR(IF([3]!alvDocProperty("MXUser")="","Vlad Chioveanu",[3]!alvDocProperty("MXUser")),"Vlad Chioveanu")</f>
        <v>Vlad Chioveanu</v>
      </c>
      <c r="G10" s="254"/>
      <c r="H10" s="254"/>
      <c r="I10" s="254"/>
      <c r="J10" s="254"/>
      <c r="K10" s="255"/>
      <c r="L10" s="256" t="s">
        <v>138</v>
      </c>
      <c r="M10" s="257"/>
      <c r="N10" s="257"/>
      <c r="O10" s="257"/>
      <c r="P10" s="257"/>
      <c r="Q10" s="257"/>
      <c r="R10" s="257"/>
      <c r="S10" s="257"/>
      <c r="T10" s="257"/>
      <c r="U10" s="257"/>
      <c r="V10" s="258"/>
      <c r="W10" s="256" t="s">
        <v>138</v>
      </c>
      <c r="X10" s="257"/>
      <c r="Y10" s="257"/>
      <c r="Z10" s="257"/>
      <c r="AA10" s="257"/>
      <c r="AB10" s="257"/>
      <c r="AC10" s="257"/>
      <c r="AD10" s="257"/>
      <c r="AE10" s="257"/>
      <c r="AF10" s="257"/>
      <c r="AG10" s="258"/>
    </row>
    <row r="11" spans="1:37" s="107" customFormat="1" ht="4.5" customHeight="1">
      <c r="A11" s="108"/>
      <c r="B11" s="109"/>
      <c r="C11" s="109"/>
      <c r="D11" s="109"/>
      <c r="E11" s="109"/>
      <c r="F11" s="109"/>
      <c r="G11" s="109"/>
      <c r="H11" s="109"/>
      <c r="I11" s="109"/>
      <c r="J11" s="109"/>
      <c r="K11" s="109"/>
      <c r="L11" s="110"/>
      <c r="M11" s="109"/>
      <c r="N11" s="109"/>
      <c r="O11" s="109"/>
      <c r="P11" s="109"/>
      <c r="Q11" s="109"/>
      <c r="R11" s="109"/>
      <c r="S11" s="109"/>
      <c r="T11" s="109"/>
      <c r="U11" s="109"/>
      <c r="V11" s="109"/>
      <c r="W11" s="110"/>
      <c r="X11" s="109"/>
      <c r="Y11" s="109"/>
      <c r="Z11" s="109"/>
      <c r="AA11" s="109"/>
      <c r="AB11" s="109"/>
      <c r="AC11" s="109"/>
      <c r="AD11" s="109"/>
      <c r="AE11" s="109"/>
      <c r="AF11" s="109"/>
      <c r="AG11" s="111"/>
    </row>
    <row r="12" spans="1:37" ht="11.1" customHeight="1">
      <c r="A12" s="259" t="s">
        <v>139</v>
      </c>
      <c r="B12" s="260"/>
      <c r="C12" s="260"/>
      <c r="D12" s="260"/>
      <c r="E12" s="260"/>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c r="AE12" s="260"/>
      <c r="AF12" s="260"/>
      <c r="AG12" s="261"/>
    </row>
    <row r="13" spans="1:37" s="107" customFormat="1" ht="28.5" customHeight="1">
      <c r="A13" s="262" t="s">
        <v>140</v>
      </c>
      <c r="B13" s="263"/>
      <c r="C13" s="263"/>
      <c r="D13" s="263"/>
      <c r="E13" s="263"/>
      <c r="F13" s="263"/>
      <c r="G13" s="263"/>
      <c r="H13" s="263"/>
      <c r="I13" s="263"/>
      <c r="J13" s="263"/>
      <c r="K13" s="263"/>
      <c r="L13" s="263"/>
      <c r="M13" s="263"/>
      <c r="N13" s="263"/>
      <c r="O13" s="263"/>
      <c r="P13" s="263"/>
      <c r="Q13" s="263"/>
      <c r="R13" s="263"/>
      <c r="S13" s="263"/>
      <c r="T13" s="263"/>
      <c r="U13" s="263"/>
      <c r="V13" s="263"/>
      <c r="W13" s="263"/>
      <c r="X13" s="263"/>
      <c r="Y13" s="263"/>
      <c r="Z13" s="263"/>
      <c r="AA13" s="263"/>
      <c r="AB13" s="263"/>
      <c r="AC13" s="263"/>
      <c r="AD13" s="263"/>
      <c r="AE13" s="263"/>
      <c r="AF13" s="263"/>
      <c r="AG13" s="264"/>
    </row>
    <row r="14" spans="1:37" s="107" customFormat="1" ht="4.5" customHeight="1">
      <c r="A14" s="110"/>
      <c r="B14" s="109"/>
      <c r="C14" s="109"/>
      <c r="D14" s="109"/>
      <c r="E14" s="109"/>
      <c r="F14" s="109"/>
      <c r="G14" s="109"/>
      <c r="H14" s="109"/>
      <c r="I14" s="109"/>
      <c r="J14" s="109"/>
      <c r="K14" s="109"/>
      <c r="L14" s="110"/>
      <c r="M14" s="109"/>
      <c r="N14" s="109"/>
      <c r="O14" s="109"/>
      <c r="P14" s="109"/>
      <c r="Q14" s="109"/>
      <c r="R14" s="109"/>
      <c r="S14" s="109"/>
      <c r="T14" s="109"/>
      <c r="U14" s="109"/>
      <c r="V14" s="109"/>
      <c r="W14" s="110"/>
      <c r="X14" s="109"/>
      <c r="Y14" s="109"/>
      <c r="Z14" s="109"/>
      <c r="AA14" s="109"/>
      <c r="AB14" s="109"/>
      <c r="AC14" s="109"/>
      <c r="AD14" s="109"/>
      <c r="AE14" s="109"/>
      <c r="AF14" s="109"/>
      <c r="AG14" s="109"/>
    </row>
    <row r="15" spans="1:37" ht="37.5" customHeight="1">
      <c r="A15" s="265" t="s">
        <v>141</v>
      </c>
      <c r="B15" s="265"/>
      <c r="C15" s="265"/>
      <c r="D15" s="265"/>
      <c r="E15" s="267"/>
      <c r="F15" s="268"/>
      <c r="G15" s="268"/>
      <c r="H15" s="268"/>
      <c r="I15" s="268"/>
      <c r="J15" s="268"/>
      <c r="K15" s="268"/>
      <c r="L15" s="268"/>
      <c r="M15" s="268"/>
      <c r="N15" s="268"/>
      <c r="O15" s="268"/>
      <c r="P15" s="268"/>
      <c r="Q15" s="268"/>
      <c r="R15" s="268"/>
      <c r="S15" s="268"/>
      <c r="T15" s="268"/>
      <c r="U15" s="268"/>
      <c r="V15" s="268"/>
      <c r="W15" s="268"/>
      <c r="X15" s="268"/>
      <c r="Y15" s="268"/>
      <c r="Z15" s="268"/>
      <c r="AA15" s="268"/>
      <c r="AB15" s="268"/>
      <c r="AC15" s="268"/>
      <c r="AD15" s="268"/>
      <c r="AE15" s="268"/>
      <c r="AF15" s="268"/>
      <c r="AG15" s="269"/>
    </row>
    <row r="16" spans="1:37" ht="37.5" customHeight="1">
      <c r="A16" s="266"/>
      <c r="B16" s="266"/>
      <c r="C16" s="266"/>
      <c r="D16" s="266"/>
      <c r="E16" s="270"/>
      <c r="F16" s="271"/>
      <c r="G16" s="271"/>
      <c r="H16" s="271"/>
      <c r="I16" s="271"/>
      <c r="J16" s="271"/>
      <c r="K16" s="271"/>
      <c r="L16" s="271"/>
      <c r="M16" s="271"/>
      <c r="N16" s="271"/>
      <c r="O16" s="271"/>
      <c r="P16" s="271"/>
      <c r="Q16" s="271"/>
      <c r="R16" s="271"/>
      <c r="S16" s="271"/>
      <c r="T16" s="271"/>
      <c r="U16" s="271"/>
      <c r="V16" s="271"/>
      <c r="W16" s="271"/>
      <c r="X16" s="271"/>
      <c r="Y16" s="271"/>
      <c r="Z16" s="271"/>
      <c r="AA16" s="271"/>
      <c r="AB16" s="271"/>
      <c r="AC16" s="271"/>
      <c r="AD16" s="271"/>
      <c r="AE16" s="271"/>
      <c r="AF16" s="271"/>
      <c r="AG16" s="272"/>
    </row>
    <row r="17" spans="1:33">
      <c r="A17" s="112"/>
    </row>
    <row r="18" spans="1:33" ht="26.25" customHeight="1">
      <c r="A18" s="273" t="s">
        <v>291</v>
      </c>
      <c r="B18" s="274"/>
      <c r="C18" s="274"/>
      <c r="D18" s="274"/>
      <c r="E18" s="275" t="s">
        <v>290</v>
      </c>
      <c r="F18" s="275"/>
      <c r="G18" s="275"/>
      <c r="H18" s="275"/>
      <c r="I18" s="275"/>
      <c r="J18" s="275"/>
      <c r="K18" s="275"/>
      <c r="L18" s="275"/>
      <c r="M18" s="275"/>
      <c r="N18" s="275"/>
      <c r="O18" s="275"/>
      <c r="P18" s="275"/>
    </row>
    <row r="19" spans="1:33"/>
    <row r="20" spans="1:33"/>
    <row r="21" spans="1:33" ht="15.75" customHeight="1">
      <c r="Q21" s="113"/>
    </row>
    <row r="22" spans="1:33" ht="12" customHeight="1">
      <c r="Q22" s="113"/>
    </row>
    <row r="23" spans="1:33" ht="60" customHeight="1">
      <c r="A23" s="247" t="str">
        <f ca="1">MXTitle</f>
        <v>SpiIf - Peer Review Workbook (PRWB)</v>
      </c>
      <c r="B23" s="248"/>
      <c r="C23" s="248"/>
      <c r="D23" s="248"/>
      <c r="E23" s="248"/>
      <c r="F23" s="248"/>
      <c r="G23" s="248"/>
      <c r="H23" s="248"/>
      <c r="I23" s="248"/>
      <c r="J23" s="248"/>
      <c r="K23" s="248"/>
      <c r="L23" s="248"/>
      <c r="M23" s="248"/>
      <c r="N23" s="248"/>
      <c r="O23" s="248"/>
      <c r="P23" s="248"/>
      <c r="Q23" s="248"/>
      <c r="R23" s="248"/>
      <c r="S23" s="248"/>
      <c r="T23" s="248"/>
      <c r="U23" s="248"/>
      <c r="V23" s="248"/>
      <c r="W23" s="248"/>
      <c r="X23" s="248"/>
      <c r="Y23" s="248"/>
      <c r="Z23" s="248"/>
      <c r="AA23" s="248"/>
      <c r="AB23" s="248"/>
      <c r="AC23" s="248"/>
      <c r="AD23" s="248"/>
      <c r="AE23" s="248"/>
      <c r="AF23" s="248"/>
      <c r="AG23" s="248"/>
    </row>
    <row r="24" spans="1:33" ht="25.5">
      <c r="Q24" s="113"/>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91" type="noConversion"/>
  <conditionalFormatting sqref="W5">
    <cfRule type="cellIs" dxfId="723" priority="21" operator="equal">
      <formula>"draft"</formula>
    </cfRule>
  </conditionalFormatting>
  <conditionalFormatting sqref="W5:AA5">
    <cfRule type="cellIs" dxfId="722" priority="1" operator="equal">
      <formula>"In-Work"</formula>
    </cfRule>
    <cfRule type="cellIs" dxfId="721" priority="2" stopIfTrue="1" operator="equal">
      <formula>"draft"</formula>
    </cfRule>
    <cfRule type="cellIs" dxfId="720" priority="3" operator="equal">
      <formula>"In-Work"</formula>
    </cfRule>
    <cfRule type="cellIs" dxfId="719" priority="4" stopIfTrue="1" operator="equal">
      <formula>"draft"</formula>
    </cfRule>
    <cfRule type="cellIs" dxfId="718" priority="5" operator="equal">
      <formula>"In-Work"</formula>
    </cfRule>
    <cfRule type="cellIs" dxfId="717" priority="6" stopIfTrue="1" operator="equal">
      <formula>"draft"</formula>
    </cfRule>
    <cfRule type="cellIs" dxfId="716" priority="7" operator="equal">
      <formula>"In-Work"</formula>
    </cfRule>
    <cfRule type="cellIs" dxfId="715" priority="8" stopIfTrue="1" operator="equal">
      <formula>"draft"</formula>
    </cfRule>
    <cfRule type="cellIs" dxfId="714" priority="9" operator="equal">
      <formula>"In-Work"</formula>
    </cfRule>
    <cfRule type="cellIs" dxfId="713" priority="10" stopIfTrue="1" operator="equal">
      <formula>"draft"</formula>
    </cfRule>
    <cfRule type="cellIs" dxfId="712" priority="11" operator="equal">
      <formula>"In-Work"</formula>
    </cfRule>
    <cfRule type="cellIs" dxfId="711" priority="12" stopIfTrue="1" operator="equal">
      <formula>"draft"</formula>
    </cfRule>
    <cfRule type="cellIs" dxfId="710" priority="13" operator="equal">
      <formula>"In-Work"</formula>
    </cfRule>
    <cfRule type="cellIs" dxfId="709" priority="14" stopIfTrue="1" operator="equal">
      <formula>"draft"</formula>
    </cfRule>
    <cfRule type="cellIs" dxfId="708" priority="15" operator="equal">
      <formula>"In-Work"</formula>
    </cfRule>
    <cfRule type="cellIs" dxfId="707" priority="16" stopIfTrue="1" operator="equal">
      <formula>"draft"</formula>
    </cfRule>
    <cfRule type="cellIs" dxfId="706" priority="17" operator="equal">
      <formula>"In-Work"</formula>
    </cfRule>
    <cfRule type="cellIs" dxfId="705" priority="18" stopIfTrue="1" operator="equal">
      <formula>"draft"</formula>
    </cfRule>
    <cfRule type="cellIs" dxfId="704" priority="19" operator="equal">
      <formula>"In-Work"</formula>
    </cfRule>
    <cfRule type="cellIs" dxfId="703"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4" customWidth="1"/>
    <col min="35" max="35" width="9.140625" style="114"/>
    <col min="36" max="36" width="22" style="114" customWidth="1"/>
    <col min="37" max="16384" width="9.140625" style="114"/>
  </cols>
  <sheetData>
    <row r="1" spans="1:34">
      <c r="A1" s="96"/>
      <c r="B1" s="96"/>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row>
    <row r="2" spans="1:34">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row>
    <row r="3" spans="1:34">
      <c r="A3" s="96"/>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115" t="str">
        <f>FileName</f>
        <v>SpiIf - Peer Review Workbook.xlsm</v>
      </c>
      <c r="AE3" s="96"/>
      <c r="AF3" s="96"/>
      <c r="AG3" s="96"/>
      <c r="AH3" s="96"/>
    </row>
    <row r="4" spans="1:34">
      <c r="A4" s="279" t="s">
        <v>5</v>
      </c>
      <c r="B4" s="280"/>
      <c r="C4" s="280"/>
      <c r="D4" s="280"/>
      <c r="E4" s="280"/>
      <c r="F4" s="280"/>
      <c r="G4" s="280"/>
      <c r="H4" s="280"/>
      <c r="I4" s="280"/>
      <c r="J4" s="280"/>
      <c r="K4" s="280"/>
      <c r="L4" s="280"/>
      <c r="M4" s="280"/>
      <c r="N4" s="280"/>
      <c r="O4" s="280"/>
      <c r="P4" s="280"/>
      <c r="Q4" s="280"/>
      <c r="R4" s="280"/>
      <c r="S4" s="280"/>
      <c r="T4" s="280"/>
      <c r="U4" s="280"/>
      <c r="V4" s="281"/>
      <c r="W4" s="318" t="s">
        <v>6</v>
      </c>
      <c r="X4" s="319"/>
      <c r="Y4" s="319"/>
      <c r="Z4" s="319"/>
      <c r="AA4" s="320"/>
      <c r="AB4" s="279" t="s">
        <v>136</v>
      </c>
      <c r="AC4" s="280"/>
      <c r="AD4" s="280"/>
      <c r="AE4" s="280"/>
      <c r="AF4" s="280"/>
      <c r="AG4" s="281"/>
      <c r="AH4" s="102"/>
    </row>
    <row r="5" spans="1:34">
      <c r="A5" s="285" t="s">
        <v>202</v>
      </c>
      <c r="B5" s="286"/>
      <c r="C5" s="286"/>
      <c r="D5" s="286"/>
      <c r="E5" s="286"/>
      <c r="F5" s="286"/>
      <c r="G5" s="286"/>
      <c r="H5" s="286"/>
      <c r="I5" s="286"/>
      <c r="J5" s="286"/>
      <c r="K5" s="286"/>
      <c r="L5" s="286"/>
      <c r="M5" s="286"/>
      <c r="N5" s="286"/>
      <c r="O5" s="286"/>
      <c r="P5" s="286"/>
      <c r="Q5" s="286"/>
      <c r="R5" s="286"/>
      <c r="S5" s="286"/>
      <c r="T5" s="286"/>
      <c r="U5" s="286"/>
      <c r="V5" s="287"/>
      <c r="W5" s="321" t="s">
        <v>201</v>
      </c>
      <c r="X5" s="322"/>
      <c r="Y5" s="322"/>
      <c r="Z5" s="322"/>
      <c r="AA5" s="323"/>
      <c r="AB5" s="285" t="s">
        <v>200</v>
      </c>
      <c r="AC5" s="286"/>
      <c r="AD5" s="286"/>
      <c r="AE5" s="286"/>
      <c r="AF5" s="286"/>
      <c r="AG5" s="287"/>
      <c r="AH5" s="103"/>
    </row>
    <row r="6" spans="1:34">
      <c r="A6" s="310" t="s">
        <v>7</v>
      </c>
      <c r="B6" s="311"/>
      <c r="C6" s="311"/>
      <c r="D6" s="312"/>
      <c r="E6" s="310" t="s">
        <v>8</v>
      </c>
      <c r="F6" s="311"/>
      <c r="G6" s="311"/>
      <c r="H6" s="311"/>
      <c r="I6" s="311"/>
      <c r="J6" s="311"/>
      <c r="K6" s="311"/>
      <c r="L6" s="311"/>
      <c r="M6" s="311"/>
      <c r="N6" s="311"/>
      <c r="O6" s="311"/>
      <c r="P6" s="311"/>
      <c r="Q6" s="311"/>
      <c r="R6" s="311"/>
      <c r="S6" s="311"/>
      <c r="T6" s="311"/>
      <c r="U6" s="311"/>
      <c r="V6" s="312"/>
      <c r="W6" s="279" t="s">
        <v>10</v>
      </c>
      <c r="X6" s="280"/>
      <c r="Y6" s="280"/>
      <c r="Z6" s="280"/>
      <c r="AA6" s="281"/>
      <c r="AB6" s="318" t="s">
        <v>34</v>
      </c>
      <c r="AC6" s="319"/>
      <c r="AD6" s="320"/>
      <c r="AE6" s="318" t="s">
        <v>9</v>
      </c>
      <c r="AF6" s="319"/>
      <c r="AG6" s="320"/>
      <c r="AH6" s="96"/>
    </row>
    <row r="7" spans="1:34">
      <c r="A7" s="321" t="s">
        <v>199</v>
      </c>
      <c r="B7" s="322"/>
      <c r="C7" s="322"/>
      <c r="D7" s="323"/>
      <c r="E7" s="321" t="s">
        <v>204</v>
      </c>
      <c r="F7" s="322"/>
      <c r="G7" s="322"/>
      <c r="H7" s="322"/>
      <c r="I7" s="322"/>
      <c r="J7" s="322"/>
      <c r="K7" s="322"/>
      <c r="L7" s="322"/>
      <c r="M7" s="322"/>
      <c r="N7" s="322"/>
      <c r="O7" s="322"/>
      <c r="P7" s="322"/>
      <c r="Q7" s="322"/>
      <c r="R7" s="322"/>
      <c r="S7" s="322"/>
      <c r="T7" s="322"/>
      <c r="U7" s="322"/>
      <c r="V7" s="323"/>
      <c r="W7" s="321" t="str">
        <f ca="1">TemplateRef</f>
        <v>AEF1007</v>
      </c>
      <c r="X7" s="322"/>
      <c r="Y7" s="322"/>
      <c r="Z7" s="322"/>
      <c r="AA7" s="323"/>
      <c r="AB7" s="321" t="s">
        <v>203</v>
      </c>
      <c r="AC7" s="322"/>
      <c r="AD7" s="323"/>
      <c r="AE7" s="321" t="s">
        <v>203</v>
      </c>
      <c r="AF7" s="322"/>
      <c r="AG7" s="323"/>
      <c r="AH7" s="103"/>
    </row>
    <row r="8" spans="1:34">
      <c r="A8" s="310" t="s">
        <v>142</v>
      </c>
      <c r="B8" s="311"/>
      <c r="C8" s="311"/>
      <c r="D8" s="311"/>
      <c r="E8" s="311"/>
      <c r="F8" s="311"/>
      <c r="G8" s="311"/>
      <c r="H8" s="311"/>
      <c r="I8" s="311"/>
      <c r="J8" s="311"/>
      <c r="K8" s="311"/>
      <c r="L8" s="311"/>
      <c r="M8" s="311"/>
      <c r="N8" s="311"/>
      <c r="O8" s="311"/>
      <c r="P8" s="311"/>
      <c r="Q8" s="311"/>
      <c r="R8" s="311"/>
      <c r="S8" s="311"/>
      <c r="T8" s="311"/>
      <c r="U8" s="311"/>
      <c r="V8" s="311"/>
      <c r="W8" s="311"/>
      <c r="X8" s="311"/>
      <c r="Y8" s="311"/>
      <c r="Z8" s="311"/>
      <c r="AA8" s="311"/>
      <c r="AB8" s="311"/>
      <c r="AC8" s="311"/>
      <c r="AD8" s="311"/>
      <c r="AE8" s="311"/>
      <c r="AF8" s="311"/>
      <c r="AG8" s="312"/>
      <c r="AH8" s="106"/>
    </row>
    <row r="9" spans="1:34">
      <c r="A9" s="313" t="s">
        <v>143</v>
      </c>
      <c r="B9" s="314"/>
      <c r="C9" s="314"/>
      <c r="D9" s="314"/>
      <c r="E9" s="314"/>
      <c r="F9" s="314"/>
      <c r="G9" s="314"/>
      <c r="H9" s="314"/>
      <c r="I9" s="314"/>
      <c r="J9" s="314"/>
      <c r="K9" s="314"/>
      <c r="L9" s="314"/>
      <c r="M9" s="314"/>
      <c r="N9" s="314"/>
      <c r="O9" s="314"/>
      <c r="P9" s="314"/>
      <c r="Q9" s="314"/>
      <c r="R9" s="314"/>
      <c r="S9" s="314"/>
      <c r="T9" s="314"/>
      <c r="U9" s="314"/>
      <c r="V9" s="314"/>
      <c r="W9" s="314"/>
      <c r="X9" s="314"/>
      <c r="Y9" s="314"/>
      <c r="Z9" s="314"/>
      <c r="AA9" s="314"/>
      <c r="AB9" s="314"/>
      <c r="AC9" s="314"/>
      <c r="AD9" s="314"/>
      <c r="AE9" s="314"/>
      <c r="AF9" s="314"/>
      <c r="AG9" s="315"/>
      <c r="AH9" s="106"/>
    </row>
    <row r="10" spans="1:34">
      <c r="A10" s="106"/>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row>
    <row r="11" spans="1:34">
      <c r="A11" s="106"/>
      <c r="B11" s="106"/>
      <c r="C11" s="106"/>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row>
    <row r="12" spans="1:34" ht="26.25">
      <c r="A12" s="106"/>
      <c r="B12" s="116" t="s">
        <v>144</v>
      </c>
      <c r="C12" s="117"/>
      <c r="D12" s="117"/>
      <c r="E12" s="117"/>
      <c r="F12" s="117"/>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06"/>
      <c r="AH12" s="106"/>
    </row>
    <row r="13" spans="1:34">
      <c r="A13" s="106"/>
      <c r="B13" s="106"/>
      <c r="C13" s="106"/>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row>
    <row r="14" spans="1:34" ht="20.25">
      <c r="A14" s="106"/>
      <c r="B14" s="118" t="s">
        <v>145</v>
      </c>
      <c r="C14" s="119"/>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row>
    <row r="15" spans="1:34">
      <c r="A15" s="106"/>
      <c r="B15" s="298" t="s">
        <v>146</v>
      </c>
      <c r="C15" s="316"/>
      <c r="D15" s="316"/>
      <c r="E15" s="316"/>
      <c r="F15" s="316"/>
      <c r="G15" s="298" t="s">
        <v>147</v>
      </c>
      <c r="H15" s="298"/>
      <c r="I15" s="298"/>
      <c r="J15" s="298"/>
      <c r="K15" s="298"/>
      <c r="L15" s="298"/>
      <c r="M15" s="298"/>
      <c r="N15" s="298"/>
      <c r="O15" s="298"/>
      <c r="P15" s="298"/>
      <c r="Q15" s="298"/>
      <c r="R15" s="298"/>
      <c r="S15" s="298"/>
      <c r="T15" s="298"/>
      <c r="U15" s="298"/>
      <c r="V15" s="298"/>
      <c r="W15" s="298"/>
      <c r="X15" s="298"/>
      <c r="Y15" s="298"/>
      <c r="Z15" s="298"/>
      <c r="AA15" s="298"/>
      <c r="AB15" s="298"/>
      <c r="AC15" s="298"/>
      <c r="AD15" s="298"/>
      <c r="AE15" s="298"/>
      <c r="AF15" s="298"/>
      <c r="AG15" s="106"/>
      <c r="AH15" s="106"/>
    </row>
    <row r="16" spans="1:34" ht="55.5" customHeight="1">
      <c r="A16" s="106"/>
      <c r="B16" s="317" t="s">
        <v>148</v>
      </c>
      <c r="C16" s="317"/>
      <c r="D16" s="317"/>
      <c r="E16" s="317"/>
      <c r="F16" s="317"/>
      <c r="G16" s="295" t="s">
        <v>149</v>
      </c>
      <c r="H16" s="295"/>
      <c r="I16" s="295"/>
      <c r="J16" s="295"/>
      <c r="K16" s="295"/>
      <c r="L16" s="295"/>
      <c r="M16" s="295"/>
      <c r="N16" s="295"/>
      <c r="O16" s="295"/>
      <c r="P16" s="295"/>
      <c r="Q16" s="295"/>
      <c r="R16" s="295"/>
      <c r="S16" s="295"/>
      <c r="T16" s="295"/>
      <c r="U16" s="295"/>
      <c r="V16" s="295"/>
      <c r="W16" s="295"/>
      <c r="X16" s="295"/>
      <c r="Y16" s="295"/>
      <c r="Z16" s="295"/>
      <c r="AA16" s="295"/>
      <c r="AB16" s="295"/>
      <c r="AC16" s="295"/>
      <c r="AD16" s="295"/>
      <c r="AE16" s="295"/>
      <c r="AF16" s="295"/>
      <c r="AG16" s="106"/>
      <c r="AH16" s="106"/>
    </row>
    <row r="17" spans="1:34">
      <c r="A17" s="106"/>
      <c r="B17" s="317" t="s">
        <v>150</v>
      </c>
      <c r="C17" s="317"/>
      <c r="D17" s="317"/>
      <c r="E17" s="317"/>
      <c r="F17" s="317"/>
      <c r="G17" s="295" t="s">
        <v>151</v>
      </c>
      <c r="H17" s="295"/>
      <c r="I17" s="295"/>
      <c r="J17" s="295"/>
      <c r="K17" s="295"/>
      <c r="L17" s="295"/>
      <c r="M17" s="295"/>
      <c r="N17" s="295"/>
      <c r="O17" s="295"/>
      <c r="P17" s="295"/>
      <c r="Q17" s="295"/>
      <c r="R17" s="295"/>
      <c r="S17" s="295"/>
      <c r="T17" s="295"/>
      <c r="U17" s="295"/>
      <c r="V17" s="295"/>
      <c r="W17" s="295"/>
      <c r="X17" s="295"/>
      <c r="Y17" s="295"/>
      <c r="Z17" s="295"/>
      <c r="AA17" s="295"/>
      <c r="AB17" s="295"/>
      <c r="AC17" s="295"/>
      <c r="AD17" s="295"/>
      <c r="AE17" s="295"/>
      <c r="AF17" s="295"/>
      <c r="AG17" s="106"/>
      <c r="AH17" s="106"/>
    </row>
    <row r="18" spans="1:34" ht="15" customHeight="1">
      <c r="A18" s="106"/>
      <c r="B18" s="317" t="s">
        <v>15</v>
      </c>
      <c r="C18" s="317"/>
      <c r="D18" s="317"/>
      <c r="E18" s="317"/>
      <c r="F18" s="317"/>
      <c r="G18" s="295" t="s">
        <v>152</v>
      </c>
      <c r="H18" s="295"/>
      <c r="I18" s="295"/>
      <c r="J18" s="295"/>
      <c r="K18" s="295"/>
      <c r="L18" s="295"/>
      <c r="M18" s="295"/>
      <c r="N18" s="295"/>
      <c r="O18" s="295"/>
      <c r="P18" s="295"/>
      <c r="Q18" s="295"/>
      <c r="R18" s="295"/>
      <c r="S18" s="295"/>
      <c r="T18" s="295"/>
      <c r="U18" s="295"/>
      <c r="V18" s="295"/>
      <c r="W18" s="295"/>
      <c r="X18" s="295"/>
      <c r="Y18" s="295"/>
      <c r="Z18" s="295"/>
      <c r="AA18" s="295"/>
      <c r="AB18" s="295"/>
      <c r="AC18" s="295"/>
      <c r="AD18" s="295"/>
      <c r="AE18" s="295"/>
      <c r="AF18" s="295"/>
      <c r="AG18" s="106"/>
      <c r="AH18" s="106"/>
    </row>
    <row r="19" spans="1:34" ht="24" customHeight="1">
      <c r="A19" s="106"/>
      <c r="B19" s="307" t="s">
        <v>187</v>
      </c>
      <c r="C19" s="307"/>
      <c r="D19" s="307"/>
      <c r="E19" s="307"/>
      <c r="F19" s="307"/>
      <c r="G19" s="295" t="s">
        <v>152</v>
      </c>
      <c r="H19" s="295"/>
      <c r="I19" s="295"/>
      <c r="J19" s="295"/>
      <c r="K19" s="295"/>
      <c r="L19" s="295"/>
      <c r="M19" s="295"/>
      <c r="N19" s="295"/>
      <c r="O19" s="295"/>
      <c r="P19" s="295"/>
      <c r="Q19" s="295"/>
      <c r="R19" s="295"/>
      <c r="S19" s="295"/>
      <c r="T19" s="295"/>
      <c r="U19" s="295"/>
      <c r="V19" s="295"/>
      <c r="W19" s="295"/>
      <c r="X19" s="295"/>
      <c r="Y19" s="295"/>
      <c r="Z19" s="295"/>
      <c r="AA19" s="295"/>
      <c r="AB19" s="295"/>
      <c r="AC19" s="295"/>
      <c r="AD19" s="295"/>
      <c r="AE19" s="295"/>
      <c r="AF19" s="295"/>
      <c r="AG19" s="106"/>
      <c r="AH19" s="106"/>
    </row>
    <row r="20" spans="1:34">
      <c r="A20" s="106"/>
      <c r="B20" s="324" t="s">
        <v>188</v>
      </c>
      <c r="C20" s="324"/>
      <c r="D20" s="324"/>
      <c r="E20" s="324"/>
      <c r="F20" s="324"/>
      <c r="G20" s="295" t="s">
        <v>152</v>
      </c>
      <c r="H20" s="295"/>
      <c r="I20" s="295"/>
      <c r="J20" s="295"/>
      <c r="K20" s="295"/>
      <c r="L20" s="295"/>
      <c r="M20" s="295"/>
      <c r="N20" s="295"/>
      <c r="O20" s="295"/>
      <c r="P20" s="295"/>
      <c r="Q20" s="295"/>
      <c r="R20" s="295"/>
      <c r="S20" s="295"/>
      <c r="T20" s="295"/>
      <c r="U20" s="295"/>
      <c r="V20" s="295"/>
      <c r="W20" s="295"/>
      <c r="X20" s="295"/>
      <c r="Y20" s="295"/>
      <c r="Z20" s="295"/>
      <c r="AA20" s="295"/>
      <c r="AB20" s="295"/>
      <c r="AC20" s="295"/>
      <c r="AD20" s="295"/>
      <c r="AE20" s="295"/>
      <c r="AF20" s="295"/>
      <c r="AG20" s="106"/>
      <c r="AH20" s="106"/>
    </row>
    <row r="21" spans="1:34" ht="35.25" customHeight="1">
      <c r="A21" s="106"/>
      <c r="B21" s="308" t="s">
        <v>256</v>
      </c>
      <c r="C21" s="308"/>
      <c r="D21" s="308"/>
      <c r="E21" s="308"/>
      <c r="F21" s="308"/>
      <c r="G21" s="295" t="s">
        <v>257</v>
      </c>
      <c r="H21" s="295"/>
      <c r="I21" s="295"/>
      <c r="J21" s="295"/>
      <c r="K21" s="295"/>
      <c r="L21" s="295"/>
      <c r="M21" s="295"/>
      <c r="N21" s="295"/>
      <c r="O21" s="295"/>
      <c r="P21" s="295"/>
      <c r="Q21" s="295"/>
      <c r="R21" s="295"/>
      <c r="S21" s="295"/>
      <c r="T21" s="295"/>
      <c r="U21" s="295"/>
      <c r="V21" s="295"/>
      <c r="W21" s="295"/>
      <c r="X21" s="295"/>
      <c r="Y21" s="295"/>
      <c r="Z21" s="295"/>
      <c r="AA21" s="295"/>
      <c r="AB21" s="295"/>
      <c r="AC21" s="295"/>
      <c r="AD21" s="295"/>
      <c r="AE21" s="295"/>
      <c r="AF21" s="295"/>
      <c r="AG21" s="106"/>
      <c r="AH21" s="106"/>
    </row>
    <row r="22" spans="1:34" ht="28.5" customHeight="1">
      <c r="A22" s="106"/>
      <c r="B22" s="308" t="s">
        <v>258</v>
      </c>
      <c r="C22" s="308"/>
      <c r="D22" s="308"/>
      <c r="E22" s="308"/>
      <c r="F22" s="308"/>
      <c r="G22" s="295" t="s">
        <v>259</v>
      </c>
      <c r="H22" s="295"/>
      <c r="I22" s="295"/>
      <c r="J22" s="295"/>
      <c r="K22" s="295"/>
      <c r="L22" s="295"/>
      <c r="M22" s="295"/>
      <c r="N22" s="295"/>
      <c r="O22" s="295"/>
      <c r="P22" s="295"/>
      <c r="Q22" s="295"/>
      <c r="R22" s="295"/>
      <c r="S22" s="295"/>
      <c r="T22" s="295"/>
      <c r="U22" s="295"/>
      <c r="V22" s="295"/>
      <c r="W22" s="295"/>
      <c r="X22" s="295"/>
      <c r="Y22" s="295"/>
      <c r="Z22" s="295"/>
      <c r="AA22" s="295"/>
      <c r="AB22" s="295"/>
      <c r="AC22" s="295"/>
      <c r="AD22" s="295"/>
      <c r="AE22" s="295"/>
      <c r="AF22" s="295"/>
      <c r="AG22" s="106"/>
      <c r="AH22" s="106"/>
    </row>
    <row r="23" spans="1:34" ht="22.5" customHeight="1">
      <c r="A23" s="106"/>
      <c r="B23" s="308" t="s">
        <v>260</v>
      </c>
      <c r="C23" s="308"/>
      <c r="D23" s="308"/>
      <c r="E23" s="308"/>
      <c r="F23" s="308"/>
      <c r="G23" s="295" t="s">
        <v>261</v>
      </c>
      <c r="H23" s="295"/>
      <c r="I23" s="295"/>
      <c r="J23" s="295"/>
      <c r="K23" s="295"/>
      <c r="L23" s="295"/>
      <c r="M23" s="295"/>
      <c r="N23" s="295"/>
      <c r="O23" s="295"/>
      <c r="P23" s="295"/>
      <c r="Q23" s="295"/>
      <c r="R23" s="295"/>
      <c r="S23" s="295"/>
      <c r="T23" s="295"/>
      <c r="U23" s="295"/>
      <c r="V23" s="295"/>
      <c r="W23" s="295"/>
      <c r="X23" s="295"/>
      <c r="Y23" s="295"/>
      <c r="Z23" s="295"/>
      <c r="AA23" s="295"/>
      <c r="AB23" s="295"/>
      <c r="AC23" s="295"/>
      <c r="AD23" s="295"/>
      <c r="AE23" s="295"/>
      <c r="AF23" s="295"/>
      <c r="AG23" s="106"/>
      <c r="AH23" s="106"/>
    </row>
    <row r="24" spans="1:34" ht="45" customHeight="1">
      <c r="A24" s="106"/>
      <c r="B24" s="309" t="s">
        <v>189</v>
      </c>
      <c r="C24" s="309"/>
      <c r="D24" s="309"/>
      <c r="E24" s="309"/>
      <c r="F24" s="309"/>
      <c r="G24" s="295" t="s">
        <v>288</v>
      </c>
      <c r="H24" s="295"/>
      <c r="I24" s="295"/>
      <c r="J24" s="295"/>
      <c r="K24" s="295"/>
      <c r="L24" s="295"/>
      <c r="M24" s="295"/>
      <c r="N24" s="295"/>
      <c r="O24" s="295"/>
      <c r="P24" s="295"/>
      <c r="Q24" s="295"/>
      <c r="R24" s="295"/>
      <c r="S24" s="295"/>
      <c r="T24" s="295"/>
      <c r="U24" s="295"/>
      <c r="V24" s="295"/>
      <c r="W24" s="295"/>
      <c r="X24" s="295"/>
      <c r="Y24" s="295"/>
      <c r="Z24" s="295"/>
      <c r="AA24" s="295"/>
      <c r="AB24" s="295"/>
      <c r="AC24" s="295"/>
      <c r="AD24" s="295"/>
      <c r="AE24" s="295"/>
      <c r="AF24" s="295"/>
      <c r="AG24" s="106"/>
      <c r="AH24" s="106"/>
    </row>
    <row r="25" spans="1:34">
      <c r="A25" s="106"/>
      <c r="B25" s="106"/>
      <c r="C25" s="120"/>
      <c r="D25" s="106"/>
      <c r="E25" s="106"/>
      <c r="F25" s="106"/>
      <c r="G25" s="106"/>
      <c r="H25" s="106"/>
      <c r="I25" s="121"/>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row>
    <row r="26" spans="1:34" ht="20.25">
      <c r="A26" s="118"/>
      <c r="B26" s="118" t="s">
        <v>153</v>
      </c>
      <c r="C26" s="120"/>
      <c r="D26" s="106"/>
      <c r="E26" s="106"/>
      <c r="F26" s="106"/>
      <c r="G26" s="106"/>
      <c r="H26" s="106"/>
      <c r="I26" s="121"/>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row>
    <row r="27" spans="1:34">
      <c r="A27" s="106"/>
      <c r="B27" s="298" t="s">
        <v>34</v>
      </c>
      <c r="C27" s="300"/>
      <c r="D27" s="300"/>
      <c r="E27" s="298" t="s">
        <v>92</v>
      </c>
      <c r="F27" s="298"/>
      <c r="G27" s="298"/>
      <c r="H27" s="298"/>
      <c r="I27" s="298" t="s">
        <v>154</v>
      </c>
      <c r="J27" s="300"/>
      <c r="K27" s="300"/>
      <c r="L27" s="300"/>
      <c r="M27" s="300"/>
      <c r="N27" s="300"/>
      <c r="O27" s="300"/>
      <c r="P27" s="300"/>
      <c r="Q27" s="300"/>
      <c r="R27" s="298" t="s">
        <v>155</v>
      </c>
      <c r="S27" s="298"/>
      <c r="T27" s="298"/>
      <c r="U27" s="298"/>
      <c r="V27" s="298"/>
      <c r="W27" s="298"/>
      <c r="X27" s="298"/>
      <c r="Y27" s="298"/>
      <c r="Z27" s="298"/>
      <c r="AA27" s="298"/>
      <c r="AB27" s="298"/>
      <c r="AC27" s="298"/>
      <c r="AD27" s="298"/>
      <c r="AE27" s="298"/>
      <c r="AF27" s="298"/>
      <c r="AG27" s="106"/>
      <c r="AH27" s="106"/>
    </row>
    <row r="28" spans="1:34" ht="40.5" customHeight="1">
      <c r="A28" s="106"/>
      <c r="B28" s="288" t="s">
        <v>334</v>
      </c>
      <c r="C28" s="289" t="s">
        <v>3</v>
      </c>
      <c r="D28" s="290" t="s">
        <v>3</v>
      </c>
      <c r="E28" s="301"/>
      <c r="F28" s="302"/>
      <c r="G28" s="302"/>
      <c r="H28" s="303"/>
      <c r="I28" s="295"/>
      <c r="J28" s="304"/>
      <c r="K28" s="304"/>
      <c r="L28" s="304"/>
      <c r="M28" s="304"/>
      <c r="N28" s="304"/>
      <c r="O28" s="304"/>
      <c r="P28" s="304"/>
      <c r="Q28" s="304"/>
      <c r="R28" s="295" t="s">
        <v>14</v>
      </c>
      <c r="S28" s="295" t="s">
        <v>14</v>
      </c>
      <c r="T28" s="295" t="s">
        <v>14</v>
      </c>
      <c r="U28" s="295" t="s">
        <v>14</v>
      </c>
      <c r="V28" s="295" t="s">
        <v>14</v>
      </c>
      <c r="W28" s="295" t="s">
        <v>14</v>
      </c>
      <c r="X28" s="295" t="s">
        <v>14</v>
      </c>
      <c r="Y28" s="295" t="s">
        <v>14</v>
      </c>
      <c r="Z28" s="295" t="s">
        <v>14</v>
      </c>
      <c r="AA28" s="295" t="s">
        <v>14</v>
      </c>
      <c r="AB28" s="295" t="s">
        <v>14</v>
      </c>
      <c r="AC28" s="295" t="s">
        <v>14</v>
      </c>
      <c r="AD28" s="295" t="s">
        <v>14</v>
      </c>
      <c r="AE28" s="295" t="s">
        <v>14</v>
      </c>
      <c r="AF28" s="295" t="s">
        <v>14</v>
      </c>
      <c r="AG28" s="106"/>
      <c r="AH28" s="106"/>
    </row>
    <row r="29" spans="1:34" ht="60" customHeight="1">
      <c r="A29" s="106"/>
      <c r="B29" s="288" t="s">
        <v>18</v>
      </c>
      <c r="C29" s="289" t="s">
        <v>18</v>
      </c>
      <c r="D29" s="290" t="s">
        <v>18</v>
      </c>
      <c r="E29" s="301">
        <v>40591.490486111114</v>
      </c>
      <c r="F29" s="302">
        <v>40591.490486111114</v>
      </c>
      <c r="G29" s="302">
        <v>40591.490486111114</v>
      </c>
      <c r="H29" s="303">
        <v>40591.490486111114</v>
      </c>
      <c r="I29" s="295" t="s">
        <v>4</v>
      </c>
      <c r="J29" s="304" t="s">
        <v>4</v>
      </c>
      <c r="K29" s="304" t="s">
        <v>4</v>
      </c>
      <c r="L29" s="304" t="s">
        <v>4</v>
      </c>
      <c r="M29" s="304" t="s">
        <v>4</v>
      </c>
      <c r="N29" s="304" t="s">
        <v>4</v>
      </c>
      <c r="O29" s="304" t="s">
        <v>4</v>
      </c>
      <c r="P29" s="304" t="s">
        <v>4</v>
      </c>
      <c r="Q29" s="304" t="s">
        <v>4</v>
      </c>
      <c r="R29" s="295" t="s">
        <v>35</v>
      </c>
      <c r="S29" s="295" t="s">
        <v>35</v>
      </c>
      <c r="T29" s="295" t="s">
        <v>35</v>
      </c>
      <c r="U29" s="295" t="s">
        <v>35</v>
      </c>
      <c r="V29" s="295" t="s">
        <v>35</v>
      </c>
      <c r="W29" s="295" t="s">
        <v>35</v>
      </c>
      <c r="X29" s="295" t="s">
        <v>35</v>
      </c>
      <c r="Y29" s="295" t="s">
        <v>35</v>
      </c>
      <c r="Z29" s="295" t="s">
        <v>35</v>
      </c>
      <c r="AA29" s="295" t="s">
        <v>35</v>
      </c>
      <c r="AB29" s="295" t="s">
        <v>35</v>
      </c>
      <c r="AC29" s="295" t="s">
        <v>35</v>
      </c>
      <c r="AD29" s="295" t="s">
        <v>35</v>
      </c>
      <c r="AE29" s="295" t="s">
        <v>35</v>
      </c>
      <c r="AF29" s="295" t="s">
        <v>35</v>
      </c>
      <c r="AG29" s="106"/>
      <c r="AH29" s="106"/>
    </row>
    <row r="30" spans="1:34" ht="291" customHeight="1">
      <c r="A30" s="106"/>
      <c r="B30" s="288" t="s">
        <v>98</v>
      </c>
      <c r="C30" s="289" t="s">
        <v>98</v>
      </c>
      <c r="D30" s="290" t="s">
        <v>98</v>
      </c>
      <c r="E30" s="301">
        <v>41071.656145833331</v>
      </c>
      <c r="F30" s="302">
        <v>41071.656145833331</v>
      </c>
      <c r="G30" s="302">
        <v>41071.656145833331</v>
      </c>
      <c r="H30" s="303">
        <v>41071.656145833331</v>
      </c>
      <c r="I30" s="295" t="s">
        <v>4</v>
      </c>
      <c r="J30" s="304" t="s">
        <v>4</v>
      </c>
      <c r="K30" s="304" t="s">
        <v>4</v>
      </c>
      <c r="L30" s="304" t="s">
        <v>4</v>
      </c>
      <c r="M30" s="304" t="s">
        <v>4</v>
      </c>
      <c r="N30" s="304" t="s">
        <v>4</v>
      </c>
      <c r="O30" s="304" t="s">
        <v>4</v>
      </c>
      <c r="P30" s="304" t="s">
        <v>4</v>
      </c>
      <c r="Q30" s="304" t="s">
        <v>4</v>
      </c>
      <c r="R30" s="295" t="s">
        <v>129</v>
      </c>
      <c r="S30" s="295" t="s">
        <v>129</v>
      </c>
      <c r="T30" s="295" t="s">
        <v>129</v>
      </c>
      <c r="U30" s="295" t="s">
        <v>129</v>
      </c>
      <c r="V30" s="295" t="s">
        <v>129</v>
      </c>
      <c r="W30" s="295" t="s">
        <v>129</v>
      </c>
      <c r="X30" s="295" t="s">
        <v>129</v>
      </c>
      <c r="Y30" s="295" t="s">
        <v>129</v>
      </c>
      <c r="Z30" s="295" t="s">
        <v>129</v>
      </c>
      <c r="AA30" s="295" t="s">
        <v>129</v>
      </c>
      <c r="AB30" s="295" t="s">
        <v>129</v>
      </c>
      <c r="AC30" s="295" t="s">
        <v>129</v>
      </c>
      <c r="AD30" s="295" t="s">
        <v>129</v>
      </c>
      <c r="AE30" s="295" t="s">
        <v>129</v>
      </c>
      <c r="AF30" s="295" t="s">
        <v>129</v>
      </c>
      <c r="AG30" s="106"/>
      <c r="AH30" s="106"/>
    </row>
    <row r="31" spans="1:34" ht="40.5" customHeight="1">
      <c r="A31" s="106"/>
      <c r="B31" s="288" t="s">
        <v>86</v>
      </c>
      <c r="C31" s="289" t="s">
        <v>86</v>
      </c>
      <c r="D31" s="290" t="s">
        <v>86</v>
      </c>
      <c r="E31" s="301">
        <v>41071.656145833331</v>
      </c>
      <c r="F31" s="302">
        <v>41071.656145833331</v>
      </c>
      <c r="G31" s="302">
        <v>41071.656145833331</v>
      </c>
      <c r="H31" s="303">
        <v>41071.656145833331</v>
      </c>
      <c r="I31" s="295" t="s">
        <v>87</v>
      </c>
      <c r="J31" s="304" t="s">
        <v>87</v>
      </c>
      <c r="K31" s="304" t="s">
        <v>87</v>
      </c>
      <c r="L31" s="304" t="s">
        <v>87</v>
      </c>
      <c r="M31" s="304" t="s">
        <v>87</v>
      </c>
      <c r="N31" s="304" t="s">
        <v>87</v>
      </c>
      <c r="O31" s="304" t="s">
        <v>87</v>
      </c>
      <c r="P31" s="304" t="s">
        <v>87</v>
      </c>
      <c r="Q31" s="304" t="s">
        <v>87</v>
      </c>
      <c r="R31" s="295" t="s">
        <v>100</v>
      </c>
      <c r="S31" s="295" t="s">
        <v>100</v>
      </c>
      <c r="T31" s="295" t="s">
        <v>100</v>
      </c>
      <c r="U31" s="295" t="s">
        <v>100</v>
      </c>
      <c r="V31" s="295" t="s">
        <v>100</v>
      </c>
      <c r="W31" s="295" t="s">
        <v>100</v>
      </c>
      <c r="X31" s="295" t="s">
        <v>100</v>
      </c>
      <c r="Y31" s="295" t="s">
        <v>100</v>
      </c>
      <c r="Z31" s="295" t="s">
        <v>100</v>
      </c>
      <c r="AA31" s="295" t="s">
        <v>100</v>
      </c>
      <c r="AB31" s="295" t="s">
        <v>100</v>
      </c>
      <c r="AC31" s="295" t="s">
        <v>100</v>
      </c>
      <c r="AD31" s="295" t="s">
        <v>100</v>
      </c>
      <c r="AE31" s="295" t="s">
        <v>100</v>
      </c>
      <c r="AF31" s="295" t="s">
        <v>100</v>
      </c>
      <c r="AG31" s="106"/>
      <c r="AH31" s="106"/>
    </row>
    <row r="32" spans="1:34" ht="121.5" customHeight="1">
      <c r="A32" s="106"/>
      <c r="B32" s="288"/>
      <c r="C32" s="289"/>
      <c r="D32" s="290"/>
      <c r="E32" s="301">
        <v>42195</v>
      </c>
      <c r="F32" s="302">
        <v>42195</v>
      </c>
      <c r="G32" s="302">
        <v>42195</v>
      </c>
      <c r="H32" s="303">
        <v>42195</v>
      </c>
      <c r="I32" s="295" t="s">
        <v>99</v>
      </c>
      <c r="J32" s="304" t="s">
        <v>99</v>
      </c>
      <c r="K32" s="304" t="s">
        <v>99</v>
      </c>
      <c r="L32" s="304" t="s">
        <v>99</v>
      </c>
      <c r="M32" s="304" t="s">
        <v>99</v>
      </c>
      <c r="N32" s="304" t="s">
        <v>99</v>
      </c>
      <c r="O32" s="304" t="s">
        <v>99</v>
      </c>
      <c r="P32" s="304" t="s">
        <v>99</v>
      </c>
      <c r="Q32" s="304" t="s">
        <v>99</v>
      </c>
      <c r="R32" s="295" t="s">
        <v>102</v>
      </c>
      <c r="S32" s="295" t="s">
        <v>102</v>
      </c>
      <c r="T32" s="295" t="s">
        <v>102</v>
      </c>
      <c r="U32" s="295" t="s">
        <v>102</v>
      </c>
      <c r="V32" s="295" t="s">
        <v>102</v>
      </c>
      <c r="W32" s="295" t="s">
        <v>102</v>
      </c>
      <c r="X32" s="295" t="s">
        <v>102</v>
      </c>
      <c r="Y32" s="295" t="s">
        <v>102</v>
      </c>
      <c r="Z32" s="295" t="s">
        <v>102</v>
      </c>
      <c r="AA32" s="295" t="s">
        <v>102</v>
      </c>
      <c r="AB32" s="295" t="s">
        <v>102</v>
      </c>
      <c r="AC32" s="295" t="s">
        <v>102</v>
      </c>
      <c r="AD32" s="295" t="s">
        <v>102</v>
      </c>
      <c r="AE32" s="295" t="s">
        <v>102</v>
      </c>
      <c r="AF32" s="295" t="s">
        <v>102</v>
      </c>
      <c r="AG32" s="106"/>
      <c r="AH32" s="106"/>
    </row>
    <row r="33" spans="1:34" ht="114" customHeight="1">
      <c r="A33" s="106"/>
      <c r="B33" s="288" t="s">
        <v>103</v>
      </c>
      <c r="C33" s="289" t="s">
        <v>103</v>
      </c>
      <c r="D33" s="290" t="s">
        <v>103</v>
      </c>
      <c r="E33" s="301">
        <v>42391.634837962964</v>
      </c>
      <c r="F33" s="302">
        <v>42391.634837962964</v>
      </c>
      <c r="G33" s="302">
        <v>42391.634837962964</v>
      </c>
      <c r="H33" s="303">
        <v>42391.634837962964</v>
      </c>
      <c r="I33" s="295" t="s">
        <v>104</v>
      </c>
      <c r="J33" s="304" t="s">
        <v>104</v>
      </c>
      <c r="K33" s="304" t="s">
        <v>104</v>
      </c>
      <c r="L33" s="304" t="s">
        <v>104</v>
      </c>
      <c r="M33" s="304" t="s">
        <v>104</v>
      </c>
      <c r="N33" s="304" t="s">
        <v>104</v>
      </c>
      <c r="O33" s="304" t="s">
        <v>104</v>
      </c>
      <c r="P33" s="304" t="s">
        <v>104</v>
      </c>
      <c r="Q33" s="304" t="s">
        <v>104</v>
      </c>
      <c r="R33" s="295" t="s">
        <v>128</v>
      </c>
      <c r="S33" s="295" t="s">
        <v>128</v>
      </c>
      <c r="T33" s="295" t="s">
        <v>128</v>
      </c>
      <c r="U33" s="295" t="s">
        <v>128</v>
      </c>
      <c r="V33" s="295" t="s">
        <v>128</v>
      </c>
      <c r="W33" s="295" t="s">
        <v>128</v>
      </c>
      <c r="X33" s="295" t="s">
        <v>128</v>
      </c>
      <c r="Y33" s="295" t="s">
        <v>128</v>
      </c>
      <c r="Z33" s="295" t="s">
        <v>128</v>
      </c>
      <c r="AA33" s="295" t="s">
        <v>128</v>
      </c>
      <c r="AB33" s="295" t="s">
        <v>128</v>
      </c>
      <c r="AC33" s="295" t="s">
        <v>128</v>
      </c>
      <c r="AD33" s="295" t="s">
        <v>128</v>
      </c>
      <c r="AE33" s="295" t="s">
        <v>128</v>
      </c>
      <c r="AF33" s="295" t="s">
        <v>128</v>
      </c>
      <c r="AG33" s="106"/>
      <c r="AH33" s="106"/>
    </row>
    <row r="34" spans="1:34" ht="40.5" customHeight="1">
      <c r="A34" s="106"/>
      <c r="B34" s="305" t="s">
        <v>328</v>
      </c>
      <c r="C34" s="306"/>
      <c r="D34" s="306"/>
      <c r="E34" s="301"/>
      <c r="F34" s="302"/>
      <c r="G34" s="302"/>
      <c r="H34" s="303"/>
      <c r="I34" s="295" t="s">
        <v>319</v>
      </c>
      <c r="J34" s="304"/>
      <c r="K34" s="304"/>
      <c r="L34" s="304"/>
      <c r="M34" s="304"/>
      <c r="N34" s="304"/>
      <c r="O34" s="304"/>
      <c r="P34" s="304"/>
      <c r="Q34" s="304"/>
      <c r="R34" s="295" t="s">
        <v>320</v>
      </c>
      <c r="S34" s="295"/>
      <c r="T34" s="295"/>
      <c r="U34" s="295"/>
      <c r="V34" s="295"/>
      <c r="W34" s="295"/>
      <c r="X34" s="295"/>
      <c r="Y34" s="295"/>
      <c r="Z34" s="295"/>
      <c r="AA34" s="295"/>
      <c r="AB34" s="295"/>
      <c r="AC34" s="295"/>
      <c r="AD34" s="295"/>
      <c r="AE34" s="295"/>
      <c r="AF34" s="295"/>
      <c r="AG34" s="106"/>
      <c r="AH34" s="106"/>
    </row>
    <row r="35" spans="1:34" ht="40.5" customHeight="1">
      <c r="A35" s="106"/>
      <c r="B35" s="305" t="s">
        <v>329</v>
      </c>
      <c r="C35" s="306"/>
      <c r="D35" s="306"/>
      <c r="E35" s="301"/>
      <c r="F35" s="302"/>
      <c r="G35" s="302"/>
      <c r="H35" s="303"/>
      <c r="I35" s="295" t="s">
        <v>319</v>
      </c>
      <c r="J35" s="304"/>
      <c r="K35" s="304"/>
      <c r="L35" s="304"/>
      <c r="M35" s="304"/>
      <c r="N35" s="304"/>
      <c r="O35" s="304"/>
      <c r="P35" s="304"/>
      <c r="Q35" s="304"/>
      <c r="R35" s="295" t="s">
        <v>321</v>
      </c>
      <c r="S35" s="295"/>
      <c r="T35" s="295"/>
      <c r="U35" s="295"/>
      <c r="V35" s="295"/>
      <c r="W35" s="295"/>
      <c r="X35" s="295"/>
      <c r="Y35" s="295"/>
      <c r="Z35" s="295"/>
      <c r="AA35" s="295"/>
      <c r="AB35" s="295"/>
      <c r="AC35" s="295"/>
      <c r="AD35" s="295"/>
      <c r="AE35" s="295"/>
      <c r="AF35" s="295"/>
      <c r="AG35" s="106"/>
      <c r="AH35" s="106"/>
    </row>
    <row r="36" spans="1:34" ht="40.5" customHeight="1">
      <c r="A36" s="106"/>
      <c r="B36" s="305" t="s">
        <v>330</v>
      </c>
      <c r="C36" s="306"/>
      <c r="D36" s="306"/>
      <c r="E36" s="301"/>
      <c r="F36" s="302"/>
      <c r="G36" s="302"/>
      <c r="H36" s="303"/>
      <c r="I36" s="295" t="s">
        <v>319</v>
      </c>
      <c r="J36" s="304"/>
      <c r="K36" s="304"/>
      <c r="L36" s="304"/>
      <c r="M36" s="304"/>
      <c r="N36" s="304"/>
      <c r="O36" s="304"/>
      <c r="P36" s="304"/>
      <c r="Q36" s="304"/>
      <c r="R36" s="295" t="s">
        <v>322</v>
      </c>
      <c r="S36" s="295"/>
      <c r="T36" s="295"/>
      <c r="U36" s="295"/>
      <c r="V36" s="295"/>
      <c r="W36" s="295"/>
      <c r="X36" s="295"/>
      <c r="Y36" s="295"/>
      <c r="Z36" s="295"/>
      <c r="AA36" s="295"/>
      <c r="AB36" s="295"/>
      <c r="AC36" s="295"/>
      <c r="AD36" s="295"/>
      <c r="AE36" s="295"/>
      <c r="AF36" s="295"/>
      <c r="AG36" s="106"/>
      <c r="AH36" s="106"/>
    </row>
    <row r="37" spans="1:34" ht="102" customHeight="1">
      <c r="A37" s="106"/>
      <c r="B37" s="305" t="s">
        <v>331</v>
      </c>
      <c r="C37" s="306"/>
      <c r="D37" s="306"/>
      <c r="E37" s="301"/>
      <c r="F37" s="302"/>
      <c r="G37" s="302"/>
      <c r="H37" s="303"/>
      <c r="I37" s="295" t="s">
        <v>319</v>
      </c>
      <c r="J37" s="304"/>
      <c r="K37" s="304"/>
      <c r="L37" s="304"/>
      <c r="M37" s="304"/>
      <c r="N37" s="304"/>
      <c r="O37" s="304"/>
      <c r="P37" s="304"/>
      <c r="Q37" s="304"/>
      <c r="R37" s="295" t="s">
        <v>323</v>
      </c>
      <c r="S37" s="295"/>
      <c r="T37" s="295"/>
      <c r="U37" s="295"/>
      <c r="V37" s="295"/>
      <c r="W37" s="295"/>
      <c r="X37" s="295"/>
      <c r="Y37" s="295"/>
      <c r="Z37" s="295"/>
      <c r="AA37" s="295"/>
      <c r="AB37" s="295"/>
      <c r="AC37" s="295"/>
      <c r="AD37" s="295"/>
      <c r="AE37" s="295"/>
      <c r="AF37" s="295"/>
      <c r="AG37" s="106"/>
      <c r="AH37" s="106"/>
    </row>
    <row r="38" spans="1:34" ht="217.5" customHeight="1">
      <c r="A38" s="106"/>
      <c r="B38" s="305" t="s">
        <v>332</v>
      </c>
      <c r="C38" s="306"/>
      <c r="D38" s="306"/>
      <c r="E38" s="301"/>
      <c r="F38" s="302"/>
      <c r="G38" s="302"/>
      <c r="H38" s="303"/>
      <c r="I38" s="295" t="s">
        <v>319</v>
      </c>
      <c r="J38" s="304"/>
      <c r="K38" s="304"/>
      <c r="L38" s="304"/>
      <c r="M38" s="304"/>
      <c r="N38" s="304"/>
      <c r="O38" s="304"/>
      <c r="P38" s="304"/>
      <c r="Q38" s="304"/>
      <c r="R38" s="295" t="s">
        <v>324</v>
      </c>
      <c r="S38" s="295"/>
      <c r="T38" s="295"/>
      <c r="U38" s="295"/>
      <c r="V38" s="295"/>
      <c r="W38" s="295"/>
      <c r="X38" s="295"/>
      <c r="Y38" s="295"/>
      <c r="Z38" s="295"/>
      <c r="AA38" s="295"/>
      <c r="AB38" s="295"/>
      <c r="AC38" s="295"/>
      <c r="AD38" s="295"/>
      <c r="AE38" s="295"/>
      <c r="AF38" s="295"/>
      <c r="AG38" s="106"/>
      <c r="AH38" s="106"/>
    </row>
    <row r="39" spans="1:34" ht="40.5" customHeight="1">
      <c r="A39" s="106"/>
      <c r="B39" s="305" t="s">
        <v>333</v>
      </c>
      <c r="C39" s="306"/>
      <c r="D39" s="306"/>
      <c r="E39" s="301"/>
      <c r="F39" s="302"/>
      <c r="G39" s="302"/>
      <c r="H39" s="303"/>
      <c r="I39" s="295" t="s">
        <v>319</v>
      </c>
      <c r="J39" s="304"/>
      <c r="K39" s="304"/>
      <c r="L39" s="304"/>
      <c r="M39" s="304"/>
      <c r="N39" s="304"/>
      <c r="O39" s="304"/>
      <c r="P39" s="304"/>
      <c r="Q39" s="304"/>
      <c r="R39" s="295" t="s">
        <v>325</v>
      </c>
      <c r="S39" s="295"/>
      <c r="T39" s="295"/>
      <c r="U39" s="295"/>
      <c r="V39" s="295"/>
      <c r="W39" s="295"/>
      <c r="X39" s="295"/>
      <c r="Y39" s="295"/>
      <c r="Z39" s="295"/>
      <c r="AA39" s="295"/>
      <c r="AB39" s="295"/>
      <c r="AC39" s="295"/>
      <c r="AD39" s="295"/>
      <c r="AE39" s="295"/>
      <c r="AF39" s="295"/>
      <c r="AG39" s="106"/>
      <c r="AH39" s="106"/>
    </row>
    <row r="40" spans="1:34" ht="69" customHeight="1">
      <c r="A40" s="106"/>
      <c r="B40" s="305" t="s">
        <v>327</v>
      </c>
      <c r="C40" s="306"/>
      <c r="D40" s="306"/>
      <c r="E40" s="301">
        <v>44562</v>
      </c>
      <c r="F40" s="302"/>
      <c r="G40" s="302"/>
      <c r="H40" s="303"/>
      <c r="I40" s="295" t="s">
        <v>319</v>
      </c>
      <c r="J40" s="304"/>
      <c r="K40" s="304"/>
      <c r="L40" s="304"/>
      <c r="M40" s="304"/>
      <c r="N40" s="304"/>
      <c r="O40" s="304"/>
      <c r="P40" s="304"/>
      <c r="Q40" s="304"/>
      <c r="R40" s="295" t="s">
        <v>326</v>
      </c>
      <c r="S40" s="295"/>
      <c r="T40" s="295"/>
      <c r="U40" s="295"/>
      <c r="V40" s="295"/>
      <c r="W40" s="295"/>
      <c r="X40" s="295"/>
      <c r="Y40" s="295"/>
      <c r="Z40" s="295"/>
      <c r="AA40" s="295"/>
      <c r="AB40" s="295"/>
      <c r="AC40" s="295"/>
      <c r="AD40" s="295"/>
      <c r="AE40" s="295"/>
      <c r="AF40" s="295"/>
      <c r="AG40" s="106"/>
      <c r="AH40" s="106"/>
    </row>
    <row r="41" spans="1:34">
      <c r="A41" s="106"/>
      <c r="B41" s="122" t="s">
        <v>156</v>
      </c>
      <c r="C41" s="123"/>
      <c r="D41" s="123"/>
      <c r="E41" s="124"/>
      <c r="F41" s="124"/>
      <c r="G41" s="124"/>
      <c r="H41" s="124"/>
      <c r="I41" s="124"/>
      <c r="J41" s="125"/>
      <c r="K41" s="125"/>
      <c r="L41" s="125"/>
      <c r="M41" s="125"/>
      <c r="N41" s="125"/>
      <c r="O41" s="125"/>
      <c r="P41" s="125"/>
      <c r="Q41" s="125"/>
      <c r="R41" s="124"/>
      <c r="S41" s="124"/>
      <c r="T41" s="124"/>
      <c r="U41" s="124"/>
      <c r="V41" s="124"/>
      <c r="W41" s="124"/>
      <c r="X41" s="124"/>
      <c r="Y41" s="124"/>
      <c r="Z41" s="124"/>
      <c r="AA41" s="124"/>
      <c r="AB41" s="124"/>
      <c r="AC41" s="124"/>
      <c r="AD41" s="124"/>
      <c r="AE41" s="124"/>
      <c r="AF41" s="124"/>
      <c r="AG41" s="106"/>
      <c r="AH41" s="106"/>
    </row>
    <row r="42" spans="1:34">
      <c r="A42" s="106"/>
      <c r="B42" s="106"/>
      <c r="C42" s="120"/>
      <c r="D42" s="106"/>
      <c r="E42" s="106"/>
      <c r="F42" s="106"/>
      <c r="G42" s="106"/>
      <c r="H42" s="106"/>
      <c r="I42" s="121"/>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row>
    <row r="43" spans="1:34">
      <c r="A43" s="106"/>
      <c r="B43" s="106"/>
      <c r="C43" s="106"/>
      <c r="D43" s="106"/>
      <c r="E43" s="106"/>
      <c r="F43" s="106"/>
      <c r="G43" s="106"/>
      <c r="H43" s="106"/>
      <c r="I43" s="106"/>
      <c r="J43" s="12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row>
    <row r="44" spans="1:34" ht="20.25">
      <c r="A44" s="106"/>
      <c r="B44" s="118" t="s">
        <v>157</v>
      </c>
      <c r="C44" s="119"/>
      <c r="D44" s="106"/>
      <c r="E44" s="106"/>
      <c r="F44" s="106"/>
      <c r="G44" s="106"/>
      <c r="H44" s="106"/>
      <c r="I44" s="121"/>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row>
    <row r="45" spans="1:34" ht="18.75">
      <c r="A45" s="106"/>
      <c r="B45" s="127" t="s">
        <v>158</v>
      </c>
      <c r="C45" s="119"/>
      <c r="D45" s="106"/>
      <c r="E45" s="106"/>
      <c r="F45" s="106"/>
      <c r="G45" s="106"/>
      <c r="H45" s="106"/>
      <c r="I45" s="121"/>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row>
    <row r="46" spans="1:34">
      <c r="A46" s="106"/>
      <c r="B46" s="298" t="s">
        <v>159</v>
      </c>
      <c r="C46" s="298"/>
      <c r="D46" s="298"/>
      <c r="E46" s="298" t="s">
        <v>160</v>
      </c>
      <c r="F46" s="300"/>
      <c r="G46" s="300"/>
      <c r="H46" s="300"/>
      <c r="I46" s="300"/>
      <c r="J46" s="300"/>
      <c r="K46" s="300"/>
      <c r="L46" s="300"/>
      <c r="M46" s="300"/>
      <c r="N46" s="300"/>
      <c r="O46" s="300"/>
      <c r="P46" s="300"/>
      <c r="Q46" s="300"/>
      <c r="R46" s="300"/>
      <c r="S46" s="300"/>
      <c r="T46" s="300"/>
      <c r="U46" s="300"/>
      <c r="V46" s="300"/>
      <c r="W46" s="300"/>
      <c r="X46" s="300"/>
      <c r="Y46" s="298" t="s">
        <v>161</v>
      </c>
      <c r="Z46" s="298"/>
      <c r="AA46" s="298"/>
      <c r="AB46" s="298"/>
      <c r="AC46" s="298"/>
      <c r="AD46" s="298"/>
      <c r="AE46" s="298"/>
      <c r="AF46" s="298"/>
      <c r="AG46" s="106"/>
      <c r="AH46" s="106"/>
    </row>
    <row r="47" spans="1:34">
      <c r="A47" s="106"/>
      <c r="B47" s="297"/>
      <c r="C47" s="297"/>
      <c r="D47" s="297"/>
      <c r="E47" s="295"/>
      <c r="F47" s="296"/>
      <c r="G47" s="296"/>
      <c r="H47" s="296"/>
      <c r="I47" s="296"/>
      <c r="J47" s="296"/>
      <c r="K47" s="296"/>
      <c r="L47" s="296"/>
      <c r="M47" s="296"/>
      <c r="N47" s="296"/>
      <c r="O47" s="296"/>
      <c r="P47" s="296"/>
      <c r="Q47" s="296"/>
      <c r="R47" s="296"/>
      <c r="S47" s="296"/>
      <c r="T47" s="296"/>
      <c r="U47" s="296"/>
      <c r="V47" s="296"/>
      <c r="W47" s="296"/>
      <c r="X47" s="296"/>
      <c r="Y47" s="295"/>
      <c r="Z47" s="296"/>
      <c r="AA47" s="296"/>
      <c r="AB47" s="296"/>
      <c r="AC47" s="296"/>
      <c r="AD47" s="296"/>
      <c r="AE47" s="296"/>
      <c r="AF47" s="296"/>
      <c r="AG47" s="106"/>
      <c r="AH47" s="106"/>
    </row>
    <row r="48" spans="1:34">
      <c r="A48" s="106"/>
      <c r="B48" s="297"/>
      <c r="C48" s="297"/>
      <c r="D48" s="297"/>
      <c r="E48" s="295"/>
      <c r="F48" s="296"/>
      <c r="G48" s="296"/>
      <c r="H48" s="296"/>
      <c r="I48" s="296"/>
      <c r="J48" s="296"/>
      <c r="K48" s="296"/>
      <c r="L48" s="296"/>
      <c r="M48" s="296"/>
      <c r="N48" s="296"/>
      <c r="O48" s="296"/>
      <c r="P48" s="296"/>
      <c r="Q48" s="296"/>
      <c r="R48" s="296"/>
      <c r="S48" s="296"/>
      <c r="T48" s="296"/>
      <c r="U48" s="296"/>
      <c r="V48" s="296"/>
      <c r="W48" s="296"/>
      <c r="X48" s="296"/>
      <c r="Y48" s="295"/>
      <c r="Z48" s="296"/>
      <c r="AA48" s="296"/>
      <c r="AB48" s="296"/>
      <c r="AC48" s="296"/>
      <c r="AD48" s="296"/>
      <c r="AE48" s="296"/>
      <c r="AF48" s="296"/>
      <c r="AG48" s="106"/>
      <c r="AH48" s="106"/>
    </row>
    <row r="49" spans="1:34">
      <c r="A49" s="106"/>
      <c r="B49" s="297"/>
      <c r="C49" s="297"/>
      <c r="D49" s="297"/>
      <c r="E49" s="295"/>
      <c r="F49" s="296"/>
      <c r="G49" s="296"/>
      <c r="H49" s="296"/>
      <c r="I49" s="296"/>
      <c r="J49" s="296"/>
      <c r="K49" s="296"/>
      <c r="L49" s="296"/>
      <c r="M49" s="296"/>
      <c r="N49" s="296"/>
      <c r="O49" s="296"/>
      <c r="P49" s="296"/>
      <c r="Q49" s="296"/>
      <c r="R49" s="296"/>
      <c r="S49" s="296"/>
      <c r="T49" s="296"/>
      <c r="U49" s="296"/>
      <c r="V49" s="296"/>
      <c r="W49" s="296"/>
      <c r="X49" s="296"/>
      <c r="Y49" s="295"/>
      <c r="Z49" s="296"/>
      <c r="AA49" s="296"/>
      <c r="AB49" s="296"/>
      <c r="AC49" s="296"/>
      <c r="AD49" s="296"/>
      <c r="AE49" s="296"/>
      <c r="AF49" s="296"/>
      <c r="AG49" s="106"/>
      <c r="AH49" s="106"/>
    </row>
    <row r="50" spans="1:34">
      <c r="A50" s="106"/>
      <c r="B50" s="297"/>
      <c r="C50" s="297"/>
      <c r="D50" s="297"/>
      <c r="E50" s="295"/>
      <c r="F50" s="296"/>
      <c r="G50" s="296"/>
      <c r="H50" s="296"/>
      <c r="I50" s="296"/>
      <c r="J50" s="296"/>
      <c r="K50" s="296"/>
      <c r="L50" s="296"/>
      <c r="M50" s="296"/>
      <c r="N50" s="296"/>
      <c r="O50" s="296"/>
      <c r="P50" s="296"/>
      <c r="Q50" s="296"/>
      <c r="R50" s="296"/>
      <c r="S50" s="296"/>
      <c r="T50" s="296"/>
      <c r="U50" s="296"/>
      <c r="V50" s="296"/>
      <c r="W50" s="296"/>
      <c r="X50" s="296"/>
      <c r="Y50" s="295"/>
      <c r="Z50" s="296"/>
      <c r="AA50" s="296"/>
      <c r="AB50" s="296"/>
      <c r="AC50" s="296"/>
      <c r="AD50" s="296"/>
      <c r="AE50" s="296"/>
      <c r="AF50" s="296"/>
      <c r="AG50" s="106"/>
      <c r="AH50" s="106"/>
    </row>
    <row r="51" spans="1:34" ht="18.75">
      <c r="A51" s="106"/>
      <c r="B51" s="127" t="s">
        <v>162</v>
      </c>
      <c r="C51" s="119"/>
      <c r="D51" s="106"/>
      <c r="E51" s="106"/>
      <c r="F51" s="106"/>
      <c r="G51" s="106"/>
      <c r="H51" s="106"/>
      <c r="I51" s="121"/>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row>
    <row r="52" spans="1:34">
      <c r="A52" s="106"/>
      <c r="B52" s="298" t="s">
        <v>159</v>
      </c>
      <c r="C52" s="298"/>
      <c r="D52" s="298"/>
      <c r="E52" s="298" t="s">
        <v>160</v>
      </c>
      <c r="F52" s="300"/>
      <c r="G52" s="300"/>
      <c r="H52" s="300"/>
      <c r="I52" s="300"/>
      <c r="J52" s="300"/>
      <c r="K52" s="300"/>
      <c r="L52" s="300"/>
      <c r="M52" s="300"/>
      <c r="N52" s="300"/>
      <c r="O52" s="300"/>
      <c r="P52" s="300"/>
      <c r="Q52" s="300"/>
      <c r="R52" s="300"/>
      <c r="S52" s="300"/>
      <c r="T52" s="300"/>
      <c r="U52" s="300"/>
      <c r="V52" s="300"/>
      <c r="W52" s="300"/>
      <c r="X52" s="300"/>
      <c r="Y52" s="298" t="s">
        <v>161</v>
      </c>
      <c r="Z52" s="298"/>
      <c r="AA52" s="298"/>
      <c r="AB52" s="298"/>
      <c r="AC52" s="298"/>
      <c r="AD52" s="298"/>
      <c r="AE52" s="298"/>
      <c r="AF52" s="298"/>
      <c r="AG52" s="106"/>
      <c r="AH52" s="106"/>
    </row>
    <row r="53" spans="1:34">
      <c r="A53" s="106"/>
      <c r="B53" s="297"/>
      <c r="C53" s="297"/>
      <c r="D53" s="297"/>
      <c r="E53" s="295"/>
      <c r="F53" s="296"/>
      <c r="G53" s="296"/>
      <c r="H53" s="296"/>
      <c r="I53" s="296"/>
      <c r="J53" s="296"/>
      <c r="K53" s="296"/>
      <c r="L53" s="296"/>
      <c r="M53" s="296"/>
      <c r="N53" s="296"/>
      <c r="O53" s="296"/>
      <c r="P53" s="296"/>
      <c r="Q53" s="296"/>
      <c r="R53" s="296"/>
      <c r="S53" s="296"/>
      <c r="T53" s="296"/>
      <c r="U53" s="296"/>
      <c r="V53" s="296"/>
      <c r="W53" s="296"/>
      <c r="X53" s="296"/>
      <c r="Y53" s="295"/>
      <c r="Z53" s="296"/>
      <c r="AA53" s="296"/>
      <c r="AB53" s="296"/>
      <c r="AC53" s="296"/>
      <c r="AD53" s="296"/>
      <c r="AE53" s="296"/>
      <c r="AF53" s="296"/>
      <c r="AG53" s="106"/>
      <c r="AH53" s="106"/>
    </row>
    <row r="54" spans="1:34">
      <c r="A54" s="106"/>
      <c r="B54" s="297"/>
      <c r="C54" s="297"/>
      <c r="D54" s="297"/>
      <c r="E54" s="295"/>
      <c r="F54" s="296"/>
      <c r="G54" s="296"/>
      <c r="H54" s="296"/>
      <c r="I54" s="296"/>
      <c r="J54" s="296"/>
      <c r="K54" s="296"/>
      <c r="L54" s="296"/>
      <c r="M54" s="296"/>
      <c r="N54" s="296"/>
      <c r="O54" s="296"/>
      <c r="P54" s="296"/>
      <c r="Q54" s="296"/>
      <c r="R54" s="296"/>
      <c r="S54" s="296"/>
      <c r="T54" s="296"/>
      <c r="U54" s="296"/>
      <c r="V54" s="296"/>
      <c r="W54" s="296"/>
      <c r="X54" s="296"/>
      <c r="Y54" s="295"/>
      <c r="Z54" s="296"/>
      <c r="AA54" s="296"/>
      <c r="AB54" s="296"/>
      <c r="AC54" s="296"/>
      <c r="AD54" s="296"/>
      <c r="AE54" s="296"/>
      <c r="AF54" s="296"/>
      <c r="AG54" s="106"/>
      <c r="AH54" s="106"/>
    </row>
    <row r="55" spans="1:34">
      <c r="A55" s="106"/>
      <c r="B55" s="297"/>
      <c r="C55" s="297"/>
      <c r="D55" s="297"/>
      <c r="E55" s="295"/>
      <c r="F55" s="296"/>
      <c r="G55" s="296"/>
      <c r="H55" s="296"/>
      <c r="I55" s="296"/>
      <c r="J55" s="296"/>
      <c r="K55" s="296"/>
      <c r="L55" s="296"/>
      <c r="M55" s="296"/>
      <c r="N55" s="296"/>
      <c r="O55" s="296"/>
      <c r="P55" s="296"/>
      <c r="Q55" s="296"/>
      <c r="R55" s="296"/>
      <c r="S55" s="296"/>
      <c r="T55" s="296"/>
      <c r="U55" s="296"/>
      <c r="V55" s="296"/>
      <c r="W55" s="296"/>
      <c r="X55" s="296"/>
      <c r="Y55" s="295"/>
      <c r="Z55" s="296"/>
      <c r="AA55" s="296"/>
      <c r="AB55" s="296"/>
      <c r="AC55" s="296"/>
      <c r="AD55" s="296"/>
      <c r="AE55" s="296"/>
      <c r="AF55" s="296"/>
      <c r="AG55" s="106"/>
      <c r="AH55" s="106"/>
    </row>
    <row r="56" spans="1:34">
      <c r="A56" s="106"/>
      <c r="B56" s="297"/>
      <c r="C56" s="297"/>
      <c r="D56" s="297"/>
      <c r="E56" s="295"/>
      <c r="F56" s="296"/>
      <c r="G56" s="296"/>
      <c r="H56" s="296"/>
      <c r="I56" s="296"/>
      <c r="J56" s="296"/>
      <c r="K56" s="296"/>
      <c r="L56" s="296"/>
      <c r="M56" s="296"/>
      <c r="N56" s="296"/>
      <c r="O56" s="296"/>
      <c r="P56" s="296"/>
      <c r="Q56" s="296"/>
      <c r="R56" s="296"/>
      <c r="S56" s="296"/>
      <c r="T56" s="296"/>
      <c r="U56" s="296"/>
      <c r="V56" s="296"/>
      <c r="W56" s="296"/>
      <c r="X56" s="296"/>
      <c r="Y56" s="295"/>
      <c r="Z56" s="296"/>
      <c r="AA56" s="296"/>
      <c r="AB56" s="296"/>
      <c r="AC56" s="296"/>
      <c r="AD56" s="296"/>
      <c r="AE56" s="296"/>
      <c r="AF56" s="296"/>
      <c r="AG56" s="106"/>
      <c r="AH56" s="106"/>
    </row>
    <row r="57" spans="1:34">
      <c r="A57" s="106"/>
      <c r="B57" s="106"/>
      <c r="C57" s="120"/>
      <c r="D57" s="106"/>
      <c r="E57" s="106"/>
      <c r="F57" s="106"/>
      <c r="G57" s="106"/>
      <c r="H57" s="106"/>
      <c r="I57" s="121"/>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row>
    <row r="58" spans="1:34" ht="20.25">
      <c r="A58" s="106"/>
      <c r="B58" s="118" t="s">
        <v>163</v>
      </c>
      <c r="C58" s="119"/>
      <c r="D58" s="106"/>
      <c r="E58" s="106"/>
      <c r="F58" s="106"/>
      <c r="G58" s="106"/>
      <c r="H58" s="106"/>
      <c r="I58" s="121"/>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row>
    <row r="59" spans="1:34">
      <c r="A59" s="106"/>
      <c r="B59" s="298" t="s">
        <v>164</v>
      </c>
      <c r="C59" s="298"/>
      <c r="D59" s="298"/>
      <c r="E59" s="298"/>
      <c r="F59" s="298"/>
      <c r="G59" s="298"/>
      <c r="H59" s="299"/>
      <c r="I59" s="299"/>
      <c r="J59" s="299"/>
      <c r="K59" s="299"/>
      <c r="L59" s="299"/>
      <c r="M59" s="299"/>
      <c r="N59" s="299"/>
      <c r="O59" s="299"/>
      <c r="P59" s="299"/>
      <c r="Q59" s="299"/>
      <c r="R59" s="299"/>
      <c r="S59" s="299"/>
      <c r="T59" s="299"/>
      <c r="U59" s="299"/>
      <c r="V59" s="299"/>
      <c r="W59" s="299"/>
      <c r="X59" s="299"/>
      <c r="Y59" s="299"/>
      <c r="Z59" s="299"/>
      <c r="AA59" s="299"/>
      <c r="AB59" s="299"/>
      <c r="AC59" s="299"/>
      <c r="AD59" s="299"/>
      <c r="AE59" s="299"/>
      <c r="AF59" s="299"/>
      <c r="AG59" s="106"/>
      <c r="AH59" s="106"/>
    </row>
    <row r="60" spans="1:34" ht="27.75" customHeight="1">
      <c r="A60" s="106"/>
      <c r="B60" s="288" t="s">
        <v>165</v>
      </c>
      <c r="C60" s="289"/>
      <c r="D60" s="289"/>
      <c r="E60" s="289"/>
      <c r="F60" s="289"/>
      <c r="G60" s="290"/>
      <c r="H60" s="294" t="s">
        <v>166</v>
      </c>
      <c r="I60" s="292"/>
      <c r="J60" s="292"/>
      <c r="K60" s="292"/>
      <c r="L60" s="292"/>
      <c r="M60" s="292"/>
      <c r="N60" s="292"/>
      <c r="O60" s="292"/>
      <c r="P60" s="292"/>
      <c r="Q60" s="292"/>
      <c r="R60" s="292"/>
      <c r="S60" s="292"/>
      <c r="T60" s="292"/>
      <c r="U60" s="292"/>
      <c r="V60" s="292"/>
      <c r="W60" s="292"/>
      <c r="X60" s="292"/>
      <c r="Y60" s="292"/>
      <c r="Z60" s="292"/>
      <c r="AA60" s="292"/>
      <c r="AB60" s="292"/>
      <c r="AC60" s="292"/>
      <c r="AD60" s="292"/>
      <c r="AE60" s="292"/>
      <c r="AF60" s="293"/>
      <c r="AG60" s="106"/>
      <c r="AH60" s="106"/>
    </row>
    <row r="61" spans="1:34">
      <c r="A61" s="106"/>
      <c r="B61" s="288"/>
      <c r="C61" s="289"/>
      <c r="D61" s="289"/>
      <c r="E61" s="289"/>
      <c r="F61" s="289"/>
      <c r="G61" s="290"/>
      <c r="H61" s="291"/>
      <c r="I61" s="292"/>
      <c r="J61" s="292"/>
      <c r="K61" s="292"/>
      <c r="L61" s="292"/>
      <c r="M61" s="292"/>
      <c r="N61" s="292"/>
      <c r="O61" s="292"/>
      <c r="P61" s="292"/>
      <c r="Q61" s="292"/>
      <c r="R61" s="292"/>
      <c r="S61" s="292"/>
      <c r="T61" s="292"/>
      <c r="U61" s="292"/>
      <c r="V61" s="292"/>
      <c r="W61" s="292"/>
      <c r="X61" s="292"/>
      <c r="Y61" s="292"/>
      <c r="Z61" s="292"/>
      <c r="AA61" s="292"/>
      <c r="AB61" s="292"/>
      <c r="AC61" s="292"/>
      <c r="AD61" s="292"/>
      <c r="AE61" s="292"/>
      <c r="AF61" s="293"/>
      <c r="AG61" s="106"/>
      <c r="AH61" s="106"/>
    </row>
    <row r="62" spans="1:34">
      <c r="A62" s="106"/>
      <c r="B62" s="288"/>
      <c r="C62" s="289"/>
      <c r="D62" s="289"/>
      <c r="E62" s="289"/>
      <c r="F62" s="289"/>
      <c r="G62" s="290"/>
      <c r="H62" s="291"/>
      <c r="I62" s="292"/>
      <c r="J62" s="292"/>
      <c r="K62" s="292"/>
      <c r="L62" s="292"/>
      <c r="M62" s="292"/>
      <c r="N62" s="292"/>
      <c r="O62" s="292"/>
      <c r="P62" s="292"/>
      <c r="Q62" s="292"/>
      <c r="R62" s="292"/>
      <c r="S62" s="292"/>
      <c r="T62" s="292"/>
      <c r="U62" s="292"/>
      <c r="V62" s="292"/>
      <c r="W62" s="292"/>
      <c r="X62" s="292"/>
      <c r="Y62" s="292"/>
      <c r="Z62" s="292"/>
      <c r="AA62" s="292"/>
      <c r="AB62" s="292"/>
      <c r="AC62" s="292"/>
      <c r="AD62" s="292"/>
      <c r="AE62" s="292"/>
      <c r="AF62" s="293"/>
      <c r="AG62" s="106"/>
      <c r="AH62" s="106"/>
    </row>
    <row r="63" spans="1:34">
      <c r="A63" s="106"/>
      <c r="B63" s="288"/>
      <c r="C63" s="289"/>
      <c r="D63" s="289"/>
      <c r="E63" s="289"/>
      <c r="F63" s="289"/>
      <c r="G63" s="290"/>
      <c r="H63" s="291"/>
      <c r="I63" s="292"/>
      <c r="J63" s="292"/>
      <c r="K63" s="292"/>
      <c r="L63" s="292"/>
      <c r="M63" s="292"/>
      <c r="N63" s="292"/>
      <c r="O63" s="292"/>
      <c r="P63" s="292"/>
      <c r="Q63" s="292"/>
      <c r="R63" s="292"/>
      <c r="S63" s="292"/>
      <c r="T63" s="292"/>
      <c r="U63" s="292"/>
      <c r="V63" s="292"/>
      <c r="W63" s="292"/>
      <c r="X63" s="292"/>
      <c r="Y63" s="292"/>
      <c r="Z63" s="292"/>
      <c r="AA63" s="292"/>
      <c r="AB63" s="292"/>
      <c r="AC63" s="292"/>
      <c r="AD63" s="292"/>
      <c r="AE63" s="292"/>
      <c r="AF63" s="293"/>
      <c r="AG63" s="106"/>
      <c r="AH63" s="106"/>
    </row>
    <row r="64" spans="1:34">
      <c r="A64" s="106"/>
      <c r="B64" s="288"/>
      <c r="C64" s="289"/>
      <c r="D64" s="289"/>
      <c r="E64" s="289"/>
      <c r="F64" s="289"/>
      <c r="G64" s="290"/>
      <c r="H64" s="291"/>
      <c r="I64" s="292"/>
      <c r="J64" s="292"/>
      <c r="K64" s="292"/>
      <c r="L64" s="292"/>
      <c r="M64" s="292"/>
      <c r="N64" s="292"/>
      <c r="O64" s="292"/>
      <c r="P64" s="292"/>
      <c r="Q64" s="292"/>
      <c r="R64" s="292"/>
      <c r="S64" s="292"/>
      <c r="T64" s="292"/>
      <c r="U64" s="292"/>
      <c r="V64" s="292"/>
      <c r="W64" s="292"/>
      <c r="X64" s="292"/>
      <c r="Y64" s="292"/>
      <c r="Z64" s="292"/>
      <c r="AA64" s="292"/>
      <c r="AB64" s="292"/>
      <c r="AC64" s="292"/>
      <c r="AD64" s="292"/>
      <c r="AE64" s="292"/>
      <c r="AF64" s="293"/>
      <c r="AG64" s="106"/>
      <c r="AH64" s="106"/>
    </row>
    <row r="65" spans="1:34">
      <c r="A65" s="106"/>
      <c r="B65" s="124"/>
      <c r="C65" s="124"/>
      <c r="D65" s="124"/>
      <c r="E65" s="124"/>
      <c r="F65" s="124"/>
      <c r="G65" s="124"/>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06"/>
      <c r="AH65" s="106"/>
    </row>
    <row r="66" spans="1:34">
      <c r="A66" s="106"/>
      <c r="B66" s="124"/>
      <c r="C66" s="124"/>
      <c r="D66" s="124"/>
      <c r="E66" s="124"/>
      <c r="F66" s="124"/>
      <c r="G66" s="124"/>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06"/>
      <c r="AH66" s="106"/>
    </row>
    <row r="67" spans="1:34" ht="26.25">
      <c r="A67" s="106"/>
      <c r="B67" s="129" t="s">
        <v>167</v>
      </c>
      <c r="C67" s="130"/>
      <c r="D67" s="130"/>
      <c r="E67" s="130"/>
      <c r="F67" s="130"/>
      <c r="G67" s="130"/>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06"/>
      <c r="AH67" s="106"/>
    </row>
    <row r="68" spans="1:34" ht="26.25">
      <c r="A68" s="106"/>
      <c r="B68" s="132"/>
      <c r="C68" s="124"/>
      <c r="D68" s="124"/>
      <c r="E68" s="124"/>
      <c r="F68" s="124"/>
      <c r="G68" s="124"/>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06"/>
      <c r="AH68" s="106"/>
    </row>
    <row r="69" spans="1:34" s="170" customFormat="1" ht="20.25">
      <c r="B69" s="171" t="s">
        <v>241</v>
      </c>
    </row>
    <row r="70" spans="1:34">
      <c r="A70" s="106"/>
      <c r="B70" s="133"/>
      <c r="C70" s="133"/>
      <c r="D70" s="133"/>
      <c r="E70" s="133"/>
      <c r="F70" s="133"/>
      <c r="G70" s="133"/>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06"/>
      <c r="AH70" s="106"/>
    </row>
    <row r="71" spans="1:34" ht="52.5" customHeight="1">
      <c r="A71" s="106"/>
      <c r="B71" s="325" t="s">
        <v>237</v>
      </c>
      <c r="C71" s="326"/>
      <c r="D71" s="326"/>
      <c r="E71" s="326"/>
      <c r="F71" s="326"/>
      <c r="G71" s="327"/>
      <c r="H71" s="328" t="s">
        <v>232</v>
      </c>
      <c r="I71" s="329"/>
      <c r="J71" s="329"/>
      <c r="K71" s="329"/>
      <c r="L71" s="329"/>
      <c r="M71" s="329"/>
      <c r="N71" s="329"/>
      <c r="O71" s="329"/>
      <c r="P71" s="329"/>
      <c r="Q71" s="329"/>
      <c r="R71" s="329"/>
      <c r="S71" s="329"/>
      <c r="T71" s="329"/>
      <c r="U71" s="329"/>
      <c r="V71" s="329"/>
      <c r="W71" s="329"/>
      <c r="X71" s="329"/>
      <c r="Y71" s="329"/>
      <c r="Z71" s="329"/>
      <c r="AA71" s="329"/>
      <c r="AB71" s="329"/>
      <c r="AC71" s="329"/>
      <c r="AD71" s="329"/>
      <c r="AE71" s="329"/>
      <c r="AF71" s="330"/>
      <c r="AG71" s="106"/>
      <c r="AH71" s="106"/>
    </row>
    <row r="72" spans="1:34" ht="111" customHeight="1">
      <c r="A72" s="106"/>
      <c r="B72" s="325" t="s">
        <v>238</v>
      </c>
      <c r="C72" s="326"/>
      <c r="D72" s="326"/>
      <c r="E72" s="326"/>
      <c r="F72" s="326"/>
      <c r="G72" s="327"/>
      <c r="H72" s="328" t="s">
        <v>234</v>
      </c>
      <c r="I72" s="329"/>
      <c r="J72" s="329"/>
      <c r="K72" s="329"/>
      <c r="L72" s="329"/>
      <c r="M72" s="329"/>
      <c r="N72" s="329"/>
      <c r="O72" s="329"/>
      <c r="P72" s="329"/>
      <c r="Q72" s="329"/>
      <c r="R72" s="329"/>
      <c r="S72" s="329"/>
      <c r="T72" s="329"/>
      <c r="U72" s="329"/>
      <c r="V72" s="329"/>
      <c r="W72" s="329"/>
      <c r="X72" s="329"/>
      <c r="Y72" s="329"/>
      <c r="Z72" s="329"/>
      <c r="AA72" s="329"/>
      <c r="AB72" s="329"/>
      <c r="AC72" s="329"/>
      <c r="AD72" s="329"/>
      <c r="AE72" s="329"/>
      <c r="AF72" s="330"/>
      <c r="AG72" s="106"/>
      <c r="AH72" s="106"/>
    </row>
    <row r="73" spans="1:34" ht="52.5" customHeight="1">
      <c r="A73" s="106"/>
      <c r="B73" s="325" t="s">
        <v>239</v>
      </c>
      <c r="C73" s="326"/>
      <c r="D73" s="326"/>
      <c r="E73" s="326"/>
      <c r="F73" s="326"/>
      <c r="G73" s="327"/>
      <c r="H73" s="328" t="s">
        <v>242</v>
      </c>
      <c r="I73" s="329"/>
      <c r="J73" s="329"/>
      <c r="K73" s="329"/>
      <c r="L73" s="329"/>
      <c r="M73" s="329"/>
      <c r="N73" s="329"/>
      <c r="O73" s="329"/>
      <c r="P73" s="329"/>
      <c r="Q73" s="329"/>
      <c r="R73" s="329"/>
      <c r="S73" s="329"/>
      <c r="T73" s="329"/>
      <c r="U73" s="329"/>
      <c r="V73" s="329"/>
      <c r="W73" s="329"/>
      <c r="X73" s="329"/>
      <c r="Y73" s="329"/>
      <c r="Z73" s="329"/>
      <c r="AA73" s="329"/>
      <c r="AB73" s="329"/>
      <c r="AC73" s="329"/>
      <c r="AD73" s="329"/>
      <c r="AE73" s="329"/>
      <c r="AF73" s="330"/>
      <c r="AG73" s="106"/>
      <c r="AH73" s="106"/>
    </row>
    <row r="74" spans="1:34" ht="52.5" customHeight="1">
      <c r="A74" s="106"/>
      <c r="B74" s="325" t="s">
        <v>231</v>
      </c>
      <c r="C74" s="326"/>
      <c r="D74" s="326"/>
      <c r="E74" s="326"/>
      <c r="F74" s="326"/>
      <c r="G74" s="327"/>
      <c r="H74" s="328" t="s">
        <v>235</v>
      </c>
      <c r="I74" s="329"/>
      <c r="J74" s="329"/>
      <c r="K74" s="329"/>
      <c r="L74" s="329"/>
      <c r="M74" s="329"/>
      <c r="N74" s="329"/>
      <c r="O74" s="329"/>
      <c r="P74" s="329"/>
      <c r="Q74" s="329"/>
      <c r="R74" s="329"/>
      <c r="S74" s="329"/>
      <c r="T74" s="329"/>
      <c r="U74" s="329"/>
      <c r="V74" s="329"/>
      <c r="W74" s="329"/>
      <c r="X74" s="329"/>
      <c r="Y74" s="329"/>
      <c r="Z74" s="329"/>
      <c r="AA74" s="329"/>
      <c r="AB74" s="329"/>
      <c r="AC74" s="329"/>
      <c r="AD74" s="329"/>
      <c r="AE74" s="329"/>
      <c r="AF74" s="330"/>
      <c r="AG74" s="106"/>
      <c r="AH74" s="106"/>
    </row>
    <row r="75" spans="1:34" ht="81" customHeight="1">
      <c r="A75" s="106"/>
      <c r="B75" s="325" t="s">
        <v>240</v>
      </c>
      <c r="C75" s="326"/>
      <c r="D75" s="326"/>
      <c r="E75" s="326"/>
      <c r="F75" s="326"/>
      <c r="G75" s="327"/>
      <c r="H75" s="328" t="s">
        <v>243</v>
      </c>
      <c r="I75" s="329"/>
      <c r="J75" s="329"/>
      <c r="K75" s="329"/>
      <c r="L75" s="329"/>
      <c r="M75" s="329"/>
      <c r="N75" s="329"/>
      <c r="O75" s="329"/>
      <c r="P75" s="329"/>
      <c r="Q75" s="329"/>
      <c r="R75" s="329"/>
      <c r="S75" s="329"/>
      <c r="T75" s="329"/>
      <c r="U75" s="329"/>
      <c r="V75" s="329"/>
      <c r="W75" s="329"/>
      <c r="X75" s="329"/>
      <c r="Y75" s="329"/>
      <c r="Z75" s="329"/>
      <c r="AA75" s="329"/>
      <c r="AB75" s="329"/>
      <c r="AC75" s="329"/>
      <c r="AD75" s="329"/>
      <c r="AE75" s="329"/>
      <c r="AF75" s="330"/>
      <c r="AG75" s="106"/>
      <c r="AH75" s="106"/>
    </row>
    <row r="76" spans="1:34" ht="97.5" customHeight="1">
      <c r="A76" s="106"/>
      <c r="B76" s="325" t="s">
        <v>233</v>
      </c>
      <c r="C76" s="326"/>
      <c r="D76" s="326"/>
      <c r="E76" s="326"/>
      <c r="F76" s="326"/>
      <c r="G76" s="327"/>
      <c r="H76" s="328" t="s">
        <v>236</v>
      </c>
      <c r="I76" s="329"/>
      <c r="J76" s="329"/>
      <c r="K76" s="329"/>
      <c r="L76" s="329"/>
      <c r="M76" s="329"/>
      <c r="N76" s="329"/>
      <c r="O76" s="329"/>
      <c r="P76" s="329"/>
      <c r="Q76" s="329"/>
      <c r="R76" s="329"/>
      <c r="S76" s="329"/>
      <c r="T76" s="329"/>
      <c r="U76" s="329"/>
      <c r="V76" s="329"/>
      <c r="W76" s="329"/>
      <c r="X76" s="329"/>
      <c r="Y76" s="329"/>
      <c r="Z76" s="329"/>
      <c r="AA76" s="329"/>
      <c r="AB76" s="329"/>
      <c r="AC76" s="329"/>
      <c r="AD76" s="329"/>
      <c r="AE76" s="329"/>
      <c r="AF76" s="330"/>
      <c r="AG76" s="106"/>
      <c r="AH76" s="106"/>
    </row>
    <row r="77" spans="1:34">
      <c r="A77" s="106"/>
      <c r="B77" s="133"/>
      <c r="C77" s="133"/>
      <c r="D77" s="133"/>
      <c r="E77" s="133"/>
      <c r="F77" s="133"/>
      <c r="G77" s="133"/>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06"/>
      <c r="AH77" s="106"/>
    </row>
    <row r="78" spans="1:34">
      <c r="A78" s="106"/>
      <c r="B78" s="133"/>
      <c r="C78" s="133"/>
      <c r="D78" s="133"/>
      <c r="E78" s="133"/>
      <c r="F78" s="133"/>
      <c r="G78" s="133"/>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06"/>
      <c r="AH78" s="106"/>
    </row>
    <row r="79" spans="1:34">
      <c r="A79" s="106"/>
      <c r="B79" s="133"/>
      <c r="C79" s="133"/>
      <c r="D79" s="133"/>
      <c r="E79" s="133"/>
      <c r="F79" s="133"/>
      <c r="G79" s="133"/>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06"/>
      <c r="AH79" s="106"/>
    </row>
    <row r="80" spans="1:34" ht="26.25">
      <c r="A80" s="106"/>
      <c r="B80" s="129" t="s">
        <v>168</v>
      </c>
      <c r="C80" s="130"/>
      <c r="D80" s="130"/>
      <c r="E80" s="130"/>
      <c r="F80" s="130"/>
      <c r="G80" s="130"/>
      <c r="H80" s="131"/>
      <c r="I80" s="131"/>
      <c r="J80" s="131"/>
      <c r="K80" s="131"/>
      <c r="L80" s="131"/>
      <c r="M80" s="131"/>
      <c r="N80" s="131"/>
      <c r="O80" s="131"/>
      <c r="P80" s="131"/>
      <c r="Q80" s="131"/>
      <c r="R80" s="131"/>
      <c r="S80" s="131"/>
      <c r="T80" s="131"/>
      <c r="U80" s="131"/>
      <c r="V80" s="131"/>
      <c r="W80" s="131"/>
      <c r="X80" s="131"/>
      <c r="Y80" s="131"/>
      <c r="Z80" s="131"/>
      <c r="AA80" s="131"/>
      <c r="AB80" s="131"/>
      <c r="AC80" s="131"/>
      <c r="AD80" s="131"/>
      <c r="AE80" s="131"/>
      <c r="AF80" s="131"/>
      <c r="AG80" s="106"/>
      <c r="AH80" s="106"/>
    </row>
    <row r="81" spans="1:36">
      <c r="A81" s="106"/>
      <c r="B81" s="133"/>
      <c r="C81" s="133"/>
      <c r="D81" s="133"/>
      <c r="E81" s="133"/>
      <c r="F81" s="133"/>
      <c r="G81" s="133"/>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06"/>
      <c r="AH81" s="106"/>
    </row>
    <row r="82" spans="1:36">
      <c r="A82" s="106"/>
      <c r="B82" s="133" t="s">
        <v>169</v>
      </c>
      <c r="C82" s="133"/>
      <c r="D82" s="133"/>
      <c r="E82" s="133"/>
      <c r="F82" s="133"/>
      <c r="G82" s="133"/>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06"/>
      <c r="AH82" s="106"/>
    </row>
    <row r="83" spans="1:36" ht="67.5">
      <c r="A83" s="106"/>
      <c r="B83" s="133"/>
      <c r="C83" s="133"/>
      <c r="D83" s="133"/>
      <c r="E83" s="133"/>
      <c r="F83" s="133"/>
      <c r="G83" s="133"/>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06"/>
      <c r="AH83" s="106"/>
      <c r="AJ83" s="176" t="s">
        <v>289</v>
      </c>
    </row>
    <row r="84" spans="1:36" ht="18.75">
      <c r="A84" s="106"/>
      <c r="C84" s="133"/>
      <c r="D84" s="133"/>
      <c r="E84" s="133"/>
      <c r="F84" s="133"/>
      <c r="G84" s="133"/>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06"/>
      <c r="AH84" s="106"/>
      <c r="AI84" s="155"/>
      <c r="AJ84" s="175" t="s">
        <v>290</v>
      </c>
    </row>
    <row r="85" spans="1:36">
      <c r="A85" s="106"/>
      <c r="C85" s="133"/>
      <c r="D85" s="133"/>
      <c r="E85" s="133"/>
      <c r="F85" s="133"/>
      <c r="G85" s="133"/>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06"/>
      <c r="AH85" s="106"/>
      <c r="AI85" s="156" t="s">
        <v>213</v>
      </c>
      <c r="AJ85" s="156" t="s">
        <v>170</v>
      </c>
    </row>
    <row r="86" spans="1:36">
      <c r="A86" s="106"/>
      <c r="C86" s="133"/>
      <c r="D86" s="133"/>
      <c r="E86" s="133"/>
      <c r="F86" s="133"/>
      <c r="G86" s="133"/>
      <c r="H86" s="134"/>
      <c r="I86" s="134"/>
      <c r="J86" s="134"/>
      <c r="K86" s="134"/>
      <c r="L86" s="134"/>
      <c r="M86" s="134"/>
      <c r="N86" s="134"/>
      <c r="O86" s="134"/>
      <c r="P86" s="134"/>
      <c r="Q86" s="134"/>
      <c r="R86" s="134"/>
      <c r="S86" s="134"/>
      <c r="T86" s="134"/>
      <c r="U86" s="134"/>
      <c r="V86" s="134"/>
      <c r="W86" s="134"/>
      <c r="X86" s="134"/>
      <c r="Y86" s="134"/>
      <c r="Z86" s="134"/>
      <c r="AA86" s="134"/>
      <c r="AB86" s="134"/>
      <c r="AC86" s="134"/>
      <c r="AD86" s="134"/>
      <c r="AE86" s="134"/>
      <c r="AF86" s="134"/>
      <c r="AG86" s="106"/>
      <c r="AH86" s="106"/>
      <c r="AI86" s="156" t="s">
        <v>23</v>
      </c>
      <c r="AJ86" s="156" t="s">
        <v>172</v>
      </c>
    </row>
    <row r="87" spans="1:36">
      <c r="A87" s="106"/>
      <c r="C87" s="133"/>
      <c r="D87" s="133"/>
      <c r="E87" s="133"/>
      <c r="F87" s="133"/>
      <c r="G87" s="133"/>
      <c r="H87" s="134"/>
      <c r="I87" s="134"/>
      <c r="J87" s="134"/>
      <c r="K87" s="134"/>
      <c r="L87" s="134"/>
      <c r="M87" s="134"/>
      <c r="N87" s="134"/>
      <c r="O87" s="134"/>
      <c r="P87" s="134"/>
      <c r="Q87" s="134"/>
      <c r="R87" s="134"/>
      <c r="S87" s="134"/>
      <c r="T87" s="134"/>
      <c r="U87" s="134"/>
      <c r="V87" s="134"/>
      <c r="W87" s="134"/>
      <c r="X87" s="134"/>
      <c r="Y87" s="134"/>
      <c r="Z87" s="134"/>
      <c r="AA87" s="134"/>
      <c r="AB87" s="134"/>
      <c r="AC87" s="134"/>
      <c r="AD87" s="134"/>
      <c r="AE87" s="134"/>
      <c r="AF87" s="134"/>
      <c r="AG87" s="106"/>
      <c r="AH87" s="106"/>
      <c r="AI87" s="156" t="s">
        <v>11</v>
      </c>
      <c r="AJ87" s="156" t="s">
        <v>215</v>
      </c>
    </row>
    <row r="88" spans="1:36" ht="18.75">
      <c r="A88" s="106"/>
      <c r="C88" s="133"/>
      <c r="D88" s="133"/>
      <c r="E88" s="133"/>
      <c r="F88" s="133"/>
      <c r="G88" s="133"/>
      <c r="H88" s="134"/>
      <c r="I88" s="134"/>
      <c r="J88" s="134"/>
      <c r="K88" s="134"/>
      <c r="L88" s="134"/>
      <c r="M88" s="134"/>
      <c r="N88" s="134"/>
      <c r="O88" s="134"/>
      <c r="P88" s="134"/>
      <c r="Q88" s="134"/>
      <c r="R88" s="134"/>
      <c r="S88" s="134"/>
      <c r="T88" s="134"/>
      <c r="U88" s="134"/>
      <c r="V88" s="134"/>
      <c r="W88" s="134"/>
      <c r="X88" s="134"/>
      <c r="Y88" s="134"/>
      <c r="Z88" s="134"/>
      <c r="AA88" s="134"/>
      <c r="AB88" s="134"/>
      <c r="AC88" s="134"/>
      <c r="AD88" s="134"/>
      <c r="AE88" s="134"/>
      <c r="AF88" s="134"/>
      <c r="AG88" s="106"/>
      <c r="AH88" s="106"/>
      <c r="AI88" s="157"/>
      <c r="AJ88" s="156" t="s">
        <v>173</v>
      </c>
    </row>
    <row r="89" spans="1:36">
      <c r="A89" s="106"/>
      <c r="B89" s="133"/>
      <c r="C89" s="133"/>
      <c r="D89" s="133"/>
      <c r="E89" s="133"/>
      <c r="F89" s="133"/>
      <c r="G89" s="133"/>
      <c r="H89" s="134"/>
      <c r="I89" s="134"/>
      <c r="J89" s="134"/>
      <c r="K89" s="134"/>
      <c r="L89" s="134"/>
      <c r="M89" s="134"/>
      <c r="N89" s="134"/>
      <c r="O89" s="134"/>
      <c r="P89" s="134"/>
      <c r="Q89" s="134"/>
      <c r="R89" s="134"/>
      <c r="S89" s="134"/>
      <c r="T89" s="134"/>
      <c r="U89" s="134"/>
      <c r="V89" s="134"/>
      <c r="W89" s="134"/>
      <c r="X89" s="134"/>
      <c r="Y89" s="134"/>
      <c r="Z89" s="134"/>
      <c r="AA89" s="134"/>
      <c r="AB89" s="134"/>
      <c r="AC89" s="134"/>
      <c r="AD89" s="134"/>
      <c r="AE89" s="134"/>
      <c r="AF89" s="134"/>
      <c r="AG89" s="106"/>
      <c r="AH89" s="106"/>
      <c r="AJ89" s="156" t="s">
        <v>244</v>
      </c>
    </row>
    <row r="90" spans="1:36">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J90" s="156" t="s">
        <v>171</v>
      </c>
    </row>
    <row r="91" spans="1:36">
      <c r="AJ91" s="156" t="s">
        <v>219</v>
      </c>
    </row>
    <row r="92" spans="1:36">
      <c r="AJ92" s="156" t="s">
        <v>245</v>
      </c>
    </row>
    <row r="93" spans="1:36">
      <c r="AJ93" s="156" t="s">
        <v>246</v>
      </c>
    </row>
    <row r="94" spans="1:36">
      <c r="AJ94" s="156" t="s">
        <v>247</v>
      </c>
    </row>
    <row r="95" spans="1:36">
      <c r="AJ95" s="156" t="s">
        <v>248</v>
      </c>
    </row>
    <row r="96" spans="1:36">
      <c r="AJ96" s="156" t="s">
        <v>254</v>
      </c>
    </row>
    <row r="97" spans="36:36">
      <c r="AJ97" s="156" t="s">
        <v>174</v>
      </c>
    </row>
    <row r="98" spans="36:36">
      <c r="AJ98" s="156" t="s">
        <v>249</v>
      </c>
    </row>
    <row r="99" spans="36:36">
      <c r="AJ99" s="156" t="s">
        <v>250</v>
      </c>
    </row>
    <row r="100" spans="36:36">
      <c r="AJ100" s="156" t="s">
        <v>251</v>
      </c>
    </row>
    <row r="101" spans="36:36">
      <c r="AJ101" s="156" t="s">
        <v>252</v>
      </c>
    </row>
    <row r="102" spans="36:36">
      <c r="AJ102" s="156" t="s">
        <v>253</v>
      </c>
    </row>
    <row r="103" spans="36:36">
      <c r="AJ103" s="156" t="s">
        <v>175</v>
      </c>
    </row>
    <row r="104" spans="36:36">
      <c r="AJ104" s="156" t="s">
        <v>255</v>
      </c>
    </row>
    <row r="105" spans="36:36" ht="18.75">
      <c r="AJ105" s="157" t="s">
        <v>250</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91"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33" t="s">
        <v>15</v>
      </c>
      <c r="B1" s="334"/>
      <c r="C1" s="334"/>
      <c r="D1" s="335"/>
    </row>
    <row r="3" spans="1:8">
      <c r="B3" s="336" t="s">
        <v>16</v>
      </c>
      <c r="C3" s="337"/>
      <c r="D3" s="338"/>
    </row>
    <row r="4" spans="1:8">
      <c r="B4" s="89"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36" t="s">
        <v>183</v>
      </c>
      <c r="C12" s="337"/>
      <c r="D12" s="338"/>
    </row>
    <row r="13" spans="1:8" ht="24.75" customHeight="1">
      <c r="B13" s="135" t="s">
        <v>178</v>
      </c>
      <c r="C13" s="339" t="s">
        <v>180</v>
      </c>
      <c r="D13" s="340"/>
    </row>
    <row r="14" spans="1:8" ht="25.5" customHeight="1">
      <c r="B14" s="135" t="s">
        <v>106</v>
      </c>
      <c r="C14" s="339" t="s">
        <v>181</v>
      </c>
      <c r="D14" s="340"/>
      <c r="E14" s="90"/>
      <c r="F14" s="90"/>
      <c r="G14" s="90"/>
      <c r="H14" s="90"/>
    </row>
    <row r="15" spans="1:8" ht="49.5" customHeight="1">
      <c r="B15" s="135" t="s">
        <v>179</v>
      </c>
      <c r="C15" s="339" t="s">
        <v>182</v>
      </c>
      <c r="D15" s="340"/>
      <c r="F15" s="94" t="s">
        <v>135</v>
      </c>
    </row>
    <row r="17" spans="2:6">
      <c r="B17" s="336" t="s">
        <v>13</v>
      </c>
      <c r="C17" s="337"/>
      <c r="D17" s="338"/>
    </row>
    <row r="18" spans="2:6">
      <c r="B18" s="2"/>
      <c r="C18" s="3"/>
      <c r="D18" s="4"/>
      <c r="F18" s="94" t="s">
        <v>132</v>
      </c>
    </row>
    <row r="19" spans="2:6" s="91" customFormat="1" ht="38.25">
      <c r="B19" s="331" t="s">
        <v>184</v>
      </c>
      <c r="C19" s="136" t="s">
        <v>107</v>
      </c>
      <c r="D19" s="92"/>
      <c r="F19" s="95" t="s">
        <v>133</v>
      </c>
    </row>
    <row r="20" spans="2:6">
      <c r="B20" s="331"/>
      <c r="C20" s="137"/>
      <c r="D20" s="4"/>
      <c r="F20" s="94" t="s">
        <v>134</v>
      </c>
    </row>
    <row r="21" spans="2:6" ht="25.5">
      <c r="B21" s="331"/>
      <c r="C21" s="138" t="s">
        <v>108</v>
      </c>
      <c r="D21" s="4"/>
    </row>
    <row r="22" spans="2:6" ht="25.5">
      <c r="B22" s="331"/>
      <c r="C22" s="138" t="s">
        <v>0</v>
      </c>
      <c r="D22" s="4"/>
    </row>
    <row r="23" spans="2:6">
      <c r="B23" s="331"/>
      <c r="C23" s="138" t="s">
        <v>1</v>
      </c>
      <c r="D23" s="4"/>
    </row>
    <row r="24" spans="2:6">
      <c r="B24" s="2"/>
      <c r="C24" s="27"/>
      <c r="D24" s="4"/>
    </row>
    <row r="25" spans="2:6">
      <c r="B25" s="332" t="s">
        <v>185</v>
      </c>
      <c r="C25" s="139" t="s">
        <v>335</v>
      </c>
      <c r="D25" s="4"/>
    </row>
    <row r="26" spans="2:6" ht="25.5">
      <c r="B26" s="332"/>
      <c r="C26" s="140" t="s">
        <v>2</v>
      </c>
      <c r="D26" s="4"/>
    </row>
    <row r="27" spans="2:6">
      <c r="B27" s="332"/>
      <c r="C27" s="139"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73" t="s">
        <v>286</v>
      </c>
      <c r="C50" s="174" t="s">
        <v>287</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3" t="s">
        <v>111</v>
      </c>
      <c r="D123" s="10"/>
    </row>
    <row r="124" spans="2:4">
      <c r="B124" s="141" t="s">
        <v>186</v>
      </c>
      <c r="C124" s="1" t="s">
        <v>110</v>
      </c>
      <c r="D124" s="4"/>
    </row>
    <row r="125" spans="2:4">
      <c r="B125" s="141" t="s">
        <v>186</v>
      </c>
      <c r="C125" s="31" t="s">
        <v>114</v>
      </c>
      <c r="D125" s="4"/>
    </row>
    <row r="126" spans="2:4">
      <c r="B126" s="141" t="s">
        <v>186</v>
      </c>
      <c r="C126" s="27" t="s">
        <v>115</v>
      </c>
      <c r="D126" s="4"/>
    </row>
    <row r="127" spans="2:4">
      <c r="B127" s="141" t="s">
        <v>186</v>
      </c>
      <c r="C127" s="27" t="s">
        <v>116</v>
      </c>
      <c r="D127" s="4"/>
    </row>
    <row r="128" spans="2:4">
      <c r="B128" s="141" t="s">
        <v>186</v>
      </c>
      <c r="C128" s="27" t="s">
        <v>117</v>
      </c>
      <c r="D128" s="4"/>
    </row>
    <row r="129" spans="2:4">
      <c r="B129" s="141" t="s">
        <v>186</v>
      </c>
      <c r="C129" s="27" t="s">
        <v>121</v>
      </c>
      <c r="D129" s="4"/>
    </row>
    <row r="130" spans="2:4">
      <c r="B130" s="141" t="s">
        <v>186</v>
      </c>
      <c r="C130" s="27" t="s">
        <v>122</v>
      </c>
      <c r="D130" s="4"/>
    </row>
    <row r="131" spans="2:4">
      <c r="B131" s="141" t="s">
        <v>186</v>
      </c>
      <c r="C131" s="31" t="s">
        <v>124</v>
      </c>
      <c r="D131" s="4"/>
    </row>
    <row r="132" spans="2:4">
      <c r="B132" s="141" t="s">
        <v>186</v>
      </c>
      <c r="C132" s="31" t="s">
        <v>125</v>
      </c>
      <c r="D132" s="4"/>
    </row>
    <row r="133" spans="2:4">
      <c r="B133" s="141" t="s">
        <v>186</v>
      </c>
      <c r="C133" s="1" t="s">
        <v>123</v>
      </c>
      <c r="D133" s="4"/>
    </row>
    <row r="134" spans="2:4">
      <c r="B134" s="141" t="s">
        <v>186</v>
      </c>
      <c r="C134" s="27" t="s">
        <v>118</v>
      </c>
      <c r="D134" s="4"/>
    </row>
    <row r="135" spans="2:4">
      <c r="B135" s="141" t="s">
        <v>186</v>
      </c>
      <c r="C135" s="27" t="s">
        <v>113</v>
      </c>
      <c r="D135" s="4"/>
    </row>
    <row r="136" spans="2:4">
      <c r="B136" s="141" t="s">
        <v>186</v>
      </c>
      <c r="C136" s="31" t="s">
        <v>119</v>
      </c>
      <c r="D136" s="4"/>
    </row>
    <row r="137" spans="2:4">
      <c r="B137" s="141" t="s">
        <v>186</v>
      </c>
      <c r="C137" s="31" t="s">
        <v>127</v>
      </c>
      <c r="D137" s="4"/>
    </row>
    <row r="138" spans="2:4">
      <c r="B138" s="141" t="s">
        <v>186</v>
      </c>
      <c r="C138" s="31" t="s">
        <v>112</v>
      </c>
      <c r="D138" s="4"/>
    </row>
    <row r="139" spans="2:4">
      <c r="B139" s="141" t="s">
        <v>186</v>
      </c>
      <c r="C139" s="31" t="s">
        <v>126</v>
      </c>
      <c r="D139" s="4"/>
    </row>
    <row r="140" spans="2:4">
      <c r="B140" s="142"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9"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G24" sqref="G24:G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2" customFormat="1" ht="76.5">
      <c r="B24" s="83" t="s">
        <v>89</v>
      </c>
      <c r="C24" s="177" t="s">
        <v>51</v>
      </c>
      <c r="D24" s="178" t="s">
        <v>68</v>
      </c>
      <c r="E24" s="83" t="s">
        <v>249</v>
      </c>
      <c r="F24" s="83" t="s">
        <v>250</v>
      </c>
      <c r="G24" s="83" t="s">
        <v>252</v>
      </c>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5"/>
      <c r="C25" s="39" t="s">
        <v>76</v>
      </c>
      <c r="D25" s="180">
        <f>SUM(E25:AA25)</f>
        <v>18</v>
      </c>
      <c r="E25" s="85">
        <v>0</v>
      </c>
      <c r="F25" s="85">
        <v>18</v>
      </c>
      <c r="G25" s="85">
        <v>0</v>
      </c>
    </row>
    <row r="26" spans="2:52" ht="15">
      <c r="B26" s="86"/>
      <c r="C26" s="40" t="s">
        <v>77</v>
      </c>
      <c r="D26" s="180">
        <f>SUM(E26:AA26)</f>
        <v>4</v>
      </c>
      <c r="E26" s="86">
        <v>0</v>
      </c>
      <c r="F26" s="86">
        <v>4</v>
      </c>
      <c r="G26" s="86">
        <v>0</v>
      </c>
    </row>
    <row r="27" spans="2:52" ht="15">
      <c r="B27" s="84">
        <f>B25+B26</f>
        <v>0</v>
      </c>
      <c r="C27" s="44" t="s">
        <v>22</v>
      </c>
      <c r="D27" s="84">
        <f t="shared" ref="D27" si="0">D25+D26</f>
        <v>22</v>
      </c>
      <c r="E27" s="84">
        <f>E25+E26</f>
        <v>0</v>
      </c>
      <c r="F27" s="84">
        <f>F25+F26</f>
        <v>22</v>
      </c>
      <c r="G27" s="84">
        <f>G25+G26</f>
        <v>0</v>
      </c>
    </row>
    <row r="28" spans="2:52">
      <c r="D28" s="17"/>
      <c r="H28" s="37"/>
    </row>
    <row r="29" spans="2:52">
      <c r="D29" s="17"/>
      <c r="H29" s="37"/>
    </row>
    <row r="30" spans="2:52">
      <c r="D30" s="17"/>
      <c r="H30" s="37"/>
    </row>
    <row r="31" spans="2:52" s="82" customFormat="1" ht="60" customHeight="1">
      <c r="B31" s="83" t="s">
        <v>90</v>
      </c>
      <c r="C31" s="177" t="s">
        <v>47</v>
      </c>
      <c r="D31" s="178" t="s">
        <v>68</v>
      </c>
      <c r="E31" s="83"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5"/>
      <c r="C32" s="40" t="s">
        <v>19</v>
      </c>
      <c r="D32" s="180">
        <f>SUM(E32:AA32)</f>
        <v>0</v>
      </c>
      <c r="E32" s="85">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6"/>
      <c r="C33" s="40" t="s">
        <v>44</v>
      </c>
      <c r="D33" s="180">
        <f>SUM(E33:AA33)</f>
        <v>0</v>
      </c>
      <c r="E33" s="86">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6"/>
      <c r="C34" s="40" t="s">
        <v>20</v>
      </c>
      <c r="D34" s="180">
        <f>SUM(E34:AA34)</f>
        <v>5</v>
      </c>
      <c r="E34" s="86">
        <v>5</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6"/>
      <c r="C35" s="40" t="s">
        <v>21</v>
      </c>
      <c r="D35" s="180">
        <f>SUM(E35:AA35)</f>
        <v>0</v>
      </c>
      <c r="E35" s="86">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6"/>
      <c r="C36" s="40" t="s">
        <v>78</v>
      </c>
      <c r="D36" s="180">
        <f>SUM(E36:AA36)</f>
        <v>9</v>
      </c>
      <c r="E36" s="86">
        <v>9</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7">
        <f>SUM(B32:B36)</f>
        <v>0</v>
      </c>
      <c r="C37" s="44" t="s">
        <v>22</v>
      </c>
      <c r="D37" s="181">
        <f>SUM(D32:D36)</f>
        <v>14</v>
      </c>
      <c r="E37" s="87">
        <f>SUM(E32:E36)</f>
        <v>14</v>
      </c>
    </row>
    <row r="38" spans="2:52">
      <c r="D38" s="17"/>
      <c r="H38" s="37"/>
    </row>
    <row r="39" spans="2:52">
      <c r="D39" s="17"/>
      <c r="H39" s="37"/>
    </row>
    <row r="40" spans="2:52" s="82" customFormat="1" ht="63.75">
      <c r="B40" s="83" t="s">
        <v>90</v>
      </c>
      <c r="C40" s="177" t="s">
        <v>67</v>
      </c>
      <c r="D40" s="178" t="s">
        <v>68</v>
      </c>
      <c r="E40" s="83"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6"/>
      <c r="C41" s="40" t="s">
        <v>75</v>
      </c>
      <c r="D41" s="180">
        <f>SUM(E41:AA41)</f>
        <v>14</v>
      </c>
      <c r="E41" s="86">
        <v>14</v>
      </c>
    </row>
    <row r="42" spans="2:52" ht="15">
      <c r="B42" s="86"/>
      <c r="C42" s="40" t="s">
        <v>74</v>
      </c>
      <c r="D42" s="180">
        <f>SUM(E42:AA42)</f>
        <v>0</v>
      </c>
      <c r="E42" s="86">
        <v>0</v>
      </c>
    </row>
    <row r="43" spans="2:52" s="17" customFormat="1" ht="15">
      <c r="B43" s="86"/>
      <c r="C43" s="40" t="s">
        <v>101</v>
      </c>
      <c r="D43" s="180">
        <f>SUM(E43:AA43)</f>
        <v>0</v>
      </c>
      <c r="E43" s="86">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7">
        <f>SUM(B41:B43)</f>
        <v>0</v>
      </c>
      <c r="C44" s="44" t="s">
        <v>22</v>
      </c>
      <c r="D44" s="181">
        <f>SUM(D41:D43)</f>
        <v>14</v>
      </c>
      <c r="E44" s="87">
        <f>SUM(E41:E43)</f>
        <v>14</v>
      </c>
    </row>
    <row r="45" spans="2:52">
      <c r="D45" s="17"/>
    </row>
    <row r="46" spans="2:52">
      <c r="D46" s="17"/>
    </row>
    <row r="47" spans="2:52" ht="25.5">
      <c r="C47" s="179" t="s">
        <v>59</v>
      </c>
      <c r="D47" s="179" t="s">
        <v>92</v>
      </c>
      <c r="E47" s="30" t="s">
        <v>91</v>
      </c>
    </row>
    <row r="48" spans="2:52">
      <c r="C48" s="88" t="s">
        <v>93</v>
      </c>
      <c r="D48" s="182" t="s">
        <v>94</v>
      </c>
      <c r="E48" s="88" t="s">
        <v>95</v>
      </c>
    </row>
  </sheetData>
  <phoneticPr fontId="39"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23"/>
  <sheetViews>
    <sheetView showGridLines="0" zoomScaleNormal="100" workbookViewId="0">
      <selection activeCell="F29" sqref="F29"/>
    </sheetView>
  </sheetViews>
  <sheetFormatPr defaultColWidth="8.85546875" defaultRowHeight="15" outlineLevelCol="1"/>
  <cols>
    <col min="1" max="2" width="31.5703125" style="143" customWidth="1"/>
    <col min="3" max="3" width="43.28515625" style="230" customWidth="1"/>
    <col min="4" max="4" width="13.42578125" style="230" customWidth="1"/>
    <col min="5" max="5" width="18.140625" style="143" customWidth="1"/>
    <col min="6" max="14" width="15.28515625" style="143" customWidth="1" outlineLevel="1"/>
    <col min="15" max="15" width="16.7109375" style="143" customWidth="1" outlineLevel="1"/>
    <col min="16" max="16384" width="8.85546875" style="143"/>
  </cols>
  <sheetData>
    <row r="1" spans="1:15" ht="21" customHeight="1">
      <c r="A1" s="341" t="s">
        <v>191</v>
      </c>
      <c r="B1" s="342"/>
      <c r="C1" s="342"/>
      <c r="D1" s="342"/>
      <c r="E1" s="343"/>
      <c r="F1" s="344" t="s">
        <v>198</v>
      </c>
      <c r="G1" s="345"/>
      <c r="H1" s="345"/>
      <c r="I1" s="345"/>
      <c r="J1" s="345"/>
      <c r="K1" s="345"/>
      <c r="L1" s="345"/>
      <c r="M1" s="345"/>
      <c r="N1" s="345"/>
      <c r="O1" s="345"/>
    </row>
    <row r="2" spans="1:15" ht="18.75">
      <c r="A2" s="153" t="s">
        <v>194</v>
      </c>
      <c r="B2" s="153" t="s">
        <v>190</v>
      </c>
      <c r="C2" s="223" t="s">
        <v>192</v>
      </c>
      <c r="D2" s="223" t="s">
        <v>193</v>
      </c>
      <c r="E2" s="153" t="s">
        <v>195</v>
      </c>
      <c r="F2" s="154" t="s">
        <v>357</v>
      </c>
      <c r="G2" s="154" t="s">
        <v>368</v>
      </c>
      <c r="H2" s="154" t="s">
        <v>358</v>
      </c>
      <c r="I2" s="154" t="s">
        <v>379</v>
      </c>
      <c r="J2" s="154" t="s">
        <v>435</v>
      </c>
      <c r="K2" s="154" t="s">
        <v>450</v>
      </c>
      <c r="L2" s="154" t="s">
        <v>499</v>
      </c>
      <c r="M2" s="154" t="s">
        <v>504</v>
      </c>
      <c r="N2" s="154" t="s">
        <v>196</v>
      </c>
      <c r="O2" s="154" t="s">
        <v>197</v>
      </c>
    </row>
    <row r="3" spans="1:15">
      <c r="A3" s="206" t="s">
        <v>366</v>
      </c>
      <c r="B3" s="143" t="s">
        <v>106</v>
      </c>
      <c r="C3" s="224" t="s">
        <v>360</v>
      </c>
      <c r="D3" s="224" t="s">
        <v>360</v>
      </c>
      <c r="E3" s="152">
        <f t="shared" ref="E3:E9" si="0">SUM(F3:O3)</f>
        <v>30</v>
      </c>
      <c r="F3" s="143">
        <v>15</v>
      </c>
      <c r="G3" s="143">
        <v>15</v>
      </c>
    </row>
    <row r="4" spans="1:15">
      <c r="A4" s="208" t="s">
        <v>363</v>
      </c>
      <c r="B4" s="143" t="s">
        <v>106</v>
      </c>
      <c r="C4" s="224" t="s">
        <v>360</v>
      </c>
      <c r="D4" s="224" t="s">
        <v>360</v>
      </c>
      <c r="E4" s="152">
        <f t="shared" si="0"/>
        <v>30</v>
      </c>
      <c r="F4" s="143">
        <v>15</v>
      </c>
      <c r="G4" s="143">
        <v>15</v>
      </c>
    </row>
    <row r="5" spans="1:15">
      <c r="A5" s="206" t="s">
        <v>377</v>
      </c>
      <c r="B5" s="206" t="s">
        <v>106</v>
      </c>
      <c r="C5" s="225" t="s">
        <v>378</v>
      </c>
      <c r="D5" s="225" t="s">
        <v>378</v>
      </c>
      <c r="E5" s="152">
        <f t="shared" si="0"/>
        <v>30</v>
      </c>
      <c r="F5" s="143">
        <v>15</v>
      </c>
      <c r="I5" s="143">
        <v>15</v>
      </c>
    </row>
    <row r="6" spans="1:15">
      <c r="A6" s="208" t="s">
        <v>366</v>
      </c>
      <c r="B6" s="208" t="s">
        <v>106</v>
      </c>
      <c r="C6" s="226" t="s">
        <v>428</v>
      </c>
      <c r="D6" s="226" t="s">
        <v>428</v>
      </c>
      <c r="E6" s="152">
        <f t="shared" si="0"/>
        <v>60</v>
      </c>
      <c r="F6" s="143">
        <v>30</v>
      </c>
      <c r="I6" s="143">
        <v>30</v>
      </c>
    </row>
    <row r="7" spans="1:15">
      <c r="A7" s="208" t="s">
        <v>363</v>
      </c>
      <c r="B7" s="143" t="s">
        <v>106</v>
      </c>
      <c r="C7" s="226" t="s">
        <v>428</v>
      </c>
      <c r="D7" s="226" t="s">
        <v>428</v>
      </c>
      <c r="E7" s="152">
        <f t="shared" si="0"/>
        <v>60</v>
      </c>
      <c r="F7" s="143">
        <v>30</v>
      </c>
      <c r="I7" s="143">
        <v>30</v>
      </c>
    </row>
    <row r="8" spans="1:15">
      <c r="A8" s="209" t="s">
        <v>433</v>
      </c>
      <c r="B8" s="208" t="s">
        <v>106</v>
      </c>
      <c r="C8" s="226" t="s">
        <v>428</v>
      </c>
      <c r="D8" s="226" t="s">
        <v>428</v>
      </c>
      <c r="E8" s="152">
        <f t="shared" si="0"/>
        <v>40</v>
      </c>
      <c r="H8" s="143">
        <v>20</v>
      </c>
      <c r="J8" s="143">
        <v>20</v>
      </c>
    </row>
    <row r="9" spans="1:15">
      <c r="A9" s="209" t="s">
        <v>434</v>
      </c>
      <c r="B9" s="208" t="s">
        <v>106</v>
      </c>
      <c r="C9" s="226" t="s">
        <v>428</v>
      </c>
      <c r="D9" s="226" t="s">
        <v>428</v>
      </c>
      <c r="E9" s="152">
        <f t="shared" si="0"/>
        <v>40</v>
      </c>
      <c r="H9" s="143">
        <v>20</v>
      </c>
      <c r="J9" s="143">
        <v>20</v>
      </c>
    </row>
    <row r="10" spans="1:15">
      <c r="A10" s="210" t="s">
        <v>442</v>
      </c>
      <c r="B10" s="208" t="s">
        <v>106</v>
      </c>
      <c r="C10" s="227" t="s">
        <v>443</v>
      </c>
      <c r="D10" s="227" t="s">
        <v>443</v>
      </c>
      <c r="E10" s="152">
        <f t="shared" ref="E10" si="1">SUM(F10:O10)</f>
        <v>10</v>
      </c>
      <c r="H10" s="143">
        <v>5</v>
      </c>
      <c r="J10" s="143">
        <v>5</v>
      </c>
    </row>
    <row r="11" spans="1:15">
      <c r="A11" s="211" t="s">
        <v>448</v>
      </c>
      <c r="B11" s="208" t="s">
        <v>106</v>
      </c>
      <c r="C11" s="228" t="s">
        <v>449</v>
      </c>
      <c r="D11" s="228" t="s">
        <v>449</v>
      </c>
      <c r="E11" s="152">
        <f t="shared" ref="E11" si="2">SUM(F11:O11)</f>
        <v>10</v>
      </c>
      <c r="H11" s="143">
        <v>5</v>
      </c>
      <c r="K11" s="143">
        <v>5</v>
      </c>
    </row>
    <row r="12" spans="1:15">
      <c r="A12" s="211" t="s">
        <v>455</v>
      </c>
      <c r="B12" s="208" t="s">
        <v>106</v>
      </c>
      <c r="C12" s="228" t="s">
        <v>449</v>
      </c>
      <c r="D12" s="228" t="s">
        <v>449</v>
      </c>
      <c r="E12" s="152">
        <f t="shared" ref="E12" si="3">SUM(F12:O12)</f>
        <v>10</v>
      </c>
      <c r="H12" s="143">
        <v>5</v>
      </c>
      <c r="K12" s="143">
        <v>5</v>
      </c>
    </row>
    <row r="13" spans="1:15">
      <c r="A13" s="212" t="s">
        <v>459</v>
      </c>
      <c r="B13" s="208" t="s">
        <v>106</v>
      </c>
      <c r="C13" s="229" t="s">
        <v>460</v>
      </c>
      <c r="D13" s="229" t="s">
        <v>460</v>
      </c>
      <c r="E13" s="152">
        <f t="shared" ref="E13" si="4">SUM(F13:O13)</f>
        <v>20</v>
      </c>
      <c r="H13" s="143">
        <v>10</v>
      </c>
      <c r="K13" s="143">
        <v>10</v>
      </c>
    </row>
    <row r="14" spans="1:15">
      <c r="A14" s="212" t="s">
        <v>461</v>
      </c>
      <c r="B14" s="208" t="s">
        <v>106</v>
      </c>
      <c r="C14" s="229" t="s">
        <v>460</v>
      </c>
      <c r="D14" s="229" t="s">
        <v>460</v>
      </c>
      <c r="E14" s="152">
        <f t="shared" ref="E14" si="5">SUM(F14:O14)</f>
        <v>20</v>
      </c>
      <c r="H14" s="143">
        <v>10</v>
      </c>
      <c r="K14" s="143">
        <v>10</v>
      </c>
    </row>
    <row r="15" spans="1:15">
      <c r="A15" s="212" t="s">
        <v>469</v>
      </c>
      <c r="B15" s="208" t="s">
        <v>106</v>
      </c>
      <c r="C15" s="229" t="s">
        <v>460</v>
      </c>
      <c r="D15" s="229" t="s">
        <v>460</v>
      </c>
      <c r="E15" s="215">
        <f t="shared" ref="E15:E22" si="6">SUM(F15:O15)</f>
        <v>20</v>
      </c>
      <c r="H15" s="143">
        <v>10</v>
      </c>
      <c r="K15" s="143">
        <v>10</v>
      </c>
    </row>
    <row r="16" spans="1:15">
      <c r="A16" s="216" t="s">
        <v>472</v>
      </c>
      <c r="B16" s="217" t="s">
        <v>106</v>
      </c>
      <c r="C16" s="221">
        <v>44984</v>
      </c>
      <c r="D16" s="221">
        <v>44984</v>
      </c>
      <c r="E16" s="215">
        <f t="shared" si="6"/>
        <v>30</v>
      </c>
      <c r="G16" s="143">
        <v>15</v>
      </c>
      <c r="I16" s="143">
        <v>15</v>
      </c>
    </row>
    <row r="17" spans="1:13">
      <c r="A17" s="218" t="s">
        <v>478</v>
      </c>
      <c r="B17" s="218" t="s">
        <v>106</v>
      </c>
      <c r="C17" s="222">
        <v>45007</v>
      </c>
      <c r="D17" s="222">
        <v>45007</v>
      </c>
      <c r="E17" s="215">
        <f t="shared" si="6"/>
        <v>30</v>
      </c>
      <c r="F17" s="143">
        <v>15</v>
      </c>
      <c r="G17" s="143">
        <v>15</v>
      </c>
    </row>
    <row r="18" spans="1:13">
      <c r="A18" s="218" t="s">
        <v>478</v>
      </c>
      <c r="B18" s="220" t="s">
        <v>106</v>
      </c>
      <c r="C18" s="222">
        <v>45029</v>
      </c>
      <c r="D18" s="222">
        <v>45029</v>
      </c>
      <c r="E18" s="215">
        <f t="shared" si="6"/>
        <v>30</v>
      </c>
      <c r="F18" s="143">
        <v>15</v>
      </c>
      <c r="G18" s="143">
        <v>15</v>
      </c>
    </row>
    <row r="19" spans="1:13">
      <c r="A19" s="231" t="s">
        <v>489</v>
      </c>
      <c r="B19" s="208" t="s">
        <v>106</v>
      </c>
      <c r="C19" s="232" t="s">
        <v>490</v>
      </c>
      <c r="D19" s="232" t="s">
        <v>490</v>
      </c>
      <c r="E19" s="152">
        <f t="shared" si="6"/>
        <v>10</v>
      </c>
      <c r="H19" s="143">
        <v>5</v>
      </c>
      <c r="K19" s="143">
        <v>5</v>
      </c>
    </row>
    <row r="20" spans="1:13">
      <c r="A20" s="233" t="s">
        <v>492</v>
      </c>
      <c r="B20" s="208" t="s">
        <v>106</v>
      </c>
      <c r="C20" s="234">
        <v>45127</v>
      </c>
      <c r="D20" s="234">
        <v>45127</v>
      </c>
      <c r="E20" s="152">
        <f t="shared" si="6"/>
        <v>20</v>
      </c>
      <c r="H20" s="143">
        <v>10</v>
      </c>
      <c r="K20" s="143">
        <v>10</v>
      </c>
    </row>
    <row r="21" spans="1:13">
      <c r="A21" s="242" t="s">
        <v>497</v>
      </c>
      <c r="B21" s="243" t="s">
        <v>106</v>
      </c>
      <c r="C21" s="244" t="s">
        <v>498</v>
      </c>
      <c r="D21" s="244" t="s">
        <v>498</v>
      </c>
      <c r="E21" s="152">
        <f t="shared" si="6"/>
        <v>20</v>
      </c>
      <c r="J21" s="143">
        <v>10</v>
      </c>
      <c r="L21" s="143">
        <v>10</v>
      </c>
    </row>
    <row r="22" spans="1:13">
      <c r="A22" s="245" t="s">
        <v>472</v>
      </c>
      <c r="B22" s="206" t="s">
        <v>106</v>
      </c>
      <c r="C22" s="246" t="s">
        <v>503</v>
      </c>
      <c r="D22" s="246" t="s">
        <v>503</v>
      </c>
      <c r="E22" s="152">
        <f t="shared" si="6"/>
        <v>30</v>
      </c>
      <c r="F22" s="143">
        <v>15</v>
      </c>
      <c r="M22" s="143">
        <v>15</v>
      </c>
    </row>
    <row r="23" spans="1:13">
      <c r="A23" s="242" t="s">
        <v>505</v>
      </c>
      <c r="B23" s="243" t="s">
        <v>106</v>
      </c>
      <c r="C23" s="351" t="s">
        <v>506</v>
      </c>
      <c r="D23" s="351" t="s">
        <v>506</v>
      </c>
      <c r="E23" s="215">
        <v>20</v>
      </c>
      <c r="J23" s="143">
        <v>10</v>
      </c>
      <c r="L23" s="143">
        <v>10</v>
      </c>
    </row>
  </sheetData>
  <mergeCells count="2">
    <mergeCell ref="A1:E1"/>
    <mergeCell ref="F1:O1"/>
  </mergeCells>
  <phoneticPr fontId="39" type="noConversion"/>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B3:B15 B19:B20 B22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115" zoomScaleNormal="115" workbookViewId="0">
      <pane xSplit="1" ySplit="4" topLeftCell="B20" activePane="bottomRight" state="frozenSplit"/>
      <selection activeCell="K17" sqref="K17"/>
      <selection pane="topRight" activeCell="K17" sqref="K17"/>
      <selection pane="bottomLeft" activeCell="K17" sqref="K17"/>
      <selection pane="bottomRight" activeCell="D37" sqref="D37"/>
    </sheetView>
  </sheetViews>
  <sheetFormatPr defaultRowHeight="12.75" outlineLevelRow="1" outlineLevelCol="1"/>
  <cols>
    <col min="1" max="1" width="5.28515625" style="71" customWidth="1"/>
    <col min="2" max="2" width="9.85546875" style="47" customWidth="1"/>
    <col min="3" max="3" width="19.28515625"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4</v>
      </c>
      <c r="P2" s="58"/>
      <c r="Q2" s="53">
        <f>COUNTIF($L5:$L500,"=" &amp; Q1)</f>
        <v>0</v>
      </c>
      <c r="R2" s="53">
        <f>COUNTIF($L5:$L500,"=" &amp; R1)</f>
        <v>5</v>
      </c>
      <c r="S2" s="53">
        <f>COUNTIF($L5:$L500,"=" &amp; S1)</f>
        <v>4</v>
      </c>
      <c r="T2" s="53">
        <f>COUNTIF($L5:$L500,"=" &amp; T1)</f>
        <v>19</v>
      </c>
      <c r="U2" s="53">
        <f>COUNTIF($L5:$L500,"=" &amp; U1)+COUNTIFS($L5:$L500,"",$D5:$D500,"&lt;&gt;")</f>
        <v>0</v>
      </c>
      <c r="V2" s="59"/>
      <c r="W2" s="60"/>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COUNTIF($M5:$M500,"=" &amp; AH1)</f>
        <v>28</v>
      </c>
      <c r="AI2" s="53">
        <f>COUNTIF($M5:$M500,"=" &amp; AI1)</f>
        <v>0</v>
      </c>
      <c r="AJ2" s="53">
        <f>COUNTIF($M5:$M500,"=" &amp; AJ1)</f>
        <v>0</v>
      </c>
      <c r="AM2" s="33"/>
      <c r="AN2" s="33"/>
      <c r="AO2" s="33"/>
      <c r="AP2" s="35"/>
      <c r="AQ2" s="35"/>
      <c r="AR2" s="33"/>
      <c r="AS2" s="35"/>
      <c r="AT2" s="35"/>
    </row>
    <row r="3" spans="1:46" s="52" customFormat="1" ht="25.5" customHeight="1" outlineLevel="1">
      <c r="A3" s="347" t="str">
        <f>IF(Issue_to_treat=1,NbOfNotTreatedIssues+NbOfRejectedIssues&amp;" issue(s) to treat",IF(Issues_to_approve=1,NbOfNotApprovedIssues&amp;" issue(s) to approve",IF(Issues_postponed=1,NbOfNotApprovedAndPostponedIssues&amp;" issue(s) postponed","Status OK")))</f>
        <v>4 issue(s) postponed</v>
      </c>
      <c r="B3" s="347"/>
      <c r="C3" s="348"/>
      <c r="D3" s="65" t="s">
        <v>63</v>
      </c>
      <c r="E3" s="346" t="s">
        <v>81</v>
      </c>
      <c r="F3" s="346"/>
      <c r="G3" s="346"/>
      <c r="H3" s="51"/>
      <c r="I3" s="51"/>
      <c r="J3" s="51"/>
      <c r="K3" s="51"/>
      <c r="L3" s="51"/>
      <c r="M3" s="51"/>
      <c r="N3" s="57"/>
      <c r="O3" s="57"/>
      <c r="P3" s="57"/>
      <c r="Q3" s="61"/>
      <c r="R3" s="61"/>
      <c r="S3" s="61"/>
      <c r="T3" s="61"/>
      <c r="U3" s="61"/>
      <c r="V3" s="61"/>
      <c r="W3" s="61"/>
      <c r="X3" s="25"/>
      <c r="Y3" s="25"/>
      <c r="Z3" s="25"/>
      <c r="AA3" s="25"/>
      <c r="AB3" s="25"/>
    </row>
    <row r="4" spans="1:46" s="151" customFormat="1" ht="47.25">
      <c r="A4" s="144" t="s">
        <v>30</v>
      </c>
      <c r="B4" s="144" t="s">
        <v>9</v>
      </c>
      <c r="C4" s="144" t="s">
        <v>32</v>
      </c>
      <c r="D4" s="144" t="s">
        <v>176</v>
      </c>
      <c r="E4" s="144" t="s">
        <v>69</v>
      </c>
      <c r="F4" s="144" t="s">
        <v>31</v>
      </c>
      <c r="G4" s="145" t="s">
        <v>46</v>
      </c>
      <c r="H4" s="146" t="s">
        <v>48</v>
      </c>
      <c r="I4" s="146" t="s">
        <v>105</v>
      </c>
      <c r="J4" s="146" t="s">
        <v>33</v>
      </c>
      <c r="K4" s="147" t="s">
        <v>49</v>
      </c>
      <c r="L4" s="146" t="s">
        <v>47</v>
      </c>
      <c r="M4" s="144" t="s">
        <v>177</v>
      </c>
      <c r="N4" s="148"/>
      <c r="O4" s="148"/>
      <c r="P4" s="148"/>
      <c r="Q4" s="149"/>
      <c r="R4" s="149"/>
      <c r="S4" s="149"/>
      <c r="T4" s="149"/>
      <c r="U4" s="149"/>
      <c r="V4" s="149"/>
      <c r="W4" s="149"/>
      <c r="X4" s="150"/>
      <c r="Y4" s="150"/>
      <c r="Z4" s="150"/>
      <c r="AA4" s="150"/>
      <c r="AB4" s="150"/>
    </row>
    <row r="5" spans="1:46" s="25" customFormat="1">
      <c r="A5" s="72">
        <v>1</v>
      </c>
      <c r="B5" s="41" t="s">
        <v>374</v>
      </c>
      <c r="C5" s="41" t="s">
        <v>363</v>
      </c>
      <c r="D5" s="29" t="s">
        <v>364</v>
      </c>
      <c r="E5" s="69">
        <v>44827.55809027778</v>
      </c>
      <c r="F5" s="70" t="s">
        <v>359</v>
      </c>
      <c r="G5" s="18" t="s">
        <v>370</v>
      </c>
      <c r="H5" s="22"/>
      <c r="I5" s="22"/>
      <c r="J5" s="22" t="s">
        <v>371</v>
      </c>
      <c r="K5" s="23">
        <v>44872.439351851855</v>
      </c>
      <c r="L5" s="22" t="s">
        <v>20</v>
      </c>
      <c r="M5" s="80" t="s">
        <v>28</v>
      </c>
      <c r="N5" s="57"/>
      <c r="O5" s="57"/>
      <c r="P5" s="57"/>
      <c r="Q5" s="61"/>
      <c r="R5" s="61"/>
      <c r="S5" s="61"/>
      <c r="T5" s="61"/>
      <c r="U5" s="61"/>
      <c r="V5" s="61"/>
      <c r="W5" s="61"/>
    </row>
    <row r="6" spans="1:46" s="25" customFormat="1" ht="25.5">
      <c r="A6" s="73">
        <v>2</v>
      </c>
      <c r="B6" s="41" t="s">
        <v>374</v>
      </c>
      <c r="C6" s="41" t="s">
        <v>363</v>
      </c>
      <c r="D6" s="29" t="s">
        <v>365</v>
      </c>
      <c r="E6" s="69">
        <v>44827.559155092589</v>
      </c>
      <c r="F6" s="70" t="s">
        <v>359</v>
      </c>
      <c r="G6" s="29" t="s">
        <v>372</v>
      </c>
      <c r="H6" s="22"/>
      <c r="I6" s="22"/>
      <c r="J6" s="80" t="s">
        <v>371</v>
      </c>
      <c r="K6" s="23">
        <v>44872.443437499998</v>
      </c>
      <c r="L6" s="22" t="s">
        <v>20</v>
      </c>
      <c r="M6" s="22" t="s">
        <v>28</v>
      </c>
      <c r="N6" s="57"/>
      <c r="O6" s="57"/>
      <c r="P6" s="57"/>
      <c r="Q6" s="61"/>
      <c r="R6" s="61"/>
      <c r="S6" s="61"/>
      <c r="T6" s="61"/>
      <c r="U6" s="61"/>
      <c r="V6" s="61"/>
      <c r="W6" s="61"/>
    </row>
    <row r="7" spans="1:46" s="25" customFormat="1">
      <c r="A7" s="73">
        <v>3</v>
      </c>
      <c r="B7" s="41" t="s">
        <v>375</v>
      </c>
      <c r="C7" s="41" t="s">
        <v>366</v>
      </c>
      <c r="D7" s="29" t="s">
        <v>364</v>
      </c>
      <c r="E7" s="69">
        <v>44827.56454861111</v>
      </c>
      <c r="F7" s="70" t="s">
        <v>359</v>
      </c>
      <c r="G7" s="18" t="s">
        <v>370</v>
      </c>
      <c r="H7" s="22"/>
      <c r="I7" s="22"/>
      <c r="J7" s="80" t="s">
        <v>371</v>
      </c>
      <c r="K7" s="23">
        <v>44872.439479166664</v>
      </c>
      <c r="L7" s="22" t="s">
        <v>20</v>
      </c>
      <c r="M7" s="22" t="s">
        <v>28</v>
      </c>
      <c r="N7" s="57"/>
      <c r="O7" s="57"/>
      <c r="P7" s="57"/>
      <c r="Q7" s="61"/>
      <c r="R7" s="61"/>
      <c r="S7" s="61"/>
      <c r="T7" s="61"/>
      <c r="U7" s="61"/>
      <c r="V7" s="61"/>
      <c r="W7" s="61"/>
    </row>
    <row r="8" spans="1:46" s="25" customFormat="1" ht="25.5">
      <c r="A8" s="73">
        <v>4</v>
      </c>
      <c r="B8" s="41" t="s">
        <v>375</v>
      </c>
      <c r="C8" s="41" t="s">
        <v>366</v>
      </c>
      <c r="D8" s="29" t="s">
        <v>362</v>
      </c>
      <c r="E8" s="69">
        <v>44827.566365740742</v>
      </c>
      <c r="F8" s="70" t="s">
        <v>359</v>
      </c>
      <c r="G8" s="29" t="s">
        <v>373</v>
      </c>
      <c r="H8" s="22"/>
      <c r="I8" s="22"/>
      <c r="J8" s="80" t="s">
        <v>371</v>
      </c>
      <c r="K8" s="23">
        <v>44872.446585648147</v>
      </c>
      <c r="L8" s="22" t="s">
        <v>20</v>
      </c>
      <c r="M8" s="22" t="s">
        <v>28</v>
      </c>
      <c r="N8" s="57"/>
      <c r="O8" s="57"/>
      <c r="P8" s="57"/>
      <c r="Q8" s="61"/>
      <c r="R8" s="61"/>
      <c r="S8" s="61"/>
      <c r="T8" s="61"/>
      <c r="U8" s="61"/>
      <c r="V8" s="61"/>
      <c r="W8" s="61"/>
    </row>
    <row r="9" spans="1:46" s="25" customFormat="1" ht="25.5">
      <c r="A9" s="73">
        <v>5</v>
      </c>
      <c r="B9" s="28">
        <v>1.1000000000000001</v>
      </c>
      <c r="C9" s="41" t="s">
        <v>377</v>
      </c>
      <c r="D9" s="29" t="s">
        <v>420</v>
      </c>
      <c r="E9" s="69">
        <v>44893.485706018517</v>
      </c>
      <c r="F9" s="70" t="s">
        <v>359</v>
      </c>
      <c r="G9" s="18"/>
      <c r="H9" s="22"/>
      <c r="I9" s="22"/>
      <c r="J9" s="80" t="s">
        <v>421</v>
      </c>
      <c r="K9" s="23">
        <v>44893.485856481479</v>
      </c>
      <c r="L9" s="22" t="s">
        <v>27</v>
      </c>
      <c r="M9" s="22" t="s">
        <v>28</v>
      </c>
      <c r="N9" s="57"/>
      <c r="O9" s="57"/>
      <c r="P9" s="57"/>
      <c r="Q9" s="61"/>
      <c r="R9" s="61"/>
      <c r="S9" s="61"/>
      <c r="T9" s="61"/>
      <c r="U9" s="61"/>
      <c r="V9" s="61"/>
      <c r="W9" s="61"/>
    </row>
    <row r="10" spans="1:46" s="25" customFormat="1">
      <c r="A10" s="73">
        <v>6</v>
      </c>
      <c r="B10" s="41" t="s">
        <v>424</v>
      </c>
      <c r="C10" s="41" t="s">
        <v>363</v>
      </c>
      <c r="D10" s="29" t="s">
        <v>420</v>
      </c>
      <c r="E10" s="69">
        <v>44939.55972222222</v>
      </c>
      <c r="F10" s="70" t="s">
        <v>359</v>
      </c>
      <c r="G10" s="18"/>
      <c r="H10" s="22"/>
      <c r="I10" s="22"/>
      <c r="J10" s="80" t="s">
        <v>371</v>
      </c>
      <c r="K10" s="23">
        <v>44939.559803240743</v>
      </c>
      <c r="L10" s="22" t="s">
        <v>27</v>
      </c>
      <c r="M10" s="22" t="s">
        <v>28</v>
      </c>
      <c r="N10" s="57"/>
      <c r="O10" s="57"/>
      <c r="P10" s="57"/>
      <c r="Q10" s="61"/>
      <c r="R10" s="61"/>
      <c r="S10" s="61"/>
      <c r="T10" s="61"/>
      <c r="U10" s="61"/>
      <c r="V10" s="61"/>
      <c r="W10" s="61"/>
    </row>
    <row r="11" spans="1:46" s="25" customFormat="1">
      <c r="A11" s="73">
        <v>7</v>
      </c>
      <c r="B11" s="41" t="s">
        <v>425</v>
      </c>
      <c r="C11" s="41" t="s">
        <v>366</v>
      </c>
      <c r="D11" s="29" t="s">
        <v>420</v>
      </c>
      <c r="E11" s="69">
        <v>44939.566041666665</v>
      </c>
      <c r="F11" s="70" t="s">
        <v>359</v>
      </c>
      <c r="G11" s="18"/>
      <c r="H11" s="22"/>
      <c r="I11" s="22"/>
      <c r="J11" s="80" t="s">
        <v>371</v>
      </c>
      <c r="K11" s="81">
        <v>44939.566087962965</v>
      </c>
      <c r="L11" s="22" t="s">
        <v>27</v>
      </c>
      <c r="M11" s="22" t="s">
        <v>28</v>
      </c>
      <c r="N11" s="57"/>
      <c r="O11" s="57"/>
      <c r="P11" s="57"/>
      <c r="Q11" s="61"/>
      <c r="R11" s="61"/>
      <c r="S11" s="61"/>
      <c r="T11" s="61"/>
      <c r="U11" s="61"/>
      <c r="V11" s="61"/>
      <c r="W11" s="61"/>
    </row>
    <row r="12" spans="1:46" s="25" customFormat="1" ht="25.5">
      <c r="A12" s="73">
        <v>8</v>
      </c>
      <c r="B12" s="41" t="s">
        <v>429</v>
      </c>
      <c r="C12" s="41" t="s">
        <v>366</v>
      </c>
      <c r="D12" s="29" t="s">
        <v>420</v>
      </c>
      <c r="E12" s="69">
        <v>44939.644745370373</v>
      </c>
      <c r="F12" s="70" t="s">
        <v>430</v>
      </c>
      <c r="G12" s="18"/>
      <c r="H12" s="22"/>
      <c r="I12" s="22"/>
      <c r="J12" s="22" t="s">
        <v>430</v>
      </c>
      <c r="K12" s="23">
        <v>44939.64502314815</v>
      </c>
      <c r="L12" s="22" t="s">
        <v>27</v>
      </c>
      <c r="M12" s="22" t="s">
        <v>28</v>
      </c>
      <c r="N12" s="57"/>
      <c r="O12" s="57"/>
      <c r="P12" s="57"/>
      <c r="Q12" s="61"/>
      <c r="R12" s="61"/>
      <c r="S12" s="61"/>
      <c r="T12" s="61"/>
      <c r="U12" s="61"/>
      <c r="V12" s="61"/>
      <c r="W12" s="61"/>
    </row>
    <row r="13" spans="1:46" s="25" customFormat="1" ht="25.5">
      <c r="A13" s="73">
        <v>9</v>
      </c>
      <c r="B13" s="41" t="s">
        <v>431</v>
      </c>
      <c r="C13" s="41" t="s">
        <v>366</v>
      </c>
      <c r="D13" s="29" t="s">
        <v>432</v>
      </c>
      <c r="E13" s="69">
        <v>44939.649791666663</v>
      </c>
      <c r="F13" s="70" t="s">
        <v>430</v>
      </c>
      <c r="G13" s="29" t="s">
        <v>439</v>
      </c>
      <c r="H13" s="22"/>
      <c r="I13" s="22"/>
      <c r="J13" s="22" t="s">
        <v>371</v>
      </c>
      <c r="K13" s="23">
        <v>44942.376643518517</v>
      </c>
      <c r="L13" s="22" t="s">
        <v>20</v>
      </c>
      <c r="M13" s="22" t="s">
        <v>28</v>
      </c>
      <c r="N13" s="57"/>
      <c r="O13" s="57"/>
      <c r="P13" s="57"/>
      <c r="Q13" s="61"/>
      <c r="R13" s="61"/>
      <c r="S13" s="61"/>
      <c r="T13" s="61"/>
      <c r="U13" s="61"/>
      <c r="V13" s="61"/>
      <c r="W13" s="61"/>
    </row>
    <row r="14" spans="1:46" s="25" customFormat="1" ht="51">
      <c r="A14" s="73">
        <v>10</v>
      </c>
      <c r="B14" s="41" t="s">
        <v>431</v>
      </c>
      <c r="C14" s="41" t="s">
        <v>366</v>
      </c>
      <c r="D14" s="29" t="s">
        <v>438</v>
      </c>
      <c r="E14" s="69">
        <v>44939.650625000002</v>
      </c>
      <c r="F14" s="70" t="s">
        <v>430</v>
      </c>
      <c r="G14" s="29" t="s">
        <v>440</v>
      </c>
      <c r="H14" s="22"/>
      <c r="I14" s="22"/>
      <c r="J14" s="22" t="s">
        <v>371</v>
      </c>
      <c r="K14" s="23">
        <v>44942.378645833334</v>
      </c>
      <c r="L14" s="22" t="s">
        <v>27</v>
      </c>
      <c r="M14" s="22" t="s">
        <v>28</v>
      </c>
      <c r="N14" s="57"/>
      <c r="O14" s="57"/>
      <c r="P14" s="57"/>
      <c r="Q14" s="61"/>
      <c r="R14" s="61"/>
      <c r="S14" s="61"/>
      <c r="T14" s="61"/>
      <c r="U14" s="61"/>
      <c r="V14" s="61"/>
      <c r="W14" s="61"/>
    </row>
    <row r="15" spans="1:46" s="25" customFormat="1" ht="25.5">
      <c r="A15" s="73">
        <v>11</v>
      </c>
      <c r="B15" s="41" t="s">
        <v>441</v>
      </c>
      <c r="C15" s="41" t="s">
        <v>366</v>
      </c>
      <c r="D15" s="29" t="s">
        <v>420</v>
      </c>
      <c r="E15" s="69">
        <v>44942.388425925928</v>
      </c>
      <c r="F15" s="70" t="s">
        <v>430</v>
      </c>
      <c r="G15" s="18"/>
      <c r="H15" s="22"/>
      <c r="I15" s="22"/>
      <c r="J15" s="22" t="s">
        <v>430</v>
      </c>
      <c r="K15" s="23">
        <v>44942.388483796298</v>
      </c>
      <c r="L15" s="22" t="s">
        <v>27</v>
      </c>
      <c r="M15" s="22" t="s">
        <v>28</v>
      </c>
      <c r="N15" s="57"/>
      <c r="O15" s="57"/>
      <c r="P15" s="57"/>
      <c r="Q15" s="61"/>
      <c r="R15" s="61"/>
      <c r="S15" s="61"/>
      <c r="T15" s="61"/>
      <c r="U15" s="61"/>
      <c r="V15" s="61"/>
      <c r="W15" s="61"/>
    </row>
    <row r="16" spans="1:46" s="25" customFormat="1">
      <c r="A16" s="73">
        <v>12</v>
      </c>
      <c r="B16" s="41" t="s">
        <v>445</v>
      </c>
      <c r="C16" s="41" t="s">
        <v>366</v>
      </c>
      <c r="D16" s="29" t="s">
        <v>420</v>
      </c>
      <c r="E16" s="69">
        <v>44970.648622685185</v>
      </c>
      <c r="F16" s="70" t="s">
        <v>446</v>
      </c>
      <c r="G16" s="18"/>
      <c r="H16" s="22"/>
      <c r="I16" s="22"/>
      <c r="J16" s="22" t="s">
        <v>446</v>
      </c>
      <c r="K16" s="23">
        <v>44970.648692129631</v>
      </c>
      <c r="L16" s="22" t="s">
        <v>27</v>
      </c>
      <c r="M16" s="22" t="s">
        <v>28</v>
      </c>
      <c r="N16" s="57"/>
      <c r="O16" s="57"/>
      <c r="P16" s="57"/>
      <c r="Q16" s="61"/>
      <c r="R16" s="61"/>
      <c r="S16" s="61"/>
      <c r="T16" s="61"/>
      <c r="U16" s="61"/>
      <c r="V16" s="61"/>
      <c r="W16" s="61"/>
    </row>
    <row r="17" spans="1:23" s="25" customFormat="1">
      <c r="A17" s="73">
        <v>13</v>
      </c>
      <c r="B17" s="41" t="s">
        <v>451</v>
      </c>
      <c r="C17" s="41" t="s">
        <v>363</v>
      </c>
      <c r="D17" s="29" t="s">
        <v>453</v>
      </c>
      <c r="E17" s="69">
        <v>44970.650451388887</v>
      </c>
      <c r="F17" s="70" t="s">
        <v>446</v>
      </c>
      <c r="G17" s="18"/>
      <c r="H17" s="22"/>
      <c r="I17" s="22"/>
      <c r="J17" s="22" t="s">
        <v>446</v>
      </c>
      <c r="K17" s="23">
        <v>44970.650694444441</v>
      </c>
      <c r="L17" s="22" t="s">
        <v>27</v>
      </c>
      <c r="M17" s="22" t="s">
        <v>28</v>
      </c>
      <c r="N17" s="57"/>
      <c r="O17" s="57"/>
      <c r="P17" s="57"/>
      <c r="Q17" s="61"/>
      <c r="R17" s="61"/>
      <c r="S17" s="61"/>
      <c r="T17" s="61"/>
      <c r="U17" s="61"/>
      <c r="V17" s="61"/>
      <c r="W17" s="61"/>
    </row>
    <row r="18" spans="1:23" s="25" customFormat="1">
      <c r="A18" s="73">
        <v>14</v>
      </c>
      <c r="B18" s="41" t="s">
        <v>452</v>
      </c>
      <c r="C18" s="41" t="s">
        <v>363</v>
      </c>
      <c r="D18" s="29" t="s">
        <v>420</v>
      </c>
      <c r="E18" s="69">
        <v>44970.653773148151</v>
      </c>
      <c r="F18" s="70" t="s">
        <v>446</v>
      </c>
      <c r="G18" s="18"/>
      <c r="H18" s="22"/>
      <c r="I18" s="22"/>
      <c r="J18" s="22" t="s">
        <v>446</v>
      </c>
      <c r="K18" s="23">
        <v>44970.653854166667</v>
      </c>
      <c r="L18" s="22" t="s">
        <v>27</v>
      </c>
      <c r="M18" s="22" t="s">
        <v>28</v>
      </c>
      <c r="N18" s="57"/>
      <c r="O18" s="57"/>
      <c r="P18" s="57"/>
      <c r="Q18" s="61"/>
      <c r="R18" s="61"/>
      <c r="S18" s="61"/>
      <c r="T18" s="61"/>
      <c r="U18" s="61"/>
      <c r="V18" s="61"/>
      <c r="W18" s="61"/>
    </row>
    <row r="19" spans="1:23" s="25" customFormat="1" ht="25.5">
      <c r="A19" s="73">
        <v>15</v>
      </c>
      <c r="B19" s="41" t="s">
        <v>456</v>
      </c>
      <c r="C19" s="41" t="s">
        <v>363</v>
      </c>
      <c r="D19" s="29" t="s">
        <v>420</v>
      </c>
      <c r="E19" s="69">
        <v>44980.548981481479</v>
      </c>
      <c r="F19" s="70" t="s">
        <v>430</v>
      </c>
      <c r="G19" s="18"/>
      <c r="H19" s="22"/>
      <c r="I19" s="22"/>
      <c r="J19" s="22" t="s">
        <v>430</v>
      </c>
      <c r="K19" s="23">
        <v>44980.549027777779</v>
      </c>
      <c r="L19" s="22" t="s">
        <v>27</v>
      </c>
      <c r="M19" s="22" t="s">
        <v>28</v>
      </c>
      <c r="N19" s="57"/>
      <c r="O19" s="57"/>
      <c r="P19" s="57"/>
      <c r="Q19" s="61"/>
      <c r="R19" s="61"/>
      <c r="S19" s="61"/>
      <c r="T19" s="61"/>
      <c r="U19" s="61"/>
      <c r="V19" s="61"/>
      <c r="W19" s="61"/>
    </row>
    <row r="20" spans="1:23" s="25" customFormat="1" ht="25.5">
      <c r="A20" s="73">
        <v>16</v>
      </c>
      <c r="B20" s="41" t="s">
        <v>457</v>
      </c>
      <c r="C20" s="41" t="s">
        <v>366</v>
      </c>
      <c r="D20" s="29" t="s">
        <v>458</v>
      </c>
      <c r="E20" s="69">
        <v>44980.549768518518</v>
      </c>
      <c r="F20" s="70" t="s">
        <v>430</v>
      </c>
      <c r="G20" s="18"/>
      <c r="H20" s="22"/>
      <c r="I20" s="22"/>
      <c r="J20" s="22" t="s">
        <v>430</v>
      </c>
      <c r="K20" s="23">
        <v>44980.549884259257</v>
      </c>
      <c r="L20" s="22" t="s">
        <v>27</v>
      </c>
      <c r="M20" s="22" t="s">
        <v>28</v>
      </c>
      <c r="N20" s="57"/>
      <c r="O20" s="57"/>
      <c r="P20" s="57"/>
      <c r="Q20" s="61"/>
      <c r="R20" s="61"/>
      <c r="S20" s="61"/>
      <c r="T20" s="61"/>
      <c r="U20" s="61"/>
      <c r="V20" s="61"/>
      <c r="W20" s="61"/>
    </row>
    <row r="21" spans="1:23" s="25" customFormat="1" ht="25.5">
      <c r="A21" s="73">
        <v>17</v>
      </c>
      <c r="B21" s="28">
        <v>1.4</v>
      </c>
      <c r="C21" s="41" t="s">
        <v>464</v>
      </c>
      <c r="D21" s="29" t="s">
        <v>465</v>
      </c>
      <c r="E21" s="69">
        <v>44980.552974537037</v>
      </c>
      <c r="F21" s="70" t="s">
        <v>430</v>
      </c>
      <c r="G21" s="18"/>
      <c r="H21" s="22">
        <v>1047503</v>
      </c>
      <c r="I21" s="80" t="s">
        <v>26</v>
      </c>
      <c r="J21" s="80" t="s">
        <v>371</v>
      </c>
      <c r="K21" s="213">
        <v>45005.406087962961</v>
      </c>
      <c r="L21" s="22" t="s">
        <v>21</v>
      </c>
      <c r="M21" s="22" t="s">
        <v>28</v>
      </c>
      <c r="N21" s="57"/>
      <c r="O21" s="57"/>
      <c r="P21" s="57"/>
      <c r="Q21" s="61"/>
      <c r="R21" s="61"/>
      <c r="S21" s="61"/>
      <c r="T21" s="61"/>
      <c r="U21" s="61"/>
      <c r="V21" s="61"/>
      <c r="W21" s="61"/>
    </row>
    <row r="22" spans="1:23" s="25" customFormat="1" ht="25.5">
      <c r="A22" s="73">
        <v>18</v>
      </c>
      <c r="B22" s="28">
        <v>1.4</v>
      </c>
      <c r="C22" s="41" t="s">
        <v>464</v>
      </c>
      <c r="D22" s="29" t="s">
        <v>466</v>
      </c>
      <c r="E22" s="69">
        <v>44980.553090277775</v>
      </c>
      <c r="F22" s="70" t="s">
        <v>430</v>
      </c>
      <c r="G22" s="18"/>
      <c r="H22" s="22">
        <v>1047503</v>
      </c>
      <c r="I22" s="80" t="s">
        <v>26</v>
      </c>
      <c r="J22" s="80" t="s">
        <v>371</v>
      </c>
      <c r="K22" s="213">
        <v>45005.406087962961</v>
      </c>
      <c r="L22" s="22" t="s">
        <v>21</v>
      </c>
      <c r="M22" s="22" t="s">
        <v>28</v>
      </c>
      <c r="N22" s="57"/>
      <c r="O22" s="57"/>
      <c r="P22" s="57"/>
      <c r="Q22" s="61"/>
      <c r="R22" s="61"/>
      <c r="S22" s="61"/>
      <c r="T22" s="61"/>
      <c r="U22" s="61"/>
      <c r="V22" s="61"/>
      <c r="W22" s="61"/>
    </row>
    <row r="23" spans="1:23" s="25" customFormat="1" ht="25.5">
      <c r="A23" s="73">
        <v>19</v>
      </c>
      <c r="B23" s="28">
        <v>1.4</v>
      </c>
      <c r="C23" s="41" t="s">
        <v>464</v>
      </c>
      <c r="D23" s="29" t="s">
        <v>467</v>
      </c>
      <c r="E23" s="69">
        <v>44980.553206018521</v>
      </c>
      <c r="F23" s="70" t="s">
        <v>430</v>
      </c>
      <c r="G23" s="18"/>
      <c r="H23" s="22"/>
      <c r="I23" s="22"/>
      <c r="J23" s="22" t="s">
        <v>430</v>
      </c>
      <c r="K23" s="23">
        <v>44980.553437499999</v>
      </c>
      <c r="L23" s="22" t="s">
        <v>27</v>
      </c>
      <c r="M23" s="22" t="s">
        <v>28</v>
      </c>
      <c r="N23" s="57"/>
      <c r="O23" s="57"/>
      <c r="P23" s="57"/>
      <c r="Q23" s="61"/>
      <c r="R23" s="61"/>
      <c r="S23" s="61"/>
      <c r="T23" s="61"/>
      <c r="U23" s="61"/>
      <c r="V23" s="61"/>
      <c r="W23" s="61"/>
    </row>
    <row r="24" spans="1:23" s="25" customFormat="1">
      <c r="A24" s="73">
        <v>20</v>
      </c>
      <c r="B24" s="21">
        <v>1.1000000000000001</v>
      </c>
      <c r="C24" s="214" t="s">
        <v>471</v>
      </c>
      <c r="D24" s="29" t="s">
        <v>473</v>
      </c>
      <c r="E24" s="69">
        <v>44984</v>
      </c>
      <c r="F24" s="53" t="s">
        <v>474</v>
      </c>
      <c r="G24" s="29" t="s">
        <v>479</v>
      </c>
      <c r="H24" s="22">
        <v>1048949</v>
      </c>
      <c r="I24" s="80" t="s">
        <v>476</v>
      </c>
      <c r="J24" s="80" t="s">
        <v>359</v>
      </c>
      <c r="K24" s="69">
        <v>44984</v>
      </c>
      <c r="L24" s="80" t="s">
        <v>21</v>
      </c>
      <c r="M24" s="22" t="s">
        <v>28</v>
      </c>
      <c r="N24" s="57"/>
      <c r="O24" s="57"/>
      <c r="P24" s="57"/>
      <c r="Q24" s="61"/>
      <c r="R24" s="61"/>
      <c r="S24" s="61"/>
      <c r="T24" s="61"/>
      <c r="U24" s="61"/>
      <c r="V24" s="61"/>
      <c r="W24" s="61"/>
    </row>
    <row r="25" spans="1:23" s="25" customFormat="1">
      <c r="A25" s="73">
        <v>21</v>
      </c>
      <c r="B25" s="21">
        <v>1.1000000000000001</v>
      </c>
      <c r="C25" s="214" t="s">
        <v>471</v>
      </c>
      <c r="D25" s="29" t="s">
        <v>475</v>
      </c>
      <c r="E25" s="69">
        <v>44984</v>
      </c>
      <c r="F25" s="53" t="s">
        <v>474</v>
      </c>
      <c r="G25" s="29" t="s">
        <v>479</v>
      </c>
      <c r="H25" s="22">
        <v>1048949</v>
      </c>
      <c r="I25" s="80" t="s">
        <v>476</v>
      </c>
      <c r="J25" s="80" t="s">
        <v>359</v>
      </c>
      <c r="K25" s="69">
        <v>44984</v>
      </c>
      <c r="L25" s="80" t="s">
        <v>21</v>
      </c>
      <c r="M25" s="22" t="s">
        <v>28</v>
      </c>
      <c r="N25" s="57"/>
      <c r="O25" s="57"/>
      <c r="P25" s="57"/>
      <c r="Q25" s="61"/>
      <c r="R25" s="61"/>
      <c r="S25" s="61"/>
      <c r="T25" s="61"/>
      <c r="U25" s="61"/>
      <c r="V25" s="61"/>
      <c r="W25" s="61"/>
    </row>
    <row r="26" spans="1:23" s="25" customFormat="1">
      <c r="A26" s="73">
        <v>22</v>
      </c>
      <c r="B26" s="28">
        <v>1.2</v>
      </c>
      <c r="C26" s="41" t="s">
        <v>471</v>
      </c>
      <c r="D26" s="29" t="s">
        <v>420</v>
      </c>
      <c r="E26" s="69">
        <v>45007.553923611114</v>
      </c>
      <c r="F26" s="70" t="s">
        <v>359</v>
      </c>
      <c r="G26" s="18"/>
      <c r="H26" s="22"/>
      <c r="I26" s="22"/>
      <c r="J26" s="80" t="s">
        <v>480</v>
      </c>
      <c r="K26" s="23">
        <v>45007.554259259261</v>
      </c>
      <c r="L26" s="22" t="s">
        <v>27</v>
      </c>
      <c r="M26" s="22" t="s">
        <v>28</v>
      </c>
      <c r="N26" s="57"/>
      <c r="O26" s="57"/>
      <c r="P26" s="57"/>
      <c r="Q26" s="61"/>
      <c r="R26" s="61"/>
      <c r="S26" s="61"/>
      <c r="T26" s="61"/>
      <c r="U26" s="61"/>
      <c r="V26" s="61"/>
      <c r="W26" s="61"/>
    </row>
    <row r="27" spans="1:23" s="25" customFormat="1">
      <c r="A27" s="73">
        <v>23</v>
      </c>
      <c r="B27" s="28">
        <v>1.3</v>
      </c>
      <c r="C27" s="41" t="s">
        <v>471</v>
      </c>
      <c r="D27" s="29" t="s">
        <v>420</v>
      </c>
      <c r="E27" s="69">
        <v>45029</v>
      </c>
      <c r="F27" s="53" t="s">
        <v>359</v>
      </c>
      <c r="G27" s="18"/>
      <c r="H27" s="22"/>
      <c r="I27" s="22"/>
      <c r="J27" s="80" t="s">
        <v>480</v>
      </c>
      <c r="K27" s="23">
        <v>45029</v>
      </c>
      <c r="L27" s="80" t="s">
        <v>27</v>
      </c>
      <c r="M27" s="22" t="s">
        <v>28</v>
      </c>
      <c r="N27" s="57"/>
      <c r="O27" s="57"/>
      <c r="P27" s="57"/>
      <c r="Q27" s="61"/>
      <c r="R27" s="61"/>
      <c r="S27" s="61"/>
      <c r="T27" s="61"/>
      <c r="U27" s="61"/>
      <c r="V27" s="61"/>
      <c r="W27" s="61"/>
    </row>
    <row r="28" spans="1:23" s="25" customFormat="1" ht="25.5">
      <c r="A28" s="73">
        <v>24</v>
      </c>
      <c r="B28" s="41" t="s">
        <v>486</v>
      </c>
      <c r="C28" s="41" t="s">
        <v>363</v>
      </c>
      <c r="D28" s="29" t="s">
        <v>420</v>
      </c>
      <c r="E28" s="69">
        <v>45105.1955787037</v>
      </c>
      <c r="F28" s="70" t="s">
        <v>430</v>
      </c>
      <c r="G28" s="18"/>
      <c r="H28" s="22"/>
      <c r="I28" s="22"/>
      <c r="J28" s="80" t="s">
        <v>487</v>
      </c>
      <c r="K28" s="69">
        <v>45105.1955787037</v>
      </c>
      <c r="L28" s="22" t="s">
        <v>27</v>
      </c>
      <c r="M28" s="22" t="s">
        <v>28</v>
      </c>
      <c r="N28" s="57"/>
      <c r="O28" s="57"/>
      <c r="P28" s="57"/>
      <c r="Q28" s="61"/>
      <c r="R28" s="61"/>
      <c r="S28" s="61"/>
      <c r="T28" s="61"/>
      <c r="U28" s="61"/>
      <c r="V28" s="61"/>
      <c r="W28" s="61"/>
    </row>
    <row r="29" spans="1:23" s="25" customFormat="1" ht="25.5">
      <c r="A29" s="73">
        <v>25</v>
      </c>
      <c r="B29" s="41" t="s">
        <v>491</v>
      </c>
      <c r="C29" s="41" t="s">
        <v>366</v>
      </c>
      <c r="D29" s="29" t="s">
        <v>420</v>
      </c>
      <c r="E29" s="69">
        <v>45127.696319444447</v>
      </c>
      <c r="F29" s="70" t="s">
        <v>430</v>
      </c>
      <c r="G29" s="18"/>
      <c r="H29" s="22"/>
      <c r="I29" s="22"/>
      <c r="J29" s="80" t="s">
        <v>371</v>
      </c>
      <c r="K29" s="23">
        <v>45127.69635416667</v>
      </c>
      <c r="L29" s="22" t="s">
        <v>27</v>
      </c>
      <c r="M29" s="22" t="s">
        <v>28</v>
      </c>
      <c r="N29" s="57"/>
      <c r="O29" s="57"/>
      <c r="P29" s="57"/>
      <c r="Q29" s="61"/>
      <c r="R29" s="61"/>
      <c r="S29" s="61"/>
      <c r="T29" s="61"/>
      <c r="U29" s="61"/>
      <c r="V29" s="61"/>
      <c r="W29" s="61"/>
    </row>
    <row r="30" spans="1:23" s="25" customFormat="1" ht="25.5">
      <c r="A30" s="73">
        <v>26</v>
      </c>
      <c r="B30" s="235" t="s">
        <v>494</v>
      </c>
      <c r="C30" s="236" t="s">
        <v>495</v>
      </c>
      <c r="D30" s="237" t="s">
        <v>420</v>
      </c>
      <c r="E30" s="238">
        <v>45132</v>
      </c>
      <c r="F30" s="236" t="s">
        <v>496</v>
      </c>
      <c r="G30" s="237"/>
      <c r="H30" s="239"/>
      <c r="I30" s="239"/>
      <c r="J30" s="239" t="s">
        <v>487</v>
      </c>
      <c r="K30" s="238">
        <v>45132</v>
      </c>
      <c r="L30" s="240" t="s">
        <v>27</v>
      </c>
      <c r="M30" s="241" t="s">
        <v>28</v>
      </c>
      <c r="N30" s="57"/>
      <c r="O30" s="57"/>
      <c r="P30" s="57"/>
      <c r="Q30" s="61"/>
      <c r="R30" s="61"/>
      <c r="S30" s="61"/>
      <c r="T30" s="61"/>
      <c r="U30" s="61"/>
      <c r="V30" s="61"/>
      <c r="W30" s="61"/>
    </row>
    <row r="31" spans="1:23" s="25" customFormat="1" ht="25.5">
      <c r="A31" s="73">
        <v>5</v>
      </c>
      <c r="B31" s="28">
        <v>1.4</v>
      </c>
      <c r="C31" s="41" t="s">
        <v>472</v>
      </c>
      <c r="D31" s="29" t="s">
        <v>420</v>
      </c>
      <c r="E31" s="238">
        <v>45133</v>
      </c>
      <c r="F31" s="53" t="s">
        <v>501</v>
      </c>
      <c r="G31" s="18"/>
      <c r="H31" s="22"/>
      <c r="I31" s="22"/>
      <c r="J31" s="80" t="s">
        <v>502</v>
      </c>
      <c r="K31" s="238">
        <v>45133</v>
      </c>
      <c r="L31" s="22" t="s">
        <v>27</v>
      </c>
      <c r="M31" s="22" t="s">
        <v>28</v>
      </c>
      <c r="N31" s="57"/>
      <c r="O31" s="57"/>
      <c r="P31" s="57"/>
      <c r="Q31" s="61"/>
      <c r="R31" s="61"/>
      <c r="S31" s="61"/>
      <c r="T31" s="61"/>
      <c r="U31" s="61"/>
      <c r="V31" s="61"/>
      <c r="W31" s="61"/>
    </row>
    <row r="32" spans="1:23" s="25" customFormat="1" ht="25.5">
      <c r="A32" s="73">
        <v>28</v>
      </c>
      <c r="B32" s="235" t="s">
        <v>507</v>
      </c>
      <c r="C32" s="236" t="s">
        <v>495</v>
      </c>
      <c r="D32" s="237" t="s">
        <v>508</v>
      </c>
      <c r="E32" s="238">
        <v>45138</v>
      </c>
      <c r="F32" s="236" t="s">
        <v>496</v>
      </c>
      <c r="G32" s="237"/>
      <c r="H32" s="239"/>
      <c r="I32" s="239"/>
      <c r="J32" s="239" t="s">
        <v>487</v>
      </c>
      <c r="K32" s="238">
        <v>45138</v>
      </c>
      <c r="L32" s="240" t="s">
        <v>27</v>
      </c>
      <c r="M32" s="241" t="s">
        <v>28</v>
      </c>
      <c r="N32" s="57"/>
      <c r="O32" s="57"/>
      <c r="P32" s="57"/>
      <c r="Q32" s="61"/>
      <c r="R32" s="61"/>
      <c r="S32" s="61"/>
      <c r="T32" s="61"/>
      <c r="U32" s="61"/>
      <c r="V32" s="61"/>
      <c r="W32" s="61"/>
    </row>
    <row r="33" spans="1:23" s="25" customFormat="1">
      <c r="A33" s="73">
        <v>29</v>
      </c>
      <c r="B33" s="28"/>
      <c r="C33" s="28"/>
      <c r="D33" s="18"/>
      <c r="E33" s="69"/>
      <c r="F33" s="70"/>
      <c r="G33" s="18"/>
      <c r="H33" s="22"/>
      <c r="I33" s="22"/>
      <c r="J33" s="22"/>
      <c r="K33" s="23"/>
      <c r="L33" s="22"/>
      <c r="M33" s="22"/>
      <c r="N33" s="57"/>
      <c r="O33" s="57"/>
      <c r="P33" s="57"/>
      <c r="Q33" s="61"/>
      <c r="R33" s="61"/>
      <c r="S33" s="61"/>
      <c r="T33" s="61"/>
      <c r="U33" s="61"/>
      <c r="V33" s="61"/>
      <c r="W33" s="61"/>
    </row>
    <row r="34" spans="1:23" s="25" customFormat="1">
      <c r="A34" s="73">
        <v>30</v>
      </c>
      <c r="B34" s="28"/>
      <c r="C34" s="28"/>
      <c r="D34" s="18"/>
      <c r="E34" s="69"/>
      <c r="F34" s="70"/>
      <c r="G34" s="18"/>
      <c r="H34" s="22"/>
      <c r="I34" s="22"/>
      <c r="J34" s="22"/>
      <c r="K34" s="23"/>
      <c r="L34" s="22"/>
      <c r="M34" s="22"/>
      <c r="N34" s="57"/>
      <c r="O34" s="57"/>
      <c r="P34" s="57"/>
      <c r="Q34" s="61"/>
      <c r="R34" s="61"/>
      <c r="S34" s="61"/>
      <c r="T34" s="61"/>
      <c r="U34" s="61"/>
      <c r="V34" s="61"/>
      <c r="W34" s="61"/>
    </row>
    <row r="35" spans="1:23" s="25" customFormat="1">
      <c r="A35" s="73">
        <v>31</v>
      </c>
      <c r="B35" s="28"/>
      <c r="C35" s="28"/>
      <c r="D35" s="18"/>
      <c r="E35" s="69"/>
      <c r="F35" s="70"/>
      <c r="G35" s="18"/>
      <c r="H35" s="22"/>
      <c r="I35" s="22"/>
      <c r="J35" s="22"/>
      <c r="K35" s="23"/>
      <c r="L35" s="22"/>
      <c r="M35" s="22"/>
      <c r="N35" s="57"/>
      <c r="O35" s="57"/>
      <c r="P35" s="57"/>
      <c r="Q35" s="61"/>
      <c r="R35" s="61"/>
      <c r="S35" s="61"/>
      <c r="T35" s="61"/>
      <c r="U35" s="61"/>
      <c r="V35" s="61"/>
      <c r="W35" s="61"/>
    </row>
    <row r="36" spans="1:23" s="25" customFormat="1">
      <c r="A36" s="73">
        <v>32</v>
      </c>
      <c r="B36" s="28"/>
      <c r="C36" s="28"/>
      <c r="D36" s="18"/>
      <c r="E36" s="69"/>
      <c r="F36" s="70"/>
      <c r="G36" s="18"/>
      <c r="H36" s="22"/>
      <c r="I36" s="22"/>
      <c r="J36" s="22"/>
      <c r="K36" s="23"/>
      <c r="L36" s="22"/>
      <c r="M36" s="22"/>
      <c r="N36" s="57"/>
      <c r="O36" s="57"/>
      <c r="P36" s="57"/>
      <c r="Q36" s="61"/>
      <c r="R36" s="61"/>
      <c r="S36" s="61"/>
      <c r="T36" s="61"/>
      <c r="U36" s="61"/>
      <c r="V36" s="61"/>
      <c r="W36" s="61"/>
    </row>
    <row r="37" spans="1:23" s="25" customFormat="1">
      <c r="A37" s="73">
        <v>33</v>
      </c>
      <c r="B37" s="28"/>
      <c r="C37" s="28"/>
      <c r="D37" s="18"/>
      <c r="E37" s="69"/>
      <c r="F37" s="70"/>
      <c r="G37" s="18"/>
      <c r="H37" s="22"/>
      <c r="I37" s="22"/>
      <c r="J37" s="22"/>
      <c r="K37" s="23"/>
      <c r="L37" s="22"/>
      <c r="M37" s="22"/>
      <c r="N37" s="57"/>
      <c r="O37" s="57"/>
      <c r="P37" s="57"/>
      <c r="Q37" s="61"/>
      <c r="R37" s="61"/>
      <c r="S37" s="61"/>
      <c r="T37" s="61"/>
      <c r="U37" s="61"/>
      <c r="V37" s="61"/>
      <c r="W37" s="61"/>
    </row>
    <row r="38" spans="1:23" s="25" customFormat="1">
      <c r="A38" s="73">
        <v>34</v>
      </c>
      <c r="B38" s="28"/>
      <c r="C38" s="28"/>
      <c r="D38" s="18"/>
      <c r="E38" s="69"/>
      <c r="F38" s="70"/>
      <c r="G38" s="18"/>
      <c r="H38" s="22"/>
      <c r="I38" s="22"/>
      <c r="J38" s="22"/>
      <c r="K38" s="23"/>
      <c r="L38" s="22"/>
      <c r="M38" s="22"/>
      <c r="N38" s="57"/>
      <c r="O38" s="57"/>
      <c r="P38" s="57"/>
      <c r="Q38" s="61"/>
      <c r="R38" s="61"/>
      <c r="S38" s="61"/>
      <c r="T38" s="61"/>
      <c r="U38" s="61"/>
      <c r="V38" s="61"/>
      <c r="W38" s="61"/>
    </row>
    <row r="39" spans="1:23" s="25" customFormat="1">
      <c r="A39" s="73">
        <v>35</v>
      </c>
      <c r="B39" s="28"/>
      <c r="C39" s="28"/>
      <c r="D39" s="18"/>
      <c r="E39" s="69"/>
      <c r="F39" s="70"/>
      <c r="G39" s="18"/>
      <c r="H39" s="22"/>
      <c r="I39" s="22"/>
      <c r="J39" s="22"/>
      <c r="K39" s="23"/>
      <c r="L39" s="22"/>
      <c r="M39" s="22"/>
      <c r="N39" s="57"/>
      <c r="O39" s="57"/>
      <c r="P39" s="57"/>
      <c r="Q39" s="61"/>
      <c r="R39" s="61"/>
      <c r="S39" s="61"/>
      <c r="T39" s="61"/>
      <c r="U39" s="61"/>
      <c r="V39" s="61"/>
      <c r="W39" s="61"/>
    </row>
    <row r="40" spans="1:23" s="25" customFormat="1">
      <c r="A40" s="73">
        <v>36</v>
      </c>
      <c r="B40" s="28"/>
      <c r="C40" s="28"/>
      <c r="D40" s="18"/>
      <c r="E40" s="69"/>
      <c r="F40" s="70"/>
      <c r="G40" s="18"/>
      <c r="H40" s="22"/>
      <c r="I40" s="22"/>
      <c r="J40" s="22"/>
      <c r="K40" s="23"/>
      <c r="L40" s="22"/>
      <c r="M40" s="22"/>
      <c r="N40" s="57"/>
      <c r="O40" s="57"/>
      <c r="P40" s="57"/>
      <c r="Q40" s="61"/>
      <c r="R40" s="61"/>
      <c r="S40" s="61"/>
      <c r="T40" s="61"/>
      <c r="U40" s="61"/>
      <c r="V40" s="61"/>
      <c r="W40" s="61"/>
    </row>
    <row r="41" spans="1:23" s="25" customFormat="1">
      <c r="A41" s="73">
        <v>37</v>
      </c>
      <c r="B41" s="28"/>
      <c r="C41" s="28"/>
      <c r="D41" s="18"/>
      <c r="E41" s="69"/>
      <c r="F41" s="70"/>
      <c r="G41" s="18"/>
      <c r="H41" s="22"/>
      <c r="I41" s="22"/>
      <c r="J41" s="22"/>
      <c r="K41" s="23"/>
      <c r="L41" s="22"/>
      <c r="M41" s="22"/>
      <c r="N41" s="57"/>
      <c r="O41" s="57"/>
      <c r="P41" s="57"/>
      <c r="Q41" s="61"/>
      <c r="R41" s="61"/>
      <c r="S41" s="61"/>
      <c r="T41" s="61"/>
      <c r="U41" s="61"/>
      <c r="V41" s="61"/>
      <c r="W41" s="61"/>
    </row>
    <row r="42" spans="1:23" s="25" customFormat="1">
      <c r="A42" s="73">
        <v>38</v>
      </c>
      <c r="B42" s="28"/>
      <c r="C42" s="28"/>
      <c r="D42" s="18"/>
      <c r="E42" s="69"/>
      <c r="F42" s="70"/>
      <c r="G42" s="18"/>
      <c r="H42" s="22"/>
      <c r="I42" s="22"/>
      <c r="J42" s="22"/>
      <c r="K42" s="23"/>
      <c r="L42" s="22"/>
      <c r="M42" s="22"/>
      <c r="N42" s="57"/>
      <c r="O42" s="57"/>
      <c r="P42" s="57"/>
      <c r="Q42" s="61"/>
      <c r="R42" s="61"/>
      <c r="S42" s="61"/>
      <c r="T42" s="61"/>
      <c r="U42" s="61"/>
      <c r="V42" s="61"/>
      <c r="W42" s="61"/>
    </row>
    <row r="43" spans="1:23" s="25" customFormat="1">
      <c r="A43" s="73">
        <v>39</v>
      </c>
      <c r="B43" s="28"/>
      <c r="C43" s="28"/>
      <c r="D43" s="18"/>
      <c r="E43" s="69"/>
      <c r="F43" s="70"/>
      <c r="G43" s="18"/>
      <c r="H43" s="22"/>
      <c r="I43" s="22"/>
      <c r="J43" s="22"/>
      <c r="K43" s="23"/>
      <c r="L43" s="22"/>
      <c r="M43" s="22"/>
      <c r="N43" s="57"/>
      <c r="O43" s="57"/>
      <c r="P43" s="57"/>
      <c r="Q43" s="61"/>
      <c r="R43" s="61"/>
      <c r="S43" s="61"/>
      <c r="T43" s="61"/>
      <c r="U43" s="61"/>
      <c r="V43" s="61"/>
      <c r="W43" s="61"/>
    </row>
    <row r="44" spans="1:23" s="25" customFormat="1">
      <c r="A44" s="73">
        <v>40</v>
      </c>
      <c r="B44" s="28"/>
      <c r="C44" s="28"/>
      <c r="D44" s="18"/>
      <c r="E44" s="69"/>
      <c r="F44" s="70"/>
      <c r="G44" s="18"/>
      <c r="H44" s="22"/>
      <c r="I44" s="22"/>
      <c r="J44" s="22"/>
      <c r="K44" s="23"/>
      <c r="L44" s="22"/>
      <c r="M44" s="22"/>
      <c r="N44" s="57"/>
      <c r="O44" s="57"/>
      <c r="P44" s="57"/>
      <c r="Q44" s="61"/>
      <c r="R44" s="61"/>
      <c r="S44" s="61"/>
      <c r="T44" s="61"/>
      <c r="U44" s="61"/>
      <c r="V44" s="61"/>
      <c r="W44" s="61"/>
    </row>
    <row r="45" spans="1:23" s="25" customFormat="1">
      <c r="A45" s="73">
        <v>41</v>
      </c>
      <c r="B45" s="28"/>
      <c r="C45" s="28"/>
      <c r="D45" s="18"/>
      <c r="E45" s="69"/>
      <c r="F45" s="70"/>
      <c r="G45" s="18"/>
      <c r="H45" s="22"/>
      <c r="I45" s="22"/>
      <c r="J45" s="22"/>
      <c r="K45" s="23"/>
      <c r="L45" s="22"/>
      <c r="M45" s="22"/>
      <c r="N45" s="57"/>
      <c r="O45" s="57"/>
      <c r="P45" s="57"/>
      <c r="Q45" s="61"/>
      <c r="R45" s="61"/>
      <c r="S45" s="61"/>
      <c r="T45" s="61"/>
      <c r="U45" s="61"/>
      <c r="V45" s="61"/>
      <c r="W45" s="61"/>
    </row>
    <row r="46" spans="1:23" s="25" customFormat="1">
      <c r="A46" s="73">
        <v>42</v>
      </c>
      <c r="B46" s="28"/>
      <c r="C46" s="28"/>
      <c r="D46" s="18"/>
      <c r="E46" s="69"/>
      <c r="F46" s="70"/>
      <c r="G46" s="18"/>
      <c r="H46" s="22"/>
      <c r="I46" s="22"/>
      <c r="J46" s="22"/>
      <c r="K46" s="23"/>
      <c r="L46" s="22"/>
      <c r="M46" s="22"/>
      <c r="N46" s="57"/>
      <c r="O46" s="57"/>
      <c r="P46" s="57"/>
      <c r="Q46" s="61"/>
      <c r="R46" s="61"/>
      <c r="S46" s="61"/>
      <c r="T46" s="61"/>
      <c r="U46" s="61"/>
      <c r="V46" s="61"/>
      <c r="W46" s="61"/>
    </row>
    <row r="47" spans="1:23" s="25" customFormat="1">
      <c r="A47" s="73">
        <v>43</v>
      </c>
      <c r="B47" s="28"/>
      <c r="C47" s="28"/>
      <c r="D47" s="18"/>
      <c r="E47" s="69"/>
      <c r="F47" s="70"/>
      <c r="G47" s="18"/>
      <c r="H47" s="22"/>
      <c r="I47" s="22"/>
      <c r="J47" s="22"/>
      <c r="K47" s="23"/>
      <c r="L47" s="22"/>
      <c r="M47" s="22"/>
      <c r="N47" s="57"/>
      <c r="O47" s="57"/>
      <c r="P47" s="57"/>
      <c r="Q47" s="61"/>
      <c r="R47" s="61"/>
      <c r="S47" s="61"/>
      <c r="T47" s="61"/>
      <c r="U47" s="61"/>
      <c r="V47" s="61"/>
      <c r="W47" s="61"/>
    </row>
    <row r="48" spans="1:23" s="25" customFormat="1">
      <c r="A48" s="73">
        <v>44</v>
      </c>
      <c r="B48" s="28"/>
      <c r="C48" s="28"/>
      <c r="D48" s="18"/>
      <c r="E48" s="69"/>
      <c r="F48" s="70"/>
      <c r="G48" s="18"/>
      <c r="H48" s="22"/>
      <c r="I48" s="22"/>
      <c r="J48" s="22"/>
      <c r="K48" s="23"/>
      <c r="L48" s="22"/>
      <c r="M48" s="22"/>
      <c r="N48" s="57"/>
      <c r="O48" s="57"/>
      <c r="P48" s="57"/>
      <c r="Q48" s="61"/>
      <c r="R48" s="61"/>
      <c r="S48" s="61"/>
      <c r="T48" s="61"/>
      <c r="U48" s="61"/>
      <c r="V48" s="61"/>
      <c r="W48" s="61"/>
    </row>
    <row r="49" spans="1:23" s="25" customFormat="1">
      <c r="A49" s="73">
        <v>45</v>
      </c>
      <c r="B49" s="28"/>
      <c r="C49" s="28"/>
      <c r="D49" s="18"/>
      <c r="E49" s="69"/>
      <c r="F49" s="70"/>
      <c r="G49" s="18"/>
      <c r="H49" s="22"/>
      <c r="I49" s="22"/>
      <c r="J49" s="22"/>
      <c r="K49" s="23"/>
      <c r="L49" s="22"/>
      <c r="M49" s="22"/>
      <c r="N49" s="57"/>
      <c r="O49" s="57"/>
      <c r="P49" s="57"/>
      <c r="Q49" s="61"/>
      <c r="R49" s="61"/>
      <c r="S49" s="61"/>
      <c r="T49" s="61"/>
      <c r="U49" s="61"/>
      <c r="V49" s="61"/>
      <c r="W49" s="61"/>
    </row>
    <row r="50" spans="1:23" s="25" customFormat="1">
      <c r="A50" s="73">
        <v>46</v>
      </c>
      <c r="B50" s="28"/>
      <c r="C50" s="28"/>
      <c r="D50" s="18"/>
      <c r="E50" s="69"/>
      <c r="F50" s="70"/>
      <c r="G50" s="18"/>
      <c r="H50" s="22"/>
      <c r="I50" s="22"/>
      <c r="J50" s="22"/>
      <c r="K50" s="23"/>
      <c r="L50" s="22"/>
      <c r="M50" s="22"/>
      <c r="N50" s="57"/>
      <c r="O50" s="57"/>
      <c r="P50" s="57"/>
      <c r="Q50" s="61"/>
      <c r="R50" s="61"/>
      <c r="S50" s="61"/>
      <c r="T50" s="61"/>
      <c r="U50" s="61"/>
      <c r="V50" s="61"/>
      <c r="W50" s="61"/>
    </row>
    <row r="51" spans="1:23" s="25" customFormat="1">
      <c r="A51" s="73">
        <v>47</v>
      </c>
      <c r="B51" s="28"/>
      <c r="C51" s="28"/>
      <c r="D51" s="18"/>
      <c r="E51" s="69"/>
      <c r="F51" s="70"/>
      <c r="G51" s="18"/>
      <c r="H51" s="22"/>
      <c r="I51" s="22"/>
      <c r="J51" s="22"/>
      <c r="K51" s="23"/>
      <c r="L51" s="22"/>
      <c r="M51" s="22"/>
      <c r="N51" s="57"/>
      <c r="O51" s="57"/>
      <c r="P51" s="57"/>
      <c r="Q51" s="61"/>
      <c r="R51" s="61"/>
      <c r="S51" s="61"/>
      <c r="T51" s="61"/>
      <c r="U51" s="61"/>
      <c r="V51" s="61"/>
      <c r="W51" s="61"/>
    </row>
    <row r="52" spans="1:23" s="25" customFormat="1">
      <c r="A52" s="73">
        <v>48</v>
      </c>
      <c r="B52" s="28"/>
      <c r="C52" s="28"/>
      <c r="D52" s="18"/>
      <c r="E52" s="69"/>
      <c r="F52" s="70"/>
      <c r="G52" s="18"/>
      <c r="H52" s="22"/>
      <c r="I52" s="22"/>
      <c r="J52" s="22"/>
      <c r="K52" s="23"/>
      <c r="L52" s="22"/>
      <c r="M52" s="22"/>
      <c r="N52" s="57"/>
      <c r="O52" s="57"/>
      <c r="P52" s="57"/>
      <c r="Q52" s="61"/>
      <c r="R52" s="61"/>
      <c r="S52" s="61"/>
      <c r="T52" s="61"/>
      <c r="U52" s="61"/>
      <c r="V52" s="61"/>
      <c r="W52" s="61"/>
    </row>
    <row r="53" spans="1:23" s="25" customFormat="1">
      <c r="A53" s="73">
        <v>49</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3">
        <v>50</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3">
        <v>51</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3">
        <v>52</v>
      </c>
      <c r="B56" s="28"/>
      <c r="C56" s="28"/>
      <c r="D56" s="29"/>
      <c r="E56" s="69"/>
      <c r="F56" s="70"/>
      <c r="G56" s="18"/>
      <c r="H56" s="22"/>
      <c r="I56" s="22"/>
      <c r="J56" s="22"/>
      <c r="K56" s="23"/>
      <c r="L56" s="22"/>
      <c r="M56" s="22"/>
      <c r="N56" s="57"/>
      <c r="O56" s="57"/>
      <c r="P56" s="57"/>
      <c r="Q56" s="61"/>
      <c r="R56" s="61"/>
      <c r="S56" s="61"/>
      <c r="T56" s="61"/>
      <c r="U56" s="61"/>
      <c r="V56" s="61"/>
      <c r="W56" s="61"/>
    </row>
    <row r="57" spans="1:23" s="25" customFormat="1">
      <c r="A57" s="73">
        <v>53</v>
      </c>
      <c r="B57" s="28"/>
      <c r="C57" s="28"/>
      <c r="D57" s="18"/>
      <c r="E57" s="69"/>
      <c r="F57" s="70"/>
      <c r="G57" s="18"/>
      <c r="H57" s="22"/>
      <c r="I57" s="22"/>
      <c r="J57" s="22"/>
      <c r="K57" s="23"/>
      <c r="L57" s="22"/>
      <c r="M57" s="22"/>
      <c r="N57" s="57"/>
      <c r="O57" s="57"/>
      <c r="P57" s="57"/>
      <c r="Q57" s="61"/>
      <c r="R57" s="61"/>
      <c r="S57" s="61"/>
      <c r="T57" s="61"/>
      <c r="U57" s="61"/>
      <c r="V57" s="61"/>
      <c r="W57" s="61"/>
    </row>
    <row r="58" spans="1:23" s="25" customFormat="1">
      <c r="A58" s="73">
        <v>54</v>
      </c>
      <c r="B58" s="28"/>
      <c r="C58" s="28"/>
      <c r="D58" s="29"/>
      <c r="E58" s="69"/>
      <c r="F58" s="70"/>
      <c r="G58" s="18"/>
      <c r="H58" s="22"/>
      <c r="I58" s="22"/>
      <c r="J58" s="22"/>
      <c r="K58" s="23"/>
      <c r="L58" s="22"/>
      <c r="M58" s="22"/>
      <c r="N58" s="57"/>
      <c r="O58" s="57"/>
      <c r="P58" s="57"/>
      <c r="Q58" s="61"/>
      <c r="R58" s="61"/>
      <c r="S58" s="61"/>
      <c r="T58" s="61"/>
      <c r="U58" s="61"/>
      <c r="V58" s="61"/>
      <c r="W58" s="61"/>
    </row>
    <row r="59" spans="1:23" s="25" customFormat="1">
      <c r="A59" s="73">
        <v>55</v>
      </c>
      <c r="B59" s="28"/>
      <c r="C59" s="28"/>
      <c r="D59" s="18"/>
      <c r="E59" s="69"/>
      <c r="F59" s="70"/>
      <c r="G59" s="18"/>
      <c r="H59" s="22"/>
      <c r="I59" s="22"/>
      <c r="J59" s="22"/>
      <c r="K59" s="23"/>
      <c r="L59" s="22"/>
      <c r="M59" s="22"/>
      <c r="N59" s="57"/>
      <c r="O59" s="57"/>
      <c r="P59" s="57"/>
      <c r="Q59" s="61"/>
      <c r="R59" s="61"/>
      <c r="S59" s="61"/>
      <c r="T59" s="61"/>
      <c r="U59" s="61"/>
      <c r="V59" s="61"/>
      <c r="W59" s="61"/>
    </row>
    <row r="60" spans="1:23" s="25" customFormat="1">
      <c r="A60" s="73">
        <v>56</v>
      </c>
      <c r="B60" s="28"/>
      <c r="C60" s="28"/>
      <c r="D60" s="18"/>
      <c r="E60" s="69"/>
      <c r="F60" s="70"/>
      <c r="G60" s="18"/>
      <c r="H60" s="22"/>
      <c r="I60" s="22"/>
      <c r="J60" s="22"/>
      <c r="K60" s="23"/>
      <c r="L60" s="22"/>
      <c r="M60" s="22"/>
      <c r="N60" s="57"/>
      <c r="O60" s="57"/>
      <c r="P60" s="57"/>
      <c r="Q60" s="61"/>
      <c r="R60" s="61"/>
      <c r="S60" s="61"/>
      <c r="T60" s="61"/>
      <c r="U60" s="61"/>
      <c r="V60" s="61"/>
      <c r="W60" s="61"/>
    </row>
    <row r="61" spans="1:23" s="25" customFormat="1">
      <c r="A61" s="73">
        <v>57</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3">
        <v>58</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59</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60</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61</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62</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63</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64</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65</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67</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68</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69</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70</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71</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72</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73</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74</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75</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76</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77</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78</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79</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80</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81</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82</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83</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84</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85</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86</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87</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88</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89</v>
      </c>
      <c r="B93" s="28"/>
      <c r="C93" s="28"/>
      <c r="D93" s="18"/>
      <c r="E93" s="69"/>
      <c r="F93" s="70"/>
      <c r="G93" s="18"/>
      <c r="H93" s="22"/>
      <c r="I93" s="22"/>
      <c r="J93" s="22"/>
      <c r="K93" s="23"/>
      <c r="L93" s="22"/>
      <c r="M93" s="22"/>
      <c r="N93" s="57"/>
      <c r="O93" s="57"/>
      <c r="P93" s="57"/>
      <c r="Q93" s="61"/>
      <c r="R93" s="61"/>
      <c r="S93" s="61"/>
      <c r="T93" s="61"/>
      <c r="U93" s="61"/>
      <c r="V93" s="61"/>
      <c r="W93" s="61"/>
    </row>
    <row r="94" spans="1:23">
      <c r="A94" s="73">
        <v>90</v>
      </c>
      <c r="B94" s="28"/>
      <c r="C94" s="28"/>
      <c r="D94" s="18"/>
      <c r="E94" s="69"/>
      <c r="F94" s="70"/>
      <c r="G94" s="18"/>
      <c r="H94" s="22"/>
      <c r="I94" s="22"/>
      <c r="J94" s="22"/>
      <c r="K94" s="23"/>
      <c r="L94" s="22"/>
      <c r="M94" s="22"/>
      <c r="N94" s="57"/>
      <c r="O94" s="57"/>
      <c r="P94" s="57"/>
    </row>
    <row r="95" spans="1:23">
      <c r="A95" s="73">
        <v>91</v>
      </c>
      <c r="B95" s="28"/>
      <c r="C95" s="28"/>
      <c r="D95" s="18"/>
      <c r="E95" s="69"/>
      <c r="F95" s="70"/>
      <c r="G95" s="18"/>
      <c r="H95" s="22"/>
      <c r="I95" s="22"/>
      <c r="J95" s="22"/>
      <c r="K95" s="23"/>
      <c r="L95" s="22"/>
      <c r="M95" s="22"/>
      <c r="N95" s="57"/>
      <c r="O95" s="57"/>
      <c r="P95" s="57"/>
    </row>
    <row r="96" spans="1:23">
      <c r="A96" s="73">
        <v>92</v>
      </c>
      <c r="B96" s="28"/>
      <c r="C96" s="28"/>
      <c r="D96" s="18"/>
      <c r="E96" s="69"/>
      <c r="F96" s="70"/>
      <c r="G96" s="18"/>
      <c r="H96" s="22"/>
      <c r="I96" s="22"/>
      <c r="J96" s="22"/>
      <c r="K96" s="23"/>
      <c r="L96" s="22"/>
      <c r="M96" s="22"/>
      <c r="N96" s="57"/>
      <c r="O96" s="57"/>
      <c r="P96" s="57"/>
    </row>
    <row r="97" spans="1:23">
      <c r="A97" s="73">
        <v>93</v>
      </c>
      <c r="B97" s="28"/>
      <c r="C97" s="28"/>
      <c r="D97" s="18"/>
      <c r="E97" s="69"/>
      <c r="F97" s="70"/>
      <c r="G97" s="18"/>
      <c r="H97" s="22"/>
      <c r="I97" s="22"/>
      <c r="J97" s="22"/>
      <c r="K97" s="23"/>
      <c r="L97" s="22"/>
      <c r="M97" s="22"/>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39" type="noConversion"/>
  <conditionalFormatting sqref="L205:L65536 P1:P2">
    <cfRule type="cellIs" dxfId="702" priority="24" stopIfTrue="1" operator="equal">
      <formula>"Fixed"</formula>
    </cfRule>
    <cfRule type="cellIs" dxfId="701" priority="25" stopIfTrue="1" operator="equal">
      <formula>"Open"</formula>
    </cfRule>
  </conditionalFormatting>
  <conditionalFormatting sqref="L4">
    <cfRule type="cellIs" dxfId="700" priority="26" stopIfTrue="1" operator="equal">
      <formula>"Open"</formula>
    </cfRule>
    <cfRule type="cellIs" dxfId="699" priority="27" stopIfTrue="1" operator="equal">
      <formula>"Fixed"</formula>
    </cfRule>
  </conditionalFormatting>
  <conditionalFormatting sqref="L5:L23 L26:L31 L33:L204">
    <cfRule type="expression" dxfId="698" priority="28" stopIfTrue="1">
      <formula>AND($M5="Approved",$L5="Fixed")</formula>
    </cfRule>
    <cfRule type="cellIs" dxfId="697" priority="29" stopIfTrue="1" operator="equal">
      <formula>"Fixed"</formula>
    </cfRule>
    <cfRule type="cellIs" dxfId="696" priority="30" stopIfTrue="1" operator="equal">
      <formula>"Open"</formula>
    </cfRule>
  </conditionalFormatting>
  <conditionalFormatting sqref="M5:M23 M26:M31 M33:M204">
    <cfRule type="expression" dxfId="695" priority="31" stopIfTrue="1">
      <formula>OR(M5="Fixed",M5="Approved")</formula>
    </cfRule>
    <cfRule type="cellIs" dxfId="694" priority="32" stopIfTrue="1" operator="equal">
      <formula>"Rejected"</formula>
    </cfRule>
  </conditionalFormatting>
  <conditionalFormatting sqref="A3">
    <cfRule type="expression" dxfId="693" priority="18" stopIfTrue="1">
      <formula>$X$2=1</formula>
    </cfRule>
    <cfRule type="expression" dxfId="692" priority="19" stopIfTrue="1">
      <formula>$Y$2=1</formula>
    </cfRule>
    <cfRule type="expression" dxfId="691" priority="21" stopIfTrue="1">
      <formula>$AA$2=1</formula>
    </cfRule>
  </conditionalFormatting>
  <conditionalFormatting sqref="A3:C3">
    <cfRule type="expression" dxfId="690" priority="20" stopIfTrue="1">
      <formula>$Z$2=1</formula>
    </cfRule>
  </conditionalFormatting>
  <conditionalFormatting sqref="A6:K6 A5:F5 H5:K5 A7:F7 H7:K7 A8:K20 A23:K23 A21:G22 A24:A25 G24:G25 A26:K31 A33:K204 A32">
    <cfRule type="expression" dxfId="689" priority="202" stopIfTrue="1">
      <formula>AND($M5="Approved",OR($L5=$R$1,$L5=$T$1))</formula>
    </cfRule>
  </conditionalFormatting>
  <conditionalFormatting sqref="G5">
    <cfRule type="expression" dxfId="688" priority="17" stopIfTrue="1">
      <formula>AND($M5="Approved",OR($L5=$R$1,$L5=$T$1))</formula>
    </cfRule>
  </conditionalFormatting>
  <conditionalFormatting sqref="G7">
    <cfRule type="expression" dxfId="687" priority="16" stopIfTrue="1">
      <formula>AND($M7="Approved",OR($L7=$R$1,$L7=$T$1))</formula>
    </cfRule>
  </conditionalFormatting>
  <conditionalFormatting sqref="H21:K21">
    <cfRule type="expression" dxfId="686" priority="15" stopIfTrue="1">
      <formula>AND($M21="Approved",OR($L21=$R$1,$L21=$T$1))</formula>
    </cfRule>
  </conditionalFormatting>
  <conditionalFormatting sqref="H22:K22">
    <cfRule type="expression" dxfId="685" priority="14" stopIfTrue="1">
      <formula>AND($M22="Approved",OR($L22=$R$1,$L22=$T$1))</formula>
    </cfRule>
  </conditionalFormatting>
  <conditionalFormatting sqref="B24:F25">
    <cfRule type="expression" dxfId="684" priority="13" stopIfTrue="1">
      <formula>AND($M24="Approved",OR($L24=$R$1,$L24=$T$1))</formula>
    </cfRule>
  </conditionalFormatting>
  <conditionalFormatting sqref="L24:L25">
    <cfRule type="expression" dxfId="683" priority="7" stopIfTrue="1">
      <formula>AND($M24="Approved",$L24="Fixed")</formula>
    </cfRule>
    <cfRule type="cellIs" dxfId="682" priority="8" stopIfTrue="1" operator="equal">
      <formula>"Fixed"</formula>
    </cfRule>
    <cfRule type="cellIs" dxfId="681" priority="9" stopIfTrue="1" operator="equal">
      <formula>"Open"</formula>
    </cfRule>
  </conditionalFormatting>
  <conditionalFormatting sqref="M24:M25">
    <cfRule type="expression" dxfId="680" priority="10" stopIfTrue="1">
      <formula>OR(M24="Fixed",M24="Approved")</formula>
    </cfRule>
    <cfRule type="cellIs" dxfId="679" priority="11" stopIfTrue="1" operator="equal">
      <formula>"Rejected"</formula>
    </cfRule>
  </conditionalFormatting>
  <conditionalFormatting sqref="H24:K25">
    <cfRule type="expression" dxfId="678" priority="12" stopIfTrue="1">
      <formula>AND($M24="Approved",OR($L24=$R$1,$L24=$T$1))</formula>
    </cfRule>
  </conditionalFormatting>
  <conditionalFormatting sqref="L32">
    <cfRule type="expression" dxfId="677" priority="1" stopIfTrue="1">
      <formula>AND($M32="Approved",$L32="Fixed")</formula>
    </cfRule>
    <cfRule type="cellIs" dxfId="676" priority="2" stopIfTrue="1" operator="equal">
      <formula>"Fixed"</formula>
    </cfRule>
    <cfRule type="cellIs" dxfId="675" priority="3" stopIfTrue="1" operator="equal">
      <formula>"Open"</formula>
    </cfRule>
  </conditionalFormatting>
  <conditionalFormatting sqref="M32">
    <cfRule type="expression" dxfId="674" priority="4" stopIfTrue="1">
      <formula>OR(M32="Fixed",M32="Approved")</formula>
    </cfRule>
    <cfRule type="cellIs" dxfId="673" priority="5" stopIfTrue="1" operator="equal">
      <formula>"Rejected"</formula>
    </cfRule>
  </conditionalFormatting>
  <conditionalFormatting sqref="B32:K32">
    <cfRule type="expression" dxfId="672" priority="6" stopIfTrue="1">
      <formula>AND($M32="Approved",OR($L32=$R$1,$L32=$T$1))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3 I26: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I35"/>
  <sheetViews>
    <sheetView tabSelected="1" zoomScale="130" zoomScaleNormal="130" workbookViewId="0">
      <pane xSplit="1" ySplit="3" topLeftCell="B4" activePane="bottomRight" state="frozen"/>
      <selection pane="topRight" activeCell="B1" sqref="B1"/>
      <selection pane="bottomLeft" activeCell="A4" sqref="A4"/>
      <selection pane="bottomRight" activeCell="E2" sqref="E2"/>
    </sheetView>
  </sheetViews>
  <sheetFormatPr defaultColWidth="9.28515625" defaultRowHeight="12.75" outlineLevelCol="1"/>
  <cols>
    <col min="1" max="1" width="12.85546875" style="160" bestFit="1" customWidth="1"/>
    <col min="2" max="2" width="61" style="159" customWidth="1"/>
    <col min="3" max="5" width="6.28515625" style="158" bestFit="1" customWidth="1"/>
    <col min="6" max="6" width="33.7109375" style="158" customWidth="1"/>
    <col min="7" max="8" width="30.7109375" style="158" customWidth="1" outlineLevel="1"/>
    <col min="9" max="16384" width="9.28515625" style="158"/>
  </cols>
  <sheetData>
    <row r="2" spans="1:9" ht="54">
      <c r="A2" s="183" t="s">
        <v>214</v>
      </c>
      <c r="B2" s="184" t="s">
        <v>227</v>
      </c>
      <c r="C2" s="185" t="s">
        <v>470</v>
      </c>
      <c r="D2" s="185" t="s">
        <v>497</v>
      </c>
      <c r="E2" s="185" t="s">
        <v>505</v>
      </c>
      <c r="F2" s="186" t="s">
        <v>223</v>
      </c>
      <c r="G2" s="349" t="s">
        <v>185</v>
      </c>
      <c r="H2" s="350"/>
    </row>
    <row r="3" spans="1:9" ht="18.75">
      <c r="A3" s="187"/>
      <c r="B3" s="188"/>
      <c r="C3" s="189">
        <f>COUNTIF(Review.ratings,"Yes") / ( COUNTA(Review.QuestionIds) - COUNTIF(Review.ratings,"NA"))</f>
        <v>1</v>
      </c>
      <c r="D3" s="189">
        <f>COUNTIF(Review.ratings,"Yes") / ( COUNTA(Review.QuestionIds) - COUNTIF(Review.ratings,"NA"))</f>
        <v>1</v>
      </c>
      <c r="E3" s="189">
        <f>COUNTIF(Review.ratings,"Yes") / ( COUNTA(Review.QuestionIds) - COUNTIF(Review.ratings,"NA"))</f>
        <v>1</v>
      </c>
      <c r="F3" s="194"/>
      <c r="G3" s="202" t="s">
        <v>220</v>
      </c>
      <c r="H3" s="202" t="s">
        <v>221</v>
      </c>
      <c r="I3" s="195"/>
    </row>
    <row r="4" spans="1:9" ht="36">
      <c r="A4" s="190"/>
      <c r="B4" s="191" t="s">
        <v>225</v>
      </c>
      <c r="C4" s="192"/>
      <c r="D4" s="192"/>
      <c r="E4" s="192"/>
      <c r="F4" s="192"/>
      <c r="G4" s="192"/>
      <c r="H4" s="193"/>
      <c r="I4" s="25"/>
    </row>
    <row r="5" spans="1:9" ht="18.75">
      <c r="A5" s="161"/>
      <c r="B5" s="169" t="s">
        <v>224</v>
      </c>
      <c r="C5" s="162"/>
      <c r="D5" s="162"/>
      <c r="E5" s="162"/>
      <c r="F5" s="162"/>
      <c r="G5" s="202"/>
      <c r="H5" s="202"/>
    </row>
    <row r="6" spans="1:9" ht="38.25">
      <c r="A6" s="164" t="s">
        <v>337</v>
      </c>
      <c r="B6" s="172" t="s">
        <v>226</v>
      </c>
      <c r="C6" s="196" t="s">
        <v>213</v>
      </c>
      <c r="D6" s="196" t="s">
        <v>213</v>
      </c>
      <c r="E6" s="196" t="s">
        <v>213</v>
      </c>
      <c r="F6" s="197"/>
      <c r="G6" s="163"/>
      <c r="H6" s="163"/>
    </row>
    <row r="7" spans="1:9" ht="18.75">
      <c r="A7" s="161"/>
      <c r="B7" s="169" t="s">
        <v>262</v>
      </c>
      <c r="C7" s="162"/>
      <c r="D7" s="162"/>
      <c r="E7" s="162"/>
      <c r="F7" s="162"/>
      <c r="G7" s="202"/>
      <c r="H7" s="202"/>
    </row>
    <row r="8" spans="1:9" ht="38.25">
      <c r="A8" s="164" t="s">
        <v>339</v>
      </c>
      <c r="B8" s="172" t="s">
        <v>263</v>
      </c>
      <c r="C8" s="196" t="s">
        <v>213</v>
      </c>
      <c r="D8" s="196" t="s">
        <v>213</v>
      </c>
      <c r="E8" s="196" t="s">
        <v>213</v>
      </c>
      <c r="F8" s="197"/>
      <c r="G8" s="163"/>
      <c r="H8" s="163"/>
    </row>
    <row r="9" spans="1:9" ht="25.5">
      <c r="A9" s="164" t="s">
        <v>340</v>
      </c>
      <c r="B9" s="172" t="s">
        <v>264</v>
      </c>
      <c r="C9" s="196" t="s">
        <v>213</v>
      </c>
      <c r="D9" s="196" t="s">
        <v>213</v>
      </c>
      <c r="E9" s="196" t="s">
        <v>213</v>
      </c>
      <c r="F9" s="197"/>
      <c r="G9" s="163"/>
      <c r="H9" s="163"/>
    </row>
    <row r="10" spans="1:9" ht="38.25">
      <c r="A10" s="164" t="s">
        <v>341</v>
      </c>
      <c r="B10" s="172" t="s">
        <v>342</v>
      </c>
      <c r="C10" s="196" t="s">
        <v>213</v>
      </c>
      <c r="D10" s="196" t="s">
        <v>213</v>
      </c>
      <c r="E10" s="196" t="s">
        <v>213</v>
      </c>
      <c r="F10" s="197"/>
      <c r="G10" s="163"/>
      <c r="H10" s="163"/>
    </row>
    <row r="11" spans="1:9" ht="25.5">
      <c r="A11" s="164" t="s">
        <v>343</v>
      </c>
      <c r="B11" s="172" t="s">
        <v>265</v>
      </c>
      <c r="C11" s="196" t="s">
        <v>213</v>
      </c>
      <c r="D11" s="196" t="s">
        <v>213</v>
      </c>
      <c r="E11" s="196" t="s">
        <v>213</v>
      </c>
      <c r="F11" s="197"/>
      <c r="G11" s="163"/>
      <c r="H11" s="163"/>
    </row>
    <row r="12" spans="1:9" ht="51">
      <c r="A12" s="164" t="s">
        <v>344</v>
      </c>
      <c r="B12" s="172" t="s">
        <v>266</v>
      </c>
      <c r="C12" s="196" t="s">
        <v>213</v>
      </c>
      <c r="D12" s="196" t="s">
        <v>213</v>
      </c>
      <c r="E12" s="196" t="s">
        <v>213</v>
      </c>
      <c r="F12" s="197"/>
      <c r="G12" s="163"/>
      <c r="H12" s="163"/>
    </row>
    <row r="13" spans="1:9" ht="25.5">
      <c r="A13" s="164" t="s">
        <v>345</v>
      </c>
      <c r="B13" s="172" t="s">
        <v>267</v>
      </c>
      <c r="C13" s="196" t="s">
        <v>213</v>
      </c>
      <c r="D13" s="196" t="s">
        <v>213</v>
      </c>
      <c r="E13" s="196" t="s">
        <v>213</v>
      </c>
      <c r="F13" s="197"/>
      <c r="G13" s="163"/>
      <c r="H13" s="163"/>
    </row>
    <row r="14" spans="1:9" ht="25.5">
      <c r="A14" s="164" t="s">
        <v>346</v>
      </c>
      <c r="B14" s="172" t="s">
        <v>268</v>
      </c>
      <c r="C14" s="196" t="s">
        <v>213</v>
      </c>
      <c r="D14" s="196" t="s">
        <v>213</v>
      </c>
      <c r="E14" s="196" t="s">
        <v>213</v>
      </c>
      <c r="F14" s="197"/>
      <c r="G14" s="163"/>
      <c r="H14" s="163"/>
    </row>
    <row r="15" spans="1:9" ht="38.25">
      <c r="A15" s="164" t="s">
        <v>347</v>
      </c>
      <c r="B15" s="172" t="s">
        <v>269</v>
      </c>
      <c r="C15" s="196" t="s">
        <v>213</v>
      </c>
      <c r="D15" s="196" t="s">
        <v>213</v>
      </c>
      <c r="E15" s="196" t="s">
        <v>213</v>
      </c>
      <c r="F15" s="197"/>
      <c r="G15" s="163"/>
      <c r="H15" s="163"/>
    </row>
    <row r="16" spans="1:9" ht="25.5">
      <c r="A16" s="164" t="s">
        <v>348</v>
      </c>
      <c r="B16" s="172" t="s">
        <v>338</v>
      </c>
      <c r="C16" s="196" t="s">
        <v>213</v>
      </c>
      <c r="D16" s="196" t="s">
        <v>213</v>
      </c>
      <c r="E16" s="196" t="s">
        <v>213</v>
      </c>
      <c r="F16" s="197"/>
      <c r="G16" s="163"/>
      <c r="H16" s="163"/>
    </row>
    <row r="17" spans="1:8" ht="38.25">
      <c r="A17" s="164" t="s">
        <v>349</v>
      </c>
      <c r="B17" s="172" t="s">
        <v>350</v>
      </c>
      <c r="C17" s="196" t="s">
        <v>213</v>
      </c>
      <c r="D17" s="196" t="s">
        <v>213</v>
      </c>
      <c r="E17" s="196" t="s">
        <v>213</v>
      </c>
      <c r="F17" s="197"/>
      <c r="G17" s="163"/>
      <c r="H17" s="163"/>
    </row>
    <row r="18" spans="1:8" ht="38.25">
      <c r="A18" s="164" t="s">
        <v>351</v>
      </c>
      <c r="B18" s="172" t="s">
        <v>270</v>
      </c>
      <c r="C18" s="196" t="s">
        <v>213</v>
      </c>
      <c r="D18" s="196" t="s">
        <v>213</v>
      </c>
      <c r="E18" s="196" t="s">
        <v>213</v>
      </c>
      <c r="F18" s="197"/>
      <c r="G18" s="163"/>
      <c r="H18" s="163"/>
    </row>
    <row r="19" spans="1:8" ht="25.5">
      <c r="A19" s="164" t="s">
        <v>352</v>
      </c>
      <c r="B19" s="172" t="s">
        <v>271</v>
      </c>
      <c r="C19" s="196" t="s">
        <v>213</v>
      </c>
      <c r="D19" s="196" t="s">
        <v>213</v>
      </c>
      <c r="E19" s="196" t="s">
        <v>213</v>
      </c>
      <c r="F19" s="197"/>
      <c r="G19" s="163"/>
      <c r="H19" s="163"/>
    </row>
    <row r="20" spans="1:8" ht="25.5">
      <c r="A20" s="164" t="s">
        <v>353</v>
      </c>
      <c r="B20" s="172" t="s">
        <v>272</v>
      </c>
      <c r="C20" s="196" t="s">
        <v>213</v>
      </c>
      <c r="D20" s="196" t="s">
        <v>213</v>
      </c>
      <c r="E20" s="196" t="s">
        <v>213</v>
      </c>
      <c r="F20" s="197"/>
      <c r="G20" s="163"/>
      <c r="H20" s="163"/>
    </row>
    <row r="21" spans="1:8" ht="38.25">
      <c r="A21" s="164" t="s">
        <v>354</v>
      </c>
      <c r="B21" s="172" t="s">
        <v>273</v>
      </c>
      <c r="C21" s="196" t="s">
        <v>213</v>
      </c>
      <c r="D21" s="196" t="s">
        <v>213</v>
      </c>
      <c r="E21" s="196" t="s">
        <v>213</v>
      </c>
      <c r="F21" s="197"/>
      <c r="G21" s="163"/>
      <c r="H21" s="163"/>
    </row>
    <row r="22" spans="1:8" ht="38.25">
      <c r="A22" s="164" t="s">
        <v>355</v>
      </c>
      <c r="B22" s="172" t="s">
        <v>356</v>
      </c>
      <c r="C22" s="196" t="s">
        <v>213</v>
      </c>
      <c r="D22" s="196" t="s">
        <v>213</v>
      </c>
      <c r="E22" s="196" t="s">
        <v>213</v>
      </c>
      <c r="F22" s="197"/>
      <c r="G22" s="163"/>
      <c r="H22" s="163"/>
    </row>
    <row r="23" spans="1:8" ht="18.75">
      <c r="A23" s="161"/>
      <c r="B23" s="169" t="s">
        <v>217</v>
      </c>
      <c r="C23" s="162"/>
      <c r="D23" s="162"/>
      <c r="E23" s="162"/>
      <c r="F23" s="162"/>
      <c r="G23" s="202"/>
      <c r="H23" s="202"/>
    </row>
    <row r="24" spans="1:8" ht="38.25">
      <c r="A24" s="164" t="s">
        <v>312</v>
      </c>
      <c r="B24" s="172" t="s">
        <v>207</v>
      </c>
      <c r="C24" s="196" t="s">
        <v>23</v>
      </c>
      <c r="D24" s="196" t="s">
        <v>213</v>
      </c>
      <c r="E24" s="196" t="s">
        <v>213</v>
      </c>
      <c r="F24" s="205" t="s">
        <v>468</v>
      </c>
      <c r="G24" s="163"/>
      <c r="H24" s="163"/>
    </row>
    <row r="25" spans="1:8" ht="25.5">
      <c r="A25" s="164" t="s">
        <v>313</v>
      </c>
      <c r="B25" s="172" t="s">
        <v>208</v>
      </c>
      <c r="C25" s="196" t="s">
        <v>213</v>
      </c>
      <c r="D25" s="196" t="s">
        <v>213</v>
      </c>
      <c r="E25" s="196" t="s">
        <v>213</v>
      </c>
      <c r="F25" s="197"/>
      <c r="G25" s="163"/>
      <c r="H25" s="163"/>
    </row>
    <row r="26" spans="1:8" ht="38.25">
      <c r="A26" s="164" t="s">
        <v>314</v>
      </c>
      <c r="B26" s="172" t="s">
        <v>209</v>
      </c>
      <c r="C26" s="196" t="s">
        <v>23</v>
      </c>
      <c r="D26" s="196" t="s">
        <v>213</v>
      </c>
      <c r="E26" s="196" t="s">
        <v>213</v>
      </c>
      <c r="F26" s="205" t="s">
        <v>468</v>
      </c>
      <c r="G26" s="163"/>
      <c r="H26" s="163"/>
    </row>
    <row r="27" spans="1:8" ht="38.25">
      <c r="A27" s="164" t="s">
        <v>315</v>
      </c>
      <c r="B27" s="172" t="s">
        <v>210</v>
      </c>
      <c r="C27" s="196" t="s">
        <v>213</v>
      </c>
      <c r="D27" s="196" t="s">
        <v>213</v>
      </c>
      <c r="E27" s="196" t="s">
        <v>213</v>
      </c>
      <c r="F27" s="197"/>
      <c r="G27" s="163"/>
      <c r="H27" s="163"/>
    </row>
    <row r="28" spans="1:8" ht="18.75">
      <c r="A28" s="161"/>
      <c r="B28" s="169" t="s">
        <v>218</v>
      </c>
      <c r="C28" s="162"/>
      <c r="D28" s="162"/>
      <c r="E28" s="162"/>
      <c r="F28" s="162"/>
      <c r="G28" s="202"/>
      <c r="H28" s="202"/>
    </row>
    <row r="29" spans="1:8" ht="38.25">
      <c r="A29" s="164" t="s">
        <v>316</v>
      </c>
      <c r="B29" s="172" t="s">
        <v>211</v>
      </c>
      <c r="C29" s="196" t="s">
        <v>213</v>
      </c>
      <c r="D29" s="196" t="s">
        <v>213</v>
      </c>
      <c r="E29" s="196" t="s">
        <v>213</v>
      </c>
      <c r="F29" s="197"/>
      <c r="G29" s="163"/>
      <c r="H29" s="163"/>
    </row>
    <row r="30" spans="1:8" ht="38.25">
      <c r="A30" s="164" t="s">
        <v>317</v>
      </c>
      <c r="B30" s="172" t="s">
        <v>212</v>
      </c>
      <c r="C30" s="196" t="s">
        <v>213</v>
      </c>
      <c r="D30" s="196" t="s">
        <v>213</v>
      </c>
      <c r="E30" s="196" t="s">
        <v>213</v>
      </c>
      <c r="F30" s="197"/>
      <c r="G30" s="163"/>
      <c r="H30" s="163"/>
    </row>
    <row r="31" spans="1:8" ht="18.75">
      <c r="A31" s="161"/>
      <c r="B31" s="169" t="s">
        <v>205</v>
      </c>
      <c r="C31" s="162"/>
      <c r="D31" s="162"/>
      <c r="E31" s="162"/>
      <c r="F31" s="162"/>
      <c r="G31" s="202"/>
      <c r="H31" s="202"/>
    </row>
    <row r="32" spans="1:8" ht="51">
      <c r="A32" s="164" t="s">
        <v>318</v>
      </c>
      <c r="B32" s="172" t="s">
        <v>206</v>
      </c>
      <c r="C32" s="196" t="s">
        <v>11</v>
      </c>
      <c r="D32" s="196" t="s">
        <v>11</v>
      </c>
      <c r="E32" s="196" t="s">
        <v>11</v>
      </c>
      <c r="F32" s="205" t="s">
        <v>367</v>
      </c>
      <c r="G32" s="163"/>
      <c r="H32" s="163"/>
    </row>
    <row r="33" spans="1:8" ht="18">
      <c r="A33" s="198"/>
      <c r="B33" s="199" t="s">
        <v>222</v>
      </c>
      <c r="C33" s="198"/>
      <c r="D33" s="198"/>
      <c r="E33" s="198"/>
      <c r="F33" s="198"/>
      <c r="G33" s="198"/>
      <c r="H33" s="198"/>
    </row>
    <row r="34" spans="1:8">
      <c r="A34" s="164"/>
      <c r="B34" s="172"/>
    </row>
    <row r="35" spans="1:8" ht="15">
      <c r="A35" s="200"/>
      <c r="B35" s="201" t="s">
        <v>336</v>
      </c>
      <c r="C35" s="200"/>
      <c r="D35" s="200"/>
      <c r="E35" s="200"/>
      <c r="F35" s="200"/>
      <c r="G35" s="200"/>
      <c r="H35" s="200"/>
    </row>
  </sheetData>
  <mergeCells count="1">
    <mergeCell ref="G2:H2"/>
  </mergeCells>
  <conditionalFormatting sqref="C6:E6">
    <cfRule type="cellIs" dxfId="671" priority="1086" operator="equal">
      <formula>"No"</formula>
    </cfRule>
    <cfRule type="cellIs" dxfId="670" priority="1087" operator="equal">
      <formula>"NA"</formula>
    </cfRule>
    <cfRule type="cellIs" dxfId="669" priority="1088" operator="equal">
      <formula>"Yes"</formula>
    </cfRule>
  </conditionalFormatting>
  <conditionalFormatting sqref="C24">
    <cfRule type="cellIs" dxfId="668" priority="350" operator="equal">
      <formula>"No"</formula>
    </cfRule>
    <cfRule type="cellIs" dxfId="667" priority="351" operator="equal">
      <formula>"NA"</formula>
    </cfRule>
    <cfRule type="cellIs" dxfId="666" priority="352" operator="equal">
      <formula>"Yes"</formula>
    </cfRule>
  </conditionalFormatting>
  <conditionalFormatting sqref="C26">
    <cfRule type="cellIs" dxfId="665" priority="258" operator="equal">
      <formula>"No"</formula>
    </cfRule>
    <cfRule type="cellIs" dxfId="664" priority="259" operator="equal">
      <formula>"NA"</formula>
    </cfRule>
    <cfRule type="cellIs" dxfId="663" priority="260" operator="equal">
      <formula>"Yes"</formula>
    </cfRule>
  </conditionalFormatting>
  <conditionalFormatting sqref="C32:E32">
    <cfRule type="cellIs" dxfId="662" priority="74" operator="equal">
      <formula>"No"</formula>
    </cfRule>
    <cfRule type="cellIs" dxfId="661" priority="75" operator="equal">
      <formula>"NA"</formula>
    </cfRule>
    <cfRule type="cellIs" dxfId="660" priority="76" operator="equal">
      <formula>"Yes"</formula>
    </cfRule>
  </conditionalFormatting>
  <conditionalFormatting sqref="E8:E22">
    <cfRule type="cellIs" dxfId="659" priority="28" operator="equal">
      <formula>"No"</formula>
    </cfRule>
    <cfRule type="cellIs" dxfId="658" priority="29" operator="equal">
      <formula>"NA"</formula>
    </cfRule>
    <cfRule type="cellIs" dxfId="657" priority="30" operator="equal">
      <formula>"Yes"</formula>
    </cfRule>
  </conditionalFormatting>
  <conditionalFormatting sqref="C25:E25">
    <cfRule type="cellIs" dxfId="656" priority="25" operator="equal">
      <formula>"No"</formula>
    </cfRule>
    <cfRule type="cellIs" dxfId="655" priority="26" operator="equal">
      <formula>"NA"</formula>
    </cfRule>
    <cfRule type="cellIs" dxfId="654" priority="27" operator="equal">
      <formula>"Yes"</formula>
    </cfRule>
  </conditionalFormatting>
  <conditionalFormatting sqref="C27:E27">
    <cfRule type="cellIs" dxfId="653" priority="22" operator="equal">
      <formula>"No"</formula>
    </cfRule>
    <cfRule type="cellIs" dxfId="652" priority="23" operator="equal">
      <formula>"NA"</formula>
    </cfRule>
    <cfRule type="cellIs" dxfId="651" priority="24" operator="equal">
      <formula>"Yes"</formula>
    </cfRule>
  </conditionalFormatting>
  <conditionalFormatting sqref="E29:E30">
    <cfRule type="cellIs" dxfId="650" priority="19" operator="equal">
      <formula>"No"</formula>
    </cfRule>
    <cfRule type="cellIs" dxfId="649" priority="20" operator="equal">
      <formula>"NA"</formula>
    </cfRule>
    <cfRule type="cellIs" dxfId="648" priority="21" operator="equal">
      <formula>"Yes"</formula>
    </cfRule>
  </conditionalFormatting>
  <conditionalFormatting sqref="C8:C22">
    <cfRule type="cellIs" dxfId="647" priority="16" operator="equal">
      <formula>"No"</formula>
    </cfRule>
    <cfRule type="cellIs" dxfId="646" priority="17" operator="equal">
      <formula>"NA"</formula>
    </cfRule>
    <cfRule type="cellIs" dxfId="645" priority="18" operator="equal">
      <formula>"Yes"</formula>
    </cfRule>
  </conditionalFormatting>
  <conditionalFormatting sqref="C29:C30">
    <cfRule type="cellIs" dxfId="644" priority="13" operator="equal">
      <formula>"No"</formula>
    </cfRule>
    <cfRule type="cellIs" dxfId="643" priority="14" operator="equal">
      <formula>"NA"</formula>
    </cfRule>
    <cfRule type="cellIs" dxfId="642" priority="15" operator="equal">
      <formula>"Yes"</formula>
    </cfRule>
  </conditionalFormatting>
  <conditionalFormatting sqref="D24:E24">
    <cfRule type="cellIs" dxfId="641" priority="10" operator="equal">
      <formula>"No"</formula>
    </cfRule>
    <cfRule type="cellIs" dxfId="640" priority="11" operator="equal">
      <formula>"NA"</formula>
    </cfRule>
    <cfRule type="cellIs" dxfId="639" priority="12" operator="equal">
      <formula>"Yes"</formula>
    </cfRule>
  </conditionalFormatting>
  <conditionalFormatting sqref="D26:E26">
    <cfRule type="cellIs" dxfId="638" priority="7" operator="equal">
      <formula>"No"</formula>
    </cfRule>
    <cfRule type="cellIs" dxfId="637" priority="8" operator="equal">
      <formula>"NA"</formula>
    </cfRule>
    <cfRule type="cellIs" dxfId="636" priority="9" operator="equal">
      <formula>"Yes"</formula>
    </cfRule>
  </conditionalFormatting>
  <conditionalFormatting sqref="D8:D22">
    <cfRule type="cellIs" dxfId="5" priority="4" operator="equal">
      <formula>"No"</formula>
    </cfRule>
    <cfRule type="cellIs" dxfId="4" priority="5" operator="equal">
      <formula>"NA"</formula>
    </cfRule>
    <cfRule type="cellIs" dxfId="3" priority="6" operator="equal">
      <formula>"Yes"</formula>
    </cfRule>
  </conditionalFormatting>
  <conditionalFormatting sqref="D29:D30">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24:E27 C29:E30 C8:E22 C32:E32 C6:E6"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S36"/>
  <sheetViews>
    <sheetView zoomScale="130" zoomScaleNormal="130" workbookViewId="0">
      <pane xSplit="1" ySplit="3" topLeftCell="B13" activePane="bottomRight" state="frozen"/>
      <selection pane="topRight" activeCell="B1" sqref="B1"/>
      <selection pane="bottomLeft" activeCell="A4" sqref="A4"/>
      <selection pane="bottomRight" activeCell="O3" sqref="O3"/>
    </sheetView>
  </sheetViews>
  <sheetFormatPr defaultColWidth="9.28515625" defaultRowHeight="12.75" outlineLevelCol="1"/>
  <cols>
    <col min="1" max="1" width="13" style="160" bestFit="1" customWidth="1"/>
    <col min="2" max="2" width="61" style="159" customWidth="1"/>
    <col min="3" max="3" width="6.28515625" style="158" bestFit="1" customWidth="1"/>
    <col min="4" max="4" width="6.28515625" style="158" customWidth="1"/>
    <col min="5" max="5" width="6.28515625" style="158" bestFit="1" customWidth="1"/>
    <col min="6" max="10" width="6.28515625" style="158" customWidth="1"/>
    <col min="11" max="12" width="6.28515625" style="158" bestFit="1" customWidth="1"/>
    <col min="13" max="13" width="6.28515625" style="158" customWidth="1"/>
    <col min="14" max="14" width="6.28515625" style="158" bestFit="1" customWidth="1"/>
    <col min="15" max="15" width="6.28515625" style="158" customWidth="1"/>
    <col min="16" max="16" width="33.7109375" style="158" customWidth="1"/>
    <col min="17" max="18" width="30.7109375" style="158" customWidth="1" outlineLevel="1"/>
    <col min="19" max="16384" width="9.28515625" style="158"/>
  </cols>
  <sheetData>
    <row r="2" spans="1:19" ht="51.75">
      <c r="A2" s="183" t="s">
        <v>214</v>
      </c>
      <c r="B2" s="184" t="s">
        <v>228</v>
      </c>
      <c r="C2" s="185" t="s">
        <v>423</v>
      </c>
      <c r="D2" s="185" t="s">
        <v>422</v>
      </c>
      <c r="E2" s="185" t="s">
        <v>426</v>
      </c>
      <c r="F2" s="185" t="s">
        <v>436</v>
      </c>
      <c r="G2" s="185" t="s">
        <v>437</v>
      </c>
      <c r="H2" s="185" t="s">
        <v>427</v>
      </c>
      <c r="I2" s="185" t="s">
        <v>444</v>
      </c>
      <c r="J2" s="185" t="s">
        <v>447</v>
      </c>
      <c r="K2" s="185" t="s">
        <v>454</v>
      </c>
      <c r="L2" s="185" t="s">
        <v>462</v>
      </c>
      <c r="M2" s="185" t="s">
        <v>463</v>
      </c>
      <c r="N2" s="185" t="s">
        <v>488</v>
      </c>
      <c r="O2" s="185" t="s">
        <v>493</v>
      </c>
      <c r="P2" s="186" t="s">
        <v>223</v>
      </c>
      <c r="Q2" s="349" t="s">
        <v>185</v>
      </c>
      <c r="R2" s="350"/>
    </row>
    <row r="3" spans="1:19" ht="18.75">
      <c r="A3" s="187"/>
      <c r="B3" s="188"/>
      <c r="C3" s="189">
        <f>COUNTIF(Review.ratings,"Yes") / ( COUNTA(Review.QuestionIds) - COUNTIF(Review.ratings,"NA"))</f>
        <v>0.81818181818181823</v>
      </c>
      <c r="D3" s="189">
        <f>COUNTIF(Review.ratings,"Yes") / ( COUNTA(Review.QuestionIds) - COUNTIF(Review.ratings,"NA"))</f>
        <v>0.81818181818181823</v>
      </c>
      <c r="E3" s="189">
        <f t="shared" ref="E3:K3" si="0">COUNTIF((E6:E33),"Yes") / ( COUNTA(E6:E33) - COUNTIF((E6:E33),"NA"))</f>
        <v>0.95454545454545459</v>
      </c>
      <c r="F3" s="189">
        <f t="shared" si="0"/>
        <v>0.95652173913043481</v>
      </c>
      <c r="G3" s="189">
        <f t="shared" si="0"/>
        <v>0.86956521739130432</v>
      </c>
      <c r="H3" s="189">
        <f t="shared" si="0"/>
        <v>0.86956521739130432</v>
      </c>
      <c r="I3" s="189">
        <f t="shared" si="0"/>
        <v>0.86956521739130432</v>
      </c>
      <c r="J3" s="189">
        <f t="shared" si="0"/>
        <v>0.95652173913043481</v>
      </c>
      <c r="K3" s="189">
        <f t="shared" si="0"/>
        <v>1</v>
      </c>
      <c r="L3" s="189">
        <f t="shared" ref="L3:M3" si="1">COUNTIF((L6:L33),"Yes") / ( COUNTA(L6:L33) - COUNTIF((L6:L33),"NA"))</f>
        <v>1</v>
      </c>
      <c r="M3" s="189">
        <f t="shared" si="1"/>
        <v>1</v>
      </c>
      <c r="N3" s="189">
        <f t="shared" ref="N3:O3" si="2">COUNTIF((N6:N33),"Yes") / ( COUNTA(N6:N33) - COUNTIF((N6:N33),"NA"))</f>
        <v>1</v>
      </c>
      <c r="O3" s="189">
        <f t="shared" si="2"/>
        <v>1</v>
      </c>
      <c r="P3" s="194"/>
      <c r="Q3" s="202" t="s">
        <v>220</v>
      </c>
      <c r="R3" s="202" t="s">
        <v>221</v>
      </c>
      <c r="S3" s="195"/>
    </row>
    <row r="4" spans="1:19" ht="36">
      <c r="A4" s="190"/>
      <c r="B4" s="191" t="s">
        <v>225</v>
      </c>
      <c r="C4" s="192"/>
      <c r="D4" s="192"/>
      <c r="E4" s="192"/>
      <c r="F4" s="192"/>
      <c r="G4" s="192"/>
      <c r="H4" s="192"/>
      <c r="I4" s="192"/>
      <c r="J4" s="192"/>
      <c r="K4" s="192"/>
      <c r="L4" s="192"/>
      <c r="M4" s="192"/>
      <c r="N4" s="192"/>
      <c r="O4" s="192"/>
      <c r="P4" s="192"/>
      <c r="Q4" s="192"/>
      <c r="R4" s="193"/>
      <c r="S4" s="25"/>
    </row>
    <row r="5" spans="1:19" ht="18.75">
      <c r="A5" s="161"/>
      <c r="B5" s="169" t="s">
        <v>216</v>
      </c>
      <c r="C5" s="162"/>
      <c r="D5" s="162"/>
      <c r="E5" s="162"/>
      <c r="F5" s="162"/>
      <c r="G5" s="162"/>
      <c r="H5" s="162"/>
      <c r="I5" s="162"/>
      <c r="J5" s="162"/>
      <c r="K5" s="162"/>
      <c r="L5" s="162"/>
      <c r="M5" s="162"/>
      <c r="N5" s="162"/>
      <c r="O5" s="162"/>
      <c r="P5" s="162"/>
      <c r="Q5" s="202"/>
      <c r="R5" s="202"/>
    </row>
    <row r="6" spans="1:19" ht="38.25">
      <c r="A6" s="164" t="s">
        <v>292</v>
      </c>
      <c r="B6" s="172" t="s">
        <v>229</v>
      </c>
      <c r="C6" s="196" t="s">
        <v>23</v>
      </c>
      <c r="D6" s="196" t="s">
        <v>23</v>
      </c>
      <c r="E6" s="196" t="s">
        <v>213</v>
      </c>
      <c r="F6" s="196" t="s">
        <v>213</v>
      </c>
      <c r="G6" s="196" t="s">
        <v>213</v>
      </c>
      <c r="H6" s="196" t="s">
        <v>213</v>
      </c>
      <c r="I6" s="196" t="s">
        <v>213</v>
      </c>
      <c r="J6" s="196" t="s">
        <v>213</v>
      </c>
      <c r="K6" s="196" t="s">
        <v>213</v>
      </c>
      <c r="L6" s="196" t="s">
        <v>213</v>
      </c>
      <c r="M6" s="196" t="s">
        <v>213</v>
      </c>
      <c r="N6" s="196" t="s">
        <v>213</v>
      </c>
      <c r="O6" s="196" t="s">
        <v>213</v>
      </c>
      <c r="P6" s="197"/>
      <c r="Q6" s="163"/>
      <c r="R6" s="163"/>
    </row>
    <row r="7" spans="1:19" ht="38.25">
      <c r="A7" s="164" t="s">
        <v>293</v>
      </c>
      <c r="B7" s="172" t="s">
        <v>230</v>
      </c>
      <c r="C7" s="196" t="s">
        <v>23</v>
      </c>
      <c r="D7" s="196" t="s">
        <v>23</v>
      </c>
      <c r="E7" s="196" t="s">
        <v>213</v>
      </c>
      <c r="F7" s="196" t="s">
        <v>213</v>
      </c>
      <c r="G7" s="196" t="s">
        <v>213</v>
      </c>
      <c r="H7" s="196" t="s">
        <v>213</v>
      </c>
      <c r="I7" s="196" t="s">
        <v>213</v>
      </c>
      <c r="J7" s="196" t="s">
        <v>213</v>
      </c>
      <c r="K7" s="196" t="s">
        <v>213</v>
      </c>
      <c r="L7" s="196" t="s">
        <v>213</v>
      </c>
      <c r="M7" s="196" t="s">
        <v>213</v>
      </c>
      <c r="N7" s="196" t="s">
        <v>213</v>
      </c>
      <c r="O7" s="196" t="s">
        <v>213</v>
      </c>
      <c r="P7" s="197"/>
      <c r="Q7" s="163"/>
      <c r="R7" s="163"/>
    </row>
    <row r="8" spans="1:19" ht="18.75">
      <c r="A8" s="161"/>
      <c r="B8" s="169" t="s">
        <v>262</v>
      </c>
      <c r="C8" s="162"/>
      <c r="D8" s="162"/>
      <c r="E8" s="162"/>
      <c r="F8" s="162"/>
      <c r="G8" s="162"/>
      <c r="H8" s="162"/>
      <c r="I8" s="162"/>
      <c r="J8" s="162"/>
      <c r="K8" s="162"/>
      <c r="L8" s="162"/>
      <c r="M8" s="162"/>
      <c r="N8" s="162"/>
      <c r="O8" s="162"/>
      <c r="P8" s="162"/>
      <c r="Q8" s="202"/>
      <c r="R8" s="202"/>
    </row>
    <row r="9" spans="1:19" ht="25.5">
      <c r="A9" s="164" t="s">
        <v>294</v>
      </c>
      <c r="B9" s="172" t="s">
        <v>274</v>
      </c>
      <c r="C9" s="196" t="s">
        <v>213</v>
      </c>
      <c r="D9" s="196" t="s">
        <v>213</v>
      </c>
      <c r="E9" s="196" t="s">
        <v>213</v>
      </c>
      <c r="F9" s="196" t="s">
        <v>213</v>
      </c>
      <c r="G9" s="196" t="s">
        <v>213</v>
      </c>
      <c r="H9" s="196" t="s">
        <v>213</v>
      </c>
      <c r="I9" s="196" t="s">
        <v>213</v>
      </c>
      <c r="J9" s="196" t="s">
        <v>213</v>
      </c>
      <c r="K9" s="196" t="s">
        <v>213</v>
      </c>
      <c r="L9" s="196" t="s">
        <v>213</v>
      </c>
      <c r="M9" s="196" t="s">
        <v>213</v>
      </c>
      <c r="N9" s="196" t="s">
        <v>213</v>
      </c>
      <c r="O9" s="196" t="s">
        <v>213</v>
      </c>
      <c r="P9" s="197"/>
      <c r="Q9" s="163"/>
      <c r="R9" s="163"/>
    </row>
    <row r="10" spans="1:19" ht="25.5">
      <c r="A10" s="164" t="s">
        <v>295</v>
      </c>
      <c r="B10" s="172" t="s">
        <v>275</v>
      </c>
      <c r="C10" s="196" t="s">
        <v>23</v>
      </c>
      <c r="D10" s="196" t="s">
        <v>23</v>
      </c>
      <c r="E10" s="196" t="s">
        <v>23</v>
      </c>
      <c r="F10" s="196" t="s">
        <v>23</v>
      </c>
      <c r="G10" s="196" t="s">
        <v>23</v>
      </c>
      <c r="H10" s="196" t="s">
        <v>23</v>
      </c>
      <c r="I10" s="196" t="s">
        <v>23</v>
      </c>
      <c r="J10" s="196" t="s">
        <v>23</v>
      </c>
      <c r="K10" s="196" t="s">
        <v>213</v>
      </c>
      <c r="L10" s="196" t="s">
        <v>213</v>
      </c>
      <c r="M10" s="196" t="s">
        <v>213</v>
      </c>
      <c r="N10" s="196" t="s">
        <v>213</v>
      </c>
      <c r="O10" s="196" t="s">
        <v>213</v>
      </c>
      <c r="P10" s="197"/>
      <c r="Q10" s="163"/>
      <c r="R10" s="163"/>
    </row>
    <row r="11" spans="1:19" ht="38.25">
      <c r="A11" s="164" t="s">
        <v>296</v>
      </c>
      <c r="B11" s="172" t="s">
        <v>297</v>
      </c>
      <c r="C11" s="196" t="s">
        <v>213</v>
      </c>
      <c r="D11" s="196" t="s">
        <v>213</v>
      </c>
      <c r="E11" s="196" t="s">
        <v>213</v>
      </c>
      <c r="F11" s="196" t="s">
        <v>213</v>
      </c>
      <c r="G11" s="196" t="s">
        <v>213</v>
      </c>
      <c r="H11" s="196" t="s">
        <v>213</v>
      </c>
      <c r="I11" s="196" t="s">
        <v>213</v>
      </c>
      <c r="J11" s="196" t="s">
        <v>213</v>
      </c>
      <c r="K11" s="196" t="s">
        <v>213</v>
      </c>
      <c r="L11" s="196" t="s">
        <v>213</v>
      </c>
      <c r="M11" s="196" t="s">
        <v>213</v>
      </c>
      <c r="N11" s="196" t="s">
        <v>213</v>
      </c>
      <c r="O11" s="196" t="s">
        <v>213</v>
      </c>
      <c r="P11" s="197"/>
      <c r="Q11" s="163"/>
      <c r="R11" s="163"/>
    </row>
    <row r="12" spans="1:19" ht="63.75">
      <c r="A12" s="164" t="s">
        <v>298</v>
      </c>
      <c r="B12" s="172" t="s">
        <v>299</v>
      </c>
      <c r="C12" s="196" t="s">
        <v>213</v>
      </c>
      <c r="D12" s="196" t="s">
        <v>213</v>
      </c>
      <c r="E12" s="196" t="s">
        <v>213</v>
      </c>
      <c r="F12" s="196" t="s">
        <v>213</v>
      </c>
      <c r="G12" s="196" t="s">
        <v>213</v>
      </c>
      <c r="H12" s="196" t="s">
        <v>213</v>
      </c>
      <c r="I12" s="196" t="s">
        <v>213</v>
      </c>
      <c r="J12" s="196" t="s">
        <v>213</v>
      </c>
      <c r="K12" s="196" t="s">
        <v>213</v>
      </c>
      <c r="L12" s="196" t="s">
        <v>213</v>
      </c>
      <c r="M12" s="196" t="s">
        <v>213</v>
      </c>
      <c r="N12" s="196" t="s">
        <v>213</v>
      </c>
      <c r="O12" s="196" t="s">
        <v>213</v>
      </c>
      <c r="P12" s="197"/>
      <c r="Q12" s="163"/>
      <c r="R12" s="163"/>
    </row>
    <row r="13" spans="1:19" ht="63.75">
      <c r="A13" s="164" t="s">
        <v>300</v>
      </c>
      <c r="B13" s="172" t="s">
        <v>301</v>
      </c>
      <c r="C13" s="196" t="s">
        <v>213</v>
      </c>
      <c r="D13" s="196" t="s">
        <v>213</v>
      </c>
      <c r="E13" s="196" t="s">
        <v>213</v>
      </c>
      <c r="F13" s="196" t="s">
        <v>213</v>
      </c>
      <c r="G13" s="196" t="s">
        <v>213</v>
      </c>
      <c r="H13" s="196" t="s">
        <v>213</v>
      </c>
      <c r="I13" s="196" t="s">
        <v>213</v>
      </c>
      <c r="J13" s="196" t="s">
        <v>213</v>
      </c>
      <c r="K13" s="196" t="s">
        <v>213</v>
      </c>
      <c r="L13" s="196" t="s">
        <v>213</v>
      </c>
      <c r="M13" s="196" t="s">
        <v>213</v>
      </c>
      <c r="N13" s="196" t="s">
        <v>213</v>
      </c>
      <c r="O13" s="196" t="s">
        <v>213</v>
      </c>
      <c r="P13" s="197"/>
      <c r="Q13" s="163"/>
      <c r="R13" s="163"/>
    </row>
    <row r="14" spans="1:19" ht="25.5">
      <c r="A14" s="164" t="s">
        <v>302</v>
      </c>
      <c r="B14" s="172" t="s">
        <v>276</v>
      </c>
      <c r="C14" s="196" t="s">
        <v>213</v>
      </c>
      <c r="D14" s="196" t="s">
        <v>213</v>
      </c>
      <c r="E14" s="196" t="s">
        <v>213</v>
      </c>
      <c r="F14" s="196" t="s">
        <v>213</v>
      </c>
      <c r="G14" s="196" t="s">
        <v>213</v>
      </c>
      <c r="H14" s="196" t="s">
        <v>213</v>
      </c>
      <c r="I14" s="196" t="s">
        <v>213</v>
      </c>
      <c r="J14" s="196" t="s">
        <v>213</v>
      </c>
      <c r="K14" s="196" t="s">
        <v>213</v>
      </c>
      <c r="L14" s="196" t="s">
        <v>213</v>
      </c>
      <c r="M14" s="196" t="s">
        <v>213</v>
      </c>
      <c r="N14" s="196" t="s">
        <v>213</v>
      </c>
      <c r="O14" s="196" t="s">
        <v>213</v>
      </c>
      <c r="P14" s="197"/>
      <c r="Q14" s="163"/>
      <c r="R14" s="163"/>
    </row>
    <row r="15" spans="1:19" ht="25.5">
      <c r="A15" s="164" t="s">
        <v>303</v>
      </c>
      <c r="B15" s="172" t="s">
        <v>277</v>
      </c>
      <c r="C15" s="196" t="s">
        <v>213</v>
      </c>
      <c r="D15" s="196" t="s">
        <v>213</v>
      </c>
      <c r="E15" s="196" t="s">
        <v>213</v>
      </c>
      <c r="F15" s="196" t="s">
        <v>213</v>
      </c>
      <c r="G15" s="196" t="s">
        <v>213</v>
      </c>
      <c r="H15" s="196" t="s">
        <v>213</v>
      </c>
      <c r="I15" s="196" t="s">
        <v>213</v>
      </c>
      <c r="J15" s="196" t="s">
        <v>213</v>
      </c>
      <c r="K15" s="196" t="s">
        <v>213</v>
      </c>
      <c r="L15" s="196" t="s">
        <v>213</v>
      </c>
      <c r="M15" s="196" t="s">
        <v>213</v>
      </c>
      <c r="N15" s="196" t="s">
        <v>213</v>
      </c>
      <c r="O15" s="196" t="s">
        <v>213</v>
      </c>
      <c r="P15" s="197"/>
      <c r="Q15" s="163"/>
      <c r="R15" s="163"/>
    </row>
    <row r="16" spans="1:19" ht="25.5">
      <c r="A16" s="164" t="s">
        <v>304</v>
      </c>
      <c r="B16" s="172" t="s">
        <v>278</v>
      </c>
      <c r="C16" s="196" t="s">
        <v>11</v>
      </c>
      <c r="D16" s="196" t="s">
        <v>213</v>
      </c>
      <c r="E16" s="196" t="s">
        <v>11</v>
      </c>
      <c r="F16" s="196" t="s">
        <v>213</v>
      </c>
      <c r="G16" s="196" t="s">
        <v>23</v>
      </c>
      <c r="H16" s="196" t="s">
        <v>23</v>
      </c>
      <c r="I16" s="196" t="s">
        <v>23</v>
      </c>
      <c r="J16" s="196" t="s">
        <v>213</v>
      </c>
      <c r="K16" s="196" t="s">
        <v>11</v>
      </c>
      <c r="L16" s="196" t="s">
        <v>11</v>
      </c>
      <c r="M16" s="196" t="s">
        <v>213</v>
      </c>
      <c r="N16" s="196" t="s">
        <v>11</v>
      </c>
      <c r="O16" s="196" t="s">
        <v>213</v>
      </c>
      <c r="P16" s="197" t="s">
        <v>361</v>
      </c>
      <c r="Q16" s="163"/>
      <c r="R16" s="163"/>
    </row>
    <row r="17" spans="1:18" ht="51">
      <c r="A17" s="164" t="s">
        <v>305</v>
      </c>
      <c r="B17" s="172" t="s">
        <v>279</v>
      </c>
      <c r="C17" s="196" t="s">
        <v>213</v>
      </c>
      <c r="D17" s="196" t="s">
        <v>213</v>
      </c>
      <c r="E17" s="196" t="s">
        <v>213</v>
      </c>
      <c r="F17" s="196" t="s">
        <v>213</v>
      </c>
      <c r="G17" s="196" t="s">
        <v>23</v>
      </c>
      <c r="H17" s="196" t="s">
        <v>23</v>
      </c>
      <c r="I17" s="196" t="s">
        <v>23</v>
      </c>
      <c r="J17" s="196" t="s">
        <v>213</v>
      </c>
      <c r="K17" s="196" t="s">
        <v>213</v>
      </c>
      <c r="L17" s="196" t="s">
        <v>213</v>
      </c>
      <c r="M17" s="196" t="s">
        <v>213</v>
      </c>
      <c r="N17" s="196" t="s">
        <v>213</v>
      </c>
      <c r="O17" s="196" t="s">
        <v>213</v>
      </c>
      <c r="P17" s="197"/>
      <c r="Q17" s="163"/>
      <c r="R17" s="163"/>
    </row>
    <row r="18" spans="1:18" ht="38.25">
      <c r="A18" s="164" t="s">
        <v>306</v>
      </c>
      <c r="B18" s="172" t="s">
        <v>280</v>
      </c>
      <c r="C18" s="196" t="s">
        <v>213</v>
      </c>
      <c r="D18" s="196" t="s">
        <v>213</v>
      </c>
      <c r="E18" s="196" t="s">
        <v>213</v>
      </c>
      <c r="F18" s="196" t="s">
        <v>213</v>
      </c>
      <c r="G18" s="196" t="s">
        <v>213</v>
      </c>
      <c r="H18" s="196" t="s">
        <v>213</v>
      </c>
      <c r="I18" s="196" t="s">
        <v>213</v>
      </c>
      <c r="J18" s="196" t="s">
        <v>213</v>
      </c>
      <c r="K18" s="196" t="s">
        <v>213</v>
      </c>
      <c r="L18" s="196" t="s">
        <v>213</v>
      </c>
      <c r="M18" s="196" t="s">
        <v>213</v>
      </c>
      <c r="N18" s="196" t="s">
        <v>213</v>
      </c>
      <c r="O18" s="196" t="s">
        <v>213</v>
      </c>
      <c r="P18" s="197"/>
      <c r="Q18" s="163"/>
      <c r="R18" s="163"/>
    </row>
    <row r="19" spans="1:18" ht="51">
      <c r="A19" s="164" t="s">
        <v>307</v>
      </c>
      <c r="B19" s="172" t="s">
        <v>281</v>
      </c>
      <c r="C19" s="196" t="s">
        <v>213</v>
      </c>
      <c r="D19" s="196" t="s">
        <v>213</v>
      </c>
      <c r="E19" s="196" t="s">
        <v>213</v>
      </c>
      <c r="F19" s="196" t="s">
        <v>213</v>
      </c>
      <c r="G19" s="196" t="s">
        <v>213</v>
      </c>
      <c r="H19" s="196" t="s">
        <v>213</v>
      </c>
      <c r="I19" s="196" t="s">
        <v>213</v>
      </c>
      <c r="J19" s="196" t="s">
        <v>213</v>
      </c>
      <c r="K19" s="196" t="s">
        <v>213</v>
      </c>
      <c r="L19" s="196" t="s">
        <v>213</v>
      </c>
      <c r="M19" s="196" t="s">
        <v>213</v>
      </c>
      <c r="N19" s="196" t="s">
        <v>213</v>
      </c>
      <c r="O19" s="196" t="s">
        <v>213</v>
      </c>
      <c r="P19" s="197"/>
      <c r="Q19" s="163"/>
      <c r="R19" s="163"/>
    </row>
    <row r="20" spans="1:18" ht="38.25">
      <c r="A20" s="164" t="s">
        <v>308</v>
      </c>
      <c r="B20" s="172" t="s">
        <v>282</v>
      </c>
      <c r="C20" s="196" t="s">
        <v>213</v>
      </c>
      <c r="D20" s="196" t="s">
        <v>213</v>
      </c>
      <c r="E20" s="196" t="s">
        <v>213</v>
      </c>
      <c r="F20" s="196" t="s">
        <v>213</v>
      </c>
      <c r="G20" s="196" t="s">
        <v>213</v>
      </c>
      <c r="H20" s="196" t="s">
        <v>213</v>
      </c>
      <c r="I20" s="196" t="s">
        <v>213</v>
      </c>
      <c r="J20" s="196" t="s">
        <v>213</v>
      </c>
      <c r="K20" s="196" t="s">
        <v>213</v>
      </c>
      <c r="L20" s="196" t="s">
        <v>213</v>
      </c>
      <c r="M20" s="196" t="s">
        <v>213</v>
      </c>
      <c r="N20" s="196" t="s">
        <v>213</v>
      </c>
      <c r="O20" s="196" t="s">
        <v>213</v>
      </c>
      <c r="P20" s="197"/>
      <c r="Q20" s="163"/>
      <c r="R20" s="163"/>
    </row>
    <row r="21" spans="1:18" ht="25.5">
      <c r="A21" s="164" t="s">
        <v>309</v>
      </c>
      <c r="B21" s="172" t="s">
        <v>283</v>
      </c>
      <c r="C21" s="196" t="s">
        <v>213</v>
      </c>
      <c r="D21" s="196" t="s">
        <v>213</v>
      </c>
      <c r="E21" s="196" t="s">
        <v>213</v>
      </c>
      <c r="F21" s="196" t="s">
        <v>213</v>
      </c>
      <c r="G21" s="196" t="s">
        <v>213</v>
      </c>
      <c r="H21" s="196" t="s">
        <v>213</v>
      </c>
      <c r="I21" s="196" t="s">
        <v>213</v>
      </c>
      <c r="J21" s="196" t="s">
        <v>213</v>
      </c>
      <c r="K21" s="196" t="s">
        <v>213</v>
      </c>
      <c r="L21" s="196" t="s">
        <v>213</v>
      </c>
      <c r="M21" s="196" t="s">
        <v>213</v>
      </c>
      <c r="N21" s="196" t="s">
        <v>213</v>
      </c>
      <c r="O21" s="196" t="s">
        <v>213</v>
      </c>
      <c r="P21" s="197"/>
      <c r="Q21" s="163"/>
      <c r="R21" s="163"/>
    </row>
    <row r="22" spans="1:18" ht="38.25">
      <c r="A22" s="164" t="s">
        <v>310</v>
      </c>
      <c r="B22" s="172" t="s">
        <v>284</v>
      </c>
      <c r="C22" s="196" t="s">
        <v>213</v>
      </c>
      <c r="D22" s="196" t="s">
        <v>213</v>
      </c>
      <c r="E22" s="196" t="s">
        <v>213</v>
      </c>
      <c r="F22" s="196" t="s">
        <v>213</v>
      </c>
      <c r="G22" s="196" t="s">
        <v>213</v>
      </c>
      <c r="H22" s="196" t="s">
        <v>213</v>
      </c>
      <c r="I22" s="196" t="s">
        <v>213</v>
      </c>
      <c r="J22" s="196" t="s">
        <v>213</v>
      </c>
      <c r="K22" s="196" t="s">
        <v>213</v>
      </c>
      <c r="L22" s="196" t="s">
        <v>213</v>
      </c>
      <c r="M22" s="196" t="s">
        <v>213</v>
      </c>
      <c r="N22" s="196" t="s">
        <v>213</v>
      </c>
      <c r="O22" s="196" t="s">
        <v>213</v>
      </c>
      <c r="P22" s="197"/>
      <c r="Q22" s="163"/>
      <c r="R22" s="163"/>
    </row>
    <row r="23" spans="1:18" ht="25.5">
      <c r="A23" s="164" t="s">
        <v>311</v>
      </c>
      <c r="B23" s="172" t="s">
        <v>285</v>
      </c>
      <c r="C23" s="196" t="s">
        <v>213</v>
      </c>
      <c r="D23" s="196" t="s">
        <v>213</v>
      </c>
      <c r="E23" s="196" t="s">
        <v>213</v>
      </c>
      <c r="F23" s="196" t="s">
        <v>213</v>
      </c>
      <c r="G23" s="196" t="s">
        <v>213</v>
      </c>
      <c r="H23" s="196" t="s">
        <v>213</v>
      </c>
      <c r="I23" s="196" t="s">
        <v>213</v>
      </c>
      <c r="J23" s="196" t="s">
        <v>213</v>
      </c>
      <c r="K23" s="196" t="s">
        <v>213</v>
      </c>
      <c r="L23" s="196" t="s">
        <v>213</v>
      </c>
      <c r="M23" s="196" t="s">
        <v>213</v>
      </c>
      <c r="N23" s="196" t="s">
        <v>213</v>
      </c>
      <c r="O23" s="196" t="s">
        <v>213</v>
      </c>
      <c r="P23" s="197"/>
      <c r="Q23" s="163"/>
      <c r="R23" s="163"/>
    </row>
    <row r="24" spans="1:18" ht="18.75">
      <c r="A24" s="161"/>
      <c r="B24" s="169" t="s">
        <v>217</v>
      </c>
      <c r="C24" s="162"/>
      <c r="D24" s="162"/>
      <c r="E24" s="162"/>
      <c r="F24" s="162"/>
      <c r="G24" s="162"/>
      <c r="H24" s="162"/>
      <c r="I24" s="162"/>
      <c r="J24" s="162"/>
      <c r="K24" s="162"/>
      <c r="L24" s="162"/>
      <c r="M24" s="162"/>
      <c r="N24" s="162"/>
      <c r="O24" s="162"/>
      <c r="P24" s="162"/>
      <c r="Q24" s="202"/>
      <c r="R24" s="202"/>
    </row>
    <row r="25" spans="1:18" ht="38.25">
      <c r="A25" s="164" t="s">
        <v>312</v>
      </c>
      <c r="B25" s="172" t="s">
        <v>207</v>
      </c>
      <c r="C25" s="196" t="s">
        <v>23</v>
      </c>
      <c r="D25" s="196" t="s">
        <v>23</v>
      </c>
      <c r="E25" s="196" t="s">
        <v>213</v>
      </c>
      <c r="F25" s="196" t="s">
        <v>213</v>
      </c>
      <c r="G25" s="196" t="s">
        <v>213</v>
      </c>
      <c r="H25" s="196" t="s">
        <v>213</v>
      </c>
      <c r="I25" s="196" t="s">
        <v>213</v>
      </c>
      <c r="J25" s="196" t="s">
        <v>213</v>
      </c>
      <c r="K25" s="196" t="s">
        <v>213</v>
      </c>
      <c r="L25" s="196" t="s">
        <v>213</v>
      </c>
      <c r="M25" s="196" t="s">
        <v>213</v>
      </c>
      <c r="N25" s="196" t="s">
        <v>213</v>
      </c>
      <c r="O25" s="196" t="s">
        <v>213</v>
      </c>
      <c r="P25" s="197"/>
      <c r="Q25" s="163"/>
      <c r="R25" s="163"/>
    </row>
    <row r="26" spans="1:18" ht="25.5">
      <c r="A26" s="164" t="s">
        <v>313</v>
      </c>
      <c r="B26" s="172" t="s">
        <v>208</v>
      </c>
      <c r="C26" s="196" t="s">
        <v>213</v>
      </c>
      <c r="D26" s="196" t="s">
        <v>213</v>
      </c>
      <c r="E26" s="196" t="s">
        <v>213</v>
      </c>
      <c r="F26" s="196" t="s">
        <v>213</v>
      </c>
      <c r="G26" s="196" t="s">
        <v>213</v>
      </c>
      <c r="H26" s="196" t="s">
        <v>213</v>
      </c>
      <c r="I26" s="196" t="s">
        <v>213</v>
      </c>
      <c r="J26" s="196" t="s">
        <v>213</v>
      </c>
      <c r="K26" s="196" t="s">
        <v>213</v>
      </c>
      <c r="L26" s="196" t="s">
        <v>213</v>
      </c>
      <c r="M26" s="196" t="s">
        <v>213</v>
      </c>
      <c r="N26" s="196" t="s">
        <v>213</v>
      </c>
      <c r="O26" s="196" t="s">
        <v>213</v>
      </c>
      <c r="P26" s="197"/>
      <c r="Q26" s="163"/>
      <c r="R26" s="163"/>
    </row>
    <row r="27" spans="1:18" ht="38.25">
      <c r="A27" s="164" t="s">
        <v>314</v>
      </c>
      <c r="B27" s="172" t="s">
        <v>209</v>
      </c>
      <c r="C27" s="196" t="s">
        <v>213</v>
      </c>
      <c r="D27" s="196" t="s">
        <v>213</v>
      </c>
      <c r="E27" s="196" t="s">
        <v>213</v>
      </c>
      <c r="F27" s="196" t="s">
        <v>213</v>
      </c>
      <c r="G27" s="196" t="s">
        <v>213</v>
      </c>
      <c r="H27" s="196" t="s">
        <v>213</v>
      </c>
      <c r="I27" s="196" t="s">
        <v>213</v>
      </c>
      <c r="J27" s="196" t="s">
        <v>213</v>
      </c>
      <c r="K27" s="196" t="s">
        <v>213</v>
      </c>
      <c r="L27" s="196" t="s">
        <v>213</v>
      </c>
      <c r="M27" s="196" t="s">
        <v>213</v>
      </c>
      <c r="N27" s="196" t="s">
        <v>213</v>
      </c>
      <c r="O27" s="196" t="s">
        <v>213</v>
      </c>
      <c r="P27" s="197"/>
      <c r="Q27" s="163"/>
      <c r="R27" s="163"/>
    </row>
    <row r="28" spans="1:18" ht="38.25">
      <c r="A28" s="164" t="s">
        <v>315</v>
      </c>
      <c r="B28" s="172" t="s">
        <v>210</v>
      </c>
      <c r="C28" s="196" t="s">
        <v>213</v>
      </c>
      <c r="D28" s="196" t="s">
        <v>213</v>
      </c>
      <c r="E28" s="196" t="s">
        <v>213</v>
      </c>
      <c r="F28" s="196" t="s">
        <v>213</v>
      </c>
      <c r="G28" s="196" t="s">
        <v>213</v>
      </c>
      <c r="H28" s="196" t="s">
        <v>213</v>
      </c>
      <c r="I28" s="196" t="s">
        <v>213</v>
      </c>
      <c r="J28" s="196" t="s">
        <v>213</v>
      </c>
      <c r="K28" s="196" t="s">
        <v>213</v>
      </c>
      <c r="L28" s="196" t="s">
        <v>213</v>
      </c>
      <c r="M28" s="196" t="s">
        <v>213</v>
      </c>
      <c r="N28" s="196" t="s">
        <v>213</v>
      </c>
      <c r="O28" s="196" t="s">
        <v>213</v>
      </c>
      <c r="P28" s="197"/>
      <c r="Q28" s="163"/>
      <c r="R28" s="163"/>
    </row>
    <row r="29" spans="1:18" ht="18.75">
      <c r="A29" s="161"/>
      <c r="B29" s="169" t="s">
        <v>218</v>
      </c>
      <c r="C29" s="162"/>
      <c r="D29" s="162"/>
      <c r="E29" s="162"/>
      <c r="F29" s="162"/>
      <c r="G29" s="162"/>
      <c r="H29" s="162"/>
      <c r="I29" s="162"/>
      <c r="J29" s="162"/>
      <c r="K29" s="162"/>
      <c r="L29" s="162"/>
      <c r="M29" s="162"/>
      <c r="N29" s="162"/>
      <c r="O29" s="162"/>
      <c r="P29" s="162"/>
      <c r="Q29" s="202"/>
      <c r="R29" s="202"/>
    </row>
    <row r="30" spans="1:18" ht="38.25">
      <c r="A30" s="164" t="s">
        <v>316</v>
      </c>
      <c r="B30" s="172" t="s">
        <v>211</v>
      </c>
      <c r="C30" s="196" t="s">
        <v>213</v>
      </c>
      <c r="D30" s="196" t="s">
        <v>213</v>
      </c>
      <c r="E30" s="196" t="s">
        <v>213</v>
      </c>
      <c r="F30" s="196" t="s">
        <v>213</v>
      </c>
      <c r="G30" s="196" t="s">
        <v>213</v>
      </c>
      <c r="H30" s="196" t="s">
        <v>213</v>
      </c>
      <c r="I30" s="196" t="s">
        <v>213</v>
      </c>
      <c r="J30" s="196" t="s">
        <v>213</v>
      </c>
      <c r="K30" s="196" t="s">
        <v>213</v>
      </c>
      <c r="L30" s="196" t="s">
        <v>213</v>
      </c>
      <c r="M30" s="196" t="s">
        <v>213</v>
      </c>
      <c r="N30" s="196" t="s">
        <v>213</v>
      </c>
      <c r="O30" s="196" t="s">
        <v>213</v>
      </c>
      <c r="P30" s="197"/>
      <c r="Q30" s="163"/>
      <c r="R30" s="163"/>
    </row>
    <row r="31" spans="1:18" ht="38.25">
      <c r="A31" s="164" t="s">
        <v>317</v>
      </c>
      <c r="B31" s="172" t="s">
        <v>212</v>
      </c>
      <c r="C31" s="196" t="s">
        <v>213</v>
      </c>
      <c r="D31" s="196" t="s">
        <v>213</v>
      </c>
      <c r="E31" s="196" t="s">
        <v>213</v>
      </c>
      <c r="F31" s="196" t="s">
        <v>213</v>
      </c>
      <c r="G31" s="196" t="s">
        <v>213</v>
      </c>
      <c r="H31" s="196" t="s">
        <v>213</v>
      </c>
      <c r="I31" s="196" t="s">
        <v>213</v>
      </c>
      <c r="J31" s="196" t="s">
        <v>213</v>
      </c>
      <c r="K31" s="196" t="s">
        <v>213</v>
      </c>
      <c r="L31" s="196" t="s">
        <v>213</v>
      </c>
      <c r="M31" s="196" t="s">
        <v>213</v>
      </c>
      <c r="N31" s="196" t="s">
        <v>213</v>
      </c>
      <c r="O31" s="196" t="s">
        <v>213</v>
      </c>
      <c r="P31" s="197"/>
      <c r="Q31" s="163"/>
      <c r="R31" s="163"/>
    </row>
    <row r="32" spans="1:18" ht="18.75">
      <c r="A32" s="161"/>
      <c r="B32" s="169" t="s">
        <v>205</v>
      </c>
      <c r="C32" s="162"/>
      <c r="D32" s="162"/>
      <c r="E32" s="162"/>
      <c r="F32" s="162"/>
      <c r="G32" s="162"/>
      <c r="H32" s="162"/>
      <c r="I32" s="162"/>
      <c r="J32" s="162"/>
      <c r="K32" s="162"/>
      <c r="L32" s="162"/>
      <c r="M32" s="162"/>
      <c r="N32" s="162"/>
      <c r="O32" s="162"/>
      <c r="P32" s="162"/>
      <c r="Q32" s="202"/>
      <c r="R32" s="202"/>
    </row>
    <row r="33" spans="1:18" ht="51">
      <c r="A33" s="164" t="s">
        <v>318</v>
      </c>
      <c r="B33" s="172" t="s">
        <v>206</v>
      </c>
      <c r="C33" s="196" t="s">
        <v>11</v>
      </c>
      <c r="D33" s="196" t="s">
        <v>11</v>
      </c>
      <c r="E33" s="196" t="s">
        <v>11</v>
      </c>
      <c r="F33" s="196" t="s">
        <v>11</v>
      </c>
      <c r="G33" s="196" t="s">
        <v>11</v>
      </c>
      <c r="H33" s="196" t="s">
        <v>11</v>
      </c>
      <c r="I33" s="196" t="s">
        <v>11</v>
      </c>
      <c r="J33" s="196" t="s">
        <v>11</v>
      </c>
      <c r="K33" s="196" t="s">
        <v>11</v>
      </c>
      <c r="L33" s="196" t="s">
        <v>11</v>
      </c>
      <c r="M33" s="196" t="s">
        <v>11</v>
      </c>
      <c r="N33" s="196" t="s">
        <v>11</v>
      </c>
      <c r="O33" s="196" t="s">
        <v>11</v>
      </c>
      <c r="P33" s="205" t="s">
        <v>367</v>
      </c>
      <c r="Q33" s="163"/>
      <c r="R33" s="163"/>
    </row>
    <row r="34" spans="1:18" ht="18">
      <c r="A34" s="198"/>
      <c r="B34" s="199" t="s">
        <v>222</v>
      </c>
      <c r="C34" s="198"/>
      <c r="D34" s="198"/>
      <c r="E34" s="198"/>
      <c r="F34" s="198"/>
      <c r="G34" s="198"/>
      <c r="H34" s="198"/>
      <c r="I34" s="198"/>
      <c r="J34" s="198"/>
      <c r="K34" s="198"/>
      <c r="L34" s="198"/>
      <c r="M34" s="198"/>
      <c r="N34" s="198"/>
      <c r="O34" s="198"/>
      <c r="P34" s="198"/>
      <c r="Q34" s="198"/>
      <c r="R34" s="198"/>
    </row>
    <row r="35" spans="1:18" ht="15">
      <c r="A35" s="165"/>
      <c r="B35" s="166"/>
      <c r="C35" s="167"/>
      <c r="D35" s="167"/>
      <c r="E35" s="167"/>
      <c r="F35" s="167"/>
      <c r="G35" s="167"/>
      <c r="H35" s="167"/>
      <c r="I35" s="167"/>
      <c r="J35" s="167"/>
      <c r="K35" s="167"/>
      <c r="L35" s="167"/>
      <c r="M35" s="167"/>
      <c r="N35" s="167"/>
      <c r="O35" s="167"/>
      <c r="P35" s="167"/>
      <c r="Q35" s="167"/>
      <c r="R35" s="168"/>
    </row>
    <row r="36" spans="1:18" ht="15">
      <c r="A36" s="203"/>
      <c r="B36" s="204" t="s">
        <v>336</v>
      </c>
      <c r="C36" s="203"/>
      <c r="D36" s="203"/>
      <c r="E36" s="203"/>
      <c r="F36" s="203"/>
      <c r="G36" s="203"/>
      <c r="H36" s="203"/>
      <c r="I36" s="203"/>
      <c r="J36" s="203"/>
      <c r="K36" s="203"/>
      <c r="L36" s="203"/>
      <c r="M36" s="203"/>
      <c r="N36" s="203"/>
      <c r="O36" s="203"/>
      <c r="P36" s="203"/>
      <c r="Q36" s="203"/>
      <c r="R36" s="203"/>
    </row>
  </sheetData>
  <mergeCells count="1">
    <mergeCell ref="Q2:R2"/>
  </mergeCells>
  <conditionalFormatting sqref="C6:D6">
    <cfRule type="cellIs" dxfId="635" priority="1714" operator="equal">
      <formula>"No"</formula>
    </cfRule>
    <cfRule type="cellIs" dxfId="634" priority="1715" operator="equal">
      <formula>"NA"</formula>
    </cfRule>
    <cfRule type="cellIs" dxfId="633" priority="1716" operator="equal">
      <formula>"Yes"</formula>
    </cfRule>
  </conditionalFormatting>
  <conditionalFormatting sqref="C7:D7">
    <cfRule type="cellIs" dxfId="632" priority="1668" operator="equal">
      <formula>"No"</formula>
    </cfRule>
    <cfRule type="cellIs" dxfId="631" priority="1669" operator="equal">
      <formula>"NA"</formula>
    </cfRule>
    <cfRule type="cellIs" dxfId="630" priority="1670" operator="equal">
      <formula>"Yes"</formula>
    </cfRule>
  </conditionalFormatting>
  <conditionalFormatting sqref="C9:D9">
    <cfRule type="cellIs" dxfId="629" priority="1622" operator="equal">
      <formula>"No"</formula>
    </cfRule>
    <cfRule type="cellIs" dxfId="628" priority="1623" operator="equal">
      <formula>"NA"</formula>
    </cfRule>
    <cfRule type="cellIs" dxfId="627" priority="1624" operator="equal">
      <formula>"Yes"</formula>
    </cfRule>
  </conditionalFormatting>
  <conditionalFormatting sqref="C10:D10">
    <cfRule type="cellIs" dxfId="626" priority="1576" operator="equal">
      <formula>"No"</formula>
    </cfRule>
    <cfRule type="cellIs" dxfId="625" priority="1577" operator="equal">
      <formula>"NA"</formula>
    </cfRule>
    <cfRule type="cellIs" dxfId="624" priority="1578" operator="equal">
      <formula>"Yes"</formula>
    </cfRule>
  </conditionalFormatting>
  <conditionalFormatting sqref="C11:D15">
    <cfRule type="cellIs" dxfId="623" priority="1530" operator="equal">
      <formula>"No"</formula>
    </cfRule>
    <cfRule type="cellIs" dxfId="622" priority="1531" operator="equal">
      <formula>"NA"</formula>
    </cfRule>
    <cfRule type="cellIs" dxfId="621" priority="1532" operator="equal">
      <formula>"Yes"</formula>
    </cfRule>
  </conditionalFormatting>
  <conditionalFormatting sqref="C16:D16">
    <cfRule type="cellIs" dxfId="620" priority="1300" operator="equal">
      <formula>"No"</formula>
    </cfRule>
    <cfRule type="cellIs" dxfId="619" priority="1301" operator="equal">
      <formula>"NA"</formula>
    </cfRule>
    <cfRule type="cellIs" dxfId="618" priority="1302" operator="equal">
      <formula>"Yes"</formula>
    </cfRule>
  </conditionalFormatting>
  <conditionalFormatting sqref="C17:D23">
    <cfRule type="cellIs" dxfId="617" priority="1254" operator="equal">
      <formula>"No"</formula>
    </cfRule>
    <cfRule type="cellIs" dxfId="616" priority="1255" operator="equal">
      <formula>"NA"</formula>
    </cfRule>
    <cfRule type="cellIs" dxfId="615" priority="1256" operator="equal">
      <formula>"Yes"</formula>
    </cfRule>
  </conditionalFormatting>
  <conditionalFormatting sqref="C25:D25">
    <cfRule type="cellIs" dxfId="614" priority="932" operator="equal">
      <formula>"No"</formula>
    </cfRule>
    <cfRule type="cellIs" dxfId="613" priority="933" operator="equal">
      <formula>"NA"</formula>
    </cfRule>
    <cfRule type="cellIs" dxfId="612" priority="934" operator="equal">
      <formula>"Yes"</formula>
    </cfRule>
  </conditionalFormatting>
  <conditionalFormatting sqref="C26:D28">
    <cfRule type="cellIs" dxfId="611" priority="886" operator="equal">
      <formula>"No"</formula>
    </cfRule>
    <cfRule type="cellIs" dxfId="610" priority="887" operator="equal">
      <formula>"NA"</formula>
    </cfRule>
    <cfRule type="cellIs" dxfId="609" priority="888" operator="equal">
      <formula>"Yes"</formula>
    </cfRule>
  </conditionalFormatting>
  <conditionalFormatting sqref="C30:D31">
    <cfRule type="cellIs" dxfId="608" priority="748" operator="equal">
      <formula>"No"</formula>
    </cfRule>
    <cfRule type="cellIs" dxfId="607" priority="749" operator="equal">
      <formula>"NA"</formula>
    </cfRule>
    <cfRule type="cellIs" dxfId="606" priority="750" operator="equal">
      <formula>"Yes"</formula>
    </cfRule>
  </conditionalFormatting>
  <conditionalFormatting sqref="C33:D33">
    <cfRule type="cellIs" dxfId="605" priority="656" operator="equal">
      <formula>"No"</formula>
    </cfRule>
    <cfRule type="cellIs" dxfId="604" priority="657" operator="equal">
      <formula>"NA"</formula>
    </cfRule>
    <cfRule type="cellIs" dxfId="603" priority="658" operator="equal">
      <formula>"Yes"</formula>
    </cfRule>
  </conditionalFormatting>
  <conditionalFormatting sqref="E6">
    <cfRule type="cellIs" dxfId="602" priority="394" operator="equal">
      <formula>"No"</formula>
    </cfRule>
    <cfRule type="cellIs" dxfId="601" priority="395" operator="equal">
      <formula>"NA"</formula>
    </cfRule>
    <cfRule type="cellIs" dxfId="600" priority="396" operator="equal">
      <formula>"Yes"</formula>
    </cfRule>
  </conditionalFormatting>
  <conditionalFormatting sqref="E7">
    <cfRule type="cellIs" dxfId="599" priority="391" operator="equal">
      <formula>"No"</formula>
    </cfRule>
    <cfRule type="cellIs" dxfId="598" priority="392" operator="equal">
      <formula>"NA"</formula>
    </cfRule>
    <cfRule type="cellIs" dxfId="597" priority="393" operator="equal">
      <formula>"Yes"</formula>
    </cfRule>
  </conditionalFormatting>
  <conditionalFormatting sqref="E9">
    <cfRule type="cellIs" dxfId="596" priority="388" operator="equal">
      <formula>"No"</formula>
    </cfRule>
    <cfRule type="cellIs" dxfId="595" priority="389" operator="equal">
      <formula>"NA"</formula>
    </cfRule>
    <cfRule type="cellIs" dxfId="594" priority="390" operator="equal">
      <formula>"Yes"</formula>
    </cfRule>
  </conditionalFormatting>
  <conditionalFormatting sqref="E10">
    <cfRule type="cellIs" dxfId="593" priority="385" operator="equal">
      <formula>"No"</formula>
    </cfRule>
    <cfRule type="cellIs" dxfId="592" priority="386" operator="equal">
      <formula>"NA"</formula>
    </cfRule>
    <cfRule type="cellIs" dxfId="591" priority="387" operator="equal">
      <formula>"Yes"</formula>
    </cfRule>
  </conditionalFormatting>
  <conditionalFormatting sqref="E11:E15">
    <cfRule type="cellIs" dxfId="590" priority="382" operator="equal">
      <formula>"No"</formula>
    </cfRule>
    <cfRule type="cellIs" dxfId="589" priority="383" operator="equal">
      <formula>"NA"</formula>
    </cfRule>
    <cfRule type="cellIs" dxfId="588" priority="384" operator="equal">
      <formula>"Yes"</formula>
    </cfRule>
  </conditionalFormatting>
  <conditionalFormatting sqref="E16">
    <cfRule type="cellIs" dxfId="587" priority="379" operator="equal">
      <formula>"No"</formula>
    </cfRule>
    <cfRule type="cellIs" dxfId="586" priority="380" operator="equal">
      <formula>"NA"</formula>
    </cfRule>
    <cfRule type="cellIs" dxfId="585" priority="381" operator="equal">
      <formula>"Yes"</formula>
    </cfRule>
  </conditionalFormatting>
  <conditionalFormatting sqref="E17:E23">
    <cfRule type="cellIs" dxfId="584" priority="376" operator="equal">
      <formula>"No"</formula>
    </cfRule>
    <cfRule type="cellIs" dxfId="583" priority="377" operator="equal">
      <formula>"NA"</formula>
    </cfRule>
    <cfRule type="cellIs" dxfId="582" priority="378" operator="equal">
      <formula>"Yes"</formula>
    </cfRule>
  </conditionalFormatting>
  <conditionalFormatting sqref="E25">
    <cfRule type="cellIs" dxfId="581" priority="373" operator="equal">
      <formula>"No"</formula>
    </cfRule>
    <cfRule type="cellIs" dxfId="580" priority="374" operator="equal">
      <formula>"NA"</formula>
    </cfRule>
    <cfRule type="cellIs" dxfId="579" priority="375" operator="equal">
      <formula>"Yes"</formula>
    </cfRule>
  </conditionalFormatting>
  <conditionalFormatting sqref="E26:E28">
    <cfRule type="cellIs" dxfId="578" priority="370" operator="equal">
      <formula>"No"</formula>
    </cfRule>
    <cfRule type="cellIs" dxfId="577" priority="371" operator="equal">
      <formula>"NA"</formula>
    </cfRule>
    <cfRule type="cellIs" dxfId="576" priority="372" operator="equal">
      <formula>"Yes"</formula>
    </cfRule>
  </conditionalFormatting>
  <conditionalFormatting sqref="E30:E31">
    <cfRule type="cellIs" dxfId="575" priority="367" operator="equal">
      <formula>"No"</formula>
    </cfRule>
    <cfRule type="cellIs" dxfId="574" priority="368" operator="equal">
      <formula>"NA"</formula>
    </cfRule>
    <cfRule type="cellIs" dxfId="573" priority="369" operator="equal">
      <formula>"Yes"</formula>
    </cfRule>
  </conditionalFormatting>
  <conditionalFormatting sqref="E33">
    <cfRule type="cellIs" dxfId="572" priority="364" operator="equal">
      <formula>"No"</formula>
    </cfRule>
    <cfRule type="cellIs" dxfId="571" priority="365" operator="equal">
      <formula>"NA"</formula>
    </cfRule>
    <cfRule type="cellIs" dxfId="570" priority="366" operator="equal">
      <formula>"Yes"</formula>
    </cfRule>
  </conditionalFormatting>
  <conditionalFormatting sqref="F6">
    <cfRule type="cellIs" dxfId="569" priority="361" operator="equal">
      <formula>"No"</formula>
    </cfRule>
    <cfRule type="cellIs" dxfId="568" priority="362" operator="equal">
      <formula>"NA"</formula>
    </cfRule>
    <cfRule type="cellIs" dxfId="567" priority="363" operator="equal">
      <formula>"Yes"</formula>
    </cfRule>
  </conditionalFormatting>
  <conditionalFormatting sqref="F7">
    <cfRule type="cellIs" dxfId="566" priority="358" operator="equal">
      <formula>"No"</formula>
    </cfRule>
    <cfRule type="cellIs" dxfId="565" priority="359" operator="equal">
      <formula>"NA"</formula>
    </cfRule>
    <cfRule type="cellIs" dxfId="564" priority="360" operator="equal">
      <formula>"Yes"</formula>
    </cfRule>
  </conditionalFormatting>
  <conditionalFormatting sqref="F9">
    <cfRule type="cellIs" dxfId="563" priority="355" operator="equal">
      <formula>"No"</formula>
    </cfRule>
    <cfRule type="cellIs" dxfId="562" priority="356" operator="equal">
      <formula>"NA"</formula>
    </cfRule>
    <cfRule type="cellIs" dxfId="561" priority="357" operator="equal">
      <formula>"Yes"</formula>
    </cfRule>
  </conditionalFormatting>
  <conditionalFormatting sqref="F10">
    <cfRule type="cellIs" dxfId="560" priority="352" operator="equal">
      <formula>"No"</formula>
    </cfRule>
    <cfRule type="cellIs" dxfId="559" priority="353" operator="equal">
      <formula>"NA"</formula>
    </cfRule>
    <cfRule type="cellIs" dxfId="558" priority="354" operator="equal">
      <formula>"Yes"</formula>
    </cfRule>
  </conditionalFormatting>
  <conditionalFormatting sqref="F11:F15">
    <cfRule type="cellIs" dxfId="557" priority="349" operator="equal">
      <formula>"No"</formula>
    </cfRule>
    <cfRule type="cellIs" dxfId="556" priority="350" operator="equal">
      <formula>"NA"</formula>
    </cfRule>
    <cfRule type="cellIs" dxfId="555" priority="351" operator="equal">
      <formula>"Yes"</formula>
    </cfRule>
  </conditionalFormatting>
  <conditionalFormatting sqref="F16">
    <cfRule type="cellIs" dxfId="554" priority="346" operator="equal">
      <formula>"No"</formula>
    </cfRule>
    <cfRule type="cellIs" dxfId="553" priority="347" operator="equal">
      <formula>"NA"</formula>
    </cfRule>
    <cfRule type="cellIs" dxfId="552" priority="348" operator="equal">
      <formula>"Yes"</formula>
    </cfRule>
  </conditionalFormatting>
  <conditionalFormatting sqref="F17:F23">
    <cfRule type="cellIs" dxfId="551" priority="343" operator="equal">
      <formula>"No"</formula>
    </cfRule>
    <cfRule type="cellIs" dxfId="550" priority="344" operator="equal">
      <formula>"NA"</formula>
    </cfRule>
    <cfRule type="cellIs" dxfId="549" priority="345" operator="equal">
      <formula>"Yes"</formula>
    </cfRule>
  </conditionalFormatting>
  <conditionalFormatting sqref="F25">
    <cfRule type="cellIs" dxfId="548" priority="340" operator="equal">
      <formula>"No"</formula>
    </cfRule>
    <cfRule type="cellIs" dxfId="547" priority="341" operator="equal">
      <formula>"NA"</formula>
    </cfRule>
    <cfRule type="cellIs" dxfId="546" priority="342" operator="equal">
      <formula>"Yes"</formula>
    </cfRule>
  </conditionalFormatting>
  <conditionalFormatting sqref="F26:F28">
    <cfRule type="cellIs" dxfId="545" priority="337" operator="equal">
      <formula>"No"</formula>
    </cfRule>
    <cfRule type="cellIs" dxfId="544" priority="338" operator="equal">
      <formula>"NA"</formula>
    </cfRule>
    <cfRule type="cellIs" dxfId="543" priority="339" operator="equal">
      <formula>"Yes"</formula>
    </cfRule>
  </conditionalFormatting>
  <conditionalFormatting sqref="F30:F31">
    <cfRule type="cellIs" dxfId="542" priority="334" operator="equal">
      <formula>"No"</formula>
    </cfRule>
    <cfRule type="cellIs" dxfId="541" priority="335" operator="equal">
      <formula>"NA"</formula>
    </cfRule>
    <cfRule type="cellIs" dxfId="540" priority="336" operator="equal">
      <formula>"Yes"</formula>
    </cfRule>
  </conditionalFormatting>
  <conditionalFormatting sqref="F33">
    <cfRule type="cellIs" dxfId="539" priority="331" operator="equal">
      <formula>"No"</formula>
    </cfRule>
    <cfRule type="cellIs" dxfId="538" priority="332" operator="equal">
      <formula>"NA"</formula>
    </cfRule>
    <cfRule type="cellIs" dxfId="537" priority="333" operator="equal">
      <formula>"Yes"</formula>
    </cfRule>
  </conditionalFormatting>
  <conditionalFormatting sqref="G6">
    <cfRule type="cellIs" dxfId="536" priority="328" operator="equal">
      <formula>"No"</formula>
    </cfRule>
    <cfRule type="cellIs" dxfId="535" priority="329" operator="equal">
      <formula>"NA"</formula>
    </cfRule>
    <cfRule type="cellIs" dxfId="534" priority="330" operator="equal">
      <formula>"Yes"</formula>
    </cfRule>
  </conditionalFormatting>
  <conditionalFormatting sqref="G7">
    <cfRule type="cellIs" dxfId="533" priority="325" operator="equal">
      <formula>"No"</formula>
    </cfRule>
    <cfRule type="cellIs" dxfId="532" priority="326" operator="equal">
      <formula>"NA"</formula>
    </cfRule>
    <cfRule type="cellIs" dxfId="531" priority="327" operator="equal">
      <formula>"Yes"</formula>
    </cfRule>
  </conditionalFormatting>
  <conditionalFormatting sqref="G9">
    <cfRule type="cellIs" dxfId="530" priority="322" operator="equal">
      <formula>"No"</formula>
    </cfRule>
    <cfRule type="cellIs" dxfId="529" priority="323" operator="equal">
      <formula>"NA"</formula>
    </cfRule>
    <cfRule type="cellIs" dxfId="528" priority="324" operator="equal">
      <formula>"Yes"</formula>
    </cfRule>
  </conditionalFormatting>
  <conditionalFormatting sqref="G10">
    <cfRule type="cellIs" dxfId="527" priority="319" operator="equal">
      <formula>"No"</formula>
    </cfRule>
    <cfRule type="cellIs" dxfId="526" priority="320" operator="equal">
      <formula>"NA"</formula>
    </cfRule>
    <cfRule type="cellIs" dxfId="525" priority="321" operator="equal">
      <formula>"Yes"</formula>
    </cfRule>
  </conditionalFormatting>
  <conditionalFormatting sqref="G11:G15">
    <cfRule type="cellIs" dxfId="524" priority="316" operator="equal">
      <formula>"No"</formula>
    </cfRule>
    <cfRule type="cellIs" dxfId="523" priority="317" operator="equal">
      <formula>"NA"</formula>
    </cfRule>
    <cfRule type="cellIs" dxfId="522" priority="318" operator="equal">
      <formula>"Yes"</formula>
    </cfRule>
  </conditionalFormatting>
  <conditionalFormatting sqref="G18:G23">
    <cfRule type="cellIs" dxfId="521" priority="310" operator="equal">
      <formula>"No"</formula>
    </cfRule>
    <cfRule type="cellIs" dxfId="520" priority="311" operator="equal">
      <formula>"NA"</formula>
    </cfRule>
    <cfRule type="cellIs" dxfId="519" priority="312" operator="equal">
      <formula>"Yes"</formula>
    </cfRule>
  </conditionalFormatting>
  <conditionalFormatting sqref="G25">
    <cfRule type="cellIs" dxfId="518" priority="307" operator="equal">
      <formula>"No"</formula>
    </cfRule>
    <cfRule type="cellIs" dxfId="517" priority="308" operator="equal">
      <formula>"NA"</formula>
    </cfRule>
    <cfRule type="cellIs" dxfId="516" priority="309" operator="equal">
      <formula>"Yes"</formula>
    </cfRule>
  </conditionalFormatting>
  <conditionalFormatting sqref="G26:G28">
    <cfRule type="cellIs" dxfId="515" priority="304" operator="equal">
      <formula>"No"</formula>
    </cfRule>
    <cfRule type="cellIs" dxfId="514" priority="305" operator="equal">
      <formula>"NA"</formula>
    </cfRule>
    <cfRule type="cellIs" dxfId="513" priority="306" operator="equal">
      <formula>"Yes"</formula>
    </cfRule>
  </conditionalFormatting>
  <conditionalFormatting sqref="G30:G31">
    <cfRule type="cellIs" dxfId="512" priority="301" operator="equal">
      <formula>"No"</formula>
    </cfRule>
    <cfRule type="cellIs" dxfId="511" priority="302" operator="equal">
      <formula>"NA"</formula>
    </cfRule>
    <cfRule type="cellIs" dxfId="510" priority="303" operator="equal">
      <formula>"Yes"</formula>
    </cfRule>
  </conditionalFormatting>
  <conditionalFormatting sqref="G33">
    <cfRule type="cellIs" dxfId="509" priority="298" operator="equal">
      <formula>"No"</formula>
    </cfRule>
    <cfRule type="cellIs" dxfId="508" priority="299" operator="equal">
      <formula>"NA"</formula>
    </cfRule>
    <cfRule type="cellIs" dxfId="507" priority="300" operator="equal">
      <formula>"Yes"</formula>
    </cfRule>
  </conditionalFormatting>
  <conditionalFormatting sqref="H6">
    <cfRule type="cellIs" dxfId="506" priority="295" operator="equal">
      <formula>"No"</formula>
    </cfRule>
    <cfRule type="cellIs" dxfId="505" priority="296" operator="equal">
      <formula>"NA"</formula>
    </cfRule>
    <cfRule type="cellIs" dxfId="504" priority="297" operator="equal">
      <formula>"Yes"</formula>
    </cfRule>
  </conditionalFormatting>
  <conditionalFormatting sqref="H7">
    <cfRule type="cellIs" dxfId="503" priority="292" operator="equal">
      <formula>"No"</formula>
    </cfRule>
    <cfRule type="cellIs" dxfId="502" priority="293" operator="equal">
      <formula>"NA"</formula>
    </cfRule>
    <cfRule type="cellIs" dxfId="501" priority="294" operator="equal">
      <formula>"Yes"</formula>
    </cfRule>
  </conditionalFormatting>
  <conditionalFormatting sqref="H9">
    <cfRule type="cellIs" dxfId="500" priority="289" operator="equal">
      <formula>"No"</formula>
    </cfRule>
    <cfRule type="cellIs" dxfId="499" priority="290" operator="equal">
      <formula>"NA"</formula>
    </cfRule>
    <cfRule type="cellIs" dxfId="498" priority="291" operator="equal">
      <formula>"Yes"</formula>
    </cfRule>
  </conditionalFormatting>
  <conditionalFormatting sqref="H10">
    <cfRule type="cellIs" dxfId="497" priority="286" operator="equal">
      <formula>"No"</formula>
    </cfRule>
    <cfRule type="cellIs" dxfId="496" priority="287" operator="equal">
      <formula>"NA"</formula>
    </cfRule>
    <cfRule type="cellIs" dxfId="495" priority="288" operator="equal">
      <formula>"Yes"</formula>
    </cfRule>
  </conditionalFormatting>
  <conditionalFormatting sqref="H11:H15">
    <cfRule type="cellIs" dxfId="494" priority="283" operator="equal">
      <formula>"No"</formula>
    </cfRule>
    <cfRule type="cellIs" dxfId="493" priority="284" operator="equal">
      <formula>"NA"</formula>
    </cfRule>
    <cfRule type="cellIs" dxfId="492" priority="285" operator="equal">
      <formula>"Yes"</formula>
    </cfRule>
  </conditionalFormatting>
  <conditionalFormatting sqref="H18:H23">
    <cfRule type="cellIs" dxfId="491" priority="277" operator="equal">
      <formula>"No"</formula>
    </cfRule>
    <cfRule type="cellIs" dxfId="490" priority="278" operator="equal">
      <formula>"NA"</formula>
    </cfRule>
    <cfRule type="cellIs" dxfId="489" priority="279" operator="equal">
      <formula>"Yes"</formula>
    </cfRule>
  </conditionalFormatting>
  <conditionalFormatting sqref="H25">
    <cfRule type="cellIs" dxfId="488" priority="274" operator="equal">
      <formula>"No"</formula>
    </cfRule>
    <cfRule type="cellIs" dxfId="487" priority="275" operator="equal">
      <formula>"NA"</formula>
    </cfRule>
    <cfRule type="cellIs" dxfId="486" priority="276" operator="equal">
      <formula>"Yes"</formula>
    </cfRule>
  </conditionalFormatting>
  <conditionalFormatting sqref="H26:H28">
    <cfRule type="cellIs" dxfId="485" priority="271" operator="equal">
      <formula>"No"</formula>
    </cfRule>
    <cfRule type="cellIs" dxfId="484" priority="272" operator="equal">
      <formula>"NA"</formula>
    </cfRule>
    <cfRule type="cellIs" dxfId="483" priority="273" operator="equal">
      <formula>"Yes"</formula>
    </cfRule>
  </conditionalFormatting>
  <conditionalFormatting sqref="H30:H31">
    <cfRule type="cellIs" dxfId="482" priority="268" operator="equal">
      <formula>"No"</formula>
    </cfRule>
    <cfRule type="cellIs" dxfId="481" priority="269" operator="equal">
      <formula>"NA"</formula>
    </cfRule>
    <cfRule type="cellIs" dxfId="480" priority="270" operator="equal">
      <formula>"Yes"</formula>
    </cfRule>
  </conditionalFormatting>
  <conditionalFormatting sqref="H33">
    <cfRule type="cellIs" dxfId="479" priority="265" operator="equal">
      <formula>"No"</formula>
    </cfRule>
    <cfRule type="cellIs" dxfId="478" priority="266" operator="equal">
      <formula>"NA"</formula>
    </cfRule>
    <cfRule type="cellIs" dxfId="477" priority="267" operator="equal">
      <formula>"Yes"</formula>
    </cfRule>
  </conditionalFormatting>
  <conditionalFormatting sqref="G16">
    <cfRule type="cellIs" dxfId="476" priority="262" operator="equal">
      <formula>"No"</formula>
    </cfRule>
    <cfRule type="cellIs" dxfId="475" priority="263" operator="equal">
      <formula>"NA"</formula>
    </cfRule>
    <cfRule type="cellIs" dxfId="474" priority="264" operator="equal">
      <formula>"Yes"</formula>
    </cfRule>
  </conditionalFormatting>
  <conditionalFormatting sqref="H16">
    <cfRule type="cellIs" dxfId="473" priority="259" operator="equal">
      <formula>"No"</formula>
    </cfRule>
    <cfRule type="cellIs" dxfId="472" priority="260" operator="equal">
      <formula>"NA"</formula>
    </cfRule>
    <cfRule type="cellIs" dxfId="471" priority="261" operator="equal">
      <formula>"Yes"</formula>
    </cfRule>
  </conditionalFormatting>
  <conditionalFormatting sqref="G17">
    <cfRule type="cellIs" dxfId="470" priority="256" operator="equal">
      <formula>"No"</formula>
    </cfRule>
    <cfRule type="cellIs" dxfId="469" priority="257" operator="equal">
      <formula>"NA"</formula>
    </cfRule>
    <cfRule type="cellIs" dxfId="468" priority="258" operator="equal">
      <formula>"Yes"</formula>
    </cfRule>
  </conditionalFormatting>
  <conditionalFormatting sqref="H17">
    <cfRule type="cellIs" dxfId="467" priority="253" operator="equal">
      <formula>"No"</formula>
    </cfRule>
    <cfRule type="cellIs" dxfId="466" priority="254" operator="equal">
      <formula>"NA"</formula>
    </cfRule>
    <cfRule type="cellIs" dxfId="465" priority="255" operator="equal">
      <formula>"Yes"</formula>
    </cfRule>
  </conditionalFormatting>
  <conditionalFormatting sqref="I6">
    <cfRule type="cellIs" dxfId="464" priority="250" operator="equal">
      <formula>"No"</formula>
    </cfRule>
    <cfRule type="cellIs" dxfId="463" priority="251" operator="equal">
      <formula>"NA"</formula>
    </cfRule>
    <cfRule type="cellIs" dxfId="462" priority="252" operator="equal">
      <formula>"Yes"</formula>
    </cfRule>
  </conditionalFormatting>
  <conditionalFormatting sqref="I7">
    <cfRule type="cellIs" dxfId="461" priority="247" operator="equal">
      <formula>"No"</formula>
    </cfRule>
    <cfRule type="cellIs" dxfId="460" priority="248" operator="equal">
      <formula>"NA"</formula>
    </cfRule>
    <cfRule type="cellIs" dxfId="459" priority="249" operator="equal">
      <formula>"Yes"</formula>
    </cfRule>
  </conditionalFormatting>
  <conditionalFormatting sqref="I9">
    <cfRule type="cellIs" dxfId="458" priority="244" operator="equal">
      <formula>"No"</formula>
    </cfRule>
    <cfRule type="cellIs" dxfId="457" priority="245" operator="equal">
      <formula>"NA"</formula>
    </cfRule>
    <cfRule type="cellIs" dxfId="456" priority="246" operator="equal">
      <formula>"Yes"</formula>
    </cfRule>
  </conditionalFormatting>
  <conditionalFormatting sqref="I10">
    <cfRule type="cellIs" dxfId="455" priority="241" operator="equal">
      <formula>"No"</formula>
    </cfRule>
    <cfRule type="cellIs" dxfId="454" priority="242" operator="equal">
      <formula>"NA"</formula>
    </cfRule>
    <cfRule type="cellIs" dxfId="453" priority="243" operator="equal">
      <formula>"Yes"</formula>
    </cfRule>
  </conditionalFormatting>
  <conditionalFormatting sqref="I11:I15">
    <cfRule type="cellIs" dxfId="452" priority="238" operator="equal">
      <formula>"No"</formula>
    </cfRule>
    <cfRule type="cellIs" dxfId="451" priority="239" operator="equal">
      <formula>"NA"</formula>
    </cfRule>
    <cfRule type="cellIs" dxfId="450" priority="240" operator="equal">
      <formula>"Yes"</formula>
    </cfRule>
  </conditionalFormatting>
  <conditionalFormatting sqref="I18:I23">
    <cfRule type="cellIs" dxfId="449" priority="235" operator="equal">
      <formula>"No"</formula>
    </cfRule>
    <cfRule type="cellIs" dxfId="448" priority="236" operator="equal">
      <formula>"NA"</formula>
    </cfRule>
    <cfRule type="cellIs" dxfId="447" priority="237" operator="equal">
      <formula>"Yes"</formula>
    </cfRule>
  </conditionalFormatting>
  <conditionalFormatting sqref="I25">
    <cfRule type="cellIs" dxfId="446" priority="232" operator="equal">
      <formula>"No"</formula>
    </cfRule>
    <cfRule type="cellIs" dxfId="445" priority="233" operator="equal">
      <formula>"NA"</formula>
    </cfRule>
    <cfRule type="cellIs" dxfId="444" priority="234" operator="equal">
      <formula>"Yes"</formula>
    </cfRule>
  </conditionalFormatting>
  <conditionalFormatting sqref="I26:I28">
    <cfRule type="cellIs" dxfId="443" priority="229" operator="equal">
      <formula>"No"</formula>
    </cfRule>
    <cfRule type="cellIs" dxfId="442" priority="230" operator="equal">
      <formula>"NA"</formula>
    </cfRule>
    <cfRule type="cellIs" dxfId="441" priority="231" operator="equal">
      <formula>"Yes"</formula>
    </cfRule>
  </conditionalFormatting>
  <conditionalFormatting sqref="I30:I31">
    <cfRule type="cellIs" dxfId="440" priority="226" operator="equal">
      <formula>"No"</formula>
    </cfRule>
    <cfRule type="cellIs" dxfId="439" priority="227" operator="equal">
      <formula>"NA"</formula>
    </cfRule>
    <cfRule type="cellIs" dxfId="438" priority="228" operator="equal">
      <formula>"Yes"</formula>
    </cfRule>
  </conditionalFormatting>
  <conditionalFormatting sqref="I33">
    <cfRule type="cellIs" dxfId="437" priority="223" operator="equal">
      <formula>"No"</formula>
    </cfRule>
    <cfRule type="cellIs" dxfId="436" priority="224" operator="equal">
      <formula>"NA"</formula>
    </cfRule>
    <cfRule type="cellIs" dxfId="435" priority="225" operator="equal">
      <formula>"Yes"</formula>
    </cfRule>
  </conditionalFormatting>
  <conditionalFormatting sqref="I16">
    <cfRule type="cellIs" dxfId="434" priority="220" operator="equal">
      <formula>"No"</formula>
    </cfRule>
    <cfRule type="cellIs" dxfId="433" priority="221" operator="equal">
      <formula>"NA"</formula>
    </cfRule>
    <cfRule type="cellIs" dxfId="432" priority="222" operator="equal">
      <formula>"Yes"</formula>
    </cfRule>
  </conditionalFormatting>
  <conditionalFormatting sqref="I17">
    <cfRule type="cellIs" dxfId="431" priority="217" operator="equal">
      <formula>"No"</formula>
    </cfRule>
    <cfRule type="cellIs" dxfId="430" priority="218" operator="equal">
      <formula>"NA"</formula>
    </cfRule>
    <cfRule type="cellIs" dxfId="429" priority="219" operator="equal">
      <formula>"Yes"</formula>
    </cfRule>
  </conditionalFormatting>
  <conditionalFormatting sqref="J6">
    <cfRule type="cellIs" dxfId="428" priority="214" operator="equal">
      <formula>"No"</formula>
    </cfRule>
    <cfRule type="cellIs" dxfId="427" priority="215" operator="equal">
      <formula>"NA"</formula>
    </cfRule>
    <cfRule type="cellIs" dxfId="426" priority="216" operator="equal">
      <formula>"Yes"</formula>
    </cfRule>
  </conditionalFormatting>
  <conditionalFormatting sqref="J7">
    <cfRule type="cellIs" dxfId="425" priority="211" operator="equal">
      <formula>"No"</formula>
    </cfRule>
    <cfRule type="cellIs" dxfId="424" priority="212" operator="equal">
      <formula>"NA"</formula>
    </cfRule>
    <cfRule type="cellIs" dxfId="423" priority="213" operator="equal">
      <formula>"Yes"</formula>
    </cfRule>
  </conditionalFormatting>
  <conditionalFormatting sqref="J9">
    <cfRule type="cellIs" dxfId="422" priority="208" operator="equal">
      <formula>"No"</formula>
    </cfRule>
    <cfRule type="cellIs" dxfId="421" priority="209" operator="equal">
      <formula>"NA"</formula>
    </cfRule>
    <cfRule type="cellIs" dxfId="420" priority="210" operator="equal">
      <formula>"Yes"</formula>
    </cfRule>
  </conditionalFormatting>
  <conditionalFormatting sqref="J10">
    <cfRule type="cellIs" dxfId="419" priority="205" operator="equal">
      <formula>"No"</formula>
    </cfRule>
    <cfRule type="cellIs" dxfId="418" priority="206" operator="equal">
      <formula>"NA"</formula>
    </cfRule>
    <cfRule type="cellIs" dxfId="417" priority="207" operator="equal">
      <formula>"Yes"</formula>
    </cfRule>
  </conditionalFormatting>
  <conditionalFormatting sqref="J11:J15">
    <cfRule type="cellIs" dxfId="416" priority="202" operator="equal">
      <formula>"No"</formula>
    </cfRule>
    <cfRule type="cellIs" dxfId="415" priority="203" operator="equal">
      <formula>"NA"</formula>
    </cfRule>
    <cfRule type="cellIs" dxfId="414" priority="204" operator="equal">
      <formula>"Yes"</formula>
    </cfRule>
  </conditionalFormatting>
  <conditionalFormatting sqref="J18:J23">
    <cfRule type="cellIs" dxfId="413" priority="199" operator="equal">
      <formula>"No"</formula>
    </cfRule>
    <cfRule type="cellIs" dxfId="412" priority="200" operator="equal">
      <formula>"NA"</formula>
    </cfRule>
    <cfRule type="cellIs" dxfId="411" priority="201" operator="equal">
      <formula>"Yes"</formula>
    </cfRule>
  </conditionalFormatting>
  <conditionalFormatting sqref="J25">
    <cfRule type="cellIs" dxfId="410" priority="196" operator="equal">
      <formula>"No"</formula>
    </cfRule>
    <cfRule type="cellIs" dxfId="409" priority="197" operator="equal">
      <formula>"NA"</formula>
    </cfRule>
    <cfRule type="cellIs" dxfId="408" priority="198" operator="equal">
      <formula>"Yes"</formula>
    </cfRule>
  </conditionalFormatting>
  <conditionalFormatting sqref="J26:J28">
    <cfRule type="cellIs" dxfId="407" priority="193" operator="equal">
      <formula>"No"</formula>
    </cfRule>
    <cfRule type="cellIs" dxfId="406" priority="194" operator="equal">
      <formula>"NA"</formula>
    </cfRule>
    <cfRule type="cellIs" dxfId="405" priority="195" operator="equal">
      <formula>"Yes"</formula>
    </cfRule>
  </conditionalFormatting>
  <conditionalFormatting sqref="J30:J31">
    <cfRule type="cellIs" dxfId="404" priority="190" operator="equal">
      <formula>"No"</formula>
    </cfRule>
    <cfRule type="cellIs" dxfId="403" priority="191" operator="equal">
      <formula>"NA"</formula>
    </cfRule>
    <cfRule type="cellIs" dxfId="402" priority="192" operator="equal">
      <formula>"Yes"</formula>
    </cfRule>
  </conditionalFormatting>
  <conditionalFormatting sqref="J33">
    <cfRule type="cellIs" dxfId="401" priority="187" operator="equal">
      <formula>"No"</formula>
    </cfRule>
    <cfRule type="cellIs" dxfId="400" priority="188" operator="equal">
      <formula>"NA"</formula>
    </cfRule>
    <cfRule type="cellIs" dxfId="399" priority="189" operator="equal">
      <formula>"Yes"</formula>
    </cfRule>
  </conditionalFormatting>
  <conditionalFormatting sqref="J16">
    <cfRule type="cellIs" dxfId="398" priority="178" operator="equal">
      <formula>"No"</formula>
    </cfRule>
    <cfRule type="cellIs" dxfId="397" priority="179" operator="equal">
      <formula>"NA"</formula>
    </cfRule>
    <cfRule type="cellIs" dxfId="396" priority="180" operator="equal">
      <formula>"Yes"</formula>
    </cfRule>
  </conditionalFormatting>
  <conditionalFormatting sqref="J17">
    <cfRule type="cellIs" dxfId="395" priority="175" operator="equal">
      <formula>"No"</formula>
    </cfRule>
    <cfRule type="cellIs" dxfId="394" priority="176" operator="equal">
      <formula>"NA"</formula>
    </cfRule>
    <cfRule type="cellIs" dxfId="393" priority="177" operator="equal">
      <formula>"Yes"</formula>
    </cfRule>
  </conditionalFormatting>
  <conditionalFormatting sqref="K6">
    <cfRule type="cellIs" dxfId="392" priority="172" operator="equal">
      <formula>"No"</formula>
    </cfRule>
    <cfRule type="cellIs" dxfId="391" priority="173" operator="equal">
      <formula>"NA"</formula>
    </cfRule>
    <cfRule type="cellIs" dxfId="390" priority="174" operator="equal">
      <formula>"Yes"</formula>
    </cfRule>
  </conditionalFormatting>
  <conditionalFormatting sqref="K7">
    <cfRule type="cellIs" dxfId="389" priority="169" operator="equal">
      <formula>"No"</formula>
    </cfRule>
    <cfRule type="cellIs" dxfId="388" priority="170" operator="equal">
      <formula>"NA"</formula>
    </cfRule>
    <cfRule type="cellIs" dxfId="387" priority="171" operator="equal">
      <formula>"Yes"</formula>
    </cfRule>
  </conditionalFormatting>
  <conditionalFormatting sqref="K9">
    <cfRule type="cellIs" dxfId="386" priority="166" operator="equal">
      <formula>"No"</formula>
    </cfRule>
    <cfRule type="cellIs" dxfId="385" priority="167" operator="equal">
      <formula>"NA"</formula>
    </cfRule>
    <cfRule type="cellIs" dxfId="384" priority="168" operator="equal">
      <formula>"Yes"</formula>
    </cfRule>
  </conditionalFormatting>
  <conditionalFormatting sqref="K11:K15">
    <cfRule type="cellIs" dxfId="383" priority="160" operator="equal">
      <formula>"No"</formula>
    </cfRule>
    <cfRule type="cellIs" dxfId="382" priority="161" operator="equal">
      <formula>"NA"</formula>
    </cfRule>
    <cfRule type="cellIs" dxfId="381" priority="162" operator="equal">
      <formula>"Yes"</formula>
    </cfRule>
  </conditionalFormatting>
  <conditionalFormatting sqref="K16">
    <cfRule type="cellIs" dxfId="380" priority="157" operator="equal">
      <formula>"No"</formula>
    </cfRule>
    <cfRule type="cellIs" dxfId="379" priority="158" operator="equal">
      <formula>"NA"</formula>
    </cfRule>
    <cfRule type="cellIs" dxfId="378" priority="159" operator="equal">
      <formula>"Yes"</formula>
    </cfRule>
  </conditionalFormatting>
  <conditionalFormatting sqref="K17:K23">
    <cfRule type="cellIs" dxfId="377" priority="154" operator="equal">
      <formula>"No"</formula>
    </cfRule>
    <cfRule type="cellIs" dxfId="376" priority="155" operator="equal">
      <formula>"NA"</formula>
    </cfRule>
    <cfRule type="cellIs" dxfId="375" priority="156" operator="equal">
      <formula>"Yes"</formula>
    </cfRule>
  </conditionalFormatting>
  <conditionalFormatting sqref="K25">
    <cfRule type="cellIs" dxfId="374" priority="151" operator="equal">
      <formula>"No"</formula>
    </cfRule>
    <cfRule type="cellIs" dxfId="373" priority="152" operator="equal">
      <formula>"NA"</formula>
    </cfRule>
    <cfRule type="cellIs" dxfId="372" priority="153" operator="equal">
      <formula>"Yes"</formula>
    </cfRule>
  </conditionalFormatting>
  <conditionalFormatting sqref="K26:K28">
    <cfRule type="cellIs" dxfId="371" priority="148" operator="equal">
      <formula>"No"</formula>
    </cfRule>
    <cfRule type="cellIs" dxfId="370" priority="149" operator="equal">
      <formula>"NA"</formula>
    </cfRule>
    <cfRule type="cellIs" dxfId="369" priority="150" operator="equal">
      <formula>"Yes"</formula>
    </cfRule>
  </conditionalFormatting>
  <conditionalFormatting sqref="K30:K31">
    <cfRule type="cellIs" dxfId="368" priority="145" operator="equal">
      <formula>"No"</formula>
    </cfRule>
    <cfRule type="cellIs" dxfId="367" priority="146" operator="equal">
      <formula>"NA"</formula>
    </cfRule>
    <cfRule type="cellIs" dxfId="366" priority="147" operator="equal">
      <formula>"Yes"</formula>
    </cfRule>
  </conditionalFormatting>
  <conditionalFormatting sqref="K33">
    <cfRule type="cellIs" dxfId="365" priority="142" operator="equal">
      <formula>"No"</formula>
    </cfRule>
    <cfRule type="cellIs" dxfId="364" priority="143" operator="equal">
      <formula>"NA"</formula>
    </cfRule>
    <cfRule type="cellIs" dxfId="363" priority="144" operator="equal">
      <formula>"Yes"</formula>
    </cfRule>
  </conditionalFormatting>
  <conditionalFormatting sqref="K10">
    <cfRule type="cellIs" dxfId="362" priority="139" operator="equal">
      <formula>"No"</formula>
    </cfRule>
    <cfRule type="cellIs" dxfId="361" priority="140" operator="equal">
      <formula>"NA"</formula>
    </cfRule>
    <cfRule type="cellIs" dxfId="360" priority="141" operator="equal">
      <formula>"Yes"</formula>
    </cfRule>
  </conditionalFormatting>
  <conditionalFormatting sqref="L6">
    <cfRule type="cellIs" dxfId="359" priority="136" operator="equal">
      <formula>"No"</formula>
    </cfRule>
    <cfRule type="cellIs" dxfId="358" priority="137" operator="equal">
      <formula>"NA"</formula>
    </cfRule>
    <cfRule type="cellIs" dxfId="357" priority="138" operator="equal">
      <formula>"Yes"</formula>
    </cfRule>
  </conditionalFormatting>
  <conditionalFormatting sqref="L7">
    <cfRule type="cellIs" dxfId="356" priority="133" operator="equal">
      <formula>"No"</formula>
    </cfRule>
    <cfRule type="cellIs" dxfId="355" priority="134" operator="equal">
      <formula>"NA"</formula>
    </cfRule>
    <cfRule type="cellIs" dxfId="354" priority="135" operator="equal">
      <formula>"Yes"</formula>
    </cfRule>
  </conditionalFormatting>
  <conditionalFormatting sqref="L9">
    <cfRule type="cellIs" dxfId="353" priority="130" operator="equal">
      <formula>"No"</formula>
    </cfRule>
    <cfRule type="cellIs" dxfId="352" priority="131" operator="equal">
      <formula>"NA"</formula>
    </cfRule>
    <cfRule type="cellIs" dxfId="351" priority="132" operator="equal">
      <formula>"Yes"</formula>
    </cfRule>
  </conditionalFormatting>
  <conditionalFormatting sqref="L11:L15">
    <cfRule type="cellIs" dxfId="350" priority="127" operator="equal">
      <formula>"No"</formula>
    </cfRule>
    <cfRule type="cellIs" dxfId="349" priority="128" operator="equal">
      <formula>"NA"</formula>
    </cfRule>
    <cfRule type="cellIs" dxfId="348" priority="129" operator="equal">
      <formula>"Yes"</formula>
    </cfRule>
  </conditionalFormatting>
  <conditionalFormatting sqref="L16">
    <cfRule type="cellIs" dxfId="347" priority="124" operator="equal">
      <formula>"No"</formula>
    </cfRule>
    <cfRule type="cellIs" dxfId="346" priority="125" operator="equal">
      <formula>"NA"</formula>
    </cfRule>
    <cfRule type="cellIs" dxfId="345" priority="126" operator="equal">
      <formula>"Yes"</formula>
    </cfRule>
  </conditionalFormatting>
  <conditionalFormatting sqref="L17:L23">
    <cfRule type="cellIs" dxfId="344" priority="121" operator="equal">
      <formula>"No"</formula>
    </cfRule>
    <cfRule type="cellIs" dxfId="343" priority="122" operator="equal">
      <formula>"NA"</formula>
    </cfRule>
    <cfRule type="cellIs" dxfId="342" priority="123" operator="equal">
      <formula>"Yes"</formula>
    </cfRule>
  </conditionalFormatting>
  <conditionalFormatting sqref="L25">
    <cfRule type="cellIs" dxfId="341" priority="118" operator="equal">
      <formula>"No"</formula>
    </cfRule>
    <cfRule type="cellIs" dxfId="340" priority="119" operator="equal">
      <formula>"NA"</formula>
    </cfRule>
    <cfRule type="cellIs" dxfId="339" priority="120" operator="equal">
      <formula>"Yes"</formula>
    </cfRule>
  </conditionalFormatting>
  <conditionalFormatting sqref="L26:L28">
    <cfRule type="cellIs" dxfId="338" priority="115" operator="equal">
      <formula>"No"</formula>
    </cfRule>
    <cfRule type="cellIs" dxfId="337" priority="116" operator="equal">
      <formula>"NA"</formula>
    </cfRule>
    <cfRule type="cellIs" dxfId="336" priority="117" operator="equal">
      <formula>"Yes"</formula>
    </cfRule>
  </conditionalFormatting>
  <conditionalFormatting sqref="L30:L31">
    <cfRule type="cellIs" dxfId="335" priority="112" operator="equal">
      <formula>"No"</formula>
    </cfRule>
    <cfRule type="cellIs" dxfId="334" priority="113" operator="equal">
      <formula>"NA"</formula>
    </cfRule>
    <cfRule type="cellIs" dxfId="333" priority="114" operator="equal">
      <formula>"Yes"</formula>
    </cfRule>
  </conditionalFormatting>
  <conditionalFormatting sqref="L33">
    <cfRule type="cellIs" dxfId="332" priority="109" operator="equal">
      <formula>"No"</formula>
    </cfRule>
    <cfRule type="cellIs" dxfId="331" priority="110" operator="equal">
      <formula>"NA"</formula>
    </cfRule>
    <cfRule type="cellIs" dxfId="330" priority="111" operator="equal">
      <formula>"Yes"</formula>
    </cfRule>
  </conditionalFormatting>
  <conditionalFormatting sqref="L10">
    <cfRule type="cellIs" dxfId="329" priority="106" operator="equal">
      <formula>"No"</formula>
    </cfRule>
    <cfRule type="cellIs" dxfId="328" priority="107" operator="equal">
      <formula>"NA"</formula>
    </cfRule>
    <cfRule type="cellIs" dxfId="327" priority="108" operator="equal">
      <formula>"Yes"</formula>
    </cfRule>
  </conditionalFormatting>
  <conditionalFormatting sqref="M6">
    <cfRule type="cellIs" dxfId="326" priority="103" operator="equal">
      <formula>"No"</formula>
    </cfRule>
    <cfRule type="cellIs" dxfId="325" priority="104" operator="equal">
      <formula>"NA"</formula>
    </cfRule>
    <cfRule type="cellIs" dxfId="324" priority="105" operator="equal">
      <formula>"Yes"</formula>
    </cfRule>
  </conditionalFormatting>
  <conditionalFormatting sqref="M7">
    <cfRule type="cellIs" dxfId="323" priority="100" operator="equal">
      <formula>"No"</formula>
    </cfRule>
    <cfRule type="cellIs" dxfId="322" priority="101" operator="equal">
      <formula>"NA"</formula>
    </cfRule>
    <cfRule type="cellIs" dxfId="321" priority="102" operator="equal">
      <formula>"Yes"</formula>
    </cfRule>
  </conditionalFormatting>
  <conditionalFormatting sqref="M9">
    <cfRule type="cellIs" dxfId="320" priority="97" operator="equal">
      <formula>"No"</formula>
    </cfRule>
    <cfRule type="cellIs" dxfId="319" priority="98" operator="equal">
      <formula>"NA"</formula>
    </cfRule>
    <cfRule type="cellIs" dxfId="318" priority="99" operator="equal">
      <formula>"Yes"</formula>
    </cfRule>
  </conditionalFormatting>
  <conditionalFormatting sqref="M10">
    <cfRule type="cellIs" dxfId="317" priority="94" operator="equal">
      <formula>"No"</formula>
    </cfRule>
    <cfRule type="cellIs" dxfId="316" priority="95" operator="equal">
      <formula>"NA"</formula>
    </cfRule>
    <cfRule type="cellIs" dxfId="315" priority="96" operator="equal">
      <formula>"Yes"</formula>
    </cfRule>
  </conditionalFormatting>
  <conditionalFormatting sqref="M11:M15">
    <cfRule type="cellIs" dxfId="314" priority="91" operator="equal">
      <formula>"No"</formula>
    </cfRule>
    <cfRule type="cellIs" dxfId="313" priority="92" operator="equal">
      <formula>"NA"</formula>
    </cfRule>
    <cfRule type="cellIs" dxfId="312" priority="93" operator="equal">
      <formula>"Yes"</formula>
    </cfRule>
  </conditionalFormatting>
  <conditionalFormatting sqref="M18:M23">
    <cfRule type="cellIs" dxfId="311" priority="88" operator="equal">
      <formula>"No"</formula>
    </cfRule>
    <cfRule type="cellIs" dxfId="310" priority="89" operator="equal">
      <formula>"NA"</formula>
    </cfRule>
    <cfRule type="cellIs" dxfId="309" priority="90" operator="equal">
      <formula>"Yes"</formula>
    </cfRule>
  </conditionalFormatting>
  <conditionalFormatting sqref="M25">
    <cfRule type="cellIs" dxfId="308" priority="85" operator="equal">
      <formula>"No"</formula>
    </cfRule>
    <cfRule type="cellIs" dxfId="307" priority="86" operator="equal">
      <formula>"NA"</formula>
    </cfRule>
    <cfRule type="cellIs" dxfId="306" priority="87" operator="equal">
      <formula>"Yes"</formula>
    </cfRule>
  </conditionalFormatting>
  <conditionalFormatting sqref="M26:M28">
    <cfRule type="cellIs" dxfId="305" priority="82" operator="equal">
      <formula>"No"</formula>
    </cfRule>
    <cfRule type="cellIs" dxfId="304" priority="83" operator="equal">
      <formula>"NA"</formula>
    </cfRule>
    <cfRule type="cellIs" dxfId="303" priority="84" operator="equal">
      <formula>"Yes"</formula>
    </cfRule>
  </conditionalFormatting>
  <conditionalFormatting sqref="M30:M31">
    <cfRule type="cellIs" dxfId="302" priority="79" operator="equal">
      <formula>"No"</formula>
    </cfRule>
    <cfRule type="cellIs" dxfId="301" priority="80" operator="equal">
      <formula>"NA"</formula>
    </cfRule>
    <cfRule type="cellIs" dxfId="300" priority="81" operator="equal">
      <formula>"Yes"</formula>
    </cfRule>
  </conditionalFormatting>
  <conditionalFormatting sqref="M33">
    <cfRule type="cellIs" dxfId="299" priority="76" operator="equal">
      <formula>"No"</formula>
    </cfRule>
    <cfRule type="cellIs" dxfId="298" priority="77" operator="equal">
      <formula>"NA"</formula>
    </cfRule>
    <cfRule type="cellIs" dxfId="297" priority="78" operator="equal">
      <formula>"Yes"</formula>
    </cfRule>
  </conditionalFormatting>
  <conditionalFormatting sqref="M16">
    <cfRule type="cellIs" dxfId="296" priority="73" operator="equal">
      <formula>"No"</formula>
    </cfRule>
    <cfRule type="cellIs" dxfId="295" priority="74" operator="equal">
      <formula>"NA"</formula>
    </cfRule>
    <cfRule type="cellIs" dxfId="294" priority="75" operator="equal">
      <formula>"Yes"</formula>
    </cfRule>
  </conditionalFormatting>
  <conditionalFormatting sqref="M17">
    <cfRule type="cellIs" dxfId="293" priority="70" operator="equal">
      <formula>"No"</formula>
    </cfRule>
    <cfRule type="cellIs" dxfId="292" priority="71" operator="equal">
      <formula>"NA"</formula>
    </cfRule>
    <cfRule type="cellIs" dxfId="291" priority="72" operator="equal">
      <formula>"Yes"</formula>
    </cfRule>
  </conditionalFormatting>
  <conditionalFormatting sqref="N6">
    <cfRule type="cellIs" dxfId="290" priority="67" operator="equal">
      <formula>"No"</formula>
    </cfRule>
    <cfRule type="cellIs" dxfId="289" priority="68" operator="equal">
      <formula>"NA"</formula>
    </cfRule>
    <cfRule type="cellIs" dxfId="288" priority="69" operator="equal">
      <formula>"Yes"</formula>
    </cfRule>
  </conditionalFormatting>
  <conditionalFormatting sqref="N7">
    <cfRule type="cellIs" dxfId="287" priority="64" operator="equal">
      <formula>"No"</formula>
    </cfRule>
    <cfRule type="cellIs" dxfId="286" priority="65" operator="equal">
      <formula>"NA"</formula>
    </cfRule>
    <cfRule type="cellIs" dxfId="285" priority="66" operator="equal">
      <formula>"Yes"</formula>
    </cfRule>
  </conditionalFormatting>
  <conditionalFormatting sqref="N9">
    <cfRule type="cellIs" dxfId="284" priority="61" operator="equal">
      <formula>"No"</formula>
    </cfRule>
    <cfRule type="cellIs" dxfId="283" priority="62" operator="equal">
      <formula>"NA"</formula>
    </cfRule>
    <cfRule type="cellIs" dxfId="282" priority="63" operator="equal">
      <formula>"Yes"</formula>
    </cfRule>
  </conditionalFormatting>
  <conditionalFormatting sqref="N11:N15">
    <cfRule type="cellIs" dxfId="281" priority="58" operator="equal">
      <formula>"No"</formula>
    </cfRule>
    <cfRule type="cellIs" dxfId="280" priority="59" operator="equal">
      <formula>"NA"</formula>
    </cfRule>
    <cfRule type="cellIs" dxfId="279" priority="60" operator="equal">
      <formula>"Yes"</formula>
    </cfRule>
  </conditionalFormatting>
  <conditionalFormatting sqref="N16">
    <cfRule type="cellIs" dxfId="278" priority="55" operator="equal">
      <formula>"No"</formula>
    </cfRule>
    <cfRule type="cellIs" dxfId="277" priority="56" operator="equal">
      <formula>"NA"</formula>
    </cfRule>
    <cfRule type="cellIs" dxfId="276" priority="57" operator="equal">
      <formula>"Yes"</formula>
    </cfRule>
  </conditionalFormatting>
  <conditionalFormatting sqref="N17:N23">
    <cfRule type="cellIs" dxfId="275" priority="52" operator="equal">
      <formula>"No"</formula>
    </cfRule>
    <cfRule type="cellIs" dxfId="274" priority="53" operator="equal">
      <formula>"NA"</formula>
    </cfRule>
    <cfRule type="cellIs" dxfId="273" priority="54" operator="equal">
      <formula>"Yes"</formula>
    </cfRule>
  </conditionalFormatting>
  <conditionalFormatting sqref="N25">
    <cfRule type="cellIs" dxfId="272" priority="49" operator="equal">
      <formula>"No"</formula>
    </cfRule>
    <cfRule type="cellIs" dxfId="271" priority="50" operator="equal">
      <formula>"NA"</formula>
    </cfRule>
    <cfRule type="cellIs" dxfId="270" priority="51" operator="equal">
      <formula>"Yes"</formula>
    </cfRule>
  </conditionalFormatting>
  <conditionalFormatting sqref="N26:N28">
    <cfRule type="cellIs" dxfId="269" priority="46" operator="equal">
      <formula>"No"</formula>
    </cfRule>
    <cfRule type="cellIs" dxfId="268" priority="47" operator="equal">
      <formula>"NA"</formula>
    </cfRule>
    <cfRule type="cellIs" dxfId="267" priority="48" operator="equal">
      <formula>"Yes"</formula>
    </cfRule>
  </conditionalFormatting>
  <conditionalFormatting sqref="N30:N31">
    <cfRule type="cellIs" dxfId="266" priority="43" operator="equal">
      <formula>"No"</formula>
    </cfRule>
    <cfRule type="cellIs" dxfId="265" priority="44" operator="equal">
      <formula>"NA"</formula>
    </cfRule>
    <cfRule type="cellIs" dxfId="264" priority="45" operator="equal">
      <formula>"Yes"</formula>
    </cfRule>
  </conditionalFormatting>
  <conditionalFormatting sqref="N33">
    <cfRule type="cellIs" dxfId="263" priority="40" operator="equal">
      <formula>"No"</formula>
    </cfRule>
    <cfRule type="cellIs" dxfId="262" priority="41" operator="equal">
      <formula>"NA"</formula>
    </cfRule>
    <cfRule type="cellIs" dxfId="261" priority="42" operator="equal">
      <formula>"Yes"</formula>
    </cfRule>
  </conditionalFormatting>
  <conditionalFormatting sqref="N10">
    <cfRule type="cellIs" dxfId="260" priority="37" operator="equal">
      <formula>"No"</formula>
    </cfRule>
    <cfRule type="cellIs" dxfId="259" priority="38" operator="equal">
      <formula>"NA"</formula>
    </cfRule>
    <cfRule type="cellIs" dxfId="258" priority="39" operator="equal">
      <formula>"Yes"</formula>
    </cfRule>
  </conditionalFormatting>
  <conditionalFormatting sqref="O6">
    <cfRule type="cellIs" dxfId="257" priority="34" operator="equal">
      <formula>"No"</formula>
    </cfRule>
    <cfRule type="cellIs" dxfId="256" priority="35" operator="equal">
      <formula>"NA"</formula>
    </cfRule>
    <cfRule type="cellIs" dxfId="255" priority="36" operator="equal">
      <formula>"Yes"</formula>
    </cfRule>
  </conditionalFormatting>
  <conditionalFormatting sqref="O7">
    <cfRule type="cellIs" dxfId="254" priority="31" operator="equal">
      <formula>"No"</formula>
    </cfRule>
    <cfRule type="cellIs" dxfId="253" priority="32" operator="equal">
      <formula>"NA"</formula>
    </cfRule>
    <cfRule type="cellIs" dxfId="252" priority="33" operator="equal">
      <formula>"Yes"</formula>
    </cfRule>
  </conditionalFormatting>
  <conditionalFormatting sqref="O9">
    <cfRule type="cellIs" dxfId="251" priority="28" operator="equal">
      <formula>"No"</formula>
    </cfRule>
    <cfRule type="cellIs" dxfId="250" priority="29" operator="equal">
      <formula>"NA"</formula>
    </cfRule>
    <cfRule type="cellIs" dxfId="249" priority="30" operator="equal">
      <formula>"Yes"</formula>
    </cfRule>
  </conditionalFormatting>
  <conditionalFormatting sqref="O10">
    <cfRule type="cellIs" dxfId="248" priority="25" operator="equal">
      <formula>"No"</formula>
    </cfRule>
    <cfRule type="cellIs" dxfId="247" priority="26" operator="equal">
      <formula>"NA"</formula>
    </cfRule>
    <cfRule type="cellIs" dxfId="246" priority="27" operator="equal">
      <formula>"Yes"</formula>
    </cfRule>
  </conditionalFormatting>
  <conditionalFormatting sqref="O11:O15">
    <cfRule type="cellIs" dxfId="245" priority="22" operator="equal">
      <formula>"No"</formula>
    </cfRule>
    <cfRule type="cellIs" dxfId="244" priority="23" operator="equal">
      <formula>"NA"</formula>
    </cfRule>
    <cfRule type="cellIs" dxfId="243" priority="24" operator="equal">
      <formula>"Yes"</formula>
    </cfRule>
  </conditionalFormatting>
  <conditionalFormatting sqref="O18:O23">
    <cfRule type="cellIs" dxfId="242" priority="19" operator="equal">
      <formula>"No"</formula>
    </cfRule>
    <cfRule type="cellIs" dxfId="241" priority="20" operator="equal">
      <formula>"NA"</formula>
    </cfRule>
    <cfRule type="cellIs" dxfId="240" priority="21" operator="equal">
      <formula>"Yes"</formula>
    </cfRule>
  </conditionalFormatting>
  <conditionalFormatting sqref="O25">
    <cfRule type="cellIs" dxfId="239" priority="16" operator="equal">
      <formula>"No"</formula>
    </cfRule>
    <cfRule type="cellIs" dxfId="238" priority="17" operator="equal">
      <formula>"NA"</formula>
    </cfRule>
    <cfRule type="cellIs" dxfId="237" priority="18" operator="equal">
      <formula>"Yes"</formula>
    </cfRule>
  </conditionalFormatting>
  <conditionalFormatting sqref="O26:O28">
    <cfRule type="cellIs" dxfId="236" priority="13" operator="equal">
      <formula>"No"</formula>
    </cfRule>
    <cfRule type="cellIs" dxfId="235" priority="14" operator="equal">
      <formula>"NA"</formula>
    </cfRule>
    <cfRule type="cellIs" dxfId="234" priority="15" operator="equal">
      <formula>"Yes"</formula>
    </cfRule>
  </conditionalFormatting>
  <conditionalFormatting sqref="O30:O31">
    <cfRule type="cellIs" dxfId="233" priority="10" operator="equal">
      <formula>"No"</formula>
    </cfRule>
    <cfRule type="cellIs" dxfId="232" priority="11" operator="equal">
      <formula>"NA"</formula>
    </cfRule>
    <cfRule type="cellIs" dxfId="231" priority="12" operator="equal">
      <formula>"Yes"</formula>
    </cfRule>
  </conditionalFormatting>
  <conditionalFormatting sqref="O33">
    <cfRule type="cellIs" dxfId="230" priority="7" operator="equal">
      <formula>"No"</formula>
    </cfRule>
    <cfRule type="cellIs" dxfId="229" priority="8" operator="equal">
      <formula>"NA"</formula>
    </cfRule>
    <cfRule type="cellIs" dxfId="228" priority="9" operator="equal">
      <formula>"Yes"</formula>
    </cfRule>
  </conditionalFormatting>
  <conditionalFormatting sqref="O16">
    <cfRule type="cellIs" dxfId="227" priority="4" operator="equal">
      <formula>"No"</formula>
    </cfRule>
    <cfRule type="cellIs" dxfId="226" priority="5" operator="equal">
      <formula>"NA"</formula>
    </cfRule>
    <cfRule type="cellIs" dxfId="225" priority="6" operator="equal">
      <formula>"Yes"</formula>
    </cfRule>
  </conditionalFormatting>
  <conditionalFormatting sqref="O17">
    <cfRule type="cellIs" dxfId="224" priority="1" operator="equal">
      <formula>"No"</formula>
    </cfRule>
    <cfRule type="cellIs" dxfId="223" priority="2" operator="equal">
      <formula>"NA"</formula>
    </cfRule>
    <cfRule type="cellIs" dxfId="222" priority="3" operator="equal">
      <formula>"Yes"</formula>
    </cfRule>
  </conditionalFormatting>
  <dataValidations count="1">
    <dataValidation type="list" allowBlank="1" showInputMessage="1" showErrorMessage="1" sqref="C9:O23 C33:O33 C6:O7 C30:O31 C25:O28"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7F63B-6463-4853-A51A-F6BCE05F4B15}">
  <sheetPr>
    <tabColor theme="7" tint="0.39997558519241921"/>
  </sheetPr>
  <dimension ref="A2:I38"/>
  <sheetViews>
    <sheetView topLeftCell="A21" workbookViewId="0">
      <selection activeCell="G3" sqref="G3"/>
    </sheetView>
  </sheetViews>
  <sheetFormatPr defaultRowHeight="12.75" outlineLevelCol="1"/>
  <cols>
    <col min="1" max="1" width="12.5703125" style="160" bestFit="1" customWidth="1"/>
    <col min="2" max="2" width="61" style="159" customWidth="1"/>
    <col min="3" max="6" width="6.28515625" style="158" bestFit="1" customWidth="1"/>
    <col min="7" max="7" width="35.7109375" style="158" customWidth="1"/>
    <col min="8" max="9" width="30.7109375" style="158" customWidth="1" outlineLevel="1"/>
  </cols>
  <sheetData>
    <row r="2" spans="1:9" ht="69.75">
      <c r="A2" s="183" t="s">
        <v>214</v>
      </c>
      <c r="B2" s="184" t="s">
        <v>380</v>
      </c>
      <c r="C2" s="185" t="s">
        <v>477</v>
      </c>
      <c r="D2" s="185" t="s">
        <v>477</v>
      </c>
      <c r="E2" s="185" t="s">
        <v>485</v>
      </c>
      <c r="F2" s="185" t="s">
        <v>500</v>
      </c>
      <c r="G2" s="186" t="s">
        <v>223</v>
      </c>
      <c r="H2" s="349" t="s">
        <v>185</v>
      </c>
      <c r="I2" s="350"/>
    </row>
    <row r="3" spans="1:9" ht="18.75">
      <c r="A3" s="187"/>
      <c r="B3" s="188"/>
      <c r="C3" s="189">
        <f>COUNTIF(Review.ratings,"Yes") / ( COUNTA(Review.QuestionIds) - COUNTIF(Review.ratings,"NA"))</f>
        <v>0.94444444444444442</v>
      </c>
      <c r="D3" s="189">
        <f>COUNTIF(D6:D35,"Yes") / ( COUNTA(Review.QuestionIds) - COUNTIF(D6:D35,"NA"))</f>
        <v>1</v>
      </c>
      <c r="E3" s="189">
        <f>COUNTIF(E6:E35,"Yes") / ( COUNTA(Review.QuestionIds) - COUNTIF(E6:E35,"NA"))</f>
        <v>1</v>
      </c>
      <c r="F3" s="189">
        <f>COUNTIF(F6:F35,"Yes") / ( COUNTA(Review.QuestionIds) - COUNTIF(F6:F35,"NA"))</f>
        <v>1</v>
      </c>
      <c r="G3" s="194"/>
      <c r="H3" s="202" t="s">
        <v>220</v>
      </c>
      <c r="I3" s="202" t="s">
        <v>221</v>
      </c>
    </row>
    <row r="4" spans="1:9" ht="36">
      <c r="A4" s="190"/>
      <c r="B4" s="191" t="s">
        <v>225</v>
      </c>
      <c r="C4" s="192"/>
      <c r="D4" s="192"/>
      <c r="E4" s="192"/>
      <c r="F4" s="192"/>
      <c r="G4" s="192"/>
      <c r="H4" s="192"/>
      <c r="I4" s="193"/>
    </row>
    <row r="5" spans="1:9" ht="18.75">
      <c r="A5" s="161"/>
      <c r="B5" s="169" t="s">
        <v>381</v>
      </c>
      <c r="C5" s="162"/>
      <c r="D5" s="162"/>
      <c r="E5" s="162"/>
      <c r="F5" s="162"/>
      <c r="G5" s="162"/>
      <c r="H5" s="202"/>
      <c r="I5" s="202"/>
    </row>
    <row r="6" spans="1:9" ht="25.5">
      <c r="A6" s="164" t="s">
        <v>382</v>
      </c>
      <c r="B6" s="172" t="s">
        <v>383</v>
      </c>
      <c r="C6" s="196" t="s">
        <v>213</v>
      </c>
      <c r="D6" s="196" t="s">
        <v>213</v>
      </c>
      <c r="E6" s="196" t="s">
        <v>213</v>
      </c>
      <c r="F6" s="196" t="s">
        <v>213</v>
      </c>
      <c r="G6" s="197"/>
      <c r="H6" s="163"/>
      <c r="I6" s="163"/>
    </row>
    <row r="7" spans="1:9" ht="38.25">
      <c r="A7" s="164" t="s">
        <v>384</v>
      </c>
      <c r="B7" s="172" t="s">
        <v>385</v>
      </c>
      <c r="C7" s="196" t="s">
        <v>213</v>
      </c>
      <c r="D7" s="196" t="s">
        <v>213</v>
      </c>
      <c r="E7" s="196" t="s">
        <v>213</v>
      </c>
      <c r="F7" s="196" t="s">
        <v>213</v>
      </c>
      <c r="G7" s="197"/>
      <c r="H7" s="207" t="s">
        <v>484</v>
      </c>
      <c r="I7" s="163"/>
    </row>
    <row r="8" spans="1:9" ht="25.5">
      <c r="A8" s="164" t="s">
        <v>386</v>
      </c>
      <c r="B8" s="172" t="s">
        <v>387</v>
      </c>
      <c r="C8" s="196" t="s">
        <v>213</v>
      </c>
      <c r="D8" s="196" t="s">
        <v>213</v>
      </c>
      <c r="E8" s="196" t="s">
        <v>213</v>
      </c>
      <c r="F8" s="196" t="s">
        <v>213</v>
      </c>
      <c r="G8" s="197"/>
      <c r="H8" s="163"/>
      <c r="I8" s="163"/>
    </row>
    <row r="9" spans="1:9" ht="25.5">
      <c r="A9" s="164" t="s">
        <v>388</v>
      </c>
      <c r="B9" s="172" t="s">
        <v>389</v>
      </c>
      <c r="C9" s="196" t="s">
        <v>213</v>
      </c>
      <c r="D9" s="196" t="s">
        <v>213</v>
      </c>
      <c r="E9" s="196" t="s">
        <v>213</v>
      </c>
      <c r="F9" s="196" t="s">
        <v>213</v>
      </c>
      <c r="G9" s="197"/>
      <c r="H9" s="163"/>
      <c r="I9" s="163"/>
    </row>
    <row r="10" spans="1:9" ht="38.25">
      <c r="A10" s="164" t="s">
        <v>390</v>
      </c>
      <c r="B10" s="172" t="s">
        <v>391</v>
      </c>
      <c r="C10" s="196" t="s">
        <v>213</v>
      </c>
      <c r="D10" s="196" t="s">
        <v>213</v>
      </c>
      <c r="E10" s="196" t="s">
        <v>213</v>
      </c>
      <c r="F10" s="196" t="s">
        <v>213</v>
      </c>
      <c r="G10" s="197"/>
      <c r="H10" s="163"/>
      <c r="I10" s="163"/>
    </row>
    <row r="11" spans="1:9" ht="18.75">
      <c r="A11" s="161"/>
      <c r="B11" s="169" t="s">
        <v>392</v>
      </c>
      <c r="C11" s="162"/>
      <c r="D11" s="162"/>
      <c r="E11" s="162"/>
      <c r="F11" s="162"/>
      <c r="G11" s="162"/>
      <c r="H11" s="202"/>
      <c r="I11" s="202"/>
    </row>
    <row r="12" spans="1:9" ht="63.75">
      <c r="A12" s="164" t="s">
        <v>393</v>
      </c>
      <c r="B12" s="172" t="s">
        <v>394</v>
      </c>
      <c r="C12" s="196" t="s">
        <v>11</v>
      </c>
      <c r="D12" s="196" t="s">
        <v>11</v>
      </c>
      <c r="E12" s="196" t="s">
        <v>11</v>
      </c>
      <c r="F12" s="196" t="s">
        <v>11</v>
      </c>
      <c r="G12" s="205" t="s">
        <v>395</v>
      </c>
      <c r="H12" s="163"/>
      <c r="I12" s="163"/>
    </row>
    <row r="13" spans="1:9" ht="63.75">
      <c r="A13" s="164" t="s">
        <v>396</v>
      </c>
      <c r="B13" s="172" t="s">
        <v>397</v>
      </c>
      <c r="C13" s="196" t="s">
        <v>213</v>
      </c>
      <c r="D13" s="196" t="s">
        <v>11</v>
      </c>
      <c r="E13" s="196" t="s">
        <v>11</v>
      </c>
      <c r="F13" s="196" t="s">
        <v>11</v>
      </c>
      <c r="G13" s="205" t="s">
        <v>483</v>
      </c>
      <c r="H13" s="163"/>
      <c r="I13" s="163"/>
    </row>
    <row r="14" spans="1:9" ht="51">
      <c r="A14" s="164" t="s">
        <v>398</v>
      </c>
      <c r="B14" s="172" t="s">
        <v>399</v>
      </c>
      <c r="C14" s="196" t="s">
        <v>213</v>
      </c>
      <c r="D14" s="196" t="s">
        <v>11</v>
      </c>
      <c r="E14" s="196" t="s">
        <v>11</v>
      </c>
      <c r="F14" s="196" t="s">
        <v>11</v>
      </c>
      <c r="G14" s="205" t="s">
        <v>483</v>
      </c>
      <c r="H14" s="163"/>
      <c r="I14" s="163"/>
    </row>
    <row r="15" spans="1:9" ht="25.5">
      <c r="A15" s="164" t="s">
        <v>400</v>
      </c>
      <c r="B15" s="172" t="s">
        <v>401</v>
      </c>
      <c r="C15" s="196" t="s">
        <v>213</v>
      </c>
      <c r="D15" s="196" t="s">
        <v>11</v>
      </c>
      <c r="E15" s="196" t="s">
        <v>11</v>
      </c>
      <c r="F15" s="196" t="s">
        <v>11</v>
      </c>
      <c r="G15" s="205" t="s">
        <v>483</v>
      </c>
      <c r="H15" s="163"/>
      <c r="I15" s="163"/>
    </row>
    <row r="16" spans="1:9" ht="18.75">
      <c r="A16" s="161"/>
      <c r="B16" s="169" t="s">
        <v>402</v>
      </c>
      <c r="C16" s="162"/>
      <c r="D16" s="162"/>
      <c r="E16" s="162"/>
      <c r="F16" s="162"/>
      <c r="G16" s="162"/>
      <c r="H16" s="202"/>
      <c r="I16" s="202"/>
    </row>
    <row r="17" spans="1:9" ht="38.25">
      <c r="A17" s="164" t="s">
        <v>403</v>
      </c>
      <c r="B17" s="172" t="s">
        <v>404</v>
      </c>
      <c r="C17" s="196" t="s">
        <v>213</v>
      </c>
      <c r="D17" s="196" t="s">
        <v>213</v>
      </c>
      <c r="E17" s="196" t="s">
        <v>213</v>
      </c>
      <c r="F17" s="196" t="s">
        <v>213</v>
      </c>
      <c r="G17" s="197"/>
      <c r="H17" s="163"/>
      <c r="I17" s="163"/>
    </row>
    <row r="18" spans="1:9" ht="76.5">
      <c r="A18" s="164" t="s">
        <v>405</v>
      </c>
      <c r="B18" s="172" t="s">
        <v>406</v>
      </c>
      <c r="C18" s="196" t="s">
        <v>23</v>
      </c>
      <c r="D18" s="196" t="s">
        <v>11</v>
      </c>
      <c r="E18" s="196" t="s">
        <v>11</v>
      </c>
      <c r="F18" s="196" t="s">
        <v>11</v>
      </c>
      <c r="G18" s="219" t="s">
        <v>482</v>
      </c>
      <c r="H18" s="163"/>
      <c r="I18" s="163"/>
    </row>
    <row r="19" spans="1:9" ht="18.75">
      <c r="A19" s="161"/>
      <c r="B19" s="169" t="s">
        <v>262</v>
      </c>
      <c r="C19" s="162"/>
      <c r="D19" s="162"/>
      <c r="E19" s="162"/>
      <c r="F19" s="162"/>
      <c r="G19" s="162"/>
      <c r="H19" s="202"/>
      <c r="I19" s="202"/>
    </row>
    <row r="20" spans="1:9" ht="51">
      <c r="A20" s="164" t="s">
        <v>407</v>
      </c>
      <c r="B20" s="172" t="s">
        <v>408</v>
      </c>
      <c r="C20" s="196" t="s">
        <v>11</v>
      </c>
      <c r="D20" s="196" t="s">
        <v>11</v>
      </c>
      <c r="E20" s="196" t="s">
        <v>11</v>
      </c>
      <c r="F20" s="196" t="s">
        <v>11</v>
      </c>
      <c r="G20" s="205" t="s">
        <v>409</v>
      </c>
      <c r="H20" s="163"/>
      <c r="I20" s="163"/>
    </row>
    <row r="21" spans="1:9" ht="51">
      <c r="A21" s="164" t="s">
        <v>410</v>
      </c>
      <c r="B21" s="172" t="s">
        <v>411</v>
      </c>
      <c r="C21" s="196" t="s">
        <v>11</v>
      </c>
      <c r="D21" s="196" t="s">
        <v>11</v>
      </c>
      <c r="E21" s="196" t="s">
        <v>11</v>
      </c>
      <c r="F21" s="196" t="s">
        <v>11</v>
      </c>
      <c r="G21" s="205" t="s">
        <v>409</v>
      </c>
      <c r="H21" s="163"/>
      <c r="I21" s="163"/>
    </row>
    <row r="22" spans="1:9" ht="51">
      <c r="A22" s="164" t="s">
        <v>412</v>
      </c>
      <c r="B22" s="172" t="s">
        <v>413</v>
      </c>
      <c r="C22" s="196" t="s">
        <v>11</v>
      </c>
      <c r="D22" s="196" t="s">
        <v>11</v>
      </c>
      <c r="E22" s="196" t="s">
        <v>11</v>
      </c>
      <c r="F22" s="196" t="s">
        <v>11</v>
      </c>
      <c r="G22" s="205" t="s">
        <v>409</v>
      </c>
      <c r="H22" s="163"/>
      <c r="I22" s="163"/>
    </row>
    <row r="23" spans="1:9" ht="25.5">
      <c r="A23" s="164" t="s">
        <v>414</v>
      </c>
      <c r="B23" s="172" t="s">
        <v>415</v>
      </c>
      <c r="C23" s="196" t="s">
        <v>213</v>
      </c>
      <c r="D23" s="196" t="s">
        <v>213</v>
      </c>
      <c r="E23" s="196" t="s">
        <v>213</v>
      </c>
      <c r="F23" s="196" t="s">
        <v>213</v>
      </c>
      <c r="G23" s="197"/>
      <c r="H23" s="163"/>
      <c r="I23" s="163"/>
    </row>
    <row r="24" spans="1:9" ht="51">
      <c r="A24" s="164" t="s">
        <v>416</v>
      </c>
      <c r="B24" s="172" t="s">
        <v>417</v>
      </c>
      <c r="C24" s="196" t="s">
        <v>11</v>
      </c>
      <c r="D24" s="196" t="s">
        <v>11</v>
      </c>
      <c r="E24" s="196" t="s">
        <v>11</v>
      </c>
      <c r="F24" s="196" t="s">
        <v>11</v>
      </c>
      <c r="G24" s="205" t="s">
        <v>409</v>
      </c>
      <c r="H24" s="163"/>
      <c r="I24" s="163"/>
    </row>
    <row r="25" spans="1:9" ht="25.5">
      <c r="A25" s="164" t="s">
        <v>418</v>
      </c>
      <c r="B25" s="172" t="s">
        <v>419</v>
      </c>
      <c r="C25" s="196" t="s">
        <v>213</v>
      </c>
      <c r="D25" s="196" t="s">
        <v>213</v>
      </c>
      <c r="E25" s="196" t="s">
        <v>213</v>
      </c>
      <c r="F25" s="196" t="s">
        <v>213</v>
      </c>
      <c r="G25" s="197"/>
      <c r="H25" s="163"/>
      <c r="I25" s="163"/>
    </row>
    <row r="26" spans="1:9" ht="18.75">
      <c r="A26" s="161"/>
      <c r="B26" s="169" t="s">
        <v>217</v>
      </c>
      <c r="C26" s="162"/>
      <c r="D26" s="162"/>
      <c r="E26" s="162"/>
      <c r="F26" s="162"/>
      <c r="G26" s="162"/>
      <c r="H26" s="202"/>
      <c r="I26" s="202"/>
    </row>
    <row r="27" spans="1:9" ht="38.25">
      <c r="A27" s="164" t="s">
        <v>312</v>
      </c>
      <c r="B27" s="172" t="s">
        <v>207</v>
      </c>
      <c r="C27" s="196" t="s">
        <v>213</v>
      </c>
      <c r="D27" s="196" t="s">
        <v>213</v>
      </c>
      <c r="E27" s="196" t="s">
        <v>213</v>
      </c>
      <c r="F27" s="196" t="s">
        <v>213</v>
      </c>
      <c r="G27" s="197"/>
      <c r="H27" s="163"/>
      <c r="I27" s="163"/>
    </row>
    <row r="28" spans="1:9" ht="25.5">
      <c r="A28" s="164" t="s">
        <v>313</v>
      </c>
      <c r="B28" s="172" t="s">
        <v>208</v>
      </c>
      <c r="C28" s="196" t="s">
        <v>213</v>
      </c>
      <c r="D28" s="196" t="s">
        <v>213</v>
      </c>
      <c r="E28" s="196" t="s">
        <v>213</v>
      </c>
      <c r="F28" s="196" t="s">
        <v>213</v>
      </c>
      <c r="G28" s="197"/>
      <c r="H28" s="163"/>
      <c r="I28" s="163"/>
    </row>
    <row r="29" spans="1:9" ht="38.25">
      <c r="A29" s="164" t="s">
        <v>314</v>
      </c>
      <c r="B29" s="172" t="s">
        <v>209</v>
      </c>
      <c r="C29" s="196" t="s">
        <v>213</v>
      </c>
      <c r="D29" s="196" t="s">
        <v>213</v>
      </c>
      <c r="E29" s="196" t="s">
        <v>213</v>
      </c>
      <c r="F29" s="196" t="s">
        <v>213</v>
      </c>
      <c r="G29" s="197"/>
      <c r="H29" s="163"/>
      <c r="I29" s="163"/>
    </row>
    <row r="30" spans="1:9" ht="38.25">
      <c r="A30" s="164" t="s">
        <v>315</v>
      </c>
      <c r="B30" s="172" t="s">
        <v>210</v>
      </c>
      <c r="C30" s="196" t="s">
        <v>213</v>
      </c>
      <c r="D30" s="196" t="s">
        <v>213</v>
      </c>
      <c r="E30" s="196" t="s">
        <v>213</v>
      </c>
      <c r="F30" s="196" t="s">
        <v>213</v>
      </c>
      <c r="G30" s="197"/>
      <c r="H30" s="163"/>
      <c r="I30" s="163"/>
    </row>
    <row r="31" spans="1:9" ht="18.75">
      <c r="A31" s="161"/>
      <c r="B31" s="169" t="s">
        <v>218</v>
      </c>
      <c r="C31" s="162"/>
      <c r="D31" s="162"/>
      <c r="E31" s="162"/>
      <c r="F31" s="162"/>
      <c r="G31" s="162"/>
      <c r="H31" s="202"/>
      <c r="I31" s="202"/>
    </row>
    <row r="32" spans="1:9" ht="38.25">
      <c r="A32" s="164" t="s">
        <v>316</v>
      </c>
      <c r="B32" s="172" t="s">
        <v>211</v>
      </c>
      <c r="C32" s="196" t="s">
        <v>213</v>
      </c>
      <c r="D32" s="196" t="s">
        <v>213</v>
      </c>
      <c r="E32" s="196" t="s">
        <v>213</v>
      </c>
      <c r="F32" s="196" t="s">
        <v>213</v>
      </c>
      <c r="G32" s="197"/>
      <c r="H32" s="163"/>
      <c r="I32" s="163"/>
    </row>
    <row r="33" spans="1:9" ht="38.25">
      <c r="A33" s="164" t="s">
        <v>317</v>
      </c>
      <c r="B33" s="172" t="s">
        <v>212</v>
      </c>
      <c r="C33" s="196" t="s">
        <v>213</v>
      </c>
      <c r="D33" s="196" t="s">
        <v>213</v>
      </c>
      <c r="E33" s="196" t="s">
        <v>213</v>
      </c>
      <c r="F33" s="196" t="s">
        <v>213</v>
      </c>
      <c r="G33" s="197"/>
      <c r="H33" s="163"/>
      <c r="I33" s="163"/>
    </row>
    <row r="34" spans="1:9" ht="18.75">
      <c r="A34" s="161"/>
      <c r="B34" s="169" t="s">
        <v>205</v>
      </c>
      <c r="C34" s="162"/>
      <c r="D34" s="162"/>
      <c r="E34" s="162"/>
      <c r="F34" s="162"/>
      <c r="G34" s="162"/>
      <c r="H34" s="202"/>
      <c r="I34" s="202"/>
    </row>
    <row r="35" spans="1:9" ht="51">
      <c r="A35" s="164" t="s">
        <v>318</v>
      </c>
      <c r="B35" s="172" t="s">
        <v>206</v>
      </c>
      <c r="C35" s="196" t="s">
        <v>11</v>
      </c>
      <c r="D35" s="196" t="s">
        <v>11</v>
      </c>
      <c r="E35" s="196" t="s">
        <v>11</v>
      </c>
      <c r="F35" s="196" t="s">
        <v>11</v>
      </c>
      <c r="G35" s="205" t="s">
        <v>481</v>
      </c>
      <c r="H35" s="163"/>
      <c r="I35" s="163"/>
    </row>
    <row r="36" spans="1:9" ht="18">
      <c r="A36" s="198"/>
      <c r="B36" s="199" t="s">
        <v>222</v>
      </c>
      <c r="C36" s="198"/>
      <c r="D36" s="198"/>
      <c r="E36" s="198"/>
      <c r="F36" s="198"/>
      <c r="G36" s="198"/>
      <c r="H36" s="198"/>
      <c r="I36" s="198"/>
    </row>
    <row r="37" spans="1:9">
      <c r="A37" s="164"/>
      <c r="B37" s="172"/>
    </row>
    <row r="38" spans="1:9" ht="15">
      <c r="A38" s="200"/>
      <c r="B38" s="201" t="s">
        <v>336</v>
      </c>
      <c r="C38" s="200"/>
      <c r="D38" s="200"/>
      <c r="E38" s="200"/>
      <c r="F38" s="200"/>
      <c r="G38" s="200"/>
      <c r="H38" s="200"/>
      <c r="I38" s="200"/>
    </row>
  </sheetData>
  <mergeCells count="1">
    <mergeCell ref="H2:I2"/>
  </mergeCells>
  <conditionalFormatting sqref="C6">
    <cfRule type="cellIs" dxfId="221" priority="214" operator="equal">
      <formula>"No"</formula>
    </cfRule>
    <cfRule type="cellIs" dxfId="220" priority="215" operator="equal">
      <formula>"NA"</formula>
    </cfRule>
    <cfRule type="cellIs" dxfId="219" priority="216" operator="equal">
      <formula>"Yes"</formula>
    </cfRule>
  </conditionalFormatting>
  <conditionalFormatting sqref="C7">
    <cfRule type="cellIs" dxfId="218" priority="211" operator="equal">
      <formula>"No"</formula>
    </cfRule>
    <cfRule type="cellIs" dxfId="217" priority="212" operator="equal">
      <formula>"NA"</formula>
    </cfRule>
    <cfRule type="cellIs" dxfId="216" priority="213" operator="equal">
      <formula>"Yes"</formula>
    </cfRule>
  </conditionalFormatting>
  <conditionalFormatting sqref="C8">
    <cfRule type="cellIs" dxfId="215" priority="208" operator="equal">
      <formula>"No"</formula>
    </cfRule>
    <cfRule type="cellIs" dxfId="214" priority="209" operator="equal">
      <formula>"NA"</formula>
    </cfRule>
    <cfRule type="cellIs" dxfId="213" priority="210" operator="equal">
      <formula>"Yes"</formula>
    </cfRule>
  </conditionalFormatting>
  <conditionalFormatting sqref="C9">
    <cfRule type="cellIs" dxfId="212" priority="205" operator="equal">
      <formula>"No"</formula>
    </cfRule>
    <cfRule type="cellIs" dxfId="211" priority="206" operator="equal">
      <formula>"NA"</formula>
    </cfRule>
    <cfRule type="cellIs" dxfId="210" priority="207" operator="equal">
      <formula>"Yes"</formula>
    </cfRule>
  </conditionalFormatting>
  <conditionalFormatting sqref="C10">
    <cfRule type="cellIs" dxfId="209" priority="202" operator="equal">
      <formula>"No"</formula>
    </cfRule>
    <cfRule type="cellIs" dxfId="208" priority="203" operator="equal">
      <formula>"NA"</formula>
    </cfRule>
    <cfRule type="cellIs" dxfId="207" priority="204" operator="equal">
      <formula>"Yes"</formula>
    </cfRule>
  </conditionalFormatting>
  <conditionalFormatting sqref="C12">
    <cfRule type="cellIs" dxfId="206" priority="199" operator="equal">
      <formula>"No"</formula>
    </cfRule>
    <cfRule type="cellIs" dxfId="205" priority="200" operator="equal">
      <formula>"NA"</formula>
    </cfRule>
    <cfRule type="cellIs" dxfId="204" priority="201" operator="equal">
      <formula>"Yes"</formula>
    </cfRule>
  </conditionalFormatting>
  <conditionalFormatting sqref="C13">
    <cfRule type="cellIs" dxfId="203" priority="196" operator="equal">
      <formula>"No"</formula>
    </cfRule>
    <cfRule type="cellIs" dxfId="202" priority="197" operator="equal">
      <formula>"NA"</formula>
    </cfRule>
    <cfRule type="cellIs" dxfId="201" priority="198" operator="equal">
      <formula>"Yes"</formula>
    </cfRule>
  </conditionalFormatting>
  <conditionalFormatting sqref="C14">
    <cfRule type="cellIs" dxfId="200" priority="193" operator="equal">
      <formula>"No"</formula>
    </cfRule>
    <cfRule type="cellIs" dxfId="199" priority="194" operator="equal">
      <formula>"NA"</formula>
    </cfRule>
    <cfRule type="cellIs" dxfId="198" priority="195" operator="equal">
      <formula>"Yes"</formula>
    </cfRule>
  </conditionalFormatting>
  <conditionalFormatting sqref="C15">
    <cfRule type="cellIs" dxfId="197" priority="190" operator="equal">
      <formula>"No"</formula>
    </cfRule>
    <cfRule type="cellIs" dxfId="196" priority="191" operator="equal">
      <formula>"NA"</formula>
    </cfRule>
    <cfRule type="cellIs" dxfId="195" priority="192" operator="equal">
      <formula>"Yes"</formula>
    </cfRule>
  </conditionalFormatting>
  <conditionalFormatting sqref="C17">
    <cfRule type="cellIs" dxfId="194" priority="187" operator="equal">
      <formula>"No"</formula>
    </cfRule>
    <cfRule type="cellIs" dxfId="193" priority="188" operator="equal">
      <formula>"NA"</formula>
    </cfRule>
    <cfRule type="cellIs" dxfId="192" priority="189" operator="equal">
      <formula>"Yes"</formula>
    </cfRule>
  </conditionalFormatting>
  <conditionalFormatting sqref="C18">
    <cfRule type="cellIs" dxfId="191" priority="184" operator="equal">
      <formula>"No"</formula>
    </cfRule>
    <cfRule type="cellIs" dxfId="190" priority="185" operator="equal">
      <formula>"NA"</formula>
    </cfRule>
    <cfRule type="cellIs" dxfId="189" priority="186" operator="equal">
      <formula>"Yes"</formula>
    </cfRule>
  </conditionalFormatting>
  <conditionalFormatting sqref="C20">
    <cfRule type="cellIs" dxfId="188" priority="181" operator="equal">
      <formula>"No"</formula>
    </cfRule>
    <cfRule type="cellIs" dxfId="187" priority="182" operator="equal">
      <formula>"NA"</formula>
    </cfRule>
    <cfRule type="cellIs" dxfId="186" priority="183" operator="equal">
      <formula>"Yes"</formula>
    </cfRule>
  </conditionalFormatting>
  <conditionalFormatting sqref="C21">
    <cfRule type="cellIs" dxfId="185" priority="178" operator="equal">
      <formula>"No"</formula>
    </cfRule>
    <cfRule type="cellIs" dxfId="184" priority="179" operator="equal">
      <formula>"NA"</formula>
    </cfRule>
    <cfRule type="cellIs" dxfId="183" priority="180" operator="equal">
      <formula>"Yes"</formula>
    </cfRule>
  </conditionalFormatting>
  <conditionalFormatting sqref="C22">
    <cfRule type="cellIs" dxfId="182" priority="175" operator="equal">
      <formula>"No"</formula>
    </cfRule>
    <cfRule type="cellIs" dxfId="181" priority="176" operator="equal">
      <formula>"NA"</formula>
    </cfRule>
    <cfRule type="cellIs" dxfId="180" priority="177" operator="equal">
      <formula>"Yes"</formula>
    </cfRule>
  </conditionalFormatting>
  <conditionalFormatting sqref="C23">
    <cfRule type="cellIs" dxfId="179" priority="172" operator="equal">
      <formula>"No"</formula>
    </cfRule>
    <cfRule type="cellIs" dxfId="178" priority="173" operator="equal">
      <formula>"NA"</formula>
    </cfRule>
    <cfRule type="cellIs" dxfId="177" priority="174" operator="equal">
      <formula>"Yes"</formula>
    </cfRule>
  </conditionalFormatting>
  <conditionalFormatting sqref="C24">
    <cfRule type="cellIs" dxfId="176" priority="169" operator="equal">
      <formula>"No"</formula>
    </cfRule>
    <cfRule type="cellIs" dxfId="175" priority="170" operator="equal">
      <formula>"NA"</formula>
    </cfRule>
    <cfRule type="cellIs" dxfId="174" priority="171" operator="equal">
      <formula>"Yes"</formula>
    </cfRule>
  </conditionalFormatting>
  <conditionalFormatting sqref="C25">
    <cfRule type="cellIs" dxfId="173" priority="166" operator="equal">
      <formula>"No"</formula>
    </cfRule>
    <cfRule type="cellIs" dxfId="172" priority="167" operator="equal">
      <formula>"NA"</formula>
    </cfRule>
    <cfRule type="cellIs" dxfId="171" priority="168" operator="equal">
      <formula>"Yes"</formula>
    </cfRule>
  </conditionalFormatting>
  <conditionalFormatting sqref="C27">
    <cfRule type="cellIs" dxfId="170" priority="163" operator="equal">
      <formula>"No"</formula>
    </cfRule>
    <cfRule type="cellIs" dxfId="169" priority="164" operator="equal">
      <formula>"NA"</formula>
    </cfRule>
    <cfRule type="cellIs" dxfId="168" priority="165" operator="equal">
      <formula>"Yes"</formula>
    </cfRule>
  </conditionalFormatting>
  <conditionalFormatting sqref="C28">
    <cfRule type="cellIs" dxfId="167" priority="160" operator="equal">
      <formula>"No"</formula>
    </cfRule>
    <cfRule type="cellIs" dxfId="166" priority="161" operator="equal">
      <formula>"NA"</formula>
    </cfRule>
    <cfRule type="cellIs" dxfId="165" priority="162" operator="equal">
      <formula>"Yes"</formula>
    </cfRule>
  </conditionalFormatting>
  <conditionalFormatting sqref="C29">
    <cfRule type="cellIs" dxfId="164" priority="157" operator="equal">
      <formula>"No"</formula>
    </cfRule>
    <cfRule type="cellIs" dxfId="163" priority="158" operator="equal">
      <formula>"NA"</formula>
    </cfRule>
    <cfRule type="cellIs" dxfId="162" priority="159" operator="equal">
      <formula>"Yes"</formula>
    </cfRule>
  </conditionalFormatting>
  <conditionalFormatting sqref="C30">
    <cfRule type="cellIs" dxfId="161" priority="154" operator="equal">
      <formula>"No"</formula>
    </cfRule>
    <cfRule type="cellIs" dxfId="160" priority="155" operator="equal">
      <formula>"NA"</formula>
    </cfRule>
    <cfRule type="cellIs" dxfId="159" priority="156" operator="equal">
      <formula>"Yes"</formula>
    </cfRule>
  </conditionalFormatting>
  <conditionalFormatting sqref="C32">
    <cfRule type="cellIs" dxfId="158" priority="151" operator="equal">
      <formula>"No"</formula>
    </cfRule>
    <cfRule type="cellIs" dxfId="157" priority="152" operator="equal">
      <formula>"NA"</formula>
    </cfRule>
    <cfRule type="cellIs" dxfId="156" priority="153" operator="equal">
      <formula>"Yes"</formula>
    </cfRule>
  </conditionalFormatting>
  <conditionalFormatting sqref="C33">
    <cfRule type="cellIs" dxfId="155" priority="148" operator="equal">
      <formula>"No"</formula>
    </cfRule>
    <cfRule type="cellIs" dxfId="154" priority="149" operator="equal">
      <formula>"NA"</formula>
    </cfRule>
    <cfRule type="cellIs" dxfId="153" priority="150" operator="equal">
      <formula>"Yes"</formula>
    </cfRule>
  </conditionalFormatting>
  <conditionalFormatting sqref="C35">
    <cfRule type="cellIs" dxfId="152" priority="145" operator="equal">
      <formula>"No"</formula>
    </cfRule>
    <cfRule type="cellIs" dxfId="151" priority="146" operator="equal">
      <formula>"NA"</formula>
    </cfRule>
    <cfRule type="cellIs" dxfId="150" priority="147" operator="equal">
      <formula>"Yes"</formula>
    </cfRule>
  </conditionalFormatting>
  <conditionalFormatting sqref="D6">
    <cfRule type="cellIs" dxfId="149" priority="142" operator="equal">
      <formula>"No"</formula>
    </cfRule>
    <cfRule type="cellIs" dxfId="148" priority="143" operator="equal">
      <formula>"NA"</formula>
    </cfRule>
    <cfRule type="cellIs" dxfId="147" priority="144" operator="equal">
      <formula>"Yes"</formula>
    </cfRule>
  </conditionalFormatting>
  <conditionalFormatting sqref="D7">
    <cfRule type="cellIs" dxfId="146" priority="139" operator="equal">
      <formula>"No"</formula>
    </cfRule>
    <cfRule type="cellIs" dxfId="145" priority="140" operator="equal">
      <formula>"NA"</formula>
    </cfRule>
    <cfRule type="cellIs" dxfId="144" priority="141" operator="equal">
      <formula>"Yes"</formula>
    </cfRule>
  </conditionalFormatting>
  <conditionalFormatting sqref="D8">
    <cfRule type="cellIs" dxfId="143" priority="136" operator="equal">
      <formula>"No"</formula>
    </cfRule>
    <cfRule type="cellIs" dxfId="142" priority="137" operator="equal">
      <formula>"NA"</formula>
    </cfRule>
    <cfRule type="cellIs" dxfId="141" priority="138" operator="equal">
      <formula>"Yes"</formula>
    </cfRule>
  </conditionalFormatting>
  <conditionalFormatting sqref="D9">
    <cfRule type="cellIs" dxfId="140" priority="133" operator="equal">
      <formula>"No"</formula>
    </cfRule>
    <cfRule type="cellIs" dxfId="139" priority="134" operator="equal">
      <formula>"NA"</formula>
    </cfRule>
    <cfRule type="cellIs" dxfId="138" priority="135" operator="equal">
      <formula>"Yes"</formula>
    </cfRule>
  </conditionalFormatting>
  <conditionalFormatting sqref="D10">
    <cfRule type="cellIs" dxfId="137" priority="130" operator="equal">
      <formula>"No"</formula>
    </cfRule>
    <cfRule type="cellIs" dxfId="136" priority="131" operator="equal">
      <formula>"NA"</formula>
    </cfRule>
    <cfRule type="cellIs" dxfId="135" priority="132" operator="equal">
      <formula>"Yes"</formula>
    </cfRule>
  </conditionalFormatting>
  <conditionalFormatting sqref="D12">
    <cfRule type="cellIs" dxfId="134" priority="127" operator="equal">
      <formula>"No"</formula>
    </cfRule>
    <cfRule type="cellIs" dxfId="133" priority="128" operator="equal">
      <formula>"NA"</formula>
    </cfRule>
    <cfRule type="cellIs" dxfId="132" priority="129" operator="equal">
      <formula>"Yes"</formula>
    </cfRule>
  </conditionalFormatting>
  <conditionalFormatting sqref="D13">
    <cfRule type="cellIs" dxfId="131" priority="124" operator="equal">
      <formula>"No"</formula>
    </cfRule>
    <cfRule type="cellIs" dxfId="130" priority="125" operator="equal">
      <formula>"NA"</formula>
    </cfRule>
    <cfRule type="cellIs" dxfId="129" priority="126" operator="equal">
      <formula>"Yes"</formula>
    </cfRule>
  </conditionalFormatting>
  <conditionalFormatting sqref="D14">
    <cfRule type="cellIs" dxfId="128" priority="121" operator="equal">
      <formula>"No"</formula>
    </cfRule>
    <cfRule type="cellIs" dxfId="127" priority="122" operator="equal">
      <formula>"NA"</formula>
    </cfRule>
    <cfRule type="cellIs" dxfId="126" priority="123" operator="equal">
      <formula>"Yes"</formula>
    </cfRule>
  </conditionalFormatting>
  <conditionalFormatting sqref="D15">
    <cfRule type="cellIs" dxfId="125" priority="118" operator="equal">
      <formula>"No"</formula>
    </cfRule>
    <cfRule type="cellIs" dxfId="124" priority="119" operator="equal">
      <formula>"NA"</formula>
    </cfRule>
    <cfRule type="cellIs" dxfId="123" priority="120" operator="equal">
      <formula>"Yes"</formula>
    </cfRule>
  </conditionalFormatting>
  <conditionalFormatting sqref="D17">
    <cfRule type="cellIs" dxfId="122" priority="115" operator="equal">
      <formula>"No"</formula>
    </cfRule>
    <cfRule type="cellIs" dxfId="121" priority="116" operator="equal">
      <formula>"NA"</formula>
    </cfRule>
    <cfRule type="cellIs" dxfId="120" priority="117" operator="equal">
      <formula>"Yes"</formula>
    </cfRule>
  </conditionalFormatting>
  <conditionalFormatting sqref="D18">
    <cfRule type="cellIs" dxfId="119" priority="112" operator="equal">
      <formula>"No"</formula>
    </cfRule>
    <cfRule type="cellIs" dxfId="118" priority="113" operator="equal">
      <formula>"NA"</formula>
    </cfRule>
    <cfRule type="cellIs" dxfId="117" priority="114" operator="equal">
      <formula>"Yes"</formula>
    </cfRule>
  </conditionalFormatting>
  <conditionalFormatting sqref="D20">
    <cfRule type="cellIs" dxfId="116" priority="109" operator="equal">
      <formula>"No"</formula>
    </cfRule>
    <cfRule type="cellIs" dxfId="115" priority="110" operator="equal">
      <formula>"NA"</formula>
    </cfRule>
    <cfRule type="cellIs" dxfId="114" priority="111" operator="equal">
      <formula>"Yes"</formula>
    </cfRule>
  </conditionalFormatting>
  <conditionalFormatting sqref="D21">
    <cfRule type="cellIs" dxfId="113" priority="106" operator="equal">
      <formula>"No"</formula>
    </cfRule>
    <cfRule type="cellIs" dxfId="112" priority="107" operator="equal">
      <formula>"NA"</formula>
    </cfRule>
    <cfRule type="cellIs" dxfId="111" priority="108" operator="equal">
      <formula>"Yes"</formula>
    </cfRule>
  </conditionalFormatting>
  <conditionalFormatting sqref="D22">
    <cfRule type="cellIs" dxfId="110" priority="103" operator="equal">
      <formula>"No"</formula>
    </cfRule>
    <cfRule type="cellIs" dxfId="109" priority="104" operator="equal">
      <formula>"NA"</formula>
    </cfRule>
    <cfRule type="cellIs" dxfId="108" priority="105" operator="equal">
      <formula>"Yes"</formula>
    </cfRule>
  </conditionalFormatting>
  <conditionalFormatting sqref="D23">
    <cfRule type="cellIs" dxfId="107" priority="100" operator="equal">
      <formula>"No"</formula>
    </cfRule>
    <cfRule type="cellIs" dxfId="106" priority="101" operator="equal">
      <formula>"NA"</formula>
    </cfRule>
    <cfRule type="cellIs" dxfId="105" priority="102" operator="equal">
      <formula>"Yes"</formula>
    </cfRule>
  </conditionalFormatting>
  <conditionalFormatting sqref="D24">
    <cfRule type="cellIs" dxfId="104" priority="97" operator="equal">
      <formula>"No"</formula>
    </cfRule>
    <cfRule type="cellIs" dxfId="103" priority="98" operator="equal">
      <formula>"NA"</formula>
    </cfRule>
    <cfRule type="cellIs" dxfId="102" priority="99" operator="equal">
      <formula>"Yes"</formula>
    </cfRule>
  </conditionalFormatting>
  <conditionalFormatting sqref="D25">
    <cfRule type="cellIs" dxfId="101" priority="94" operator="equal">
      <formula>"No"</formula>
    </cfRule>
    <cfRule type="cellIs" dxfId="100" priority="95" operator="equal">
      <formula>"NA"</formula>
    </cfRule>
    <cfRule type="cellIs" dxfId="99" priority="96" operator="equal">
      <formula>"Yes"</formula>
    </cfRule>
  </conditionalFormatting>
  <conditionalFormatting sqref="D27">
    <cfRule type="cellIs" dxfId="98" priority="91" operator="equal">
      <formula>"No"</formula>
    </cfRule>
    <cfRule type="cellIs" dxfId="97" priority="92" operator="equal">
      <formula>"NA"</formula>
    </cfRule>
    <cfRule type="cellIs" dxfId="96" priority="93" operator="equal">
      <formula>"Yes"</formula>
    </cfRule>
  </conditionalFormatting>
  <conditionalFormatting sqref="D28">
    <cfRule type="cellIs" dxfId="95" priority="88" operator="equal">
      <formula>"No"</formula>
    </cfRule>
    <cfRule type="cellIs" dxfId="94" priority="89" operator="equal">
      <formula>"NA"</formula>
    </cfRule>
    <cfRule type="cellIs" dxfId="93" priority="90" operator="equal">
      <formula>"Yes"</formula>
    </cfRule>
  </conditionalFormatting>
  <conditionalFormatting sqref="D29">
    <cfRule type="cellIs" dxfId="92" priority="85" operator="equal">
      <formula>"No"</formula>
    </cfRule>
    <cfRule type="cellIs" dxfId="91" priority="86" operator="equal">
      <formula>"NA"</formula>
    </cfRule>
    <cfRule type="cellIs" dxfId="90" priority="87" operator="equal">
      <formula>"Yes"</formula>
    </cfRule>
  </conditionalFormatting>
  <conditionalFormatting sqref="D30">
    <cfRule type="cellIs" dxfId="89" priority="82" operator="equal">
      <formula>"No"</formula>
    </cfRule>
    <cfRule type="cellIs" dxfId="88" priority="83" operator="equal">
      <formula>"NA"</formula>
    </cfRule>
    <cfRule type="cellIs" dxfId="87" priority="84" operator="equal">
      <formula>"Yes"</formula>
    </cfRule>
  </conditionalFormatting>
  <conditionalFormatting sqref="D32">
    <cfRule type="cellIs" dxfId="86" priority="79" operator="equal">
      <formula>"No"</formula>
    </cfRule>
    <cfRule type="cellIs" dxfId="85" priority="80" operator="equal">
      <formula>"NA"</formula>
    </cfRule>
    <cfRule type="cellIs" dxfId="84" priority="81" operator="equal">
      <formula>"Yes"</formula>
    </cfRule>
  </conditionalFormatting>
  <conditionalFormatting sqref="D33">
    <cfRule type="cellIs" dxfId="83" priority="76" operator="equal">
      <formula>"No"</formula>
    </cfRule>
    <cfRule type="cellIs" dxfId="82" priority="77" operator="equal">
      <formula>"NA"</formula>
    </cfRule>
    <cfRule type="cellIs" dxfId="81" priority="78" operator="equal">
      <formula>"Yes"</formula>
    </cfRule>
  </conditionalFormatting>
  <conditionalFormatting sqref="D35">
    <cfRule type="cellIs" dxfId="80" priority="73" operator="equal">
      <formula>"No"</formula>
    </cfRule>
    <cfRule type="cellIs" dxfId="79" priority="74" operator="equal">
      <formula>"NA"</formula>
    </cfRule>
    <cfRule type="cellIs" dxfId="78" priority="75" operator="equal">
      <formula>"Yes"</formula>
    </cfRule>
  </conditionalFormatting>
  <conditionalFormatting sqref="E6:F6">
    <cfRule type="cellIs" dxfId="77" priority="70" operator="equal">
      <formula>"No"</formula>
    </cfRule>
    <cfRule type="cellIs" dxfId="76" priority="71" operator="equal">
      <formula>"NA"</formula>
    </cfRule>
    <cfRule type="cellIs" dxfId="75" priority="72" operator="equal">
      <formula>"Yes"</formula>
    </cfRule>
  </conditionalFormatting>
  <conditionalFormatting sqref="E7:F7">
    <cfRule type="cellIs" dxfId="74" priority="67" operator="equal">
      <formula>"No"</formula>
    </cfRule>
    <cfRule type="cellIs" dxfId="73" priority="68" operator="equal">
      <formula>"NA"</formula>
    </cfRule>
    <cfRule type="cellIs" dxfId="72" priority="69" operator="equal">
      <formula>"Yes"</formula>
    </cfRule>
  </conditionalFormatting>
  <conditionalFormatting sqref="E8:F8">
    <cfRule type="cellIs" dxfId="71" priority="64" operator="equal">
      <formula>"No"</formula>
    </cfRule>
    <cfRule type="cellIs" dxfId="70" priority="65" operator="equal">
      <formula>"NA"</formula>
    </cfRule>
    <cfRule type="cellIs" dxfId="69" priority="66" operator="equal">
      <formula>"Yes"</formula>
    </cfRule>
  </conditionalFormatting>
  <conditionalFormatting sqref="E9:F9">
    <cfRule type="cellIs" dxfId="68" priority="61" operator="equal">
      <formula>"No"</formula>
    </cfRule>
    <cfRule type="cellIs" dxfId="67" priority="62" operator="equal">
      <formula>"NA"</formula>
    </cfRule>
    <cfRule type="cellIs" dxfId="66" priority="63" operator="equal">
      <formula>"Yes"</formula>
    </cfRule>
  </conditionalFormatting>
  <conditionalFormatting sqref="E10:F10">
    <cfRule type="cellIs" dxfId="65" priority="58" operator="equal">
      <formula>"No"</formula>
    </cfRule>
    <cfRule type="cellIs" dxfId="64" priority="59" operator="equal">
      <formula>"NA"</formula>
    </cfRule>
    <cfRule type="cellIs" dxfId="63" priority="60" operator="equal">
      <formula>"Yes"</formula>
    </cfRule>
  </conditionalFormatting>
  <conditionalFormatting sqref="E12:F12">
    <cfRule type="cellIs" dxfId="62" priority="55" operator="equal">
      <formula>"No"</formula>
    </cfRule>
    <cfRule type="cellIs" dxfId="61" priority="56" operator="equal">
      <formula>"NA"</formula>
    </cfRule>
    <cfRule type="cellIs" dxfId="60" priority="57" operator="equal">
      <formula>"Yes"</formula>
    </cfRule>
  </conditionalFormatting>
  <conditionalFormatting sqref="E13:F13">
    <cfRule type="cellIs" dxfId="59" priority="52" operator="equal">
      <formula>"No"</formula>
    </cfRule>
    <cfRule type="cellIs" dxfId="58" priority="53" operator="equal">
      <formula>"NA"</formula>
    </cfRule>
    <cfRule type="cellIs" dxfId="57" priority="54" operator="equal">
      <formula>"Yes"</formula>
    </cfRule>
  </conditionalFormatting>
  <conditionalFormatting sqref="E14:F14">
    <cfRule type="cellIs" dxfId="56" priority="49" operator="equal">
      <formula>"No"</formula>
    </cfRule>
    <cfRule type="cellIs" dxfId="55" priority="50" operator="equal">
      <formula>"NA"</formula>
    </cfRule>
    <cfRule type="cellIs" dxfId="54" priority="51" operator="equal">
      <formula>"Yes"</formula>
    </cfRule>
  </conditionalFormatting>
  <conditionalFormatting sqref="E15:F15">
    <cfRule type="cellIs" dxfId="53" priority="46" operator="equal">
      <formula>"No"</formula>
    </cfRule>
    <cfRule type="cellIs" dxfId="52" priority="47" operator="equal">
      <formula>"NA"</formula>
    </cfRule>
    <cfRule type="cellIs" dxfId="51" priority="48" operator="equal">
      <formula>"Yes"</formula>
    </cfRule>
  </conditionalFormatting>
  <conditionalFormatting sqref="E17:F17">
    <cfRule type="cellIs" dxfId="50" priority="43" operator="equal">
      <formula>"No"</formula>
    </cfRule>
    <cfRule type="cellIs" dxfId="49" priority="44" operator="equal">
      <formula>"NA"</formula>
    </cfRule>
    <cfRule type="cellIs" dxfId="48" priority="45" operator="equal">
      <formula>"Yes"</formula>
    </cfRule>
  </conditionalFormatting>
  <conditionalFormatting sqref="E18:F18">
    <cfRule type="cellIs" dxfId="47" priority="40" operator="equal">
      <formula>"No"</formula>
    </cfRule>
    <cfRule type="cellIs" dxfId="46" priority="41" operator="equal">
      <formula>"NA"</formula>
    </cfRule>
    <cfRule type="cellIs" dxfId="45" priority="42" operator="equal">
      <formula>"Yes"</formula>
    </cfRule>
  </conditionalFormatting>
  <conditionalFormatting sqref="E20:F20">
    <cfRule type="cellIs" dxfId="44" priority="37" operator="equal">
      <formula>"No"</formula>
    </cfRule>
    <cfRule type="cellIs" dxfId="43" priority="38" operator="equal">
      <formula>"NA"</formula>
    </cfRule>
    <cfRule type="cellIs" dxfId="42" priority="39" operator="equal">
      <formula>"Yes"</formula>
    </cfRule>
  </conditionalFormatting>
  <conditionalFormatting sqref="E21:F21">
    <cfRule type="cellIs" dxfId="41" priority="34" operator="equal">
      <formula>"No"</formula>
    </cfRule>
    <cfRule type="cellIs" dxfId="40" priority="35" operator="equal">
      <formula>"NA"</formula>
    </cfRule>
    <cfRule type="cellIs" dxfId="39" priority="36" operator="equal">
      <formula>"Yes"</formula>
    </cfRule>
  </conditionalFormatting>
  <conditionalFormatting sqref="E22:F22">
    <cfRule type="cellIs" dxfId="38" priority="31" operator="equal">
      <formula>"No"</formula>
    </cfRule>
    <cfRule type="cellIs" dxfId="37" priority="32" operator="equal">
      <formula>"NA"</formula>
    </cfRule>
    <cfRule type="cellIs" dxfId="36" priority="33" operator="equal">
      <formula>"Yes"</formula>
    </cfRule>
  </conditionalFormatting>
  <conditionalFormatting sqref="E23:F23">
    <cfRule type="cellIs" dxfId="35" priority="28" operator="equal">
      <formula>"No"</formula>
    </cfRule>
    <cfRule type="cellIs" dxfId="34" priority="29" operator="equal">
      <formula>"NA"</formula>
    </cfRule>
    <cfRule type="cellIs" dxfId="33" priority="30" operator="equal">
      <formula>"Yes"</formula>
    </cfRule>
  </conditionalFormatting>
  <conditionalFormatting sqref="E24:F24">
    <cfRule type="cellIs" dxfId="32" priority="25" operator="equal">
      <formula>"No"</formula>
    </cfRule>
    <cfRule type="cellIs" dxfId="31" priority="26" operator="equal">
      <formula>"NA"</formula>
    </cfRule>
    <cfRule type="cellIs" dxfId="30" priority="27" operator="equal">
      <formula>"Yes"</formula>
    </cfRule>
  </conditionalFormatting>
  <conditionalFormatting sqref="E25:F25">
    <cfRule type="cellIs" dxfId="29" priority="22" operator="equal">
      <formula>"No"</formula>
    </cfRule>
    <cfRule type="cellIs" dxfId="28" priority="23" operator="equal">
      <formula>"NA"</formula>
    </cfRule>
    <cfRule type="cellIs" dxfId="27" priority="24" operator="equal">
      <formula>"Yes"</formula>
    </cfRule>
  </conditionalFormatting>
  <conditionalFormatting sqref="E27:F27">
    <cfRule type="cellIs" dxfId="26" priority="19" operator="equal">
      <formula>"No"</formula>
    </cfRule>
    <cfRule type="cellIs" dxfId="25" priority="20" operator="equal">
      <formula>"NA"</formula>
    </cfRule>
    <cfRule type="cellIs" dxfId="24" priority="21" operator="equal">
      <formula>"Yes"</formula>
    </cfRule>
  </conditionalFormatting>
  <conditionalFormatting sqref="E28:F28">
    <cfRule type="cellIs" dxfId="23" priority="16" operator="equal">
      <formula>"No"</formula>
    </cfRule>
    <cfRule type="cellIs" dxfId="22" priority="17" operator="equal">
      <formula>"NA"</formula>
    </cfRule>
    <cfRule type="cellIs" dxfId="21" priority="18" operator="equal">
      <formula>"Yes"</formula>
    </cfRule>
  </conditionalFormatting>
  <conditionalFormatting sqref="E29:F29">
    <cfRule type="cellIs" dxfId="20" priority="13" operator="equal">
      <formula>"No"</formula>
    </cfRule>
    <cfRule type="cellIs" dxfId="19" priority="14" operator="equal">
      <formula>"NA"</formula>
    </cfRule>
    <cfRule type="cellIs" dxfId="18" priority="15" operator="equal">
      <formula>"Yes"</formula>
    </cfRule>
  </conditionalFormatting>
  <conditionalFormatting sqref="E30:F30">
    <cfRule type="cellIs" dxfId="17" priority="10" operator="equal">
      <formula>"No"</formula>
    </cfRule>
    <cfRule type="cellIs" dxfId="16" priority="11" operator="equal">
      <formula>"NA"</formula>
    </cfRule>
    <cfRule type="cellIs" dxfId="15" priority="12" operator="equal">
      <formula>"Yes"</formula>
    </cfRule>
  </conditionalFormatting>
  <conditionalFormatting sqref="E32:F32">
    <cfRule type="cellIs" dxfId="14" priority="7" operator="equal">
      <formula>"No"</formula>
    </cfRule>
    <cfRule type="cellIs" dxfId="13" priority="8" operator="equal">
      <formula>"NA"</formula>
    </cfRule>
    <cfRule type="cellIs" dxfId="12" priority="9" operator="equal">
      <formula>"Yes"</formula>
    </cfRule>
  </conditionalFormatting>
  <conditionalFormatting sqref="E33:F33">
    <cfRule type="cellIs" dxfId="11" priority="4" operator="equal">
      <formula>"No"</formula>
    </cfRule>
    <cfRule type="cellIs" dxfId="10" priority="5" operator="equal">
      <formula>"NA"</formula>
    </cfRule>
    <cfRule type="cellIs" dxfId="9" priority="6" operator="equal">
      <formula>"Yes"</formula>
    </cfRule>
  </conditionalFormatting>
  <conditionalFormatting sqref="E35:F35">
    <cfRule type="cellIs" dxfId="8" priority="1" operator="equal">
      <formula>"No"</formula>
    </cfRule>
    <cfRule type="cellIs" dxfId="7" priority="2" operator="equal">
      <formula>"NA"</formula>
    </cfRule>
    <cfRule type="cellIs" dxfId="6" priority="3" operator="equal">
      <formula>"Yes"</formula>
    </cfRule>
  </conditionalFormatting>
  <dataValidations count="1">
    <dataValidation type="list" allowBlank="1" showInputMessage="1" showErrorMessage="1" sqref="C20:F25 C27:F30 C32:F33 C35:F35 C6:F10 C12:F15 C17:F18" xr:uid="{4731D4E8-BA6A-4225-A57A-439B48F72EFB}">
      <formula1>Option_ReviewEvaluationScale</formula1>
    </dataValidation>
  </dataValidation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Props1.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5.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69</vt:i4>
      </vt:variant>
    </vt:vector>
  </HeadingPairs>
  <TitlesOfParts>
    <vt:vector size="78" baseType="lpstr">
      <vt:lpstr>FrontPage</vt:lpstr>
      <vt:lpstr>General info</vt:lpstr>
      <vt:lpstr>Help</vt:lpstr>
      <vt:lpstr>Metrics</vt:lpstr>
      <vt:lpstr>Overview</vt:lpstr>
      <vt:lpstr>Review</vt:lpstr>
      <vt:lpstr>SDD checklist</vt:lpstr>
      <vt:lpstr>CODE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'UTSR checklist'!Review.QuestionIds</vt:lpstr>
      <vt:lpstr>'CODE checklist'!Review.ratings</vt:lpstr>
      <vt:lpstr>'SDD checklist'!Review.ratings</vt:lpstr>
      <vt:lpstr>'UTSR checklist'!Review.ratings</vt:lpstr>
      <vt:lpstr>ReviewerStatus</vt:lpstr>
      <vt:lpstr>'CODE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TemplateColumn</vt:lpstr>
      <vt:lpstr>TemplateRef</vt:lpstr>
      <vt:lpstr>Text_AllChecklists</vt:lpstr>
      <vt:lpstr>'CODE checklist'!Title.Checklist.Actions.Description</vt:lpstr>
      <vt:lpstr>'SDD checklist'!Title.Checklist.Actions.Description</vt:lpstr>
      <vt:lpstr>'CODE checklist'!Title.Checklist.Guide.HowToRate</vt:lpstr>
      <vt:lpstr>'SDD checklist'!Title.Checklist.Guide.HowToRate</vt:lpstr>
      <vt:lpstr>'CODE checklist'!Title.Checklist.Guide.WhatToCheck</vt:lpstr>
      <vt:lpstr>'SDD checklist'!Title.Checklist.Guide.WhatToCheck</vt:lpstr>
      <vt:lpstr>'CODE checklist'!Title.Checklist.ManualQuestion</vt:lpstr>
      <vt:lpstr>'SDD checklist'!Title.Checklist.ManualQuestion</vt:lpstr>
      <vt:lpstr>'CODE checklist'!Title.Checklist.NoteForAuditor</vt:lpstr>
      <vt:lpstr>'SDD checklist'!Title.Checklist.NoteForAuditor</vt:lpstr>
      <vt:lpstr>'CODE checklist'!Title.Checklist.Question</vt:lpstr>
      <vt:lpstr>'SDD checklist'!Title.Checklist.Question</vt:lpstr>
      <vt:lpstr>'CODE checklist'!Title.Checklist.QuestionReference</vt:lpstr>
      <vt:lpstr>'SDD checklist'!Title.Checklist.QuestionReference</vt:lpstr>
      <vt:lpstr>'CODE checklist'!Title.Checklist.Rate</vt:lpstr>
      <vt:lpstr>'SDD checklist'!Title.Checklist.Rate</vt:lpstr>
      <vt:lpstr>'CODE checklist'!TitleRow</vt:lpstr>
      <vt:lpstr>'SDD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Lucian Ardeleanu</cp:lastModifiedBy>
  <dcterms:created xsi:type="dcterms:W3CDTF">1996-10-21T11:03:58Z</dcterms:created>
  <dcterms:modified xsi:type="dcterms:W3CDTF">2023-07-31T11:40:40Z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