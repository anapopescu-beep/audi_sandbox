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TL_Lib\Quality_Assurance\Peer_Review\"/>
    </mc:Choice>
  </mc:AlternateContent>
  <xr:revisionPtr revIDLastSave="0" documentId="13_ncr:1_{674394D0-FCF6-440E-81EF-4B287EA7EE82}" xr6:coauthVersionLast="47" xr6:coauthVersionMax="47" xr10:uidLastSave="{00000000-0000-0000-0000-000000000000}"/>
  <bookViews>
    <workbookView xWindow="28680" yWindow="-120"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s>
  <functionGroups builtInGroupCount="19"/>
  <externalReferences>
    <externalReference r:id="rId9"/>
    <externalReference r:id="rId10"/>
    <externalReference r:id="rId11"/>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ratings" localSheetId="7">'CODE checklist'!$C$5:$C$36</definedName>
    <definedName name="Review.ratings" localSheetId="6">'SDD checklist'!$C$5:$C$35</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checklist'!$AJ$3</definedName>
    <definedName name="Title.Checklist.Guide.HowToRate" localSheetId="6">'SDD checklist'!$F$3</definedName>
    <definedName name="Title.Checklist.Guide.WhatToCheck" localSheetId="7">'CODE checklist'!$AI$3</definedName>
    <definedName name="Title.Checklist.Guide.WhatToCheck" localSheetId="6">'SDD checklist'!$E$3</definedName>
    <definedName name="Title.Checklist.ManualQuestion" localSheetId="7">'CODE checklist'!$B$34</definedName>
    <definedName name="Title.Checklist.ManualQuestion" localSheetId="6">'SDD checklist'!$B$33</definedName>
    <definedName name="Title.Checklist.NoteForAuditor" localSheetId="7">'CODE checklist'!$AI$2</definedName>
    <definedName name="Title.Checklist.NoteForAuditor" localSheetId="6">'SDD checklist'!$E$2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3" i="42" l="1"/>
  <c r="AG3" i="246"/>
  <c r="F27" i="16"/>
  <c r="E27" i="16"/>
  <c r="E44" i="16"/>
  <c r="E37" i="16"/>
  <c r="E32" i="42"/>
  <c r="AF3" i="246"/>
  <c r="E31" i="42"/>
  <c r="AE3" i="246"/>
  <c r="AD3" i="246"/>
  <c r="AC3" i="246"/>
  <c r="AB3" i="246"/>
  <c r="AA3" i="246"/>
  <c r="Z3" i="246"/>
  <c r="Y3" i="246"/>
  <c r="X3" i="246"/>
  <c r="W3" i="246"/>
  <c r="V3" i="246"/>
  <c r="U3" i="246"/>
  <c r="T3" i="246"/>
  <c r="S3" i="246"/>
  <c r="R3" i="246"/>
  <c r="Q3" i="246"/>
  <c r="P3" i="246"/>
  <c r="O3" i="246"/>
  <c r="N3" i="246"/>
  <c r="M3" i="246"/>
  <c r="L3" i="246"/>
  <c r="K3" i="246"/>
  <c r="J3" i="246"/>
  <c r="I3" i="246"/>
  <c r="H3" i="246"/>
  <c r="G3" i="246"/>
  <c r="F3" i="246"/>
  <c r="E3" i="246"/>
  <c r="C3" i="245"/>
  <c r="E30" i="42"/>
  <c r="E29" i="42"/>
  <c r="E28" i="42"/>
  <c r="E27" i="42"/>
  <c r="E26" i="42"/>
  <c r="E25" i="42"/>
  <c r="E24" i="42"/>
  <c r="E23" i="42"/>
  <c r="E22" i="42"/>
  <c r="E21" i="42"/>
  <c r="E20" i="42"/>
  <c r="E19" i="42"/>
  <c r="E18" i="42"/>
  <c r="E17" i="42"/>
  <c r="E16" i="42"/>
  <c r="E15" i="42"/>
  <c r="E14" i="42"/>
  <c r="E13" i="42"/>
  <c r="E12" i="42"/>
  <c r="E11" i="42"/>
  <c r="E10" i="42"/>
  <c r="E9" i="42"/>
  <c r="E8" i="42"/>
  <c r="E7" i="42"/>
  <c r="E6" i="42"/>
  <c r="E5" i="42"/>
  <c r="D3" i="246"/>
  <c r="E4" i="42"/>
  <c r="E3" i="42"/>
  <c r="F10" i="38"/>
  <c r="A5" i="38"/>
  <c r="E7" i="38"/>
  <c r="AE7" i="38"/>
  <c r="A7" i="38"/>
  <c r="AB7" i="38"/>
  <c r="W7" i="38"/>
  <c r="AB5" i="38"/>
  <c r="W5" i="38"/>
  <c r="C3" i="246" l="1"/>
  <c r="A23" i="3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538A9069-E289-4DED-B2E4-55D4305C0BDE}">
      <text>
        <r>
          <rPr>
            <b/>
            <sz val="9"/>
            <color indexed="81"/>
            <rFont val="Tahoma"/>
            <family val="2"/>
          </rPr>
          <t>Overview :</t>
        </r>
        <r>
          <rPr>
            <sz val="9"/>
            <color indexed="81"/>
            <rFont val="Tahoma"/>
            <family val="2"/>
          </rPr>
          <t xml:space="preserve">
Pourcentage of "yes" answers out of applicable answers</t>
        </r>
      </text>
    </comment>
    <comment ref="E3" authorId="0" shapeId="0" xr:uid="{BFCEDB2C-CBC3-4C6E-A1C2-F3824E2902B8}">
      <text>
        <r>
          <rPr>
            <b/>
            <sz val="9"/>
            <color indexed="81"/>
            <rFont val="Tahoma"/>
            <family val="2"/>
          </rPr>
          <t>Overview :</t>
        </r>
        <r>
          <rPr>
            <sz val="9"/>
            <color indexed="81"/>
            <rFont val="Tahoma"/>
            <family val="2"/>
          </rPr>
          <t xml:space="preserve">
Pourcentage of "yes" answers out of applicable answers</t>
        </r>
      </text>
    </comment>
    <comment ref="F3" authorId="0" shapeId="0" xr:uid="{EC888A71-A91A-4B4D-9C91-EEFE554D351B}">
      <text>
        <r>
          <rPr>
            <b/>
            <sz val="9"/>
            <color indexed="81"/>
            <rFont val="Tahoma"/>
            <family val="2"/>
          </rPr>
          <t>Overview :</t>
        </r>
        <r>
          <rPr>
            <sz val="9"/>
            <color indexed="81"/>
            <rFont val="Tahoma"/>
            <family val="2"/>
          </rPr>
          <t xml:space="preserve">
Pourcentage of "yes" answers out of applicable answers</t>
        </r>
      </text>
    </comment>
    <comment ref="G3" authorId="0" shapeId="0" xr:uid="{F7235EBB-FA0B-47DF-98F0-34F42615E3C6}">
      <text>
        <r>
          <rPr>
            <b/>
            <sz val="9"/>
            <color indexed="81"/>
            <rFont val="Tahoma"/>
            <family val="2"/>
          </rPr>
          <t>Overview :</t>
        </r>
        <r>
          <rPr>
            <sz val="9"/>
            <color indexed="81"/>
            <rFont val="Tahoma"/>
            <family val="2"/>
          </rPr>
          <t xml:space="preserve">
Pourcentage of "yes" answers out of applicable answers</t>
        </r>
      </text>
    </comment>
    <comment ref="H3" authorId="0" shapeId="0" xr:uid="{3D6B99AB-7119-4E0F-A63A-0A4AD63559A4}">
      <text>
        <r>
          <rPr>
            <b/>
            <sz val="9"/>
            <color indexed="81"/>
            <rFont val="Tahoma"/>
            <family val="2"/>
          </rPr>
          <t>Overview :</t>
        </r>
        <r>
          <rPr>
            <sz val="9"/>
            <color indexed="81"/>
            <rFont val="Tahoma"/>
            <family val="2"/>
          </rPr>
          <t xml:space="preserve">
Pourcentage of "yes" answers out of applicable answers</t>
        </r>
      </text>
    </comment>
    <comment ref="I3" authorId="0" shapeId="0" xr:uid="{E2FFFC65-F398-4AB7-8CB5-4FC0AB5F40EE}">
      <text>
        <r>
          <rPr>
            <b/>
            <sz val="9"/>
            <color indexed="81"/>
            <rFont val="Tahoma"/>
            <family val="2"/>
          </rPr>
          <t>Overview :</t>
        </r>
        <r>
          <rPr>
            <sz val="9"/>
            <color indexed="81"/>
            <rFont val="Tahoma"/>
            <family val="2"/>
          </rPr>
          <t xml:space="preserve">
Pourcentage of "yes" answers out of applicable answers</t>
        </r>
      </text>
    </comment>
    <comment ref="J3" authorId="0" shapeId="0" xr:uid="{6D76180E-0EB0-45B3-A6C3-60E36E3B78BB}">
      <text>
        <r>
          <rPr>
            <b/>
            <sz val="9"/>
            <color indexed="81"/>
            <rFont val="Tahoma"/>
            <family val="2"/>
          </rPr>
          <t>Overview :</t>
        </r>
        <r>
          <rPr>
            <sz val="9"/>
            <color indexed="81"/>
            <rFont val="Tahoma"/>
            <family val="2"/>
          </rPr>
          <t xml:space="preserve">
Pourcentage of "yes" answers out of applicable answers</t>
        </r>
      </text>
    </comment>
    <comment ref="K3" authorId="0" shapeId="0" xr:uid="{CDBCF357-2EB5-4308-BD27-1EA83270F185}">
      <text>
        <r>
          <rPr>
            <b/>
            <sz val="9"/>
            <color indexed="81"/>
            <rFont val="Tahoma"/>
            <family val="2"/>
          </rPr>
          <t>Overview :</t>
        </r>
        <r>
          <rPr>
            <sz val="9"/>
            <color indexed="81"/>
            <rFont val="Tahoma"/>
            <family val="2"/>
          </rPr>
          <t xml:space="preserve">
Pourcentage of "yes" answers out of applicable answers</t>
        </r>
      </text>
    </comment>
    <comment ref="L3" authorId="0" shapeId="0" xr:uid="{49C06248-84E7-431F-9B89-AF40A25E6ED1}">
      <text>
        <r>
          <rPr>
            <b/>
            <sz val="9"/>
            <color indexed="81"/>
            <rFont val="Tahoma"/>
            <family val="2"/>
          </rPr>
          <t>Overview :</t>
        </r>
        <r>
          <rPr>
            <sz val="9"/>
            <color indexed="81"/>
            <rFont val="Tahoma"/>
            <family val="2"/>
          </rPr>
          <t xml:space="preserve">
Pourcentage of "yes" answers out of applicable answers</t>
        </r>
      </text>
    </comment>
    <comment ref="M3" authorId="0" shapeId="0" xr:uid="{891914F9-1A55-4140-8847-C484AE418683}">
      <text>
        <r>
          <rPr>
            <b/>
            <sz val="9"/>
            <color indexed="81"/>
            <rFont val="Tahoma"/>
            <family val="2"/>
          </rPr>
          <t>Overview :</t>
        </r>
        <r>
          <rPr>
            <sz val="9"/>
            <color indexed="81"/>
            <rFont val="Tahoma"/>
            <family val="2"/>
          </rPr>
          <t xml:space="preserve">
Pourcentage of "yes" answers out of applicable answers</t>
        </r>
      </text>
    </comment>
    <comment ref="N3" authorId="0" shapeId="0" xr:uid="{75E3EC04-9DF1-4EB6-AB0A-DE5D9B16A3B3}">
      <text>
        <r>
          <rPr>
            <b/>
            <sz val="9"/>
            <color indexed="81"/>
            <rFont val="Tahoma"/>
            <family val="2"/>
          </rPr>
          <t>Overview :</t>
        </r>
        <r>
          <rPr>
            <sz val="9"/>
            <color indexed="81"/>
            <rFont val="Tahoma"/>
            <family val="2"/>
          </rPr>
          <t xml:space="preserve">
Pourcentage of "yes" answers out of applicable answers</t>
        </r>
      </text>
    </comment>
    <comment ref="O3" authorId="0" shapeId="0" xr:uid="{B7F2B372-9C60-4A6D-B7D8-640CCDF752E2}">
      <text>
        <r>
          <rPr>
            <b/>
            <sz val="9"/>
            <color indexed="81"/>
            <rFont val="Tahoma"/>
            <family val="2"/>
          </rPr>
          <t>Overview :</t>
        </r>
        <r>
          <rPr>
            <sz val="9"/>
            <color indexed="81"/>
            <rFont val="Tahoma"/>
            <family val="2"/>
          </rPr>
          <t xml:space="preserve">
Pourcentage of "yes" answers out of applicable answers</t>
        </r>
      </text>
    </comment>
    <comment ref="P3" authorId="0" shapeId="0" xr:uid="{1E41DDEF-994C-4E25-8599-653F53895CC4}">
      <text>
        <r>
          <rPr>
            <b/>
            <sz val="9"/>
            <color indexed="81"/>
            <rFont val="Tahoma"/>
            <family val="2"/>
          </rPr>
          <t>Overview :</t>
        </r>
        <r>
          <rPr>
            <sz val="9"/>
            <color indexed="81"/>
            <rFont val="Tahoma"/>
            <family val="2"/>
          </rPr>
          <t xml:space="preserve">
Pourcentage of "yes" answers out of applicable answers</t>
        </r>
      </text>
    </comment>
    <comment ref="Q3" authorId="0" shapeId="0" xr:uid="{B586FBC5-AB25-47C3-AC40-40DA4100D96B}">
      <text>
        <r>
          <rPr>
            <b/>
            <sz val="9"/>
            <color indexed="81"/>
            <rFont val="Tahoma"/>
            <family val="2"/>
          </rPr>
          <t>Overview :</t>
        </r>
        <r>
          <rPr>
            <sz val="9"/>
            <color indexed="81"/>
            <rFont val="Tahoma"/>
            <family val="2"/>
          </rPr>
          <t xml:space="preserve">
Pourcentage of "yes" answers out of applicable answers</t>
        </r>
      </text>
    </comment>
    <comment ref="R3" authorId="0" shapeId="0" xr:uid="{4621FDB1-C1AB-4192-80FE-C4F97DB1D840}">
      <text>
        <r>
          <rPr>
            <b/>
            <sz val="9"/>
            <color indexed="81"/>
            <rFont val="Tahoma"/>
            <family val="2"/>
          </rPr>
          <t>Overview :</t>
        </r>
        <r>
          <rPr>
            <sz val="9"/>
            <color indexed="81"/>
            <rFont val="Tahoma"/>
            <family val="2"/>
          </rPr>
          <t xml:space="preserve">
Pourcentage of "yes" answers out of applicable answers</t>
        </r>
      </text>
    </comment>
    <comment ref="S3" authorId="0" shapeId="0" xr:uid="{D6FA09DD-9078-4909-8D33-FBB1432928F7}">
      <text>
        <r>
          <rPr>
            <b/>
            <sz val="9"/>
            <color indexed="81"/>
            <rFont val="Tahoma"/>
            <family val="2"/>
          </rPr>
          <t>Overview :</t>
        </r>
        <r>
          <rPr>
            <sz val="9"/>
            <color indexed="81"/>
            <rFont val="Tahoma"/>
            <family val="2"/>
          </rPr>
          <t xml:space="preserve">
Pourcentage of "yes" answers out of applicable answers</t>
        </r>
      </text>
    </comment>
    <comment ref="T3" authorId="0" shapeId="0" xr:uid="{932A1230-EDC9-4728-A98D-3B8902B4FE04}">
      <text>
        <r>
          <rPr>
            <b/>
            <sz val="9"/>
            <color indexed="81"/>
            <rFont val="Tahoma"/>
            <family val="2"/>
          </rPr>
          <t>Overview :</t>
        </r>
        <r>
          <rPr>
            <sz val="9"/>
            <color indexed="81"/>
            <rFont val="Tahoma"/>
            <family val="2"/>
          </rPr>
          <t xml:space="preserve">
Pourcentage of "yes" answers out of applicable answers</t>
        </r>
      </text>
    </comment>
    <comment ref="U3" authorId="0" shapeId="0" xr:uid="{85C64526-3A32-4920-96FC-77D0F7302BEB}">
      <text>
        <r>
          <rPr>
            <b/>
            <sz val="9"/>
            <color indexed="81"/>
            <rFont val="Tahoma"/>
            <family val="2"/>
          </rPr>
          <t>Overview :</t>
        </r>
        <r>
          <rPr>
            <sz val="9"/>
            <color indexed="81"/>
            <rFont val="Tahoma"/>
            <family val="2"/>
          </rPr>
          <t xml:space="preserve">
Pourcentage of "yes" answers out of applicable answers</t>
        </r>
      </text>
    </comment>
    <comment ref="V3" authorId="0" shapeId="0" xr:uid="{95B24A62-0C38-4AD0-9D9C-9FACD4C2BB9F}">
      <text>
        <r>
          <rPr>
            <b/>
            <sz val="9"/>
            <color indexed="81"/>
            <rFont val="Tahoma"/>
            <family val="2"/>
          </rPr>
          <t>Overview :</t>
        </r>
        <r>
          <rPr>
            <sz val="9"/>
            <color indexed="81"/>
            <rFont val="Tahoma"/>
            <family val="2"/>
          </rPr>
          <t xml:space="preserve">
Pourcentage of "yes" answers out of applicable answers</t>
        </r>
      </text>
    </comment>
    <comment ref="W3" authorId="0" shapeId="0" xr:uid="{1F8B3956-BA52-4600-8C16-5E871CE207F5}">
      <text>
        <r>
          <rPr>
            <b/>
            <sz val="9"/>
            <color indexed="81"/>
            <rFont val="Tahoma"/>
            <family val="2"/>
          </rPr>
          <t>Overview :</t>
        </r>
        <r>
          <rPr>
            <sz val="9"/>
            <color indexed="81"/>
            <rFont val="Tahoma"/>
            <family val="2"/>
          </rPr>
          <t xml:space="preserve">
Pourcentage of "yes" answers out of applicable answers</t>
        </r>
      </text>
    </comment>
    <comment ref="X3" authorId="0" shapeId="0" xr:uid="{3B1ED23E-9FEA-4BDE-9631-2D121ED43EBC}">
      <text>
        <r>
          <rPr>
            <b/>
            <sz val="9"/>
            <color indexed="81"/>
            <rFont val="Tahoma"/>
            <family val="2"/>
          </rPr>
          <t>Overview :</t>
        </r>
        <r>
          <rPr>
            <sz val="9"/>
            <color indexed="81"/>
            <rFont val="Tahoma"/>
            <family val="2"/>
          </rPr>
          <t xml:space="preserve">
Pourcentage of "yes" answers out of applicable answers</t>
        </r>
      </text>
    </comment>
    <comment ref="Y3" authorId="0" shapeId="0" xr:uid="{7FC9A6FB-7E76-4D2A-A274-928B89D65F77}">
      <text>
        <r>
          <rPr>
            <b/>
            <sz val="9"/>
            <color indexed="81"/>
            <rFont val="Tahoma"/>
            <family val="2"/>
          </rPr>
          <t>Overview :</t>
        </r>
        <r>
          <rPr>
            <sz val="9"/>
            <color indexed="81"/>
            <rFont val="Tahoma"/>
            <family val="2"/>
          </rPr>
          <t xml:space="preserve">
Pourcentage of "yes" answers out of applicable answers</t>
        </r>
      </text>
    </comment>
    <comment ref="Z3" authorId="0" shapeId="0" xr:uid="{F718CE24-008D-461D-A11B-4E191BEA9075}">
      <text>
        <r>
          <rPr>
            <b/>
            <sz val="9"/>
            <color indexed="81"/>
            <rFont val="Tahoma"/>
            <family val="2"/>
          </rPr>
          <t>Overview :</t>
        </r>
        <r>
          <rPr>
            <sz val="9"/>
            <color indexed="81"/>
            <rFont val="Tahoma"/>
            <family val="2"/>
          </rPr>
          <t xml:space="preserve">
Pourcentage of "yes" answers out of applicable answers</t>
        </r>
      </text>
    </comment>
    <comment ref="AA3" authorId="0" shapeId="0" xr:uid="{66F33168-5868-42DB-995E-25530565B207}">
      <text>
        <r>
          <rPr>
            <b/>
            <sz val="9"/>
            <color indexed="81"/>
            <rFont val="Tahoma"/>
            <family val="2"/>
          </rPr>
          <t>Overview :</t>
        </r>
        <r>
          <rPr>
            <sz val="9"/>
            <color indexed="81"/>
            <rFont val="Tahoma"/>
            <family val="2"/>
          </rPr>
          <t xml:space="preserve">
Pourcentage of "yes" answers out of applicable answers</t>
        </r>
      </text>
    </comment>
    <comment ref="AB3" authorId="0" shapeId="0" xr:uid="{22135BF7-61DA-4B14-BDD0-2E7A2EB12BD9}">
      <text>
        <r>
          <rPr>
            <b/>
            <sz val="9"/>
            <color indexed="81"/>
            <rFont val="Tahoma"/>
            <family val="2"/>
          </rPr>
          <t>Overview :</t>
        </r>
        <r>
          <rPr>
            <sz val="9"/>
            <color indexed="81"/>
            <rFont val="Tahoma"/>
            <family val="2"/>
          </rPr>
          <t xml:space="preserve">
Pourcentage of "yes" answers out of applicable answers</t>
        </r>
      </text>
    </comment>
    <comment ref="AC3" authorId="0" shapeId="0" xr:uid="{EF9E0662-5971-4664-85BE-A65F333B7B32}">
      <text>
        <r>
          <rPr>
            <b/>
            <sz val="9"/>
            <color indexed="81"/>
            <rFont val="Tahoma"/>
            <family val="2"/>
          </rPr>
          <t>Overview :</t>
        </r>
        <r>
          <rPr>
            <sz val="9"/>
            <color indexed="81"/>
            <rFont val="Tahoma"/>
            <family val="2"/>
          </rPr>
          <t xml:space="preserve">
Pourcentage of "yes" answers out of applicable answers</t>
        </r>
      </text>
    </comment>
    <comment ref="AD3" authorId="0" shapeId="0" xr:uid="{F05C534E-0A52-481D-8BFC-BBE2B320A52E}">
      <text>
        <r>
          <rPr>
            <b/>
            <sz val="9"/>
            <color indexed="81"/>
            <rFont val="Tahoma"/>
            <family val="2"/>
          </rPr>
          <t>Overview :</t>
        </r>
        <r>
          <rPr>
            <sz val="9"/>
            <color indexed="81"/>
            <rFont val="Tahoma"/>
            <family val="2"/>
          </rPr>
          <t xml:space="preserve">
Pourcentage of "yes" answers out of applicable answers</t>
        </r>
      </text>
    </comment>
    <comment ref="AE3" authorId="0" shapeId="0" xr:uid="{370E774F-EA22-4961-AD94-5CAF7443057E}">
      <text>
        <r>
          <rPr>
            <b/>
            <sz val="9"/>
            <color indexed="81"/>
            <rFont val="Tahoma"/>
            <family val="2"/>
          </rPr>
          <t>Overview :</t>
        </r>
        <r>
          <rPr>
            <sz val="9"/>
            <color indexed="81"/>
            <rFont val="Tahoma"/>
            <family val="2"/>
          </rPr>
          <t xml:space="preserve">
Pourcentage of "yes" answers out of applicable answers</t>
        </r>
      </text>
    </comment>
    <comment ref="AF3" authorId="0" shapeId="0" xr:uid="{D459CB78-DF11-4D50-92DD-D66C28F4F81B}">
      <text>
        <r>
          <rPr>
            <b/>
            <sz val="9"/>
            <color indexed="81"/>
            <rFont val="Tahoma"/>
            <family val="2"/>
          </rPr>
          <t>Overview :</t>
        </r>
        <r>
          <rPr>
            <sz val="9"/>
            <color indexed="81"/>
            <rFont val="Tahoma"/>
            <family val="2"/>
          </rPr>
          <t xml:space="preserve">
Pourcentage of "yes" answers out of applicable answers</t>
        </r>
      </text>
    </comment>
    <comment ref="AG3" authorId="0" shapeId="0" xr:uid="{B2AA905A-9A81-45AE-BCF9-6D59B3B994E2}">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608B892B-A7A6-4455-BAB1-C288C15419A3}">
      <text>
        <r>
          <rPr>
            <b/>
            <sz val="9"/>
            <color indexed="81"/>
            <rFont val="Tahoma"/>
            <family val="2"/>
          </rPr>
          <t>This cell must be blank</t>
        </r>
      </text>
    </comment>
    <comment ref="E36" authorId="0" shapeId="0" xr:uid="{D8D1980F-ECDC-4ED1-9E7E-91235A09AE04}">
      <text>
        <r>
          <rPr>
            <b/>
            <sz val="9"/>
            <color indexed="81"/>
            <rFont val="Tahoma"/>
            <family val="2"/>
          </rPr>
          <t>This cell must be blank</t>
        </r>
      </text>
    </comment>
    <comment ref="F36" authorId="0" shapeId="0" xr:uid="{24858B90-5EAA-4767-A840-744C5FFDB2A9}">
      <text>
        <r>
          <rPr>
            <b/>
            <sz val="9"/>
            <color indexed="81"/>
            <rFont val="Tahoma"/>
            <family val="2"/>
          </rPr>
          <t>This cell must be blank</t>
        </r>
      </text>
    </comment>
    <comment ref="G36" authorId="0" shapeId="0" xr:uid="{8999E584-252A-423D-B8D9-039E57CAA705}">
      <text>
        <r>
          <rPr>
            <b/>
            <sz val="9"/>
            <color indexed="81"/>
            <rFont val="Tahoma"/>
            <family val="2"/>
          </rPr>
          <t>This cell must be blank</t>
        </r>
      </text>
    </comment>
    <comment ref="H36" authorId="0" shapeId="0" xr:uid="{DB57AADE-0CF5-4F4D-9577-43980F99CCE1}">
      <text>
        <r>
          <rPr>
            <b/>
            <sz val="9"/>
            <color indexed="81"/>
            <rFont val="Tahoma"/>
            <family val="2"/>
          </rPr>
          <t>This cell must be blank</t>
        </r>
      </text>
    </comment>
    <comment ref="I36" authorId="0" shapeId="0" xr:uid="{03F7CA4B-F393-4369-A7BF-9049A6F059E2}">
      <text>
        <r>
          <rPr>
            <b/>
            <sz val="9"/>
            <color indexed="81"/>
            <rFont val="Tahoma"/>
            <family val="2"/>
          </rPr>
          <t>This cell must be blank</t>
        </r>
      </text>
    </comment>
    <comment ref="J36" authorId="0" shapeId="0" xr:uid="{5E99D3BC-542E-4BBA-BBD9-53E6F108D734}">
      <text>
        <r>
          <rPr>
            <b/>
            <sz val="9"/>
            <color indexed="81"/>
            <rFont val="Tahoma"/>
            <family val="2"/>
          </rPr>
          <t>This cell must be blank</t>
        </r>
      </text>
    </comment>
    <comment ref="K36" authorId="0" shapeId="0" xr:uid="{2C8F5715-8074-4319-8364-2AE2387B3667}">
      <text>
        <r>
          <rPr>
            <b/>
            <sz val="9"/>
            <color indexed="81"/>
            <rFont val="Tahoma"/>
            <family val="2"/>
          </rPr>
          <t>This cell must be blank</t>
        </r>
      </text>
    </comment>
    <comment ref="L36" authorId="0" shapeId="0" xr:uid="{C37455A4-6F48-4228-B3A4-EB7970FCD169}">
      <text>
        <r>
          <rPr>
            <b/>
            <sz val="9"/>
            <color indexed="81"/>
            <rFont val="Tahoma"/>
            <family val="2"/>
          </rPr>
          <t>This cell must be blank</t>
        </r>
      </text>
    </comment>
    <comment ref="M36" authorId="0" shapeId="0" xr:uid="{D06E79EF-1D9B-4C09-B21A-5CF85BFA2963}">
      <text>
        <r>
          <rPr>
            <b/>
            <sz val="9"/>
            <color indexed="81"/>
            <rFont val="Tahoma"/>
            <family val="2"/>
          </rPr>
          <t>This cell must be blank</t>
        </r>
      </text>
    </comment>
    <comment ref="N36" authorId="0" shapeId="0" xr:uid="{BDD10778-633E-465E-B965-918D3D5567CB}">
      <text>
        <r>
          <rPr>
            <b/>
            <sz val="9"/>
            <color indexed="81"/>
            <rFont val="Tahoma"/>
            <family val="2"/>
          </rPr>
          <t>This cell must be blank</t>
        </r>
      </text>
    </comment>
    <comment ref="O36" authorId="0" shapeId="0" xr:uid="{D0E28B0E-3C8E-424F-BE4E-1F222485537E}">
      <text>
        <r>
          <rPr>
            <b/>
            <sz val="9"/>
            <color indexed="81"/>
            <rFont val="Tahoma"/>
            <family val="2"/>
          </rPr>
          <t>This cell must be blank</t>
        </r>
      </text>
    </comment>
    <comment ref="P36" authorId="0" shapeId="0" xr:uid="{A88B9E7D-A285-4E9B-AB8D-6065C55FFA28}">
      <text>
        <r>
          <rPr>
            <b/>
            <sz val="9"/>
            <color indexed="81"/>
            <rFont val="Tahoma"/>
            <family val="2"/>
          </rPr>
          <t>This cell must be blank</t>
        </r>
      </text>
    </comment>
    <comment ref="Q36" authorId="0" shapeId="0" xr:uid="{45DA78C3-7027-4B1D-A23B-F06FF2926897}">
      <text>
        <r>
          <rPr>
            <b/>
            <sz val="9"/>
            <color indexed="81"/>
            <rFont val="Tahoma"/>
            <family val="2"/>
          </rPr>
          <t>This cell must be blank</t>
        </r>
      </text>
    </comment>
    <comment ref="R36" authorId="0" shapeId="0" xr:uid="{CF39709E-1B19-4013-9128-860E1F574B52}">
      <text>
        <r>
          <rPr>
            <b/>
            <sz val="9"/>
            <color indexed="81"/>
            <rFont val="Tahoma"/>
            <family val="2"/>
          </rPr>
          <t>This cell must be blank</t>
        </r>
      </text>
    </comment>
    <comment ref="S36" authorId="0" shapeId="0" xr:uid="{99855E27-7A6F-4C12-BAB8-3B8760ADC351}">
      <text>
        <r>
          <rPr>
            <b/>
            <sz val="9"/>
            <color indexed="81"/>
            <rFont val="Tahoma"/>
            <family val="2"/>
          </rPr>
          <t>This cell must be blank</t>
        </r>
      </text>
    </comment>
    <comment ref="T36" authorId="0" shapeId="0" xr:uid="{9157D891-0B25-40B2-8258-22D50726EFEB}">
      <text>
        <r>
          <rPr>
            <b/>
            <sz val="9"/>
            <color indexed="81"/>
            <rFont val="Tahoma"/>
            <family val="2"/>
          </rPr>
          <t>This cell must be blank</t>
        </r>
      </text>
    </comment>
    <comment ref="U36" authorId="0" shapeId="0" xr:uid="{08F83970-694D-48A4-91D7-C185E5FB2E33}">
      <text>
        <r>
          <rPr>
            <b/>
            <sz val="9"/>
            <color indexed="81"/>
            <rFont val="Tahoma"/>
            <family val="2"/>
          </rPr>
          <t>This cell must be blank</t>
        </r>
      </text>
    </comment>
    <comment ref="V36" authorId="0" shapeId="0" xr:uid="{3DFBF244-7F1F-45CC-8BA9-E48C0D6151CE}">
      <text>
        <r>
          <rPr>
            <b/>
            <sz val="9"/>
            <color indexed="81"/>
            <rFont val="Tahoma"/>
            <family val="2"/>
          </rPr>
          <t>This cell must be blank</t>
        </r>
      </text>
    </comment>
    <comment ref="W36" authorId="0" shapeId="0" xr:uid="{35D21ACD-E868-4949-ADEF-58AE06402F28}">
      <text>
        <r>
          <rPr>
            <b/>
            <sz val="9"/>
            <color indexed="81"/>
            <rFont val="Tahoma"/>
            <family val="2"/>
          </rPr>
          <t>This cell must be blank</t>
        </r>
      </text>
    </comment>
    <comment ref="X36" authorId="0" shapeId="0" xr:uid="{4AF29A2F-6650-4EBF-A58A-02B028745666}">
      <text>
        <r>
          <rPr>
            <b/>
            <sz val="9"/>
            <color indexed="81"/>
            <rFont val="Tahoma"/>
            <family val="2"/>
          </rPr>
          <t>This cell must be blank</t>
        </r>
      </text>
    </comment>
    <comment ref="Y36" authorId="0" shapeId="0" xr:uid="{E43F080D-943C-4927-96B8-7E770340ACCC}">
      <text>
        <r>
          <rPr>
            <b/>
            <sz val="9"/>
            <color indexed="81"/>
            <rFont val="Tahoma"/>
            <family val="2"/>
          </rPr>
          <t>This cell must be blank</t>
        </r>
      </text>
    </comment>
    <comment ref="Z36" authorId="0" shapeId="0" xr:uid="{7FB0D4AA-57DC-4646-835E-0C675E807AB8}">
      <text>
        <r>
          <rPr>
            <b/>
            <sz val="9"/>
            <color indexed="81"/>
            <rFont val="Tahoma"/>
            <family val="2"/>
          </rPr>
          <t>This cell must be blank</t>
        </r>
      </text>
    </comment>
    <comment ref="AA36" authorId="0" shapeId="0" xr:uid="{8E46F8AA-D5E6-4FBB-B786-4F50616C3B30}">
      <text>
        <r>
          <rPr>
            <b/>
            <sz val="9"/>
            <color indexed="81"/>
            <rFont val="Tahoma"/>
            <family val="2"/>
          </rPr>
          <t>This cell must be blank</t>
        </r>
      </text>
    </comment>
    <comment ref="AB36" authorId="0" shapeId="0" xr:uid="{8F070B50-BEF6-4FC0-BCE7-CCB7B19F1DF0}">
      <text>
        <r>
          <rPr>
            <b/>
            <sz val="9"/>
            <color indexed="81"/>
            <rFont val="Tahoma"/>
            <family val="2"/>
          </rPr>
          <t>This cell must be blank</t>
        </r>
      </text>
    </comment>
    <comment ref="AC36" authorId="0" shapeId="0" xr:uid="{57B445DD-B530-4ED8-81F6-093D207E4F27}">
      <text>
        <r>
          <rPr>
            <b/>
            <sz val="9"/>
            <color indexed="81"/>
            <rFont val="Tahoma"/>
            <family val="2"/>
          </rPr>
          <t>This cell must be blank</t>
        </r>
      </text>
    </comment>
    <comment ref="AD36" authorId="0" shapeId="0" xr:uid="{C4A361EA-BBB2-48E7-9C39-E019156A5150}">
      <text>
        <r>
          <rPr>
            <b/>
            <sz val="9"/>
            <color indexed="81"/>
            <rFont val="Tahoma"/>
            <family val="2"/>
          </rPr>
          <t>This cell must be blank</t>
        </r>
      </text>
    </comment>
    <comment ref="AE36" authorId="0" shapeId="0" xr:uid="{C6AAC1DA-F633-42A0-BF6E-900381A22E08}">
      <text>
        <r>
          <rPr>
            <b/>
            <sz val="9"/>
            <color indexed="81"/>
            <rFont val="Tahoma"/>
            <family val="2"/>
          </rPr>
          <t>This cell must be blank</t>
        </r>
      </text>
    </comment>
    <comment ref="AF36" authorId="0" shapeId="0" xr:uid="{813A95B0-79C3-4CFE-8852-B78031D360FB}">
      <text>
        <r>
          <rPr>
            <b/>
            <sz val="9"/>
            <color indexed="81"/>
            <rFont val="Tahoma"/>
            <family val="2"/>
          </rPr>
          <t>This cell must be blank</t>
        </r>
      </text>
    </comment>
    <comment ref="AG36" authorId="0" shapeId="0" xr:uid="{AA73FC22-60D5-4759-BA34-ED2695E6C77C}">
      <text>
        <r>
          <rPr>
            <b/>
            <sz val="9"/>
            <color indexed="81"/>
            <rFont val="Tahoma"/>
            <family val="2"/>
          </rPr>
          <t>This cell must be blank</t>
        </r>
      </text>
    </comment>
  </commentList>
</comments>
</file>

<file path=xl/sharedStrings.xml><?xml version="1.0" encoding="utf-8"?>
<sst xmlns="http://schemas.openxmlformats.org/spreadsheetml/2006/main" count="1671" uniqueCount="450">
  <si>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</si>
  <si>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</si>
  <si>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</si>
  <si>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</si>
  <si>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</si>
  <si>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</si>
  <si>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</si>
  <si>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</si>
  <si>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</si>
  <si>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</si>
  <si>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</si>
  <si>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</si>
  <si>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</si>
  <si>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</si>
  <si>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</si>
  <si>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</si>
  <si>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</si>
  <si>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</si>
  <si>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</si>
  <si>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</si>
  <si>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</si>
  <si>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</si>
  <si>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</si>
  <si>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</si>
  <si>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</si>
  <si>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</si>
  <si>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</si>
  <si>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</si>
  <si>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</si>
  <si>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</si>
  <si>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</si>
  <si>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</si>
  <si>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</si>
  <si>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</si>
  <si>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</si>
  <si>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</si>
  <si>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</si>
  <si>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</si>
  <si>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</si>
  <si>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</si>
  <si>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</si>
  <si>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</si>
  <si>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</si>
  <si>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</si>
  <si>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</si>
  <si>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</si>
  <si>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</si>
  <si>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</si>
  <si>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</si>
  <si>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</si>
  <si>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</si>
  <si>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</si>
  <si>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</si>
  <si>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</si>
  <si>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</si>
  <si>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</si>
  <si>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</si>
  <si>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</si>
  <si>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</si>
  <si>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</si>
  <si>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</si>
  <si>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</si>
  <si>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</si>
  <si>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</si>
  <si>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</si>
  <si>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</si>
  <si>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</si>
  <si>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</si>
  <si>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</si>
  <si>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</si>
  <si>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</si>
  <si>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</si>
  <si>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</si>
  <si>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</si>
  <si>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</si>
  <si>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</si>
  <si>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</si>
  <si>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</si>
  <si>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</si>
  <si>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</si>
  <si>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</si>
  <si>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</si>
  <si>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</si>
  <si>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</si>
  <si>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</si>
  <si>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</si>
  <si>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</si>
  <si>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</si>
  <si>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</si>
  <si>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</si>
  <si>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</si>
  <si>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</si>
  <si>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</si>
  <si>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</si>
  <si>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</si>
  <si>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</si>
  <si>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</si>
  <si>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</si>
  <si>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</si>
  <si>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</si>
  <si>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</si>
  <si>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</si>
  <si>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</si>
  <si>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</si>
  <si>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</si>
  <si>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</si>
  <si>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</si>
  <si>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</si>
  <si>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</si>
  <si>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</si>
  <si>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</si>
  <si>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</si>
  <si>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</si>
  <si>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</si>
  <si>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</si>
  <si>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</si>
  <si>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</si>
  <si>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</si>
  <si>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</si>
  <si>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</si>
  <si>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</si>
  <si>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</si>
  <si>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</si>
  <si>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</si>
  <si>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</si>
  <si>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</si>
  <si>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</si>
  <si>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</si>
  <si>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</si>
  <si>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</si>
  <si>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</si>
  <si>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</si>
  <si>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</si>
  <si>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</si>
  <si>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</si>
  <si>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</si>
  <si>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</si>
  <si>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</si>
  <si>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</si>
  <si>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</si>
  <si>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</si>
  <si>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</si>
  <si>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</si>
  <si>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</si>
  <si>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</si>
  <si>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</si>
  <si>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</si>
  <si>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</si>
  <si>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</si>
  <si>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</si>
  <si>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</si>
  <si>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</si>
  <si>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</si>
  <si>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</si>
  <si>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</si>
  <si>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</si>
  <si>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</si>
  <si>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</si>
  <si>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</si>
  <si>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</si>
  <si>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</si>
  <si>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</si>
  <si>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</si>
  <si>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</si>
  <si>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</si>
  <si>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</si>
  <si>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</si>
  <si>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</si>
  <si>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</si>
  <si>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</si>
  <si>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</si>
  <si>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</si>
  <si>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</si>
  <si>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</si>
  <si>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</si>
  <si>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</si>
  <si>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</si>
  <si>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</si>
  <si>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</si>
  <si>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</si>
  <si>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</si>
  <si>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</si>
  <si>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</si>
  <si>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</si>
  <si>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</si>
  <si>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</si>
  <si>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</si>
  <si>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</si>
  <si>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</si>
  <si>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</si>
  <si>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</si>
  <si>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</si>
  <si>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</si>
  <si>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</si>
  <si>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</si>
  <si>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</si>
  <si>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</si>
  <si>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</si>
  <si>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</si>
  <si>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</si>
  <si>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</si>
  <si>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</si>
  <si>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</si>
  <si>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</si>
  <si>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</si>
  <si>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</si>
  <si>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</si>
  <si>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</si>
  <si>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</si>
  <si>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</si>
  <si>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</si>
  <si>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</si>
  <si>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</si>
  <si>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</si>
  <si>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</si>
  <si>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</si>
  <si>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</si>
  <si>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</si>
  <si>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</si>
  <si>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</si>
  <si>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</si>
  <si>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</si>
  <si>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</si>
  <si>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</si>
  <si>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</si>
  <si>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</si>
  <si>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</si>
  <si>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</si>
  <si>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</si>
  <si>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</si>
  <si>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</si>
  <si>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</si>
  <si>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</si>
  <si>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</si>
  <si>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</si>
  <si>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</si>
  <si>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</si>
  <si>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</si>
  <si>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</si>
  <si>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</si>
  <si>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</si>
  <si>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</si>
  <si>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</si>
  <si>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</si>
  <si>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</si>
  <si>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</si>
  <si>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</si>
  <si>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</si>
  <si>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</si>
  <si>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</si>
  <si>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</si>
  <si>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</si>
  <si>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</si>
  <si>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</si>
  <si>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</si>
  <si>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</si>
  <si>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</si>
  <si>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</si>
  <si>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</si>
  <si>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</si>
  <si>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</si>
  <si>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</si>
  <si>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</si>
  <si>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</si>
  <si>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</si>
  <si>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</si>
  <si>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</si>
  <si>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</si>
  <si>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</si>
  <si>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</si>
  <si>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</si>
  <si>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</si>
  <si>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</si>
  <si>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</si>
  <si>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</si>
  <si>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</si>
  <si>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</si>
  <si>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</si>
  <si>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</si>
  <si>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</si>
  <si>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</si>
  <si>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</si>
  <si>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</si>
  <si>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</si>
  <si>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</si>
  <si>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</si>
  <si>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</si>
  <si>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</si>
  <si>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</si>
  <si>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</si>
  <si>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</si>
  <si>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</si>
  <si>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</si>
  <si>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</si>
  <si>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</si>
  <si>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</si>
  <si>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</si>
  <si>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</si>
  <si>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</si>
  <si>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</si>
  <si>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</si>
  <si>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</si>
  <si>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</si>
  <si>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</si>
  <si>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</si>
  <si>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</si>
  <si>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</si>
  <si>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</si>
  <si>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</si>
  <si>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</si>
  <si>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</si>
  <si>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</si>
  <si>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</si>
  <si>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</si>
  <si>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</si>
  <si>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</si>
  <si>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</si>
  <si>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</si>
  <si>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</si>
  <si>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</si>
  <si>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</si>
  <si>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</si>
  <si>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</si>
  <si>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</si>
  <si>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</si>
  <si>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</si>
  <si>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</si>
  <si>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</si>
  <si>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</si>
  <si>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</si>
  <si>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</si>
  <si>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</si>
  <si>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</si>
  <si>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</si>
  <si>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</si>
  <si>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</si>
  <si>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</si>
  <si>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</si>
  <si>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</si>
  <si>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</si>
  <si>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</si>
  <si>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</si>
  <si>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</si>
  <si>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</si>
  <si>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</si>
  <si>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</si>
  <si>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</si>
  <si>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</si>
  <si>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</si>
  <si>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</si>
  <si>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</si>
  <si>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</si>
  <si>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</si>
  <si>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</si>
  <si>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</si>
  <si>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</si>
  <si>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</si>
  <si>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</si>
  <si>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</si>
  <si>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</si>
  <si>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</si>
  <si>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</si>
  <si>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</si>
  <si>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VPO</t>
  </si>
  <si>
    <t>No additional questions</t>
  </si>
  <si>
    <t>IRe</t>
  </si>
  <si>
    <t>Gabriel Brasoveanu</t>
  </si>
  <si>
    <t>No findings</t>
  </si>
  <si>
    <t>Open project no.1047503</t>
  </si>
  <si>
    <t>Platforms_Modules.h</t>
  </si>
  <si>
    <t>TL_Lib - Peer Review Workbook.xlsm</t>
  </si>
  <si>
    <t>adv64.h</t>
  </si>
  <si>
    <t>cmp.h</t>
  </si>
  <si>
    <t>common.h</t>
  </si>
  <si>
    <t>Config.h</t>
  </si>
  <si>
    <t>copy.h</t>
  </si>
  <si>
    <t>div.h</t>
  </si>
  <si>
    <t>dsfxp.h</t>
  </si>
  <si>
    <t>fir.h</t>
  </si>
  <si>
    <t>fit.h</t>
  </si>
  <si>
    <t>Math.h</t>
  </si>
  <si>
    <t>mul.h</t>
  </si>
  <si>
    <t>neg.h</t>
  </si>
  <si>
    <t>sat.h</t>
  </si>
  <si>
    <t>shl.h</t>
  </si>
  <si>
    <t>shr.h</t>
  </si>
  <si>
    <t>sqrt.h</t>
  </si>
  <si>
    <t>sum.h</t>
  </si>
  <si>
    <t>tllimits.h</t>
  </si>
  <si>
    <t>tl_basetypes.h</t>
  </si>
  <si>
    <t>tl_math.h</t>
  </si>
  <si>
    <t>tl_types.h</t>
  </si>
  <si>
    <t>trig.h</t>
  </si>
  <si>
    <t>ASIN_02.c</t>
  </si>
  <si>
    <t>ATAN_01.c</t>
  </si>
  <si>
    <t>ATAN_02.c</t>
  </si>
  <si>
    <t>LUTCOS.c</t>
  </si>
  <si>
    <t>Math.c</t>
  </si>
  <si>
    <t>SIN_01.c</t>
  </si>
  <si>
    <t>1.1.3.2</t>
  </si>
  <si>
    <t>1.1.10.11</t>
  </si>
  <si>
    <t>1.2.7.3</t>
  </si>
  <si>
    <t>1.1.5.2</t>
  </si>
  <si>
    <t>1.1.3.3</t>
  </si>
  <si>
    <t>template</t>
  </si>
  <si>
    <t>adv64.h - v1.1.3.2</t>
  </si>
  <si>
    <t>Matlab generated file</t>
  </si>
  <si>
    <t>File generated by matlab tool</t>
  </si>
  <si>
    <t>No design available, file generated from matlab</t>
  </si>
  <si>
    <t>Not available, code generated by matlab tool</t>
  </si>
  <si>
    <t>cmp.h - v1.1.3.2</t>
  </si>
  <si>
    <t>Config.h - v1.2.7.3</t>
  </si>
  <si>
    <t>common.h - v1.1.10.11</t>
  </si>
  <si>
    <t>copy.h - v1.1.3.2</t>
  </si>
  <si>
    <t>div.h - v1.1.3.2</t>
  </si>
  <si>
    <t>dsfxp.h - v1.1.3.2</t>
  </si>
  <si>
    <t>fir.h - v1.1.3.2</t>
  </si>
  <si>
    <t>fit.h - v1.1.3.2</t>
  </si>
  <si>
    <t>Math.h - v1.1.5.2</t>
  </si>
  <si>
    <t>mul.h - v1.1.3.2</t>
  </si>
  <si>
    <t>neg.h - v1.1.3.2</t>
  </si>
  <si>
    <t>sat.h - v1.1.3.2</t>
  </si>
  <si>
    <t>shl.h - v1.1.3.2</t>
  </si>
  <si>
    <t>shr.h - v1.1.3.2</t>
  </si>
  <si>
    <t>sqrt.h - v1.1.3.2</t>
  </si>
  <si>
    <t>sum.h - v1.1.3.2</t>
  </si>
  <si>
    <t>tllimits.h - v1.1.3.2</t>
  </si>
  <si>
    <t>tl_basetypes.h - v1.1.3.2</t>
  </si>
  <si>
    <t>tl_math.h - v1.1.3.2</t>
  </si>
  <si>
    <t>tl_types.h - v1.1.3.2</t>
  </si>
  <si>
    <t>trig.h - v1.1.3.3</t>
  </si>
  <si>
    <t>ASIN_02.c - v1.1</t>
  </si>
  <si>
    <t>ATAN_01.c - v1.1</t>
  </si>
  <si>
    <t>ATAN_02.c - v1.1</t>
  </si>
  <si>
    <t>LUTCOS.c - v1.1</t>
  </si>
  <si>
    <t>Math.c - v1.1.5.2</t>
  </si>
  <si>
    <t>SIN_01.c - v1.1</t>
  </si>
  <si>
    <t>Generated file, no traceability available</t>
  </si>
  <si>
    <t>NA: QAC not aplicable on generated file</t>
  </si>
  <si>
    <t>NA: Generated file</t>
  </si>
  <si>
    <t>1.1.3.1</t>
  </si>
  <si>
    <t>Review covered by version 1.1.3.2</t>
  </si>
  <si>
    <t>Ioan Repede</t>
  </si>
  <si>
    <t>1.1.10.12</t>
  </si>
  <si>
    <t>1.1.10.13</t>
  </si>
  <si>
    <t>Review covered by version 1.1.10.13</t>
  </si>
  <si>
    <t>common.h - v1.1.10.13</t>
  </si>
  <si>
    <t>1.1.10.30</t>
  </si>
  <si>
    <t>common.h - v1.1.10.30</t>
  </si>
  <si>
    <t>Ddu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</si>
</sst>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5">
    <xf numFmtId="0" fontId="0" fillId="0" borderId="0"/>
    <xf numFmtId="0" fontId="56" fillId="6" borderId="14" applyNumberFormat="0" applyAlignment="0" applyProtection="0"/>
    <xf numFmtId="0" fontId="57" fillId="0" borderId="0" applyNumberFormat="0" applyFill="0" applyBorder="0" applyAlignment="0" applyProtection="0"/>
    <xf numFmtId="0" fontId="26" fillId="0" borderId="0"/>
    <xf numFmtId="0" fontId="51" fillId="0" borderId="0"/>
    <xf numFmtId="0" fontId="55" fillId="0" borderId="0"/>
    <xf numFmtId="0" fontId="26" fillId="0" borderId="0"/>
    <xf numFmtId="0" fontId="33" fillId="0" borderId="0"/>
    <xf numFmtId="0" fontId="58" fillId="6" borderId="15" applyNumberFormat="0" applyAlignment="0" applyProtection="0"/>
    <xf numFmtId="0" fontId="25" fillId="0" borderId="0"/>
    <xf numFmtId="0" fontId="24" fillId="0" borderId="0"/>
    <xf numFmtId="0" fontId="23" fillId="0" borderId="0"/>
    <xf numFmtId="0" fontId="83" fillId="25" borderId="14" applyNumberFormat="0" applyAlignment="0" applyProtection="0"/>
    <xf numFmtId="0" fontId="84" fillId="26" borderId="0" applyNumberFormat="0" applyBorder="0" applyAlignment="0" applyProtection="0"/>
    <xf numFmtId="0" fontId="22" fillId="27" borderId="0" applyNumberFormat="0" applyBorder="0" applyAlignment="0" applyProtection="0"/>
    <xf numFmtId="0" fontId="26" fillId="0" borderId="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0" borderId="0"/>
    <xf numFmtId="0" fontId="9" fillId="27" borderId="0" applyNumberFormat="0" applyBorder="0" applyAlignment="0" applyProtection="0"/>
    <xf numFmtId="0" fontId="8" fillId="27" borderId="0" applyNumberFormat="0" applyBorder="0" applyAlignment="0" applyProtection="0"/>
    <xf numFmtId="0" fontId="103" fillId="0" borderId="0" applyNumberFormat="0" applyFill="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cellStyleXfs>
  <cellXfs count="318">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7" fillId="3" borderId="12" xfId="0" applyFont="1" applyFill="1" applyBorder="1" applyAlignment="1">
      <alignment horizontal="center" wrapText="1"/>
    </xf>
    <xf numFmtId="0" fontId="0" fillId="2" borderId="0" xfId="0" applyFill="1" applyAlignment="1">
      <alignment horizontal="center"/>
    </xf>
    <xf numFmtId="0" fontId="2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6" fillId="0" borderId="1" xfId="0" applyFont="1" applyBorder="1" applyAlignment="1">
      <alignment vertical="center" wrapText="1"/>
    </xf>
    <xf numFmtId="0" fontId="26" fillId="3" borderId="1" xfId="0" applyFont="1" applyFill="1" applyBorder="1" applyAlignment="1">
      <alignment horizontal="center" vertical="center" wrapText="1"/>
    </xf>
    <xf numFmtId="0" fontId="26" fillId="2" borderId="0" xfId="0" applyFont="1" applyFill="1" applyBorder="1" applyAlignment="1">
      <alignment wrapText="1"/>
    </xf>
    <xf numFmtId="0" fontId="59" fillId="7" borderId="0"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Font="1" applyFill="1" applyAlignment="1">
      <alignment vertical="center"/>
    </xf>
    <xf numFmtId="0" fontId="59" fillId="0" borderId="0" xfId="0" applyFont="1" applyFill="1" applyBorder="1" applyAlignment="1">
      <alignment vertical="center" wrapText="1"/>
    </xf>
    <xf numFmtId="0" fontId="48" fillId="2" borderId="2" xfId="0" applyFont="1" applyFill="1" applyBorder="1"/>
    <xf numFmtId="0" fontId="26" fillId="2" borderId="0" xfId="0" applyFont="1" applyFill="1" applyAlignment="1">
      <alignment horizontal="center"/>
    </xf>
    <xf numFmtId="0" fontId="0" fillId="8" borderId="0" xfId="0" applyFill="1" applyAlignment="1">
      <alignment horizontal="center"/>
    </xf>
    <xf numFmtId="0" fontId="26" fillId="2" borderId="1" xfId="0" applyFont="1" applyFill="1" applyBorder="1" applyAlignment="1">
      <alignment horizontal="center" wrapText="1"/>
    </xf>
    <xf numFmtId="0" fontId="26" fillId="2" borderId="1" xfId="0" applyFont="1" applyFill="1" applyBorder="1" applyAlignment="1">
      <alignment horizontal="center" vertical="center" wrapText="1"/>
    </xf>
    <xf numFmtId="0" fontId="26" fillId="0" borderId="1" xfId="0" applyFont="1" applyFill="1" applyBorder="1" applyAlignment="1">
      <alignment horizontal="center" vertical="center" wrapText="1"/>
    </xf>
    <xf numFmtId="0" fontId="0" fillId="2" borderId="5" xfId="0" applyFill="1" applyBorder="1" applyAlignment="1">
      <alignment wrapText="1"/>
    </xf>
    <xf numFmtId="0" fontId="26" fillId="2" borderId="0" xfId="0" applyFont="1" applyFill="1" applyBorder="1"/>
    <xf numFmtId="0" fontId="27" fillId="9" borderId="1" xfId="0" applyFont="1" applyFill="1" applyBorder="1" applyAlignment="1">
      <alignment horizontal="center" vertical="center" wrapText="1"/>
    </xf>
    <xf numFmtId="0" fontId="26" fillId="2" borderId="10" xfId="0" applyFont="1" applyFill="1" applyBorder="1"/>
    <xf numFmtId="0" fontId="5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6" fillId="8" borderId="0" xfId="0" applyFont="1" applyFill="1" applyBorder="1" applyAlignment="1">
      <alignment horizontal="center" vertical="center"/>
    </xf>
    <xf numFmtId="0" fontId="26" fillId="8" borderId="1" xfId="0" applyFont="1" applyFill="1" applyBorder="1" applyAlignment="1">
      <alignment horizontal="center" vertical="center"/>
    </xf>
    <xf numFmtId="0" fontId="26" fillId="13" borderId="1" xfId="0" applyFont="1" applyFill="1" applyBorder="1" applyAlignment="1">
      <alignment horizontal="center" vertical="center" wrapText="1"/>
    </xf>
    <xf numFmtId="0" fontId="26"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Border="1" applyAlignment="1">
      <alignment horizontal="center" vertical="center" wrapText="1"/>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9" fillId="14" borderId="1" xfId="0" applyFont="1" applyFill="1" applyBorder="1" applyAlignment="1">
      <alignment horizontal="center" vertical="center" wrapText="1"/>
    </xf>
    <xf numFmtId="0" fontId="5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2" fillId="13" borderId="1" xfId="0" applyFont="1" applyFill="1" applyBorder="1" applyAlignment="1">
      <alignment horizontal="center" vertical="center" wrapText="1"/>
    </xf>
    <xf numFmtId="0" fontId="0" fillId="0" borderId="0" xfId="0" applyFill="1" applyBorder="1" applyAlignment="1">
      <alignment horizontal="center"/>
    </xf>
    <xf numFmtId="0" fontId="26" fillId="13" borderId="1" xfId="0" applyFont="1" applyFill="1" applyBorder="1" applyAlignment="1">
      <alignment horizontal="center" vertical="center"/>
    </xf>
    <xf numFmtId="0" fontId="0" fillId="13" borderId="1" xfId="0" applyFill="1" applyBorder="1" applyAlignment="1">
      <alignment horizontal="center" vertical="center"/>
    </xf>
    <xf numFmtId="0" fontId="26" fillId="2" borderId="5" xfId="0" applyFont="1" applyFill="1" applyBorder="1" applyAlignment="1">
      <alignment wrapText="1"/>
    </xf>
    <xf numFmtId="0" fontId="26" fillId="10" borderId="0" xfId="0" applyFont="1" applyFill="1" applyBorder="1" applyAlignment="1">
      <alignment horizontal="left" vertical="center"/>
    </xf>
    <xf numFmtId="0" fontId="26" fillId="12" borderId="0" xfId="0" applyFont="1" applyFill="1" applyBorder="1" applyAlignment="1">
      <alignment horizontal="left" vertical="center"/>
    </xf>
    <xf numFmtId="0" fontId="26" fillId="15" borderId="0" xfId="0" applyFont="1" applyFill="1" applyBorder="1" applyAlignment="1">
      <alignment horizontal="left" vertical="center"/>
    </xf>
    <xf numFmtId="0" fontId="26" fillId="13" borderId="0" xfId="0" applyFont="1" applyFill="1" applyBorder="1" applyAlignment="1">
      <alignment horizontal="left" vertical="center"/>
    </xf>
    <xf numFmtId="0" fontId="26" fillId="2" borderId="1" xfId="0" applyFont="1" applyFill="1" applyBorder="1"/>
    <xf numFmtId="0" fontId="26" fillId="0" borderId="1" xfId="0" applyFont="1" applyBorder="1" applyAlignment="1">
      <alignment horizontal="center" vertical="center"/>
    </xf>
    <xf numFmtId="0" fontId="0" fillId="2" borderId="0" xfId="0" applyFill="1" applyAlignment="1">
      <alignment horizontal="center" wrapText="1"/>
    </xf>
    <xf numFmtId="0" fontId="26" fillId="3" borderId="12" xfId="0" applyFont="1" applyFill="1" applyBorder="1" applyAlignment="1">
      <alignment horizontal="center" vertical="center" wrapText="1"/>
    </xf>
    <xf numFmtId="0" fontId="56" fillId="6" borderId="1" xfId="1" applyFont="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6" fillId="2" borderId="1" xfId="0" applyFont="1" applyFill="1" applyBorder="1" applyAlignment="1">
      <alignment horizontal="center"/>
    </xf>
    <xf numFmtId="0" fontId="26"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6" fillId="2" borderId="8" xfId="0" applyFont="1" applyFill="1" applyBorder="1" applyAlignment="1">
      <alignment wrapText="1" shrinkToFit="1"/>
    </xf>
    <xf numFmtId="0" fontId="26" fillId="2" borderId="0" xfId="0" applyFont="1" applyFill="1"/>
    <xf numFmtId="0" fontId="26" fillId="2" borderId="0" xfId="0" applyFont="1" applyFill="1" applyAlignment="1">
      <alignment vertical="top"/>
    </xf>
    <xf numFmtId="0" fontId="26" fillId="0" borderId="0" xfId="3" applyAlignment="1">
      <alignment vertical="center"/>
    </xf>
    <xf numFmtId="0" fontId="30" fillId="0" borderId="0" xfId="3" applyFont="1" applyAlignment="1">
      <alignment vertical="center" wrapText="1"/>
    </xf>
    <xf numFmtId="164" fontId="30" fillId="0" borderId="0" xfId="3" applyNumberFormat="1" applyFont="1" applyAlignment="1">
      <alignment horizontal="center" vertical="center" wrapText="1"/>
    </xf>
    <xf numFmtId="20" fontId="30" fillId="0" borderId="0" xfId="3" applyNumberFormat="1" applyFont="1" applyAlignment="1">
      <alignment vertical="center" wrapText="1"/>
    </xf>
    <xf numFmtId="0" fontId="30" fillId="0" borderId="0" xfId="3" applyFont="1" applyAlignment="1">
      <alignment horizontal="left" vertical="center" wrapText="1"/>
    </xf>
    <xf numFmtId="0" fontId="61" fillId="0" borderId="0" xfId="3" quotePrefix="1" applyFont="1" applyAlignment="1">
      <alignment horizontal="right" vertical="center"/>
    </xf>
    <xf numFmtId="0" fontId="31" fillId="0" borderId="0" xfId="3" applyFont="1" applyAlignment="1">
      <alignment horizontal="left" vertical="center" wrapText="1"/>
    </xf>
    <xf numFmtId="0" fontId="26" fillId="0" borderId="0" xfId="3" applyAlignment="1">
      <alignment vertical="center" shrinkToFit="1"/>
    </xf>
    <xf numFmtId="0" fontId="63" fillId="0" borderId="0" xfId="3" applyFont="1" applyAlignment="1">
      <alignment horizontal="left" vertical="center" shrinkToFit="1"/>
    </xf>
    <xf numFmtId="0" fontId="27" fillId="0" borderId="0" xfId="3" applyFont="1" applyAlignment="1">
      <alignment horizontal="left" vertical="center" shrinkToFit="1"/>
    </xf>
    <xf numFmtId="0" fontId="26" fillId="0" borderId="0" xfId="3" applyAlignment="1" applyProtection="1">
      <alignment vertical="center"/>
      <protection locked="0"/>
    </xf>
    <xf numFmtId="0" fontId="26"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5"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6"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5"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7"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6" fillId="0" borderId="0" xfId="3" applyNumberFormat="1" applyAlignment="1">
      <alignment horizontal="center" vertical="center" wrapText="1"/>
    </xf>
    <xf numFmtId="49" fontId="26" fillId="0" borderId="0" xfId="3" applyNumberFormat="1" applyAlignment="1" applyProtection="1">
      <alignment horizontal="left" vertical="center" wrapText="1"/>
      <protection locked="0"/>
    </xf>
    <xf numFmtId="49" fontId="26" fillId="0" borderId="0" xfId="3" applyNumberFormat="1" applyAlignment="1">
      <alignment horizontal="left" vertical="center" wrapText="1"/>
    </xf>
    <xf numFmtId="14" fontId="26"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6" fillId="0" borderId="0" xfId="3" applyAlignment="1">
      <alignment horizontal="left" vertical="center" wrapText="1"/>
    </xf>
    <xf numFmtId="0" fontId="75" fillId="0" borderId="5" xfId="3" applyFont="1" applyBorder="1" applyAlignment="1" applyProtection="1">
      <alignment vertical="center"/>
      <protection locked="0"/>
    </xf>
    <xf numFmtId="49" fontId="26" fillId="0" borderId="5" xfId="3" applyNumberFormat="1" applyBorder="1" applyAlignment="1" applyProtection="1">
      <alignment horizontal="left" vertical="center" wrapText="1"/>
      <protection locked="0"/>
    </xf>
    <xf numFmtId="0" fontId="26" fillId="0" borderId="5" xfId="3" applyBorder="1" applyAlignment="1">
      <alignment horizontal="left" vertical="center" wrapText="1"/>
    </xf>
    <xf numFmtId="0" fontId="75" fillId="0" borderId="0" xfId="3" applyFont="1" applyAlignment="1" applyProtection="1">
      <alignment vertical="center"/>
      <protection locked="0"/>
    </xf>
    <xf numFmtId="49" fontId="26" fillId="0" borderId="0" xfId="3" applyNumberFormat="1" applyAlignment="1" applyProtection="1">
      <alignment horizontal="left" vertical="center"/>
      <protection locked="0"/>
    </xf>
    <xf numFmtId="0" fontId="26" fillId="0" borderId="0" xfId="3" applyAlignment="1">
      <alignment horizontal="left" vertical="center"/>
    </xf>
    <xf numFmtId="0" fontId="27" fillId="2" borderId="1" xfId="0" applyNumberFormat="1" applyFont="1" applyFill="1" applyBorder="1" applyAlignment="1">
      <alignment horizontal="center" vertical="center"/>
    </xf>
    <xf numFmtId="0" fontId="26" fillId="21" borderId="0" xfId="0" applyFont="1" applyFill="1" applyBorder="1" applyAlignment="1">
      <alignment horizontal="left" vertical="top" wrapText="1"/>
    </xf>
    <xf numFmtId="0" fontId="26" fillId="21" borderId="0" xfId="0" applyFont="1" applyFill="1" applyBorder="1" applyAlignment="1">
      <alignment wrapText="1"/>
    </xf>
    <xf numFmtId="0" fontId="0" fillId="21" borderId="0" xfId="0" applyFill="1" applyBorder="1" applyAlignment="1">
      <alignment wrapText="1"/>
    </xf>
    <xf numFmtId="0" fontId="26" fillId="9" borderId="0" xfId="0" applyFont="1" applyFill="1" applyBorder="1" applyAlignment="1">
      <alignment wrapText="1"/>
    </xf>
    <xf numFmtId="0" fontId="0" fillId="9" borderId="0" xfId="0" applyFill="1" applyBorder="1" applyAlignment="1">
      <alignment wrapText="1"/>
    </xf>
    <xf numFmtId="0" fontId="26" fillId="2" borderId="2" xfId="0" applyFont="1" applyFill="1" applyBorder="1" applyAlignment="1">
      <alignment horizontal="right"/>
    </xf>
    <xf numFmtId="0" fontId="0" fillId="2" borderId="4" xfId="0" applyFill="1" applyBorder="1" applyAlignment="1">
      <alignment horizontal="right"/>
    </xf>
    <xf numFmtId="0" fontId="23" fillId="0" borderId="0" xfId="11"/>
    <xf numFmtId="0" fontId="29" fillId="10" borderId="1" xfId="0" applyFont="1" applyFill="1" applyBorder="1" applyAlignment="1">
      <alignment horizontal="center" vertical="center" wrapText="1"/>
    </xf>
    <xf numFmtId="0" fontId="85" fillId="12" borderId="1" xfId="0" applyFont="1" applyFill="1" applyBorder="1" applyAlignment="1">
      <alignment horizontal="center" vertical="center" wrapText="1"/>
    </xf>
    <xf numFmtId="0" fontId="29" fillId="11" borderId="1" xfId="0" applyFont="1" applyFill="1" applyBorder="1" applyAlignment="1">
      <alignment horizontal="center" vertical="center" wrapText="1"/>
    </xf>
    <xf numFmtId="14" fontId="29" fillId="11" borderId="1" xfId="0" applyNumberFormat="1" applyFont="1" applyFill="1" applyBorder="1" applyAlignment="1">
      <alignment horizontal="center" vertical="center" wrapText="1"/>
    </xf>
    <xf numFmtId="0" fontId="50" fillId="8" borderId="0" xfId="0" applyFont="1" applyFill="1" applyAlignment="1">
      <alignment horizontal="center" vertical="center"/>
    </xf>
    <xf numFmtId="0" fontId="50" fillId="8" borderId="0" xfId="0" applyFont="1" applyFill="1" applyAlignment="1">
      <alignment vertical="center"/>
    </xf>
    <xf numFmtId="0" fontId="50" fillId="0" borderId="0" xfId="0" applyFont="1" applyAlignment="1">
      <alignment vertical="center"/>
    </xf>
    <xf numFmtId="0" fontId="29" fillId="0" borderId="0" xfId="0" applyFont="1" applyFill="1" applyAlignment="1">
      <alignment vertical="center"/>
    </xf>
    <xf numFmtId="0" fontId="87" fillId="29" borderId="20" xfId="14" applyFont="1" applyFill="1" applyBorder="1" applyAlignment="1" applyProtection="1">
      <alignment horizontal="center" vertical="center" wrapText="1"/>
      <protection locked="0"/>
    </xf>
    <xf numFmtId="0" fontId="88" fillId="13" borderId="20" xfId="14" applyFont="1" applyFill="1" applyBorder="1" applyAlignment="1" applyProtection="1">
      <alignment horizontal="center" vertical="center" wrapText="1"/>
    </xf>
    <xf numFmtId="0" fontId="87" fillId="7" borderId="1" xfId="14" applyFont="1" applyFill="1" applyBorder="1" applyAlignment="1">
      <alignment horizontal="left" vertical="center"/>
    </xf>
    <xf numFmtId="0" fontId="83" fillId="25" borderId="14" xfId="12" applyAlignment="1">
      <alignment horizontal="center" vertical="center"/>
    </xf>
    <xf numFmtId="0" fontId="87" fillId="7" borderId="1" xfId="14" applyFont="1" applyFill="1" applyBorder="1" applyAlignment="1">
      <alignment horizontal="center" vertical="center"/>
    </xf>
    <xf numFmtId="0" fontId="26" fillId="5" borderId="0" xfId="15" applyFill="1" applyAlignment="1">
      <alignment vertical="center"/>
    </xf>
    <xf numFmtId="0" fontId="26" fillId="5" borderId="0" xfId="15" applyFill="1" applyAlignment="1">
      <alignment vertical="center" wrapText="1"/>
    </xf>
    <xf numFmtId="0" fontId="28" fillId="5" borderId="0" xfId="15" applyFont="1" applyFill="1" applyAlignment="1">
      <alignment vertical="center"/>
    </xf>
    <xf numFmtId="0" fontId="64" fillId="30" borderId="10" xfId="15" applyFont="1" applyFill="1" applyBorder="1" applyAlignment="1">
      <alignment vertical="center"/>
    </xf>
    <xf numFmtId="0" fontId="93" fillId="30" borderId="19" xfId="15" applyFont="1" applyFill="1" applyBorder="1" applyAlignment="1">
      <alignment vertical="center" wrapText="1"/>
    </xf>
    <xf numFmtId="0" fontId="26" fillId="5" borderId="1" xfId="15" applyFill="1" applyBorder="1" applyAlignment="1">
      <alignment vertical="center"/>
    </xf>
    <xf numFmtId="0" fontId="94" fillId="5" borderId="1" xfId="15" applyFont="1" applyFill="1" applyBorder="1" applyAlignment="1">
      <alignment horizontal="center" vertical="center"/>
    </xf>
    <xf numFmtId="0" fontId="64" fillId="31" borderId="10" xfId="15" applyFont="1" applyFill="1" applyBorder="1" applyAlignment="1">
      <alignment vertical="center"/>
    </xf>
    <xf numFmtId="0" fontId="36" fillId="31" borderId="8" xfId="15" applyFont="1" applyFill="1" applyBorder="1" applyAlignment="1">
      <alignment horizontal="center" vertical="center" wrapText="1"/>
    </xf>
    <xf numFmtId="0" fontId="93" fillId="31" borderId="19" xfId="15" applyFont="1" applyFill="1" applyBorder="1" applyAlignment="1">
      <alignment vertical="center" wrapText="1"/>
    </xf>
    <xf numFmtId="0" fontId="93" fillId="31" borderId="11" xfId="15" applyFont="1" applyFill="1" applyBorder="1" applyAlignment="1">
      <alignment vertical="center" wrapText="1"/>
    </xf>
    <xf numFmtId="0" fontId="36"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6" fillId="0" borderId="1" xfId="15" applyBorder="1" applyAlignment="1">
      <alignment vertical="center" wrapText="1"/>
    </xf>
    <xf numFmtId="0" fontId="100" fillId="0" borderId="2" xfId="0" applyFont="1" applyBorder="1" applyAlignment="1">
      <alignment horizontal="right" vertical="center"/>
    </xf>
    <xf numFmtId="0" fontId="102" fillId="0" borderId="0" xfId="0" applyFont="1" applyBorder="1" applyAlignment="1">
      <alignment wrapText="1"/>
    </xf>
    <xf numFmtId="0" fontId="84" fillId="7" borderId="1" xfId="14" applyFont="1" applyFill="1" applyBorder="1" applyAlignment="1">
      <alignment horizontal="center" vertical="center"/>
    </xf>
    <xf numFmtId="0" fontId="103" fillId="8" borderId="0" xfId="30" applyFill="1" applyAlignment="1">
      <alignment horizontal="center" wrapText="1"/>
    </xf>
    <xf numFmtId="0" fontId="29" fillId="3" borderId="12" xfId="0" applyFont="1" applyFill="1" applyBorder="1" applyAlignment="1">
      <alignment horizontal="center" vertical="center" wrapText="1"/>
    </xf>
    <xf numFmtId="0" fontId="29" fillId="3" borderId="16"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56" fillId="6" borderId="16" xfId="1" applyFont="1" applyBorder="1" applyAlignment="1">
      <alignment horizontal="center" vertical="center"/>
    </xf>
    <xf numFmtId="0" fontId="56" fillId="6" borderId="1" xfId="1" applyFont="1" applyBorder="1" applyAlignment="1">
      <alignment horizontal="center" vertical="center"/>
    </xf>
    <xf numFmtId="0" fontId="27" fillId="2" borderId="1" xfId="0" applyFont="1" applyFill="1" applyBorder="1" applyAlignment="1">
      <alignment horizontal="center"/>
    </xf>
    <xf numFmtId="0" fontId="64" fillId="33" borderId="12" xfId="15" applyFont="1" applyFill="1" applyBorder="1" applyAlignment="1">
      <alignment horizontal="center" vertical="center" textRotation="45" wrapText="1"/>
    </xf>
    <xf numFmtId="0" fontId="91" fillId="33" borderId="12" xfId="15" applyFont="1" applyFill="1" applyBorder="1" applyAlignment="1">
      <alignment horizontal="center" vertical="center" wrapText="1"/>
    </xf>
    <xf numFmtId="0" fontId="79" fillId="33" borderId="1" xfId="15" applyFont="1" applyFill="1" applyBorder="1" applyAlignment="1">
      <alignment horizontal="center" vertical="center" textRotation="45" wrapText="1"/>
    </xf>
    <xf numFmtId="0" fontId="79" fillId="33" borderId="1" xfId="15" applyFont="1" applyFill="1" applyBorder="1" applyAlignment="1">
      <alignment horizontal="center" vertical="center" wrapText="1"/>
    </xf>
    <xf numFmtId="0" fontId="64" fillId="33" borderId="13" xfId="15" applyFont="1" applyFill="1" applyBorder="1" applyAlignment="1">
      <alignment horizontal="center" vertical="center"/>
    </xf>
    <xf numFmtId="0" fontId="92" fillId="33" borderId="13" xfId="15" applyFont="1" applyFill="1" applyBorder="1" applyAlignment="1">
      <alignment horizontal="center" vertical="center" wrapText="1"/>
    </xf>
    <xf numFmtId="9" fontId="104" fillId="6" borderId="14" xfId="1" applyNumberFormat="1" applyFont="1" applyAlignment="1">
      <alignment horizontal="center" vertical="center" wrapText="1"/>
    </xf>
    <xf numFmtId="0" fontId="64" fillId="33" borderId="7" xfId="15" applyFont="1" applyFill="1" applyBorder="1" applyAlignment="1">
      <alignment horizontal="center" vertical="center"/>
    </xf>
    <xf numFmtId="0" fontId="95" fillId="33" borderId="8" xfId="15" applyFont="1" applyFill="1" applyBorder="1" applyAlignment="1">
      <alignment horizontal="center" vertical="center" wrapText="1"/>
    </xf>
    <xf numFmtId="0" fontId="92" fillId="33" borderId="8" xfId="15" applyFont="1" applyFill="1" applyBorder="1" applyAlignment="1">
      <alignment horizontal="center" vertical="center" wrapText="1"/>
    </xf>
    <xf numFmtId="0" fontId="92"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6" fillId="15" borderId="0" xfId="0" applyFont="1" applyFill="1" applyAlignment="1">
      <alignment horizontal="center" wrapText="1"/>
    </xf>
    <xf numFmtId="0" fontId="48" fillId="15" borderId="0" xfId="0" applyFont="1" applyFill="1" applyAlignment="1">
      <alignment horizontal="center" wrapText="1"/>
    </xf>
    <xf numFmtId="0" fontId="36" fillId="7" borderId="0" xfId="0" applyFont="1" applyFill="1" applyAlignment="1">
      <alignment horizontal="center" wrapText="1"/>
    </xf>
    <xf numFmtId="0" fontId="105" fillId="7" borderId="0" xfId="0" applyFont="1" applyFill="1" applyAlignment="1">
      <alignment horizontal="center" vertical="center" wrapText="1"/>
    </xf>
    <xf numFmtId="0" fontId="87" fillId="29" borderId="12" xfId="34" applyFont="1" applyFill="1" applyBorder="1" applyAlignment="1">
      <alignment horizontal="center" vertical="center" wrapText="1"/>
    </xf>
    <xf numFmtId="0" fontId="36" fillId="7" borderId="0" xfId="3" applyFont="1" applyFill="1" applyAlignment="1">
      <alignment horizontal="center" wrapText="1"/>
    </xf>
    <xf numFmtId="0" fontId="105" fillId="7" borderId="0" xfId="3" applyFont="1" applyFill="1" applyAlignment="1">
      <alignment horizontal="center" vertical="center" wrapText="1"/>
    </xf>
    <xf numFmtId="0" fontId="26" fillId="0" borderId="1" xfId="0" applyFont="1" applyBorder="1" applyAlignment="1">
      <alignment vertical="center"/>
    </xf>
    <xf numFmtId="0" fontId="26" fillId="0" borderId="1" xfId="0" applyFont="1" applyBorder="1" applyAlignment="1">
      <alignment horizontal="center" vertical="center" wrapText="1"/>
    </xf>
    <xf numFmtId="0" fontId="26" fillId="35" borderId="1" xfId="0" applyFont="1" applyFill="1" applyBorder="1" applyAlignment="1">
      <alignment vertical="center" wrapText="1"/>
    </xf>
    <xf numFmtId="14" fontId="0" fillId="0" borderId="1" xfId="0" applyNumberFormat="1" applyBorder="1" applyAlignment="1">
      <alignment horizontal="center" vertical="center" wrapText="1"/>
    </xf>
    <xf numFmtId="14" fontId="26" fillId="0" borderId="1" xfId="0" applyNumberFormat="1" applyFont="1" applyBorder="1" applyAlignment="1">
      <alignment horizontal="center" vertical="center" wrapText="1"/>
    </xf>
    <xf numFmtId="14" fontId="3" fillId="0" borderId="0" xfId="11" applyNumberFormat="1" applyFont="1"/>
    <xf numFmtId="0" fontId="23" fillId="0" borderId="0" xfId="11" applyFill="1" applyBorder="1"/>
    <xf numFmtId="0" fontId="0" fillId="6" borderId="14" xfId="1" applyFont="1"/>
    <xf numFmtId="0" fontId="2" fillId="0" borderId="0" xfId="11" applyFont="1"/>
    <xf numFmtId="0" fontId="56" fillId="6" borderId="21" xfId="1" applyNumberFormat="1" applyBorder="1"/>
    <xf numFmtId="0" fontId="73" fillId="0" borderId="0" xfId="3" applyFont="1" applyAlignment="1" applyProtection="1">
      <alignment horizontal="center" vertical="center" wrapText="1"/>
      <protection locked="0"/>
    </xf>
    <xf numFmtId="0" fontId="26"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6" fillId="0" borderId="4" xfId="3" applyBorder="1" applyAlignment="1" applyProtection="1">
      <alignment horizontal="right" vertical="top" wrapText="1" shrinkToFit="1"/>
      <protection locked="0"/>
    </xf>
    <xf numFmtId="0" fontId="26"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8"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6" fillId="0" borderId="4" xfId="3" applyBorder="1" applyAlignment="1" applyProtection="1">
      <alignment horizontal="center" vertical="top" wrapText="1" shrinkToFit="1"/>
      <protection locked="0"/>
    </xf>
    <xf numFmtId="0" fontId="26" fillId="0" borderId="5" xfId="3" applyBorder="1" applyAlignment="1" applyProtection="1">
      <alignment horizontal="center" vertical="top" wrapText="1" shrinkToFit="1"/>
      <protection locked="0"/>
    </xf>
    <xf numFmtId="0" fontId="26"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6" fillId="0" borderId="7" xfId="3" applyBorder="1" applyAlignment="1" applyProtection="1">
      <alignment horizontal="left" vertical="top"/>
      <protection locked="0"/>
    </xf>
    <xf numFmtId="0" fontId="26" fillId="0" borderId="8" xfId="3" applyBorder="1" applyAlignment="1" applyProtection="1">
      <alignment horizontal="left" vertical="top"/>
      <protection locked="0"/>
    </xf>
    <xf numFmtId="0" fontId="26" fillId="0" borderId="9" xfId="3" applyBorder="1" applyAlignment="1" applyProtection="1">
      <alignment horizontal="left" vertical="top"/>
      <protection locked="0"/>
    </xf>
    <xf numFmtId="0" fontId="26" fillId="0" borderId="4" xfId="3" applyBorder="1" applyAlignment="1" applyProtection="1">
      <alignment horizontal="left" vertical="top"/>
      <protection locked="0"/>
    </xf>
    <xf numFmtId="0" fontId="26" fillId="0" borderId="5" xfId="3" applyBorder="1" applyAlignment="1" applyProtection="1">
      <alignment horizontal="left" vertical="top"/>
      <protection locked="0"/>
    </xf>
    <xf numFmtId="0" fontId="26"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3" fillId="25" borderId="14" xfId="12" applyAlignment="1" applyProtection="1">
      <alignment horizontal="center" vertical="center"/>
      <protection locked="0"/>
    </xf>
    <xf numFmtId="0" fontId="31" fillId="0" borderId="7" xfId="3" applyFont="1" applyBorder="1" applyAlignment="1">
      <alignment horizontal="left" vertical="center" wrapText="1"/>
    </xf>
    <xf numFmtId="0" fontId="31" fillId="0" borderId="8" xfId="3" applyFont="1" applyBorder="1" applyAlignment="1">
      <alignment horizontal="left" vertical="center" wrapText="1"/>
    </xf>
    <xf numFmtId="0" fontId="31" fillId="0" borderId="9" xfId="3" applyFont="1" applyBorder="1" applyAlignment="1">
      <alignment horizontal="left" vertical="center" wrapText="1"/>
    </xf>
    <xf numFmtId="0" fontId="31" fillId="0" borderId="7" xfId="3" applyFont="1" applyBorder="1" applyAlignment="1">
      <alignment horizontal="left" vertical="center" shrinkToFit="1"/>
    </xf>
    <xf numFmtId="0" fontId="31" fillId="0" borderId="8" xfId="3" applyFont="1" applyBorder="1" applyAlignment="1">
      <alignment horizontal="left" vertical="center" shrinkToFit="1"/>
    </xf>
    <xf numFmtId="0" fontId="31"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49" fontId="26" fillId="0" borderId="10" xfId="3" applyNumberFormat="1" applyBorder="1" applyAlignment="1" applyProtection="1">
      <alignment horizontal="center" vertical="center" wrapText="1"/>
      <protection locked="0"/>
    </xf>
    <xf numFmtId="49" fontId="26" fillId="0" borderId="19" xfId="3" applyNumberFormat="1" applyBorder="1" applyAlignment="1" applyProtection="1">
      <alignment horizontal="center" vertical="center" wrapText="1"/>
      <protection locked="0"/>
    </xf>
    <xf numFmtId="49" fontId="26" fillId="0" borderId="11" xfId="3" applyNumberFormat="1" applyBorder="1" applyAlignment="1" applyProtection="1">
      <alignment horizontal="center" vertical="center" wrapText="1"/>
      <protection locked="0"/>
    </xf>
    <xf numFmtId="0" fontId="26" fillId="0" borderId="10" xfId="3" applyBorder="1" applyAlignment="1">
      <alignment horizontal="left" vertical="center" wrapText="1"/>
    </xf>
    <xf numFmtId="0" fontId="26" fillId="0" borderId="19" xfId="3" applyBorder="1" applyAlignment="1">
      <alignment horizontal="left" vertical="center" wrapText="1"/>
    </xf>
    <xf numFmtId="0" fontId="26" fillId="0" borderId="11" xfId="3" applyBorder="1" applyAlignment="1">
      <alignment horizontal="left" vertical="center" wrapText="1"/>
    </xf>
    <xf numFmtId="0" fontId="57" fillId="0" borderId="10" xfId="2" applyBorder="1" applyAlignment="1">
      <alignment horizontal="left" vertical="center" wrapText="1"/>
    </xf>
    <xf numFmtId="49" fontId="26" fillId="0" borderId="1" xfId="3" applyNumberFormat="1" applyBorder="1" applyAlignment="1" applyProtection="1">
      <alignment horizontal="left" vertical="center" wrapText="1"/>
      <protection locked="0"/>
    </xf>
    <xf numFmtId="0" fontId="26" fillId="0" borderId="1" xfId="3" applyBorder="1" applyAlignment="1">
      <alignment horizontal="left" vertical="center" wrapText="1"/>
    </xf>
    <xf numFmtId="49" fontId="26" fillId="0" borderId="1" xfId="3" applyNumberFormat="1" applyBorder="1" applyAlignment="1" applyProtection="1">
      <alignment vertical="center" wrapText="1"/>
      <protection locked="0"/>
    </xf>
    <xf numFmtId="0" fontId="45" fillId="18" borderId="1" xfId="3"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0" fontId="26" fillId="0" borderId="1" xfId="3" applyBorder="1" applyAlignment="1">
      <alignment horizontal="center" vertical="center" wrapText="1"/>
    </xf>
    <xf numFmtId="14" fontId="26" fillId="0" borderId="10" xfId="3" applyNumberFormat="1" applyBorder="1" applyAlignment="1" applyProtection="1">
      <alignment horizontal="left" vertical="center" wrapText="1"/>
      <protection locked="0"/>
    </xf>
    <xf numFmtId="14" fontId="26" fillId="0" borderId="19" xfId="3" applyNumberFormat="1" applyBorder="1" applyAlignment="1" applyProtection="1">
      <alignment horizontal="left" vertical="center" wrapText="1"/>
      <protection locked="0"/>
    </xf>
    <xf numFmtId="14" fontId="26" fillId="0" borderId="11" xfId="3" applyNumberFormat="1" applyBorder="1" applyAlignment="1" applyProtection="1">
      <alignment horizontal="left" vertical="center" wrapText="1"/>
      <protection locked="0"/>
    </xf>
    <xf numFmtId="49" fontId="26" fillId="0" borderId="1" xfId="3" applyNumberFormat="1" applyBorder="1" applyAlignment="1">
      <alignment horizontal="left" vertical="center" wrapText="1"/>
    </xf>
    <xf numFmtId="49" fontId="26" fillId="0" borderId="1" xfId="3" applyNumberFormat="1" applyBorder="1" applyAlignment="1" applyProtection="1">
      <alignment horizontal="center" vertical="center" wrapText="1"/>
      <protection locked="0"/>
    </xf>
    <xf numFmtId="49" fontId="26" fillId="0" borderId="1" xfId="3" applyNumberFormat="1" applyBorder="1" applyAlignment="1">
      <alignment horizontal="center" vertical="center" wrapText="1"/>
    </xf>
    <xf numFmtId="49" fontId="26" fillId="22" borderId="1" xfId="3" applyNumberFormat="1" applyFill="1" applyBorder="1" applyAlignment="1" applyProtection="1">
      <alignment horizontal="center" vertical="center" wrapText="1"/>
      <protection locked="0"/>
    </xf>
    <xf numFmtId="49" fontId="26" fillId="32" borderId="1" xfId="3" applyNumberFormat="1" applyFon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31" fillId="17" borderId="7" xfId="3" applyFont="1" applyFill="1" applyBorder="1" applyAlignment="1">
      <alignment horizontal="left" vertical="center" shrinkToFit="1"/>
    </xf>
    <xf numFmtId="0" fontId="31" fillId="17" borderId="8" xfId="3" applyFont="1" applyFill="1" applyBorder="1" applyAlignment="1">
      <alignment horizontal="left" vertical="center" shrinkToFit="1"/>
    </xf>
    <xf numFmtId="0" fontId="31"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6" fillId="18" borderId="1" xfId="3" applyFill="1" applyBorder="1" applyAlignment="1" applyProtection="1">
      <alignment horizontal="center" vertical="center" wrapText="1"/>
      <protection locked="0"/>
    </xf>
    <xf numFmtId="49" fontId="26" fillId="19" borderId="1" xfId="3" applyNumberFormat="1" applyFill="1" applyBorder="1" applyAlignment="1" applyProtection="1">
      <alignment horizontal="center" vertical="center" wrapText="1"/>
      <protection locked="0"/>
    </xf>
    <xf numFmtId="0" fontId="31" fillId="17" borderId="7" xfId="3" applyFont="1" applyFill="1" applyBorder="1" applyAlignment="1">
      <alignment horizontal="left" vertical="center" wrapText="1"/>
    </xf>
    <xf numFmtId="0" fontId="31" fillId="17" borderId="8" xfId="3" applyFont="1" applyFill="1" applyBorder="1" applyAlignment="1">
      <alignment horizontal="left" vertical="center" wrapText="1"/>
    </xf>
    <xf numFmtId="0" fontId="31"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49" fontId="26" fillId="23" borderId="1" xfId="3" applyNumberFormat="1"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3" fillId="2" borderId="10" xfId="7" applyFill="1" applyBorder="1" applyAlignment="1">
      <alignment horizontal="justify" vertical="center" wrapText="1"/>
    </xf>
    <xf numFmtId="0" fontId="33" fillId="2" borderId="19" xfId="7" applyFill="1" applyBorder="1" applyAlignment="1">
      <alignment horizontal="justify" vertical="center" wrapText="1"/>
    </xf>
    <xf numFmtId="0" fontId="33" fillId="2" borderId="11" xfId="7" applyFill="1" applyBorder="1" applyAlignment="1">
      <alignment horizontal="justify" vertical="center" wrapText="1"/>
    </xf>
    <xf numFmtId="0" fontId="27" fillId="21" borderId="2" xfId="0" applyFont="1" applyFill="1" applyBorder="1" applyAlignment="1">
      <alignment horizontal="center" vertical="top" textRotation="45"/>
    </xf>
    <xf numFmtId="0" fontId="27" fillId="9" borderId="2" xfId="0" applyFont="1" applyFill="1" applyBorder="1" applyAlignment="1">
      <alignment horizontal="center" vertical="center" textRotation="45"/>
    </xf>
    <xf numFmtId="0" fontId="34" fillId="3" borderId="7" xfId="7" applyFont="1" applyFill="1" applyBorder="1" applyAlignment="1">
      <alignment horizontal="center" vertical="distributed"/>
    </xf>
    <xf numFmtId="0" fontId="34" fillId="3" borderId="8" xfId="7" applyFont="1" applyFill="1" applyBorder="1" applyAlignment="1">
      <alignment horizontal="center" vertical="distributed"/>
    </xf>
    <xf numFmtId="0" fontId="34" fillId="3" borderId="9" xfId="7" applyFont="1" applyFill="1" applyBorder="1" applyAlignment="1">
      <alignment horizontal="center" vertical="distributed"/>
    </xf>
    <xf numFmtId="0" fontId="27" fillId="3" borderId="7" xfId="0" applyFont="1" applyFill="1" applyBorder="1" applyAlignment="1">
      <alignment horizontal="center" wrapText="1"/>
    </xf>
    <xf numFmtId="0" fontId="27" fillId="3" borderId="8" xfId="0" applyFont="1" applyFill="1" applyBorder="1" applyAlignment="1">
      <alignment horizontal="center" wrapText="1"/>
    </xf>
    <xf numFmtId="0" fontId="27" fillId="3" borderId="9" xfId="0" applyFont="1" applyFill="1" applyBorder="1" applyAlignment="1">
      <alignment horizontal="center" wrapText="1"/>
    </xf>
    <xf numFmtId="0" fontId="26" fillId="2" borderId="10" xfId="0" applyFont="1" applyFill="1" applyBorder="1" applyAlignment="1">
      <alignment horizontal="left" vertical="center" wrapText="1" shrinkToFit="1"/>
    </xf>
    <xf numFmtId="0" fontId="26" fillId="2" borderId="11" xfId="0" applyFont="1" applyFill="1" applyBorder="1" applyAlignment="1">
      <alignment horizontal="left" vertical="center" wrapText="1" shrinkToFit="1"/>
    </xf>
    <xf numFmtId="0" fontId="86" fillId="28" borderId="4" xfId="13" applyFont="1" applyFill="1" applyBorder="1" applyAlignment="1" applyProtection="1">
      <alignment horizontal="center" vertical="center" wrapText="1"/>
      <protection locked="0"/>
    </xf>
    <xf numFmtId="0" fontId="86" fillId="28" borderId="5" xfId="13" applyFont="1" applyFill="1" applyBorder="1" applyAlignment="1" applyProtection="1">
      <alignment horizontal="center" vertical="center" wrapText="1"/>
      <protection locked="0"/>
    </xf>
    <xf numFmtId="0" fontId="86" fillId="28" borderId="6" xfId="13" applyFont="1" applyFill="1" applyBorder="1" applyAlignment="1" applyProtection="1">
      <alignment horizontal="center" vertical="center" wrapText="1"/>
      <protection locked="0"/>
    </xf>
    <xf numFmtId="0" fontId="86" fillId="16" borderId="4" xfId="13" applyFont="1" applyFill="1" applyBorder="1" applyAlignment="1" applyProtection="1">
      <alignment horizontal="center" vertical="center" wrapText="1"/>
    </xf>
    <xf numFmtId="0" fontId="86" fillId="16" borderId="5" xfId="13" applyFont="1" applyFill="1" applyBorder="1" applyAlignment="1" applyProtection="1">
      <alignment horizontal="center" vertical="center" wrapText="1"/>
    </xf>
    <xf numFmtId="0" fontId="83" fillId="25" borderId="14" xfId="12" applyAlignment="1">
      <alignment horizontal="left" vertical="center"/>
    </xf>
    <xf numFmtId="0" fontId="36" fillId="8" borderId="5" xfId="0" applyFont="1" applyFill="1" applyBorder="1" applyAlignment="1">
      <alignment horizontal="center" vertical="center"/>
    </xf>
    <xf numFmtId="0" fontId="36" fillId="8" borderId="6" xfId="0" applyFont="1" applyFill="1" applyBorder="1" applyAlignment="1">
      <alignment horizontal="center" vertical="center"/>
    </xf>
    <xf numFmtId="0" fontId="91" fillId="28" borderId="10" xfId="2" applyFont="1" applyFill="1" applyBorder="1" applyAlignment="1" applyProtection="1">
      <alignment horizontal="center" vertical="center" wrapText="1"/>
      <protection locked="0"/>
    </xf>
    <xf numFmtId="0" fontId="91" fillId="28" borderId="11" xfId="2" applyFont="1" applyFill="1" applyBorder="1" applyAlignment="1" applyProtection="1">
      <alignment horizontal="center" vertical="center" wrapText="1"/>
      <protection locked="0"/>
    </xf>
    <xf numFmtId="0" fontId="1" fillId="0" borderId="0" xfId="11" applyFont="1" applyFill="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685">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font>
        <b val="0"/>
        <i val="0"/>
        <strike val="0"/>
        <condense val="0"/>
        <extend val="0"/>
        <outline val="0"/>
        <shadow val="0"/>
        <u val="none"/>
        <vertAlign val="baseline"/>
        <sz val="11"/>
        <color theme="1"/>
        <name val="Calibri"/>
        <family val="2"/>
        <scheme val="minor"/>
      </font>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9</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32</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32</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ioan.repede\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2" totalsRowShown="0" headerRowDxfId="1684" headerRowBorderDxfId="1683" tableBorderDxfId="1682" headerRowCellStyle="40% - Accent5" dataCellStyle="Normal 4">
  <autoFilter ref="A2:O32"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1681" dataCellStyle="Normal 4"/>
    <tableColumn id="5" xr3:uid="{A7E8DB5D-2E5B-4D50-802A-7373C2649DB9}" name="Effort (in mn)" dataDxfId="1680" dataCellStyle="Calculation">
      <calculatedColumnFormula>SUM(F3:O3)</calculatedColumnFormula>
    </tableColumn>
    <tableColumn id="6" xr3:uid="{DD9655BE-E53F-4CA5-885B-7FC10F8D2395}" name="VCH" dataCellStyle="Normal 4"/>
    <tableColumn id="7" xr3:uid="{525D8884-0C8A-4478-BF05-7E1372CD45F9}" name="VPO" dataCellStyle="Normal 4"/>
    <tableColumn id="8" xr3:uid="{967B83B5-4BDD-455D-9479-4517937966AE}" name="GBR" dataCellStyle="Normal 4"/>
    <tableColumn id="9" xr3:uid="{B1B837F4-0787-4CAA-BD5D-A6B2F7E9368A}" name="IRe" dataCellStyle="Normal 4"/>
    <tableColumn id="10" xr3:uid="{4B029EAF-CE65-4128-A016-A786C51E5D01}" name="Ddu"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7" sqref="E7:V7"/>
    </sheetView>
  </sheetViews>
  <sheetFormatPr defaultColWidth="0" defaultRowHeight="12.75" customHeight="1" zeroHeight="1"/>
  <cols>
    <col min="1" max="3" width="2.85546875" style="105" customWidth="1"/>
    <col min="4" max="4" width="3.28515625" style="105" customWidth="1"/>
    <col min="5" max="33" width="2.85546875" style="105" customWidth="1"/>
    <col min="34" max="34" width="1.28515625" style="105" customWidth="1"/>
    <col min="35" max="60" width="3.28515625" style="105" hidden="1" customWidth="1"/>
    <col min="61" max="16384" width="0" style="105" hidden="1"/>
  </cols>
  <sheetData>
    <row r="1" spans="1:37" s="95" customFormat="1">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c r="AI1" s="99"/>
      <c r="AJ1" s="99"/>
      <c r="AK1" s="99"/>
    </row>
    <row r="2" spans="1:37" s="95" customFormat="1"/>
    <row r="3" spans="1:37" s="95" customFormat="1">
      <c r="AD3" s="100" t="s">
        <v>370</v>
      </c>
    </row>
    <row r="4" spans="1:37" s="95" customFormat="1" ht="11.1" customHeight="1">
      <c r="A4" s="245" t="s">
        <v>5</v>
      </c>
      <c r="B4" s="246"/>
      <c r="C4" s="246"/>
      <c r="D4" s="246"/>
      <c r="E4" s="246"/>
      <c r="F4" s="246"/>
      <c r="G4" s="246"/>
      <c r="H4" s="246"/>
      <c r="I4" s="246"/>
      <c r="J4" s="246"/>
      <c r="K4" s="246"/>
      <c r="L4" s="246"/>
      <c r="M4" s="246"/>
      <c r="N4" s="246"/>
      <c r="O4" s="246"/>
      <c r="P4" s="246"/>
      <c r="Q4" s="247"/>
      <c r="R4" s="242" t="s">
        <v>12</v>
      </c>
      <c r="S4" s="243"/>
      <c r="T4" s="243"/>
      <c r="U4" s="243"/>
      <c r="V4" s="244"/>
      <c r="W4" s="242" t="s">
        <v>6</v>
      </c>
      <c r="X4" s="243"/>
      <c r="Y4" s="243"/>
      <c r="Z4" s="243"/>
      <c r="AA4" s="244"/>
      <c r="AB4" s="245" t="s">
        <v>136</v>
      </c>
      <c r="AC4" s="246"/>
      <c r="AD4" s="246"/>
      <c r="AE4" s="246"/>
      <c r="AF4" s="246"/>
      <c r="AG4" s="247"/>
      <c r="AH4" s="101"/>
      <c r="AI4" s="101"/>
      <c r="AJ4" s="101"/>
    </row>
    <row r="5" spans="1:37" s="102" customFormat="1" ht="12.75" customHeight="1">
      <c r="A5" s="248" t="str">
        <f ca="1" xml:space="preserve"> IFERROR(IF([2]!alvDocProperty("MXAuthority")="","272502 VW VWA VN 41S1_NAR EL SB",[2]!alvDocProperty("MXAuthority")),"272502 VW VWA VN 41S1_NAR EL SB")</f>
        <v>272502 VW VWA VN 41S1_NAR EL SB</v>
      </c>
      <c r="B5" s="249"/>
      <c r="C5" s="249"/>
      <c r="D5" s="249"/>
      <c r="E5" s="249"/>
      <c r="F5" s="249"/>
      <c r="G5" s="249"/>
      <c r="H5" s="249"/>
      <c r="I5" s="249"/>
      <c r="J5" s="249"/>
      <c r="K5" s="249"/>
      <c r="L5" s="249"/>
      <c r="M5" s="249"/>
      <c r="N5" s="249"/>
      <c r="O5" s="249"/>
      <c r="P5" s="249"/>
      <c r="Q5" s="250"/>
      <c r="R5" s="248" t="s">
        <v>137</v>
      </c>
      <c r="S5" s="249"/>
      <c r="T5" s="249"/>
      <c r="U5" s="249"/>
      <c r="V5" s="250"/>
      <c r="W5" s="248" t="str">
        <f ca="1" xml:space="preserve"> IFERROR(IF([2]!alvDocProperty("MXCurrent.Localized")="","Template released",[2]!alvDocProperty("MXCurrent.Localized")),"Template released")</f>
        <v>Template released</v>
      </c>
      <c r="X5" s="249"/>
      <c r="Y5" s="249"/>
      <c r="Z5" s="249"/>
      <c r="AA5" s="250"/>
      <c r="AB5" s="248" t="str">
        <f ca="1" xml:space="preserve"> IFERROR(IF([2]!alvDocProperty("MXActual_state_Released")="","2022-07",[2]!alvDocProperty("MXActual_state_Released")),"2022-07")</f>
        <v>2022-07</v>
      </c>
      <c r="AC5" s="249"/>
      <c r="AD5" s="249"/>
      <c r="AE5" s="249"/>
      <c r="AF5" s="249"/>
      <c r="AG5" s="250"/>
    </row>
    <row r="6" spans="1:37" s="95" customFormat="1" ht="11.1" customHeight="1">
      <c r="A6" s="242" t="s">
        <v>7</v>
      </c>
      <c r="B6" s="243"/>
      <c r="C6" s="243"/>
      <c r="D6" s="244"/>
      <c r="E6" s="242" t="s">
        <v>8</v>
      </c>
      <c r="F6" s="243"/>
      <c r="G6" s="243"/>
      <c r="H6" s="243"/>
      <c r="I6" s="243"/>
      <c r="J6" s="243"/>
      <c r="K6" s="243"/>
      <c r="L6" s="243"/>
      <c r="M6" s="243"/>
      <c r="N6" s="243"/>
      <c r="O6" s="243"/>
      <c r="P6" s="243"/>
      <c r="Q6" s="243"/>
      <c r="R6" s="243"/>
      <c r="S6" s="243"/>
      <c r="T6" s="243"/>
      <c r="U6" s="243"/>
      <c r="V6" s="244"/>
      <c r="W6" s="245" t="s">
        <v>10</v>
      </c>
      <c r="X6" s="246"/>
      <c r="Y6" s="246"/>
      <c r="Z6" s="246"/>
      <c r="AA6" s="247"/>
      <c r="AB6" s="242" t="s">
        <v>34</v>
      </c>
      <c r="AC6" s="243"/>
      <c r="AD6" s="244"/>
      <c r="AE6" s="242" t="s">
        <v>9</v>
      </c>
      <c r="AF6" s="243"/>
      <c r="AG6" s="244"/>
    </row>
    <row r="7" spans="1:37" s="102" customFormat="1" ht="12.75" customHeight="1">
      <c r="A7" s="248" t="str">
        <f ca="1" xml:space="preserve"> IFERROR(IF([2]!alvDocProperty("MXName")="","TBD",[2]!alvDocProperty("MXName")),"TBD")</f>
        <v>TBD</v>
      </c>
      <c r="B7" s="249"/>
      <c r="C7" s="249"/>
      <c r="D7" s="250"/>
      <c r="E7" s="248" t="str">
        <f ca="1" xml:space="preserve"> IFERROR(IF([2]!alvDocProperty("MXTitle")="","CompilerIf - Peer Review Workbook (PRWB)",[2]!alvDocProperty("MXTitle")),"CompilerIf - Peer Review Workbook (PRWB)")</f>
        <v>CompilerIf - Peer Review Workbook (PRWB)</v>
      </c>
      <c r="F7" s="249"/>
      <c r="G7" s="249"/>
      <c r="H7" s="249"/>
      <c r="I7" s="249"/>
      <c r="J7" s="249"/>
      <c r="K7" s="249"/>
      <c r="L7" s="249"/>
      <c r="M7" s="249"/>
      <c r="N7" s="249"/>
      <c r="O7" s="249"/>
      <c r="P7" s="249"/>
      <c r="Q7" s="249"/>
      <c r="R7" s="249"/>
      <c r="S7" s="249"/>
      <c r="T7" s="249"/>
      <c r="U7" s="249"/>
      <c r="V7" s="250"/>
      <c r="W7" s="251" t="str">
        <f ca="1" xml:space="preserve"> IFERROR(IF([2]!alvDocProperty("MXDocTemplate_Name")="","AEF1007",[2]!alvDocProperty("MXDocTemplate_Name")),"AEF1007")</f>
        <v>AEF1007</v>
      </c>
      <c r="X7" s="252"/>
      <c r="Y7" s="252"/>
      <c r="Z7" s="252"/>
      <c r="AA7" s="253"/>
      <c r="AB7" s="248" t="str">
        <f ca="1" xml:space="preserve"> IFERROR(IF([2]!alvDocProperty("MXRevision")="","TBD",[2]!alvDocProperty("MXRevision")),"TBD")</f>
        <v>TBD</v>
      </c>
      <c r="AC7" s="249"/>
      <c r="AD7" s="250"/>
      <c r="AE7" s="248" t="str">
        <f ca="1" xml:space="preserve"> IFERROR(IF([2]!alvDocProperty("MXVersion")="","TBD",[2]!alvDocProperty("MXVersion")),"TBD")</f>
        <v>TBD</v>
      </c>
      <c r="AF7" s="249"/>
      <c r="AG7" s="250"/>
    </row>
    <row r="8" spans="1:37" s="102" customFormat="1">
      <c r="A8" s="103"/>
      <c r="B8" s="103"/>
      <c r="C8" s="103"/>
      <c r="D8" s="103"/>
      <c r="E8" s="103"/>
      <c r="F8" s="103"/>
      <c r="G8" s="103"/>
      <c r="H8" s="103"/>
      <c r="I8" s="103"/>
      <c r="J8" s="103"/>
      <c r="K8" s="103"/>
      <c r="L8" s="103"/>
      <c r="M8" s="103"/>
      <c r="N8" s="103"/>
      <c r="O8" s="103"/>
      <c r="P8" s="103"/>
      <c r="Q8" s="103"/>
      <c r="R8" s="103"/>
      <c r="S8" s="103"/>
      <c r="T8" s="103"/>
      <c r="U8" s="103"/>
      <c r="V8" s="103"/>
      <c r="W8" s="104"/>
      <c r="X8" s="104"/>
      <c r="Y8" s="104"/>
      <c r="Z8" s="104"/>
      <c r="AA8" s="104"/>
      <c r="AB8" s="103"/>
      <c r="AC8" s="103"/>
      <c r="AD8" s="103"/>
      <c r="AE8" s="103"/>
      <c r="AF8" s="103"/>
      <c r="AG8" s="103"/>
    </row>
    <row r="9" spans="1:37" ht="11.1" customHeight="1">
      <c r="A9" s="215" t="s">
        <v>60</v>
      </c>
      <c r="B9" s="216"/>
      <c r="C9" s="216"/>
      <c r="D9" s="216"/>
      <c r="E9" s="216"/>
      <c r="F9" s="216"/>
      <c r="G9" s="216"/>
      <c r="H9" s="216"/>
      <c r="I9" s="216"/>
      <c r="J9" s="216"/>
      <c r="K9" s="217"/>
      <c r="L9" s="215" t="s">
        <v>12</v>
      </c>
      <c r="M9" s="216"/>
      <c r="N9" s="216"/>
      <c r="O9" s="216"/>
      <c r="P9" s="216"/>
      <c r="Q9" s="216"/>
      <c r="R9" s="216"/>
      <c r="S9" s="216"/>
      <c r="T9" s="216"/>
      <c r="U9" s="216"/>
      <c r="V9" s="217"/>
      <c r="W9" s="215" t="s">
        <v>17</v>
      </c>
      <c r="X9" s="216"/>
      <c r="Y9" s="216"/>
      <c r="Z9" s="216"/>
      <c r="AA9" s="216"/>
      <c r="AB9" s="216"/>
      <c r="AC9" s="216"/>
      <c r="AD9" s="216"/>
      <c r="AE9" s="216"/>
      <c r="AF9" s="216"/>
      <c r="AG9" s="217"/>
    </row>
    <row r="10" spans="1:37" s="106" customFormat="1" ht="39" customHeight="1">
      <c r="A10" s="218" t="s">
        <v>138</v>
      </c>
      <c r="B10" s="219"/>
      <c r="C10" s="219"/>
      <c r="D10" s="219"/>
      <c r="E10" s="219"/>
      <c r="F10" s="220" t="str">
        <f ca="1" xml:space="preserve"> IFERROR(IF([2]!alvDocProperty("MXUser")="","Vlad Chioveanu",[2]!alvDocProperty("MXUser")),"Gabriel Brasoveanu")</f>
        <v>Gabriel Brasoveanu</v>
      </c>
      <c r="G10" s="220"/>
      <c r="H10" s="220"/>
      <c r="I10" s="220"/>
      <c r="J10" s="220"/>
      <c r="K10" s="221"/>
      <c r="L10" s="222" t="s">
        <v>139</v>
      </c>
      <c r="M10" s="223"/>
      <c r="N10" s="223"/>
      <c r="O10" s="223"/>
      <c r="P10" s="223"/>
      <c r="Q10" s="223"/>
      <c r="R10" s="223"/>
      <c r="S10" s="223"/>
      <c r="T10" s="223"/>
      <c r="U10" s="223"/>
      <c r="V10" s="224"/>
      <c r="W10" s="222" t="s">
        <v>139</v>
      </c>
      <c r="X10" s="223"/>
      <c r="Y10" s="223"/>
      <c r="Z10" s="223"/>
      <c r="AA10" s="223"/>
      <c r="AB10" s="223"/>
      <c r="AC10" s="223"/>
      <c r="AD10" s="223"/>
      <c r="AE10" s="223"/>
      <c r="AF10" s="223"/>
      <c r="AG10" s="224"/>
    </row>
    <row r="11" spans="1:37" s="106" customFormat="1" ht="4.5" customHeight="1">
      <c r="A11" s="107"/>
      <c r="B11" s="108"/>
      <c r="C11" s="108"/>
      <c r="D11" s="108"/>
      <c r="E11" s="108"/>
      <c r="F11" s="108"/>
      <c r="G11" s="108"/>
      <c r="H11" s="108"/>
      <c r="I11" s="108"/>
      <c r="J11" s="108"/>
      <c r="K11" s="108"/>
      <c r="L11" s="109"/>
      <c r="M11" s="108"/>
      <c r="N11" s="108"/>
      <c r="O11" s="108"/>
      <c r="P11" s="108"/>
      <c r="Q11" s="108"/>
      <c r="R11" s="108"/>
      <c r="S11" s="108"/>
      <c r="T11" s="108"/>
      <c r="U11" s="108"/>
      <c r="V11" s="108"/>
      <c r="W11" s="109"/>
      <c r="X11" s="108"/>
      <c r="Y11" s="108"/>
      <c r="Z11" s="108"/>
      <c r="AA11" s="108"/>
      <c r="AB11" s="108"/>
      <c r="AC11" s="108"/>
      <c r="AD11" s="108"/>
      <c r="AE11" s="108"/>
      <c r="AF11" s="108"/>
      <c r="AG11" s="110"/>
    </row>
    <row r="12" spans="1:37" ht="11.1" customHeight="1">
      <c r="A12" s="225" t="s">
        <v>140</v>
      </c>
      <c r="B12" s="226"/>
      <c r="C12" s="226"/>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7"/>
    </row>
    <row r="13" spans="1:37" s="106" customFormat="1" ht="28.5" customHeight="1">
      <c r="A13" s="228" t="s">
        <v>141</v>
      </c>
      <c r="B13" s="229"/>
      <c r="C13" s="229"/>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30"/>
    </row>
    <row r="14" spans="1:37" s="106" customFormat="1" ht="4.5" customHeight="1">
      <c r="A14" s="109"/>
      <c r="B14" s="108"/>
      <c r="C14" s="108"/>
      <c r="D14" s="108"/>
      <c r="E14" s="108"/>
      <c r="F14" s="108"/>
      <c r="G14" s="108"/>
      <c r="H14" s="108"/>
      <c r="I14" s="108"/>
      <c r="J14" s="108"/>
      <c r="K14" s="108"/>
      <c r="L14" s="109"/>
      <c r="M14" s="108"/>
      <c r="N14" s="108"/>
      <c r="O14" s="108"/>
      <c r="P14" s="108"/>
      <c r="Q14" s="108"/>
      <c r="R14" s="108"/>
      <c r="S14" s="108"/>
      <c r="T14" s="108"/>
      <c r="U14" s="108"/>
      <c r="V14" s="108"/>
      <c r="W14" s="109"/>
      <c r="X14" s="108"/>
      <c r="Y14" s="108"/>
      <c r="Z14" s="108"/>
      <c r="AA14" s="108"/>
      <c r="AB14" s="108"/>
      <c r="AC14" s="108"/>
      <c r="AD14" s="108"/>
      <c r="AE14" s="108"/>
      <c r="AF14" s="108"/>
      <c r="AG14" s="108"/>
    </row>
    <row r="15" spans="1:37" ht="37.5" customHeight="1">
      <c r="A15" s="231" t="s">
        <v>142</v>
      </c>
      <c r="B15" s="231"/>
      <c r="C15" s="231"/>
      <c r="D15" s="231"/>
      <c r="E15" s="233"/>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5"/>
    </row>
    <row r="16" spans="1:37" ht="37.5" customHeight="1">
      <c r="A16" s="232"/>
      <c r="B16" s="232"/>
      <c r="C16" s="232"/>
      <c r="D16" s="232"/>
      <c r="E16" s="236"/>
      <c r="F16" s="237"/>
      <c r="G16" s="237"/>
      <c r="H16" s="237"/>
      <c r="I16" s="237"/>
      <c r="J16" s="237"/>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8"/>
    </row>
    <row r="17" spans="1:33">
      <c r="A17" s="111"/>
    </row>
    <row r="18" spans="1:33" ht="26.25" customHeight="1">
      <c r="A18" s="239" t="s">
        <v>295</v>
      </c>
      <c r="B18" s="240"/>
      <c r="C18" s="240"/>
      <c r="D18" s="240"/>
      <c r="E18" s="241" t="s">
        <v>294</v>
      </c>
      <c r="F18" s="241"/>
      <c r="G18" s="241"/>
      <c r="H18" s="241"/>
      <c r="I18" s="241"/>
      <c r="J18" s="241"/>
      <c r="K18" s="241"/>
      <c r="L18" s="241"/>
      <c r="M18" s="241"/>
      <c r="N18" s="241"/>
      <c r="O18" s="241"/>
      <c r="P18" s="241"/>
    </row>
    <row r="19" spans="1:33"/>
    <row r="20" spans="1:33"/>
    <row r="21" spans="1:33" ht="15.75" customHeight="1">
      <c r="Q21" s="112"/>
    </row>
    <row r="22" spans="1:33" ht="12" customHeight="1">
      <c r="Q22" s="112"/>
    </row>
    <row r="23" spans="1:33" ht="60" customHeight="1">
      <c r="A23" s="213" t="str">
        <f ca="1">MXTitle</f>
        <v>CompilerIf - Peer Review Workbook (PRWB)</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row>
    <row r="24" spans="1:33" ht="25.5">
      <c r="Q24" s="112"/>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679" priority="21" operator="equal">
      <formula>"draft"</formula>
    </cfRule>
  </conditionalFormatting>
  <conditionalFormatting sqref="W5:AA5">
    <cfRule type="cellIs" dxfId="1678" priority="1" operator="equal">
      <formula>"In-Work"</formula>
    </cfRule>
    <cfRule type="cellIs" dxfId="1677" priority="2" stopIfTrue="1" operator="equal">
      <formula>"draft"</formula>
    </cfRule>
    <cfRule type="cellIs" dxfId="1676" priority="3" operator="equal">
      <formula>"In-Work"</formula>
    </cfRule>
    <cfRule type="cellIs" dxfId="1675" priority="4" stopIfTrue="1" operator="equal">
      <formula>"draft"</formula>
    </cfRule>
    <cfRule type="cellIs" dxfId="1674" priority="5" operator="equal">
      <formula>"In-Work"</formula>
    </cfRule>
    <cfRule type="cellIs" dxfId="1673" priority="6" stopIfTrue="1" operator="equal">
      <formula>"draft"</formula>
    </cfRule>
    <cfRule type="cellIs" dxfId="1672" priority="7" operator="equal">
      <formula>"In-Work"</formula>
    </cfRule>
    <cfRule type="cellIs" dxfId="1671" priority="8" stopIfTrue="1" operator="equal">
      <formula>"draft"</formula>
    </cfRule>
    <cfRule type="cellIs" dxfId="1670" priority="9" operator="equal">
      <formula>"In-Work"</formula>
    </cfRule>
    <cfRule type="cellIs" dxfId="1669" priority="10" stopIfTrue="1" operator="equal">
      <formula>"draft"</formula>
    </cfRule>
    <cfRule type="cellIs" dxfId="1668" priority="11" operator="equal">
      <formula>"In-Work"</formula>
    </cfRule>
    <cfRule type="cellIs" dxfId="1667" priority="12" stopIfTrue="1" operator="equal">
      <formula>"draft"</formula>
    </cfRule>
    <cfRule type="cellIs" dxfId="1666" priority="13" operator="equal">
      <formula>"In-Work"</formula>
    </cfRule>
    <cfRule type="cellIs" dxfId="1665" priority="14" stopIfTrue="1" operator="equal">
      <formula>"draft"</formula>
    </cfRule>
    <cfRule type="cellIs" dxfId="1664" priority="15" operator="equal">
      <formula>"In-Work"</formula>
    </cfRule>
    <cfRule type="cellIs" dxfId="1663" priority="16" stopIfTrue="1" operator="equal">
      <formula>"draft"</formula>
    </cfRule>
    <cfRule type="cellIs" dxfId="1662" priority="17" operator="equal">
      <formula>"In-Work"</formula>
    </cfRule>
    <cfRule type="cellIs" dxfId="1661" priority="18" stopIfTrue="1" operator="equal">
      <formula>"draft"</formula>
    </cfRule>
    <cfRule type="cellIs" dxfId="1660" priority="19" operator="equal">
      <formula>"In-Work"</formula>
    </cfRule>
    <cfRule type="cellIs" dxfId="1659" priority="20"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3" customWidth="1"/>
    <col min="35" max="35" width="9.140625" style="113"/>
    <col min="36" max="36" width="22" style="113" customWidth="1"/>
    <col min="37" max="16384" width="9.140625" style="113"/>
  </cols>
  <sheetData>
    <row r="1" spans="1:34">
      <c r="A1" s="95"/>
      <c r="B1" s="95"/>
      <c r="C1" s="96"/>
      <c r="D1" s="96"/>
      <c r="E1" s="96"/>
      <c r="F1" s="96"/>
      <c r="G1" s="97"/>
      <c r="H1" s="98"/>
      <c r="I1" s="98"/>
      <c r="J1" s="98"/>
      <c r="K1" s="98"/>
      <c r="L1" s="98"/>
      <c r="M1" s="98"/>
      <c r="N1" s="98"/>
      <c r="O1" s="98"/>
      <c r="P1" s="99"/>
      <c r="Q1" s="99"/>
      <c r="R1" s="99"/>
      <c r="S1" s="99"/>
      <c r="T1" s="99"/>
      <c r="U1" s="99"/>
      <c r="V1" s="99"/>
      <c r="W1" s="99"/>
      <c r="X1" s="99"/>
      <c r="Y1" s="99"/>
      <c r="Z1" s="99"/>
      <c r="AA1" s="99"/>
      <c r="AB1" s="99"/>
      <c r="AC1" s="99"/>
      <c r="AD1" s="99"/>
      <c r="AE1" s="99"/>
      <c r="AF1" s="99"/>
      <c r="AG1" s="99"/>
      <c r="AH1" s="99"/>
    </row>
    <row r="2" spans="1:34">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4">
      <c r="A3" s="95"/>
      <c r="B3" s="95"/>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114" t="str">
        <f>FileName</f>
        <v>TL_Lib - Peer Review Workbook.xlsm</v>
      </c>
      <c r="AE3" s="95"/>
      <c r="AF3" s="95"/>
      <c r="AG3" s="95"/>
      <c r="AH3" s="95"/>
    </row>
    <row r="4" spans="1:34">
      <c r="A4" s="245" t="s">
        <v>5</v>
      </c>
      <c r="B4" s="246"/>
      <c r="C4" s="246"/>
      <c r="D4" s="246"/>
      <c r="E4" s="246"/>
      <c r="F4" s="246"/>
      <c r="G4" s="246"/>
      <c r="H4" s="246"/>
      <c r="I4" s="246"/>
      <c r="J4" s="246"/>
      <c r="K4" s="246"/>
      <c r="L4" s="246"/>
      <c r="M4" s="246"/>
      <c r="N4" s="246"/>
      <c r="O4" s="246"/>
      <c r="P4" s="246"/>
      <c r="Q4" s="246"/>
      <c r="R4" s="246"/>
      <c r="S4" s="246"/>
      <c r="T4" s="246"/>
      <c r="U4" s="246"/>
      <c r="V4" s="247"/>
      <c r="W4" s="284" t="s">
        <v>6</v>
      </c>
      <c r="X4" s="285"/>
      <c r="Y4" s="285"/>
      <c r="Z4" s="285"/>
      <c r="AA4" s="286"/>
      <c r="AB4" s="245" t="s">
        <v>136</v>
      </c>
      <c r="AC4" s="246"/>
      <c r="AD4" s="246"/>
      <c r="AE4" s="246"/>
      <c r="AF4" s="246"/>
      <c r="AG4" s="247"/>
      <c r="AH4" s="101"/>
    </row>
    <row r="5" spans="1:34">
      <c r="A5" s="251" t="s">
        <v>206</v>
      </c>
      <c r="B5" s="252"/>
      <c r="C5" s="252"/>
      <c r="D5" s="252"/>
      <c r="E5" s="252"/>
      <c r="F5" s="252"/>
      <c r="G5" s="252"/>
      <c r="H5" s="252"/>
      <c r="I5" s="252"/>
      <c r="J5" s="252"/>
      <c r="K5" s="252"/>
      <c r="L5" s="252"/>
      <c r="M5" s="252"/>
      <c r="N5" s="252"/>
      <c r="O5" s="252"/>
      <c r="P5" s="252"/>
      <c r="Q5" s="252"/>
      <c r="R5" s="252"/>
      <c r="S5" s="252"/>
      <c r="T5" s="252"/>
      <c r="U5" s="252"/>
      <c r="V5" s="253"/>
      <c r="W5" s="287" t="s">
        <v>205</v>
      </c>
      <c r="X5" s="288"/>
      <c r="Y5" s="288"/>
      <c r="Z5" s="288"/>
      <c r="AA5" s="289"/>
      <c r="AB5" s="251" t="s">
        <v>204</v>
      </c>
      <c r="AC5" s="252"/>
      <c r="AD5" s="252"/>
      <c r="AE5" s="252"/>
      <c r="AF5" s="252"/>
      <c r="AG5" s="253"/>
      <c r="AH5" s="102"/>
    </row>
    <row r="6" spans="1:34">
      <c r="A6" s="276" t="s">
        <v>7</v>
      </c>
      <c r="B6" s="277"/>
      <c r="C6" s="277"/>
      <c r="D6" s="278"/>
      <c r="E6" s="276" t="s">
        <v>8</v>
      </c>
      <c r="F6" s="277"/>
      <c r="G6" s="277"/>
      <c r="H6" s="277"/>
      <c r="I6" s="277"/>
      <c r="J6" s="277"/>
      <c r="K6" s="277"/>
      <c r="L6" s="277"/>
      <c r="M6" s="277"/>
      <c r="N6" s="277"/>
      <c r="O6" s="277"/>
      <c r="P6" s="277"/>
      <c r="Q6" s="277"/>
      <c r="R6" s="277"/>
      <c r="S6" s="277"/>
      <c r="T6" s="277"/>
      <c r="U6" s="277"/>
      <c r="V6" s="278"/>
      <c r="W6" s="245" t="s">
        <v>10</v>
      </c>
      <c r="X6" s="246"/>
      <c r="Y6" s="246"/>
      <c r="Z6" s="246"/>
      <c r="AA6" s="247"/>
      <c r="AB6" s="284" t="s">
        <v>34</v>
      </c>
      <c r="AC6" s="285"/>
      <c r="AD6" s="286"/>
      <c r="AE6" s="284" t="s">
        <v>9</v>
      </c>
      <c r="AF6" s="285"/>
      <c r="AG6" s="286"/>
      <c r="AH6" s="95"/>
    </row>
    <row r="7" spans="1:34">
      <c r="A7" s="287" t="s">
        <v>203</v>
      </c>
      <c r="B7" s="288"/>
      <c r="C7" s="288"/>
      <c r="D7" s="289"/>
      <c r="E7" s="287" t="s">
        <v>208</v>
      </c>
      <c r="F7" s="288"/>
      <c r="G7" s="288"/>
      <c r="H7" s="288"/>
      <c r="I7" s="288"/>
      <c r="J7" s="288"/>
      <c r="K7" s="288"/>
      <c r="L7" s="288"/>
      <c r="M7" s="288"/>
      <c r="N7" s="288"/>
      <c r="O7" s="288"/>
      <c r="P7" s="288"/>
      <c r="Q7" s="288"/>
      <c r="R7" s="288"/>
      <c r="S7" s="288"/>
      <c r="T7" s="288"/>
      <c r="U7" s="288"/>
      <c r="V7" s="289"/>
      <c r="W7" s="287" t="str">
        <f ca="1">TemplateRef</f>
        <v>AEF1007</v>
      </c>
      <c r="X7" s="288"/>
      <c r="Y7" s="288"/>
      <c r="Z7" s="288"/>
      <c r="AA7" s="289"/>
      <c r="AB7" s="287" t="s">
        <v>207</v>
      </c>
      <c r="AC7" s="288"/>
      <c r="AD7" s="289"/>
      <c r="AE7" s="287" t="s">
        <v>207</v>
      </c>
      <c r="AF7" s="288"/>
      <c r="AG7" s="289"/>
      <c r="AH7" s="102"/>
    </row>
    <row r="8" spans="1:34">
      <c r="A8" s="276" t="s">
        <v>143</v>
      </c>
      <c r="B8" s="277"/>
      <c r="C8" s="277"/>
      <c r="D8" s="277"/>
      <c r="E8" s="277"/>
      <c r="F8" s="277"/>
      <c r="G8" s="277"/>
      <c r="H8" s="277"/>
      <c r="I8" s="277"/>
      <c r="J8" s="277"/>
      <c r="K8" s="277"/>
      <c r="L8" s="277"/>
      <c r="M8" s="277"/>
      <c r="N8" s="277"/>
      <c r="O8" s="277"/>
      <c r="P8" s="277"/>
      <c r="Q8" s="277"/>
      <c r="R8" s="277"/>
      <c r="S8" s="277"/>
      <c r="T8" s="277"/>
      <c r="U8" s="277"/>
      <c r="V8" s="277"/>
      <c r="W8" s="277"/>
      <c r="X8" s="277"/>
      <c r="Y8" s="277"/>
      <c r="Z8" s="277"/>
      <c r="AA8" s="277"/>
      <c r="AB8" s="277"/>
      <c r="AC8" s="277"/>
      <c r="AD8" s="277"/>
      <c r="AE8" s="277"/>
      <c r="AF8" s="277"/>
      <c r="AG8" s="278"/>
      <c r="AH8" s="105"/>
    </row>
    <row r="9" spans="1:34">
      <c r="A9" s="279" t="s">
        <v>144</v>
      </c>
      <c r="B9" s="280"/>
      <c r="C9" s="280"/>
      <c r="D9" s="280"/>
      <c r="E9" s="280"/>
      <c r="F9" s="280"/>
      <c r="G9" s="280"/>
      <c r="H9" s="280"/>
      <c r="I9" s="280"/>
      <c r="J9" s="280"/>
      <c r="K9" s="280"/>
      <c r="L9" s="280"/>
      <c r="M9" s="280"/>
      <c r="N9" s="280"/>
      <c r="O9" s="280"/>
      <c r="P9" s="280"/>
      <c r="Q9" s="280"/>
      <c r="R9" s="280"/>
      <c r="S9" s="280"/>
      <c r="T9" s="280"/>
      <c r="U9" s="280"/>
      <c r="V9" s="280"/>
      <c r="W9" s="280"/>
      <c r="X9" s="280"/>
      <c r="Y9" s="280"/>
      <c r="Z9" s="280"/>
      <c r="AA9" s="280"/>
      <c r="AB9" s="280"/>
      <c r="AC9" s="280"/>
      <c r="AD9" s="280"/>
      <c r="AE9" s="280"/>
      <c r="AF9" s="280"/>
      <c r="AG9" s="281"/>
      <c r="AH9" s="105"/>
    </row>
    <row r="10" spans="1:34">
      <c r="A10" s="105"/>
      <c r="B10" s="105"/>
      <c r="C10" s="105"/>
      <c r="D10" s="105"/>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row>
    <row r="11" spans="1:34">
      <c r="A11" s="105"/>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row>
    <row r="12" spans="1:34" ht="26.25">
      <c r="A12" s="105"/>
      <c r="B12" s="115" t="s">
        <v>145</v>
      </c>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05"/>
      <c r="AH12" s="105"/>
    </row>
    <row r="13" spans="1:34">
      <c r="A13" s="105"/>
      <c r="B13" s="105"/>
      <c r="C13" s="105"/>
      <c r="D13" s="105"/>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row>
    <row r="14" spans="1:34" ht="20.25">
      <c r="A14" s="105"/>
      <c r="B14" s="117" t="s">
        <v>146</v>
      </c>
      <c r="C14" s="118"/>
      <c r="D14" s="105"/>
      <c r="E14" s="105"/>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row>
    <row r="15" spans="1:34">
      <c r="A15" s="105"/>
      <c r="B15" s="264" t="s">
        <v>147</v>
      </c>
      <c r="C15" s="282"/>
      <c r="D15" s="282"/>
      <c r="E15" s="282"/>
      <c r="F15" s="282"/>
      <c r="G15" s="264" t="s">
        <v>148</v>
      </c>
      <c r="H15" s="264"/>
      <c r="I15" s="264"/>
      <c r="J15" s="264"/>
      <c r="K15" s="264"/>
      <c r="L15" s="264"/>
      <c r="M15" s="264"/>
      <c r="N15" s="264"/>
      <c r="O15" s="264"/>
      <c r="P15" s="264"/>
      <c r="Q15" s="264"/>
      <c r="R15" s="264"/>
      <c r="S15" s="264"/>
      <c r="T15" s="264"/>
      <c r="U15" s="264"/>
      <c r="V15" s="264"/>
      <c r="W15" s="264"/>
      <c r="X15" s="264"/>
      <c r="Y15" s="264"/>
      <c r="Z15" s="264"/>
      <c r="AA15" s="264"/>
      <c r="AB15" s="264"/>
      <c r="AC15" s="264"/>
      <c r="AD15" s="264"/>
      <c r="AE15" s="264"/>
      <c r="AF15" s="264"/>
      <c r="AG15" s="105"/>
      <c r="AH15" s="105"/>
    </row>
    <row r="16" spans="1:34" ht="55.5" customHeight="1">
      <c r="A16" s="105"/>
      <c r="B16" s="283" t="s">
        <v>149</v>
      </c>
      <c r="C16" s="283"/>
      <c r="D16" s="283"/>
      <c r="E16" s="283"/>
      <c r="F16" s="283"/>
      <c r="G16" s="261" t="s">
        <v>150</v>
      </c>
      <c r="H16" s="261"/>
      <c r="I16" s="261"/>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105"/>
      <c r="AH16" s="105"/>
    </row>
    <row r="17" spans="1:34">
      <c r="A17" s="105"/>
      <c r="B17" s="283" t="s">
        <v>151</v>
      </c>
      <c r="C17" s="283"/>
      <c r="D17" s="283"/>
      <c r="E17" s="283"/>
      <c r="F17" s="283"/>
      <c r="G17" s="261" t="s">
        <v>152</v>
      </c>
      <c r="H17" s="261"/>
      <c r="I17" s="261"/>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105"/>
      <c r="AH17" s="105"/>
    </row>
    <row r="18" spans="1:34" ht="15" customHeight="1">
      <c r="A18" s="105"/>
      <c r="B18" s="283" t="s">
        <v>15</v>
      </c>
      <c r="C18" s="283"/>
      <c r="D18" s="283"/>
      <c r="E18" s="283"/>
      <c r="F18" s="283"/>
      <c r="G18" s="261" t="s">
        <v>153</v>
      </c>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105"/>
      <c r="AH18" s="105"/>
    </row>
    <row r="19" spans="1:34" ht="24" customHeight="1">
      <c r="A19" s="105"/>
      <c r="B19" s="273" t="s">
        <v>188</v>
      </c>
      <c r="C19" s="273"/>
      <c r="D19" s="273"/>
      <c r="E19" s="273"/>
      <c r="F19" s="273"/>
      <c r="G19" s="261" t="s">
        <v>153</v>
      </c>
      <c r="H19" s="261"/>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105"/>
      <c r="AH19" s="105"/>
    </row>
    <row r="20" spans="1:34">
      <c r="A20" s="105"/>
      <c r="B20" s="290" t="s">
        <v>189</v>
      </c>
      <c r="C20" s="290"/>
      <c r="D20" s="290"/>
      <c r="E20" s="290"/>
      <c r="F20" s="290"/>
      <c r="G20" s="261" t="s">
        <v>153</v>
      </c>
      <c r="H20" s="261"/>
      <c r="I20" s="261"/>
      <c r="J20" s="261"/>
      <c r="K20" s="261"/>
      <c r="L20" s="261"/>
      <c r="M20" s="261"/>
      <c r="N20" s="261"/>
      <c r="O20" s="261"/>
      <c r="P20" s="261"/>
      <c r="Q20" s="261"/>
      <c r="R20" s="261"/>
      <c r="S20" s="261"/>
      <c r="T20" s="261"/>
      <c r="U20" s="261"/>
      <c r="V20" s="261"/>
      <c r="W20" s="261"/>
      <c r="X20" s="261"/>
      <c r="Y20" s="261"/>
      <c r="Z20" s="261"/>
      <c r="AA20" s="261"/>
      <c r="AB20" s="261"/>
      <c r="AC20" s="261"/>
      <c r="AD20" s="261"/>
      <c r="AE20" s="261"/>
      <c r="AF20" s="261"/>
      <c r="AG20" s="105"/>
      <c r="AH20" s="105"/>
    </row>
    <row r="21" spans="1:34" ht="35.25" customHeight="1">
      <c r="A21" s="105"/>
      <c r="B21" s="274" t="s">
        <v>260</v>
      </c>
      <c r="C21" s="274"/>
      <c r="D21" s="274"/>
      <c r="E21" s="274"/>
      <c r="F21" s="274"/>
      <c r="G21" s="261" t="s">
        <v>261</v>
      </c>
      <c r="H21" s="261"/>
      <c r="I21" s="261"/>
      <c r="J21" s="261"/>
      <c r="K21" s="261"/>
      <c r="L21" s="261"/>
      <c r="M21" s="261"/>
      <c r="N21" s="261"/>
      <c r="O21" s="261"/>
      <c r="P21" s="261"/>
      <c r="Q21" s="261"/>
      <c r="R21" s="261"/>
      <c r="S21" s="261"/>
      <c r="T21" s="261"/>
      <c r="U21" s="261"/>
      <c r="V21" s="261"/>
      <c r="W21" s="261"/>
      <c r="X21" s="261"/>
      <c r="Y21" s="261"/>
      <c r="Z21" s="261"/>
      <c r="AA21" s="261"/>
      <c r="AB21" s="261"/>
      <c r="AC21" s="261"/>
      <c r="AD21" s="261"/>
      <c r="AE21" s="261"/>
      <c r="AF21" s="261"/>
      <c r="AG21" s="105"/>
      <c r="AH21" s="105"/>
    </row>
    <row r="22" spans="1:34" ht="28.5" customHeight="1">
      <c r="A22" s="105"/>
      <c r="B22" s="274" t="s">
        <v>262</v>
      </c>
      <c r="C22" s="274"/>
      <c r="D22" s="274"/>
      <c r="E22" s="274"/>
      <c r="F22" s="274"/>
      <c r="G22" s="261" t="s">
        <v>263</v>
      </c>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105"/>
      <c r="AH22" s="105"/>
    </row>
    <row r="23" spans="1:34" ht="22.5" customHeight="1">
      <c r="A23" s="105"/>
      <c r="B23" s="274" t="s">
        <v>264</v>
      </c>
      <c r="C23" s="274"/>
      <c r="D23" s="274"/>
      <c r="E23" s="274"/>
      <c r="F23" s="274"/>
      <c r="G23" s="261" t="s">
        <v>265</v>
      </c>
      <c r="H23" s="261"/>
      <c r="I23" s="261"/>
      <c r="J23" s="261"/>
      <c r="K23" s="261"/>
      <c r="L23" s="261"/>
      <c r="M23" s="261"/>
      <c r="N23" s="261"/>
      <c r="O23" s="261"/>
      <c r="P23" s="261"/>
      <c r="Q23" s="261"/>
      <c r="R23" s="261"/>
      <c r="S23" s="261"/>
      <c r="T23" s="261"/>
      <c r="U23" s="261"/>
      <c r="V23" s="261"/>
      <c r="W23" s="261"/>
      <c r="X23" s="261"/>
      <c r="Y23" s="261"/>
      <c r="Z23" s="261"/>
      <c r="AA23" s="261"/>
      <c r="AB23" s="261"/>
      <c r="AC23" s="261"/>
      <c r="AD23" s="261"/>
      <c r="AE23" s="261"/>
      <c r="AF23" s="261"/>
      <c r="AG23" s="105"/>
      <c r="AH23" s="105"/>
    </row>
    <row r="24" spans="1:34" ht="45" customHeight="1">
      <c r="A24" s="105"/>
      <c r="B24" s="275" t="s">
        <v>190</v>
      </c>
      <c r="C24" s="275"/>
      <c r="D24" s="275"/>
      <c r="E24" s="275"/>
      <c r="F24" s="275"/>
      <c r="G24" s="261" t="s">
        <v>292</v>
      </c>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105"/>
      <c r="AH24" s="105"/>
    </row>
    <row r="25" spans="1:34">
      <c r="A25" s="105"/>
      <c r="B25" s="105"/>
      <c r="C25" s="119"/>
      <c r="D25" s="105"/>
      <c r="E25" s="105"/>
      <c r="F25" s="105"/>
      <c r="G25" s="105"/>
      <c r="H25" s="105"/>
      <c r="I25" s="120"/>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row>
    <row r="26" spans="1:34" ht="20.25">
      <c r="A26" s="117"/>
      <c r="B26" s="117" t="s">
        <v>154</v>
      </c>
      <c r="C26" s="119"/>
      <c r="D26" s="105"/>
      <c r="E26" s="105"/>
      <c r="F26" s="105"/>
      <c r="G26" s="105"/>
      <c r="H26" s="105"/>
      <c r="I26" s="120"/>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row>
    <row r="27" spans="1:34">
      <c r="A27" s="105"/>
      <c r="B27" s="264" t="s">
        <v>34</v>
      </c>
      <c r="C27" s="266"/>
      <c r="D27" s="266"/>
      <c r="E27" s="264" t="s">
        <v>92</v>
      </c>
      <c r="F27" s="264"/>
      <c r="G27" s="264"/>
      <c r="H27" s="264"/>
      <c r="I27" s="264" t="s">
        <v>155</v>
      </c>
      <c r="J27" s="266"/>
      <c r="K27" s="266"/>
      <c r="L27" s="266"/>
      <c r="M27" s="266"/>
      <c r="N27" s="266"/>
      <c r="O27" s="266"/>
      <c r="P27" s="266"/>
      <c r="Q27" s="266"/>
      <c r="R27" s="264" t="s">
        <v>156</v>
      </c>
      <c r="S27" s="264"/>
      <c r="T27" s="264"/>
      <c r="U27" s="264"/>
      <c r="V27" s="264"/>
      <c r="W27" s="264"/>
      <c r="X27" s="264"/>
      <c r="Y27" s="264"/>
      <c r="Z27" s="264"/>
      <c r="AA27" s="264"/>
      <c r="AB27" s="264"/>
      <c r="AC27" s="264"/>
      <c r="AD27" s="264"/>
      <c r="AE27" s="264"/>
      <c r="AF27" s="264"/>
      <c r="AG27" s="105"/>
      <c r="AH27" s="105"/>
    </row>
    <row r="28" spans="1:34" ht="40.5" customHeight="1">
      <c r="A28" s="105"/>
      <c r="B28" s="254" t="s">
        <v>338</v>
      </c>
      <c r="C28" s="255" t="s">
        <v>3</v>
      </c>
      <c r="D28" s="256" t="s">
        <v>3</v>
      </c>
      <c r="E28" s="267"/>
      <c r="F28" s="268"/>
      <c r="G28" s="268"/>
      <c r="H28" s="269"/>
      <c r="I28" s="261"/>
      <c r="J28" s="270"/>
      <c r="K28" s="270"/>
      <c r="L28" s="270"/>
      <c r="M28" s="270"/>
      <c r="N28" s="270"/>
      <c r="O28" s="270"/>
      <c r="P28" s="270"/>
      <c r="Q28" s="270"/>
      <c r="R28" s="261" t="s">
        <v>14</v>
      </c>
      <c r="S28" s="261" t="s">
        <v>14</v>
      </c>
      <c r="T28" s="261" t="s">
        <v>14</v>
      </c>
      <c r="U28" s="261" t="s">
        <v>14</v>
      </c>
      <c r="V28" s="261" t="s">
        <v>14</v>
      </c>
      <c r="W28" s="261" t="s">
        <v>14</v>
      </c>
      <c r="X28" s="261" t="s">
        <v>14</v>
      </c>
      <c r="Y28" s="261" t="s">
        <v>14</v>
      </c>
      <c r="Z28" s="261" t="s">
        <v>14</v>
      </c>
      <c r="AA28" s="261" t="s">
        <v>14</v>
      </c>
      <c r="AB28" s="261" t="s">
        <v>14</v>
      </c>
      <c r="AC28" s="261" t="s">
        <v>14</v>
      </c>
      <c r="AD28" s="261" t="s">
        <v>14</v>
      </c>
      <c r="AE28" s="261" t="s">
        <v>14</v>
      </c>
      <c r="AF28" s="261" t="s">
        <v>14</v>
      </c>
      <c r="AG28" s="105"/>
      <c r="AH28" s="105"/>
    </row>
    <row r="29" spans="1:34" ht="60" customHeight="1">
      <c r="A29" s="105"/>
      <c r="B29" s="254" t="s">
        <v>18</v>
      </c>
      <c r="C29" s="255" t="s">
        <v>18</v>
      </c>
      <c r="D29" s="256" t="s">
        <v>18</v>
      </c>
      <c r="E29" s="267">
        <v>40591.490486111114</v>
      </c>
      <c r="F29" s="268">
        <v>40591.490486111114</v>
      </c>
      <c r="G29" s="268">
        <v>40591.490486111114</v>
      </c>
      <c r="H29" s="269">
        <v>40591.490486111114</v>
      </c>
      <c r="I29" s="261" t="s">
        <v>4</v>
      </c>
      <c r="J29" s="270" t="s">
        <v>4</v>
      </c>
      <c r="K29" s="270" t="s">
        <v>4</v>
      </c>
      <c r="L29" s="270" t="s">
        <v>4</v>
      </c>
      <c r="M29" s="270" t="s">
        <v>4</v>
      </c>
      <c r="N29" s="270" t="s">
        <v>4</v>
      </c>
      <c r="O29" s="270" t="s">
        <v>4</v>
      </c>
      <c r="P29" s="270" t="s">
        <v>4</v>
      </c>
      <c r="Q29" s="270" t="s">
        <v>4</v>
      </c>
      <c r="R29" s="261" t="s">
        <v>35</v>
      </c>
      <c r="S29" s="261" t="s">
        <v>35</v>
      </c>
      <c r="T29" s="261" t="s">
        <v>35</v>
      </c>
      <c r="U29" s="261" t="s">
        <v>35</v>
      </c>
      <c r="V29" s="261" t="s">
        <v>35</v>
      </c>
      <c r="W29" s="261" t="s">
        <v>35</v>
      </c>
      <c r="X29" s="261" t="s">
        <v>35</v>
      </c>
      <c r="Y29" s="261" t="s">
        <v>35</v>
      </c>
      <c r="Z29" s="261" t="s">
        <v>35</v>
      </c>
      <c r="AA29" s="261" t="s">
        <v>35</v>
      </c>
      <c r="AB29" s="261" t="s">
        <v>35</v>
      </c>
      <c r="AC29" s="261" t="s">
        <v>35</v>
      </c>
      <c r="AD29" s="261" t="s">
        <v>35</v>
      </c>
      <c r="AE29" s="261" t="s">
        <v>35</v>
      </c>
      <c r="AF29" s="261" t="s">
        <v>35</v>
      </c>
      <c r="AG29" s="105"/>
      <c r="AH29" s="105"/>
    </row>
    <row r="30" spans="1:34" ht="291" customHeight="1">
      <c r="A30" s="105"/>
      <c r="B30" s="254" t="s">
        <v>98</v>
      </c>
      <c r="C30" s="255" t="s">
        <v>98</v>
      </c>
      <c r="D30" s="256" t="s">
        <v>98</v>
      </c>
      <c r="E30" s="267">
        <v>41071.656145833331</v>
      </c>
      <c r="F30" s="268">
        <v>41071.656145833331</v>
      </c>
      <c r="G30" s="268">
        <v>41071.656145833331</v>
      </c>
      <c r="H30" s="269">
        <v>41071.656145833331</v>
      </c>
      <c r="I30" s="261" t="s">
        <v>4</v>
      </c>
      <c r="J30" s="270" t="s">
        <v>4</v>
      </c>
      <c r="K30" s="270" t="s">
        <v>4</v>
      </c>
      <c r="L30" s="270" t="s">
        <v>4</v>
      </c>
      <c r="M30" s="270" t="s">
        <v>4</v>
      </c>
      <c r="N30" s="270" t="s">
        <v>4</v>
      </c>
      <c r="O30" s="270" t="s">
        <v>4</v>
      </c>
      <c r="P30" s="270" t="s">
        <v>4</v>
      </c>
      <c r="Q30" s="270" t="s">
        <v>4</v>
      </c>
      <c r="R30" s="261" t="s">
        <v>129</v>
      </c>
      <c r="S30" s="261" t="s">
        <v>129</v>
      </c>
      <c r="T30" s="261" t="s">
        <v>129</v>
      </c>
      <c r="U30" s="261" t="s">
        <v>129</v>
      </c>
      <c r="V30" s="261" t="s">
        <v>129</v>
      </c>
      <c r="W30" s="261" t="s">
        <v>129</v>
      </c>
      <c r="X30" s="261" t="s">
        <v>129</v>
      </c>
      <c r="Y30" s="261" t="s">
        <v>129</v>
      </c>
      <c r="Z30" s="261" t="s">
        <v>129</v>
      </c>
      <c r="AA30" s="261" t="s">
        <v>129</v>
      </c>
      <c r="AB30" s="261" t="s">
        <v>129</v>
      </c>
      <c r="AC30" s="261" t="s">
        <v>129</v>
      </c>
      <c r="AD30" s="261" t="s">
        <v>129</v>
      </c>
      <c r="AE30" s="261" t="s">
        <v>129</v>
      </c>
      <c r="AF30" s="261" t="s">
        <v>129</v>
      </c>
      <c r="AG30" s="105"/>
      <c r="AH30" s="105"/>
    </row>
    <row r="31" spans="1:34" ht="40.5" customHeight="1">
      <c r="A31" s="105"/>
      <c r="B31" s="254" t="s">
        <v>86</v>
      </c>
      <c r="C31" s="255" t="s">
        <v>86</v>
      </c>
      <c r="D31" s="256" t="s">
        <v>86</v>
      </c>
      <c r="E31" s="267">
        <v>41071.656145833331</v>
      </c>
      <c r="F31" s="268">
        <v>41071.656145833331</v>
      </c>
      <c r="G31" s="268">
        <v>41071.656145833331</v>
      </c>
      <c r="H31" s="269">
        <v>41071.656145833331</v>
      </c>
      <c r="I31" s="261" t="s">
        <v>87</v>
      </c>
      <c r="J31" s="270" t="s">
        <v>87</v>
      </c>
      <c r="K31" s="270" t="s">
        <v>87</v>
      </c>
      <c r="L31" s="270" t="s">
        <v>87</v>
      </c>
      <c r="M31" s="270" t="s">
        <v>87</v>
      </c>
      <c r="N31" s="270" t="s">
        <v>87</v>
      </c>
      <c r="O31" s="270" t="s">
        <v>87</v>
      </c>
      <c r="P31" s="270" t="s">
        <v>87</v>
      </c>
      <c r="Q31" s="270" t="s">
        <v>87</v>
      </c>
      <c r="R31" s="261" t="s">
        <v>100</v>
      </c>
      <c r="S31" s="261" t="s">
        <v>100</v>
      </c>
      <c r="T31" s="261" t="s">
        <v>100</v>
      </c>
      <c r="U31" s="261" t="s">
        <v>100</v>
      </c>
      <c r="V31" s="261" t="s">
        <v>100</v>
      </c>
      <c r="W31" s="261" t="s">
        <v>100</v>
      </c>
      <c r="X31" s="261" t="s">
        <v>100</v>
      </c>
      <c r="Y31" s="261" t="s">
        <v>100</v>
      </c>
      <c r="Z31" s="261" t="s">
        <v>100</v>
      </c>
      <c r="AA31" s="261" t="s">
        <v>100</v>
      </c>
      <c r="AB31" s="261" t="s">
        <v>100</v>
      </c>
      <c r="AC31" s="261" t="s">
        <v>100</v>
      </c>
      <c r="AD31" s="261" t="s">
        <v>100</v>
      </c>
      <c r="AE31" s="261" t="s">
        <v>100</v>
      </c>
      <c r="AF31" s="261" t="s">
        <v>100</v>
      </c>
      <c r="AG31" s="105"/>
      <c r="AH31" s="105"/>
    </row>
    <row r="32" spans="1:34" ht="121.5" customHeight="1">
      <c r="A32" s="105"/>
      <c r="B32" s="254"/>
      <c r="C32" s="255"/>
      <c r="D32" s="256"/>
      <c r="E32" s="267">
        <v>42195</v>
      </c>
      <c r="F32" s="268">
        <v>42195</v>
      </c>
      <c r="G32" s="268">
        <v>42195</v>
      </c>
      <c r="H32" s="269">
        <v>42195</v>
      </c>
      <c r="I32" s="261" t="s">
        <v>99</v>
      </c>
      <c r="J32" s="270" t="s">
        <v>99</v>
      </c>
      <c r="K32" s="270" t="s">
        <v>99</v>
      </c>
      <c r="L32" s="270" t="s">
        <v>99</v>
      </c>
      <c r="M32" s="270" t="s">
        <v>99</v>
      </c>
      <c r="N32" s="270" t="s">
        <v>99</v>
      </c>
      <c r="O32" s="270" t="s">
        <v>99</v>
      </c>
      <c r="P32" s="270" t="s">
        <v>99</v>
      </c>
      <c r="Q32" s="270" t="s">
        <v>99</v>
      </c>
      <c r="R32" s="261" t="s">
        <v>102</v>
      </c>
      <c r="S32" s="261" t="s">
        <v>102</v>
      </c>
      <c r="T32" s="261" t="s">
        <v>102</v>
      </c>
      <c r="U32" s="261" t="s">
        <v>102</v>
      </c>
      <c r="V32" s="261" t="s">
        <v>102</v>
      </c>
      <c r="W32" s="261" t="s">
        <v>102</v>
      </c>
      <c r="X32" s="261" t="s">
        <v>102</v>
      </c>
      <c r="Y32" s="261" t="s">
        <v>102</v>
      </c>
      <c r="Z32" s="261" t="s">
        <v>102</v>
      </c>
      <c r="AA32" s="261" t="s">
        <v>102</v>
      </c>
      <c r="AB32" s="261" t="s">
        <v>102</v>
      </c>
      <c r="AC32" s="261" t="s">
        <v>102</v>
      </c>
      <c r="AD32" s="261" t="s">
        <v>102</v>
      </c>
      <c r="AE32" s="261" t="s">
        <v>102</v>
      </c>
      <c r="AF32" s="261" t="s">
        <v>102</v>
      </c>
      <c r="AG32" s="105"/>
      <c r="AH32" s="105"/>
    </row>
    <row r="33" spans="1:34" ht="114" customHeight="1">
      <c r="A33" s="105"/>
      <c r="B33" s="254" t="s">
        <v>103</v>
      </c>
      <c r="C33" s="255" t="s">
        <v>103</v>
      </c>
      <c r="D33" s="256" t="s">
        <v>103</v>
      </c>
      <c r="E33" s="267">
        <v>42391.634837962964</v>
      </c>
      <c r="F33" s="268">
        <v>42391.634837962964</v>
      </c>
      <c r="G33" s="268">
        <v>42391.634837962964</v>
      </c>
      <c r="H33" s="269">
        <v>42391.634837962964</v>
      </c>
      <c r="I33" s="261" t="s">
        <v>104</v>
      </c>
      <c r="J33" s="270" t="s">
        <v>104</v>
      </c>
      <c r="K33" s="270" t="s">
        <v>104</v>
      </c>
      <c r="L33" s="270" t="s">
        <v>104</v>
      </c>
      <c r="M33" s="270" t="s">
        <v>104</v>
      </c>
      <c r="N33" s="270" t="s">
        <v>104</v>
      </c>
      <c r="O33" s="270" t="s">
        <v>104</v>
      </c>
      <c r="P33" s="270" t="s">
        <v>104</v>
      </c>
      <c r="Q33" s="270" t="s">
        <v>104</v>
      </c>
      <c r="R33" s="261" t="s">
        <v>128</v>
      </c>
      <c r="S33" s="261" t="s">
        <v>128</v>
      </c>
      <c r="T33" s="261" t="s">
        <v>128</v>
      </c>
      <c r="U33" s="261" t="s">
        <v>128</v>
      </c>
      <c r="V33" s="261" t="s">
        <v>128</v>
      </c>
      <c r="W33" s="261" t="s">
        <v>128</v>
      </c>
      <c r="X33" s="261" t="s">
        <v>128</v>
      </c>
      <c r="Y33" s="261" t="s">
        <v>128</v>
      </c>
      <c r="Z33" s="261" t="s">
        <v>128</v>
      </c>
      <c r="AA33" s="261" t="s">
        <v>128</v>
      </c>
      <c r="AB33" s="261" t="s">
        <v>128</v>
      </c>
      <c r="AC33" s="261" t="s">
        <v>128</v>
      </c>
      <c r="AD33" s="261" t="s">
        <v>128</v>
      </c>
      <c r="AE33" s="261" t="s">
        <v>128</v>
      </c>
      <c r="AF33" s="261" t="s">
        <v>128</v>
      </c>
      <c r="AG33" s="105"/>
      <c r="AH33" s="105"/>
    </row>
    <row r="34" spans="1:34" ht="40.5" customHeight="1">
      <c r="A34" s="105"/>
      <c r="B34" s="271" t="s">
        <v>332</v>
      </c>
      <c r="C34" s="272"/>
      <c r="D34" s="272"/>
      <c r="E34" s="267"/>
      <c r="F34" s="268"/>
      <c r="G34" s="268"/>
      <c r="H34" s="269"/>
      <c r="I34" s="261" t="s">
        <v>323</v>
      </c>
      <c r="J34" s="270"/>
      <c r="K34" s="270"/>
      <c r="L34" s="270"/>
      <c r="M34" s="270"/>
      <c r="N34" s="270"/>
      <c r="O34" s="270"/>
      <c r="P34" s="270"/>
      <c r="Q34" s="270"/>
      <c r="R34" s="261" t="s">
        <v>324</v>
      </c>
      <c r="S34" s="261"/>
      <c r="T34" s="261"/>
      <c r="U34" s="261"/>
      <c r="V34" s="261"/>
      <c r="W34" s="261"/>
      <c r="X34" s="261"/>
      <c r="Y34" s="261"/>
      <c r="Z34" s="261"/>
      <c r="AA34" s="261"/>
      <c r="AB34" s="261"/>
      <c r="AC34" s="261"/>
      <c r="AD34" s="261"/>
      <c r="AE34" s="261"/>
      <c r="AF34" s="261"/>
      <c r="AG34" s="105"/>
      <c r="AH34" s="105"/>
    </row>
    <row r="35" spans="1:34" ht="40.5" customHeight="1">
      <c r="A35" s="105"/>
      <c r="B35" s="271" t="s">
        <v>333</v>
      </c>
      <c r="C35" s="272"/>
      <c r="D35" s="272"/>
      <c r="E35" s="267"/>
      <c r="F35" s="268"/>
      <c r="G35" s="268"/>
      <c r="H35" s="269"/>
      <c r="I35" s="261" t="s">
        <v>323</v>
      </c>
      <c r="J35" s="270"/>
      <c r="K35" s="270"/>
      <c r="L35" s="270"/>
      <c r="M35" s="270"/>
      <c r="N35" s="270"/>
      <c r="O35" s="270"/>
      <c r="P35" s="270"/>
      <c r="Q35" s="270"/>
      <c r="R35" s="261" t="s">
        <v>325</v>
      </c>
      <c r="S35" s="261"/>
      <c r="T35" s="261"/>
      <c r="U35" s="261"/>
      <c r="V35" s="261"/>
      <c r="W35" s="261"/>
      <c r="X35" s="261"/>
      <c r="Y35" s="261"/>
      <c r="Z35" s="261"/>
      <c r="AA35" s="261"/>
      <c r="AB35" s="261"/>
      <c r="AC35" s="261"/>
      <c r="AD35" s="261"/>
      <c r="AE35" s="261"/>
      <c r="AF35" s="261"/>
      <c r="AG35" s="105"/>
      <c r="AH35" s="105"/>
    </row>
    <row r="36" spans="1:34" ht="40.5" customHeight="1">
      <c r="A36" s="105"/>
      <c r="B36" s="271" t="s">
        <v>334</v>
      </c>
      <c r="C36" s="272"/>
      <c r="D36" s="272"/>
      <c r="E36" s="267"/>
      <c r="F36" s="268"/>
      <c r="G36" s="268"/>
      <c r="H36" s="269"/>
      <c r="I36" s="261" t="s">
        <v>323</v>
      </c>
      <c r="J36" s="270"/>
      <c r="K36" s="270"/>
      <c r="L36" s="270"/>
      <c r="M36" s="270"/>
      <c r="N36" s="270"/>
      <c r="O36" s="270"/>
      <c r="P36" s="270"/>
      <c r="Q36" s="270"/>
      <c r="R36" s="261" t="s">
        <v>326</v>
      </c>
      <c r="S36" s="261"/>
      <c r="T36" s="261"/>
      <c r="U36" s="261"/>
      <c r="V36" s="261"/>
      <c r="W36" s="261"/>
      <c r="X36" s="261"/>
      <c r="Y36" s="261"/>
      <c r="Z36" s="261"/>
      <c r="AA36" s="261"/>
      <c r="AB36" s="261"/>
      <c r="AC36" s="261"/>
      <c r="AD36" s="261"/>
      <c r="AE36" s="261"/>
      <c r="AF36" s="261"/>
      <c r="AG36" s="105"/>
      <c r="AH36" s="105"/>
    </row>
    <row r="37" spans="1:34" ht="102" customHeight="1">
      <c r="A37" s="105"/>
      <c r="B37" s="271" t="s">
        <v>335</v>
      </c>
      <c r="C37" s="272"/>
      <c r="D37" s="272"/>
      <c r="E37" s="267"/>
      <c r="F37" s="268"/>
      <c r="G37" s="268"/>
      <c r="H37" s="269"/>
      <c r="I37" s="261" t="s">
        <v>323</v>
      </c>
      <c r="J37" s="270"/>
      <c r="K37" s="270"/>
      <c r="L37" s="270"/>
      <c r="M37" s="270"/>
      <c r="N37" s="270"/>
      <c r="O37" s="270"/>
      <c r="P37" s="270"/>
      <c r="Q37" s="270"/>
      <c r="R37" s="261" t="s">
        <v>327</v>
      </c>
      <c r="S37" s="261"/>
      <c r="T37" s="261"/>
      <c r="U37" s="261"/>
      <c r="V37" s="261"/>
      <c r="W37" s="261"/>
      <c r="X37" s="261"/>
      <c r="Y37" s="261"/>
      <c r="Z37" s="261"/>
      <c r="AA37" s="261"/>
      <c r="AB37" s="261"/>
      <c r="AC37" s="261"/>
      <c r="AD37" s="261"/>
      <c r="AE37" s="261"/>
      <c r="AF37" s="261"/>
      <c r="AG37" s="105"/>
      <c r="AH37" s="105"/>
    </row>
    <row r="38" spans="1:34" ht="217.5" customHeight="1">
      <c r="A38" s="105"/>
      <c r="B38" s="271" t="s">
        <v>336</v>
      </c>
      <c r="C38" s="272"/>
      <c r="D38" s="272"/>
      <c r="E38" s="267"/>
      <c r="F38" s="268"/>
      <c r="G38" s="268"/>
      <c r="H38" s="269"/>
      <c r="I38" s="261" t="s">
        <v>323</v>
      </c>
      <c r="J38" s="270"/>
      <c r="K38" s="270"/>
      <c r="L38" s="270"/>
      <c r="M38" s="270"/>
      <c r="N38" s="270"/>
      <c r="O38" s="270"/>
      <c r="P38" s="270"/>
      <c r="Q38" s="270"/>
      <c r="R38" s="261" t="s">
        <v>328</v>
      </c>
      <c r="S38" s="261"/>
      <c r="T38" s="261"/>
      <c r="U38" s="261"/>
      <c r="V38" s="261"/>
      <c r="W38" s="261"/>
      <c r="X38" s="261"/>
      <c r="Y38" s="261"/>
      <c r="Z38" s="261"/>
      <c r="AA38" s="261"/>
      <c r="AB38" s="261"/>
      <c r="AC38" s="261"/>
      <c r="AD38" s="261"/>
      <c r="AE38" s="261"/>
      <c r="AF38" s="261"/>
      <c r="AG38" s="105"/>
      <c r="AH38" s="105"/>
    </row>
    <row r="39" spans="1:34" ht="40.5" customHeight="1">
      <c r="A39" s="105"/>
      <c r="B39" s="271" t="s">
        <v>337</v>
      </c>
      <c r="C39" s="272"/>
      <c r="D39" s="272"/>
      <c r="E39" s="267"/>
      <c r="F39" s="268"/>
      <c r="G39" s="268"/>
      <c r="H39" s="269"/>
      <c r="I39" s="261" t="s">
        <v>323</v>
      </c>
      <c r="J39" s="270"/>
      <c r="K39" s="270"/>
      <c r="L39" s="270"/>
      <c r="M39" s="270"/>
      <c r="N39" s="270"/>
      <c r="O39" s="270"/>
      <c r="P39" s="270"/>
      <c r="Q39" s="270"/>
      <c r="R39" s="261" t="s">
        <v>329</v>
      </c>
      <c r="S39" s="261"/>
      <c r="T39" s="261"/>
      <c r="U39" s="261"/>
      <c r="V39" s="261"/>
      <c r="W39" s="261"/>
      <c r="X39" s="261"/>
      <c r="Y39" s="261"/>
      <c r="Z39" s="261"/>
      <c r="AA39" s="261"/>
      <c r="AB39" s="261"/>
      <c r="AC39" s="261"/>
      <c r="AD39" s="261"/>
      <c r="AE39" s="261"/>
      <c r="AF39" s="261"/>
      <c r="AG39" s="105"/>
      <c r="AH39" s="105"/>
    </row>
    <row r="40" spans="1:34" ht="69" customHeight="1">
      <c r="A40" s="105"/>
      <c r="B40" s="271" t="s">
        <v>331</v>
      </c>
      <c r="C40" s="272"/>
      <c r="D40" s="272"/>
      <c r="E40" s="267">
        <v>44562</v>
      </c>
      <c r="F40" s="268"/>
      <c r="G40" s="268"/>
      <c r="H40" s="269"/>
      <c r="I40" s="261" t="s">
        <v>323</v>
      </c>
      <c r="J40" s="270"/>
      <c r="K40" s="270"/>
      <c r="L40" s="270"/>
      <c r="M40" s="270"/>
      <c r="N40" s="270"/>
      <c r="O40" s="270"/>
      <c r="P40" s="270"/>
      <c r="Q40" s="270"/>
      <c r="R40" s="261" t="s">
        <v>330</v>
      </c>
      <c r="S40" s="261"/>
      <c r="T40" s="261"/>
      <c r="U40" s="261"/>
      <c r="V40" s="261"/>
      <c r="W40" s="261"/>
      <c r="X40" s="261"/>
      <c r="Y40" s="261"/>
      <c r="Z40" s="261"/>
      <c r="AA40" s="261"/>
      <c r="AB40" s="261"/>
      <c r="AC40" s="261"/>
      <c r="AD40" s="261"/>
      <c r="AE40" s="261"/>
      <c r="AF40" s="261"/>
      <c r="AG40" s="105"/>
      <c r="AH40" s="105"/>
    </row>
    <row r="41" spans="1:34">
      <c r="A41" s="105"/>
      <c r="B41" s="121" t="s">
        <v>157</v>
      </c>
      <c r="C41" s="122"/>
      <c r="D41" s="122"/>
      <c r="E41" s="123"/>
      <c r="F41" s="123"/>
      <c r="G41" s="123"/>
      <c r="H41" s="123"/>
      <c r="I41" s="123"/>
      <c r="J41" s="124"/>
      <c r="K41" s="124"/>
      <c r="L41" s="124"/>
      <c r="M41" s="124"/>
      <c r="N41" s="124"/>
      <c r="O41" s="124"/>
      <c r="P41" s="124"/>
      <c r="Q41" s="124"/>
      <c r="R41" s="123"/>
      <c r="S41" s="123"/>
      <c r="T41" s="123"/>
      <c r="U41" s="123"/>
      <c r="V41" s="123"/>
      <c r="W41" s="123"/>
      <c r="X41" s="123"/>
      <c r="Y41" s="123"/>
      <c r="Z41" s="123"/>
      <c r="AA41" s="123"/>
      <c r="AB41" s="123"/>
      <c r="AC41" s="123"/>
      <c r="AD41" s="123"/>
      <c r="AE41" s="123"/>
      <c r="AF41" s="123"/>
      <c r="AG41" s="105"/>
      <c r="AH41" s="105"/>
    </row>
    <row r="42" spans="1:34">
      <c r="A42" s="105"/>
      <c r="B42" s="105"/>
      <c r="C42" s="119"/>
      <c r="D42" s="105"/>
      <c r="E42" s="105"/>
      <c r="F42" s="105"/>
      <c r="G42" s="105"/>
      <c r="H42" s="105"/>
      <c r="I42" s="120"/>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row>
    <row r="43" spans="1:34">
      <c r="A43" s="105"/>
      <c r="B43" s="105"/>
      <c r="C43" s="105"/>
      <c r="D43" s="105"/>
      <c r="E43" s="105"/>
      <c r="F43" s="105"/>
      <c r="G43" s="105"/>
      <c r="H43" s="105"/>
      <c r="I43" s="105"/>
      <c r="J43" s="12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row>
    <row r="44" spans="1:34" ht="20.25">
      <c r="A44" s="105"/>
      <c r="B44" s="117" t="s">
        <v>158</v>
      </c>
      <c r="C44" s="118"/>
      <c r="D44" s="105"/>
      <c r="E44" s="105"/>
      <c r="F44" s="105"/>
      <c r="G44" s="105"/>
      <c r="H44" s="105"/>
      <c r="I44" s="120"/>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row>
    <row r="45" spans="1:34" ht="18.75">
      <c r="A45" s="105"/>
      <c r="B45" s="126" t="s">
        <v>159</v>
      </c>
      <c r="C45" s="118"/>
      <c r="D45" s="105"/>
      <c r="E45" s="105"/>
      <c r="F45" s="105"/>
      <c r="G45" s="105"/>
      <c r="H45" s="105"/>
      <c r="I45" s="120"/>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row>
    <row r="46" spans="1:34">
      <c r="A46" s="105"/>
      <c r="B46" s="264" t="s">
        <v>160</v>
      </c>
      <c r="C46" s="264"/>
      <c r="D46" s="264"/>
      <c r="E46" s="264" t="s">
        <v>161</v>
      </c>
      <c r="F46" s="266"/>
      <c r="G46" s="266"/>
      <c r="H46" s="266"/>
      <c r="I46" s="266"/>
      <c r="J46" s="266"/>
      <c r="K46" s="266"/>
      <c r="L46" s="266"/>
      <c r="M46" s="266"/>
      <c r="N46" s="266"/>
      <c r="O46" s="266"/>
      <c r="P46" s="266"/>
      <c r="Q46" s="266"/>
      <c r="R46" s="266"/>
      <c r="S46" s="266"/>
      <c r="T46" s="266"/>
      <c r="U46" s="266"/>
      <c r="V46" s="266"/>
      <c r="W46" s="266"/>
      <c r="X46" s="266"/>
      <c r="Y46" s="264" t="s">
        <v>162</v>
      </c>
      <c r="Z46" s="264"/>
      <c r="AA46" s="264"/>
      <c r="AB46" s="264"/>
      <c r="AC46" s="264"/>
      <c r="AD46" s="264"/>
      <c r="AE46" s="264"/>
      <c r="AF46" s="264"/>
      <c r="AG46" s="105"/>
      <c r="AH46" s="105"/>
    </row>
    <row r="47" spans="1:34">
      <c r="A47" s="105"/>
      <c r="B47" s="263"/>
      <c r="C47" s="263"/>
      <c r="D47" s="263"/>
      <c r="E47" s="261"/>
      <c r="F47" s="262"/>
      <c r="G47" s="262"/>
      <c r="H47" s="262"/>
      <c r="I47" s="262"/>
      <c r="J47" s="262"/>
      <c r="K47" s="262"/>
      <c r="L47" s="262"/>
      <c r="M47" s="262"/>
      <c r="N47" s="262"/>
      <c r="O47" s="262"/>
      <c r="P47" s="262"/>
      <c r="Q47" s="262"/>
      <c r="R47" s="262"/>
      <c r="S47" s="262"/>
      <c r="T47" s="262"/>
      <c r="U47" s="262"/>
      <c r="V47" s="262"/>
      <c r="W47" s="262"/>
      <c r="X47" s="262"/>
      <c r="Y47" s="261"/>
      <c r="Z47" s="262"/>
      <c r="AA47" s="262"/>
      <c r="AB47" s="262"/>
      <c r="AC47" s="262"/>
      <c r="AD47" s="262"/>
      <c r="AE47" s="262"/>
      <c r="AF47" s="262"/>
      <c r="AG47" s="105"/>
      <c r="AH47" s="105"/>
    </row>
    <row r="48" spans="1:34">
      <c r="A48" s="105"/>
      <c r="B48" s="263"/>
      <c r="C48" s="263"/>
      <c r="D48" s="263"/>
      <c r="E48" s="261"/>
      <c r="F48" s="262"/>
      <c r="G48" s="262"/>
      <c r="H48" s="262"/>
      <c r="I48" s="262"/>
      <c r="J48" s="262"/>
      <c r="K48" s="262"/>
      <c r="L48" s="262"/>
      <c r="M48" s="262"/>
      <c r="N48" s="262"/>
      <c r="O48" s="262"/>
      <c r="P48" s="262"/>
      <c r="Q48" s="262"/>
      <c r="R48" s="262"/>
      <c r="S48" s="262"/>
      <c r="T48" s="262"/>
      <c r="U48" s="262"/>
      <c r="V48" s="262"/>
      <c r="W48" s="262"/>
      <c r="X48" s="262"/>
      <c r="Y48" s="261"/>
      <c r="Z48" s="262"/>
      <c r="AA48" s="262"/>
      <c r="AB48" s="262"/>
      <c r="AC48" s="262"/>
      <c r="AD48" s="262"/>
      <c r="AE48" s="262"/>
      <c r="AF48" s="262"/>
      <c r="AG48" s="105"/>
      <c r="AH48" s="105"/>
    </row>
    <row r="49" spans="1:34">
      <c r="A49" s="105"/>
      <c r="B49" s="263"/>
      <c r="C49" s="263"/>
      <c r="D49" s="263"/>
      <c r="E49" s="261"/>
      <c r="F49" s="262"/>
      <c r="G49" s="262"/>
      <c r="H49" s="262"/>
      <c r="I49" s="262"/>
      <c r="J49" s="262"/>
      <c r="K49" s="262"/>
      <c r="L49" s="262"/>
      <c r="M49" s="262"/>
      <c r="N49" s="262"/>
      <c r="O49" s="262"/>
      <c r="P49" s="262"/>
      <c r="Q49" s="262"/>
      <c r="R49" s="262"/>
      <c r="S49" s="262"/>
      <c r="T49" s="262"/>
      <c r="U49" s="262"/>
      <c r="V49" s="262"/>
      <c r="W49" s="262"/>
      <c r="X49" s="262"/>
      <c r="Y49" s="261"/>
      <c r="Z49" s="262"/>
      <c r="AA49" s="262"/>
      <c r="AB49" s="262"/>
      <c r="AC49" s="262"/>
      <c r="AD49" s="262"/>
      <c r="AE49" s="262"/>
      <c r="AF49" s="262"/>
      <c r="AG49" s="105"/>
      <c r="AH49" s="105"/>
    </row>
    <row r="50" spans="1:34">
      <c r="A50" s="105"/>
      <c r="B50" s="263"/>
      <c r="C50" s="263"/>
      <c r="D50" s="263"/>
      <c r="E50" s="261"/>
      <c r="F50" s="262"/>
      <c r="G50" s="262"/>
      <c r="H50" s="262"/>
      <c r="I50" s="262"/>
      <c r="J50" s="262"/>
      <c r="K50" s="262"/>
      <c r="L50" s="262"/>
      <c r="M50" s="262"/>
      <c r="N50" s="262"/>
      <c r="O50" s="262"/>
      <c r="P50" s="262"/>
      <c r="Q50" s="262"/>
      <c r="R50" s="262"/>
      <c r="S50" s="262"/>
      <c r="T50" s="262"/>
      <c r="U50" s="262"/>
      <c r="V50" s="262"/>
      <c r="W50" s="262"/>
      <c r="X50" s="262"/>
      <c r="Y50" s="261"/>
      <c r="Z50" s="262"/>
      <c r="AA50" s="262"/>
      <c r="AB50" s="262"/>
      <c r="AC50" s="262"/>
      <c r="AD50" s="262"/>
      <c r="AE50" s="262"/>
      <c r="AF50" s="262"/>
      <c r="AG50" s="105"/>
      <c r="AH50" s="105"/>
    </row>
    <row r="51" spans="1:34" ht="18.75">
      <c r="A51" s="105"/>
      <c r="B51" s="126" t="s">
        <v>163</v>
      </c>
      <c r="C51" s="118"/>
      <c r="D51" s="105"/>
      <c r="E51" s="105"/>
      <c r="F51" s="105"/>
      <c r="G51" s="105"/>
      <c r="H51" s="105"/>
      <c r="I51" s="120"/>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row>
    <row r="52" spans="1:34">
      <c r="A52" s="105"/>
      <c r="B52" s="264" t="s">
        <v>160</v>
      </c>
      <c r="C52" s="264"/>
      <c r="D52" s="264"/>
      <c r="E52" s="264" t="s">
        <v>161</v>
      </c>
      <c r="F52" s="266"/>
      <c r="G52" s="266"/>
      <c r="H52" s="266"/>
      <c r="I52" s="266"/>
      <c r="J52" s="266"/>
      <c r="K52" s="266"/>
      <c r="L52" s="266"/>
      <c r="M52" s="266"/>
      <c r="N52" s="266"/>
      <c r="O52" s="266"/>
      <c r="P52" s="266"/>
      <c r="Q52" s="266"/>
      <c r="R52" s="266"/>
      <c r="S52" s="266"/>
      <c r="T52" s="266"/>
      <c r="U52" s="266"/>
      <c r="V52" s="266"/>
      <c r="W52" s="266"/>
      <c r="X52" s="266"/>
      <c r="Y52" s="264" t="s">
        <v>162</v>
      </c>
      <c r="Z52" s="264"/>
      <c r="AA52" s="264"/>
      <c r="AB52" s="264"/>
      <c r="AC52" s="264"/>
      <c r="AD52" s="264"/>
      <c r="AE52" s="264"/>
      <c r="AF52" s="264"/>
      <c r="AG52" s="105"/>
      <c r="AH52" s="105"/>
    </row>
    <row r="53" spans="1:34">
      <c r="A53" s="105"/>
      <c r="B53" s="263"/>
      <c r="C53" s="263"/>
      <c r="D53" s="263"/>
      <c r="E53" s="261"/>
      <c r="F53" s="262"/>
      <c r="G53" s="262"/>
      <c r="H53" s="262"/>
      <c r="I53" s="262"/>
      <c r="J53" s="262"/>
      <c r="K53" s="262"/>
      <c r="L53" s="262"/>
      <c r="M53" s="262"/>
      <c r="N53" s="262"/>
      <c r="O53" s="262"/>
      <c r="P53" s="262"/>
      <c r="Q53" s="262"/>
      <c r="R53" s="262"/>
      <c r="S53" s="262"/>
      <c r="T53" s="262"/>
      <c r="U53" s="262"/>
      <c r="V53" s="262"/>
      <c r="W53" s="262"/>
      <c r="X53" s="262"/>
      <c r="Y53" s="261"/>
      <c r="Z53" s="262"/>
      <c r="AA53" s="262"/>
      <c r="AB53" s="262"/>
      <c r="AC53" s="262"/>
      <c r="AD53" s="262"/>
      <c r="AE53" s="262"/>
      <c r="AF53" s="262"/>
      <c r="AG53" s="105"/>
      <c r="AH53" s="105"/>
    </row>
    <row r="54" spans="1:34">
      <c r="A54" s="105"/>
      <c r="B54" s="263"/>
      <c r="C54" s="263"/>
      <c r="D54" s="263"/>
      <c r="E54" s="261"/>
      <c r="F54" s="262"/>
      <c r="G54" s="262"/>
      <c r="H54" s="262"/>
      <c r="I54" s="262"/>
      <c r="J54" s="262"/>
      <c r="K54" s="262"/>
      <c r="L54" s="262"/>
      <c r="M54" s="262"/>
      <c r="N54" s="262"/>
      <c r="O54" s="262"/>
      <c r="P54" s="262"/>
      <c r="Q54" s="262"/>
      <c r="R54" s="262"/>
      <c r="S54" s="262"/>
      <c r="T54" s="262"/>
      <c r="U54" s="262"/>
      <c r="V54" s="262"/>
      <c r="W54" s="262"/>
      <c r="X54" s="262"/>
      <c r="Y54" s="261"/>
      <c r="Z54" s="262"/>
      <c r="AA54" s="262"/>
      <c r="AB54" s="262"/>
      <c r="AC54" s="262"/>
      <c r="AD54" s="262"/>
      <c r="AE54" s="262"/>
      <c r="AF54" s="262"/>
      <c r="AG54" s="105"/>
      <c r="AH54" s="105"/>
    </row>
    <row r="55" spans="1:34">
      <c r="A55" s="105"/>
      <c r="B55" s="263"/>
      <c r="C55" s="263"/>
      <c r="D55" s="263"/>
      <c r="E55" s="261"/>
      <c r="F55" s="262"/>
      <c r="G55" s="262"/>
      <c r="H55" s="262"/>
      <c r="I55" s="262"/>
      <c r="J55" s="262"/>
      <c r="K55" s="262"/>
      <c r="L55" s="262"/>
      <c r="M55" s="262"/>
      <c r="N55" s="262"/>
      <c r="O55" s="262"/>
      <c r="P55" s="262"/>
      <c r="Q55" s="262"/>
      <c r="R55" s="262"/>
      <c r="S55" s="262"/>
      <c r="T55" s="262"/>
      <c r="U55" s="262"/>
      <c r="V55" s="262"/>
      <c r="W55" s="262"/>
      <c r="X55" s="262"/>
      <c r="Y55" s="261"/>
      <c r="Z55" s="262"/>
      <c r="AA55" s="262"/>
      <c r="AB55" s="262"/>
      <c r="AC55" s="262"/>
      <c r="AD55" s="262"/>
      <c r="AE55" s="262"/>
      <c r="AF55" s="262"/>
      <c r="AG55" s="105"/>
      <c r="AH55" s="105"/>
    </row>
    <row r="56" spans="1:34">
      <c r="A56" s="105"/>
      <c r="B56" s="263"/>
      <c r="C56" s="263"/>
      <c r="D56" s="263"/>
      <c r="E56" s="261"/>
      <c r="F56" s="262"/>
      <c r="G56" s="262"/>
      <c r="H56" s="262"/>
      <c r="I56" s="262"/>
      <c r="J56" s="262"/>
      <c r="K56" s="262"/>
      <c r="L56" s="262"/>
      <c r="M56" s="262"/>
      <c r="N56" s="262"/>
      <c r="O56" s="262"/>
      <c r="P56" s="262"/>
      <c r="Q56" s="262"/>
      <c r="R56" s="262"/>
      <c r="S56" s="262"/>
      <c r="T56" s="262"/>
      <c r="U56" s="262"/>
      <c r="V56" s="262"/>
      <c r="W56" s="262"/>
      <c r="X56" s="262"/>
      <c r="Y56" s="261"/>
      <c r="Z56" s="262"/>
      <c r="AA56" s="262"/>
      <c r="AB56" s="262"/>
      <c r="AC56" s="262"/>
      <c r="AD56" s="262"/>
      <c r="AE56" s="262"/>
      <c r="AF56" s="262"/>
      <c r="AG56" s="105"/>
      <c r="AH56" s="105"/>
    </row>
    <row r="57" spans="1:34">
      <c r="A57" s="105"/>
      <c r="B57" s="105"/>
      <c r="C57" s="119"/>
      <c r="D57" s="105"/>
      <c r="E57" s="105"/>
      <c r="F57" s="105"/>
      <c r="G57" s="105"/>
      <c r="H57" s="105"/>
      <c r="I57" s="120"/>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row>
    <row r="58" spans="1:34" ht="20.25">
      <c r="A58" s="105"/>
      <c r="B58" s="117" t="s">
        <v>164</v>
      </c>
      <c r="C58" s="118"/>
      <c r="D58" s="105"/>
      <c r="E58" s="105"/>
      <c r="F58" s="105"/>
      <c r="G58" s="105"/>
      <c r="H58" s="105"/>
      <c r="I58" s="120"/>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row>
    <row r="59" spans="1:34">
      <c r="A59" s="105"/>
      <c r="B59" s="264" t="s">
        <v>165</v>
      </c>
      <c r="C59" s="264"/>
      <c r="D59" s="264"/>
      <c r="E59" s="264"/>
      <c r="F59" s="264"/>
      <c r="G59" s="264"/>
      <c r="H59" s="265"/>
      <c r="I59" s="265"/>
      <c r="J59" s="265"/>
      <c r="K59" s="265"/>
      <c r="L59" s="265"/>
      <c r="M59" s="265"/>
      <c r="N59" s="265"/>
      <c r="O59" s="265"/>
      <c r="P59" s="265"/>
      <c r="Q59" s="265"/>
      <c r="R59" s="265"/>
      <c r="S59" s="265"/>
      <c r="T59" s="265"/>
      <c r="U59" s="265"/>
      <c r="V59" s="265"/>
      <c r="W59" s="265"/>
      <c r="X59" s="265"/>
      <c r="Y59" s="265"/>
      <c r="Z59" s="265"/>
      <c r="AA59" s="265"/>
      <c r="AB59" s="265"/>
      <c r="AC59" s="265"/>
      <c r="AD59" s="265"/>
      <c r="AE59" s="265"/>
      <c r="AF59" s="265"/>
      <c r="AG59" s="105"/>
      <c r="AH59" s="105"/>
    </row>
    <row r="60" spans="1:34" ht="27.75" customHeight="1">
      <c r="A60" s="105"/>
      <c r="B60" s="254" t="s">
        <v>166</v>
      </c>
      <c r="C60" s="255"/>
      <c r="D60" s="255"/>
      <c r="E60" s="255"/>
      <c r="F60" s="255"/>
      <c r="G60" s="256"/>
      <c r="H60" s="260" t="s">
        <v>167</v>
      </c>
      <c r="I60" s="258"/>
      <c r="J60" s="258"/>
      <c r="K60" s="258"/>
      <c r="L60" s="258"/>
      <c r="M60" s="258"/>
      <c r="N60" s="258"/>
      <c r="O60" s="258"/>
      <c r="P60" s="258"/>
      <c r="Q60" s="258"/>
      <c r="R60" s="258"/>
      <c r="S60" s="258"/>
      <c r="T60" s="258"/>
      <c r="U60" s="258"/>
      <c r="V60" s="258"/>
      <c r="W60" s="258"/>
      <c r="X60" s="258"/>
      <c r="Y60" s="258"/>
      <c r="Z60" s="258"/>
      <c r="AA60" s="258"/>
      <c r="AB60" s="258"/>
      <c r="AC60" s="258"/>
      <c r="AD60" s="258"/>
      <c r="AE60" s="258"/>
      <c r="AF60" s="259"/>
      <c r="AG60" s="105"/>
      <c r="AH60" s="105"/>
    </row>
    <row r="61" spans="1:34">
      <c r="A61" s="105"/>
      <c r="B61" s="254"/>
      <c r="C61" s="255"/>
      <c r="D61" s="255"/>
      <c r="E61" s="255"/>
      <c r="F61" s="255"/>
      <c r="G61" s="256"/>
      <c r="H61" s="257"/>
      <c r="I61" s="258"/>
      <c r="J61" s="258"/>
      <c r="K61" s="258"/>
      <c r="L61" s="258"/>
      <c r="M61" s="258"/>
      <c r="N61" s="258"/>
      <c r="O61" s="258"/>
      <c r="P61" s="258"/>
      <c r="Q61" s="258"/>
      <c r="R61" s="258"/>
      <c r="S61" s="258"/>
      <c r="T61" s="258"/>
      <c r="U61" s="258"/>
      <c r="V61" s="258"/>
      <c r="W61" s="258"/>
      <c r="X61" s="258"/>
      <c r="Y61" s="258"/>
      <c r="Z61" s="258"/>
      <c r="AA61" s="258"/>
      <c r="AB61" s="258"/>
      <c r="AC61" s="258"/>
      <c r="AD61" s="258"/>
      <c r="AE61" s="258"/>
      <c r="AF61" s="259"/>
      <c r="AG61" s="105"/>
      <c r="AH61" s="105"/>
    </row>
    <row r="62" spans="1:34">
      <c r="A62" s="105"/>
      <c r="B62" s="254"/>
      <c r="C62" s="255"/>
      <c r="D62" s="255"/>
      <c r="E62" s="255"/>
      <c r="F62" s="255"/>
      <c r="G62" s="256"/>
      <c r="H62" s="257"/>
      <c r="I62" s="258"/>
      <c r="J62" s="258"/>
      <c r="K62" s="258"/>
      <c r="L62" s="258"/>
      <c r="M62" s="258"/>
      <c r="N62" s="258"/>
      <c r="O62" s="258"/>
      <c r="P62" s="258"/>
      <c r="Q62" s="258"/>
      <c r="R62" s="258"/>
      <c r="S62" s="258"/>
      <c r="T62" s="258"/>
      <c r="U62" s="258"/>
      <c r="V62" s="258"/>
      <c r="W62" s="258"/>
      <c r="X62" s="258"/>
      <c r="Y62" s="258"/>
      <c r="Z62" s="258"/>
      <c r="AA62" s="258"/>
      <c r="AB62" s="258"/>
      <c r="AC62" s="258"/>
      <c r="AD62" s="258"/>
      <c r="AE62" s="258"/>
      <c r="AF62" s="259"/>
      <c r="AG62" s="105"/>
      <c r="AH62" s="105"/>
    </row>
    <row r="63" spans="1:34">
      <c r="A63" s="105"/>
      <c r="B63" s="254"/>
      <c r="C63" s="255"/>
      <c r="D63" s="255"/>
      <c r="E63" s="255"/>
      <c r="F63" s="255"/>
      <c r="G63" s="256"/>
      <c r="H63" s="257"/>
      <c r="I63" s="258"/>
      <c r="J63" s="258"/>
      <c r="K63" s="258"/>
      <c r="L63" s="258"/>
      <c r="M63" s="258"/>
      <c r="N63" s="258"/>
      <c r="O63" s="258"/>
      <c r="P63" s="258"/>
      <c r="Q63" s="258"/>
      <c r="R63" s="258"/>
      <c r="S63" s="258"/>
      <c r="T63" s="258"/>
      <c r="U63" s="258"/>
      <c r="V63" s="258"/>
      <c r="W63" s="258"/>
      <c r="X63" s="258"/>
      <c r="Y63" s="258"/>
      <c r="Z63" s="258"/>
      <c r="AA63" s="258"/>
      <c r="AB63" s="258"/>
      <c r="AC63" s="258"/>
      <c r="AD63" s="258"/>
      <c r="AE63" s="258"/>
      <c r="AF63" s="259"/>
      <c r="AG63" s="105"/>
      <c r="AH63" s="105"/>
    </row>
    <row r="64" spans="1:34">
      <c r="A64" s="105"/>
      <c r="B64" s="254"/>
      <c r="C64" s="255"/>
      <c r="D64" s="255"/>
      <c r="E64" s="255"/>
      <c r="F64" s="255"/>
      <c r="G64" s="256"/>
      <c r="H64" s="257"/>
      <c r="I64" s="258"/>
      <c r="J64" s="258"/>
      <c r="K64" s="258"/>
      <c r="L64" s="258"/>
      <c r="M64" s="258"/>
      <c r="N64" s="258"/>
      <c r="O64" s="258"/>
      <c r="P64" s="258"/>
      <c r="Q64" s="258"/>
      <c r="R64" s="258"/>
      <c r="S64" s="258"/>
      <c r="T64" s="258"/>
      <c r="U64" s="258"/>
      <c r="V64" s="258"/>
      <c r="W64" s="258"/>
      <c r="X64" s="258"/>
      <c r="Y64" s="258"/>
      <c r="Z64" s="258"/>
      <c r="AA64" s="258"/>
      <c r="AB64" s="258"/>
      <c r="AC64" s="258"/>
      <c r="AD64" s="258"/>
      <c r="AE64" s="258"/>
      <c r="AF64" s="259"/>
      <c r="AG64" s="105"/>
      <c r="AH64" s="105"/>
    </row>
    <row r="65" spans="1:34">
      <c r="A65" s="105"/>
      <c r="B65" s="123"/>
      <c r="C65" s="123"/>
      <c r="D65" s="123"/>
      <c r="E65" s="123"/>
      <c r="F65" s="123"/>
      <c r="G65" s="123"/>
      <c r="H65" s="127"/>
      <c r="I65" s="127"/>
      <c r="J65" s="127"/>
      <c r="K65" s="127"/>
      <c r="L65" s="127"/>
      <c r="M65" s="127"/>
      <c r="N65" s="127"/>
      <c r="O65" s="127"/>
      <c r="P65" s="127"/>
      <c r="Q65" s="127"/>
      <c r="R65" s="127"/>
      <c r="S65" s="127"/>
      <c r="T65" s="127"/>
      <c r="U65" s="127"/>
      <c r="V65" s="127"/>
      <c r="W65" s="127"/>
      <c r="X65" s="127"/>
      <c r="Y65" s="127"/>
      <c r="Z65" s="127"/>
      <c r="AA65" s="127"/>
      <c r="AB65" s="127"/>
      <c r="AC65" s="127"/>
      <c r="AD65" s="127"/>
      <c r="AE65" s="127"/>
      <c r="AF65" s="127"/>
      <c r="AG65" s="105"/>
      <c r="AH65" s="105"/>
    </row>
    <row r="66" spans="1:34">
      <c r="A66" s="105"/>
      <c r="B66" s="123"/>
      <c r="C66" s="123"/>
      <c r="D66" s="123"/>
      <c r="E66" s="123"/>
      <c r="F66" s="123"/>
      <c r="G66" s="123"/>
      <c r="H66" s="127"/>
      <c r="I66" s="127"/>
      <c r="J66" s="127"/>
      <c r="K66" s="127"/>
      <c r="L66" s="127"/>
      <c r="M66" s="127"/>
      <c r="N66" s="127"/>
      <c r="O66" s="127"/>
      <c r="P66" s="127"/>
      <c r="Q66" s="127"/>
      <c r="R66" s="127"/>
      <c r="S66" s="127"/>
      <c r="T66" s="127"/>
      <c r="U66" s="127"/>
      <c r="V66" s="127"/>
      <c r="W66" s="127"/>
      <c r="X66" s="127"/>
      <c r="Y66" s="127"/>
      <c r="Z66" s="127"/>
      <c r="AA66" s="127"/>
      <c r="AB66" s="127"/>
      <c r="AC66" s="127"/>
      <c r="AD66" s="127"/>
      <c r="AE66" s="127"/>
      <c r="AF66" s="127"/>
      <c r="AG66" s="105"/>
      <c r="AH66" s="105"/>
    </row>
    <row r="67" spans="1:34" ht="26.25">
      <c r="A67" s="105"/>
      <c r="B67" s="128" t="s">
        <v>168</v>
      </c>
      <c r="C67" s="129"/>
      <c r="D67" s="129"/>
      <c r="E67" s="129"/>
      <c r="F67" s="129"/>
      <c r="G67" s="129"/>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05"/>
      <c r="AH67" s="105"/>
    </row>
    <row r="68" spans="1:34" ht="26.25">
      <c r="A68" s="105"/>
      <c r="B68" s="131"/>
      <c r="C68" s="123"/>
      <c r="D68" s="123"/>
      <c r="E68" s="123"/>
      <c r="F68" s="123"/>
      <c r="G68" s="123"/>
      <c r="H68" s="127"/>
      <c r="I68" s="127"/>
      <c r="J68" s="127"/>
      <c r="K68" s="127"/>
      <c r="L68" s="127"/>
      <c r="M68" s="127"/>
      <c r="N68" s="127"/>
      <c r="O68" s="127"/>
      <c r="P68" s="127"/>
      <c r="Q68" s="127"/>
      <c r="R68" s="127"/>
      <c r="S68" s="127"/>
      <c r="T68" s="127"/>
      <c r="U68" s="127"/>
      <c r="V68" s="127"/>
      <c r="W68" s="127"/>
      <c r="X68" s="127"/>
      <c r="Y68" s="127"/>
      <c r="Z68" s="127"/>
      <c r="AA68" s="127"/>
      <c r="AB68" s="127"/>
      <c r="AC68" s="127"/>
      <c r="AD68" s="127"/>
      <c r="AE68" s="127"/>
      <c r="AF68" s="127"/>
      <c r="AG68" s="105"/>
      <c r="AH68" s="105"/>
    </row>
    <row r="69" spans="1:34" s="168" customFormat="1" ht="20.25">
      <c r="B69" s="169" t="s">
        <v>245</v>
      </c>
    </row>
    <row r="70" spans="1:34">
      <c r="A70" s="105"/>
      <c r="B70" s="132"/>
      <c r="C70" s="132"/>
      <c r="D70" s="132"/>
      <c r="E70" s="132"/>
      <c r="F70" s="132"/>
      <c r="G70" s="132"/>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05"/>
      <c r="AH70" s="105"/>
    </row>
    <row r="71" spans="1:34" ht="52.5" customHeight="1">
      <c r="A71" s="105"/>
      <c r="B71" s="291" t="s">
        <v>241</v>
      </c>
      <c r="C71" s="292"/>
      <c r="D71" s="292"/>
      <c r="E71" s="292"/>
      <c r="F71" s="292"/>
      <c r="G71" s="293"/>
      <c r="H71" s="294" t="s">
        <v>236</v>
      </c>
      <c r="I71" s="295"/>
      <c r="J71" s="295"/>
      <c r="K71" s="295"/>
      <c r="L71" s="295"/>
      <c r="M71" s="295"/>
      <c r="N71" s="295"/>
      <c r="O71" s="295"/>
      <c r="P71" s="295"/>
      <c r="Q71" s="295"/>
      <c r="R71" s="295"/>
      <c r="S71" s="295"/>
      <c r="T71" s="295"/>
      <c r="U71" s="295"/>
      <c r="V71" s="295"/>
      <c r="W71" s="295"/>
      <c r="X71" s="295"/>
      <c r="Y71" s="295"/>
      <c r="Z71" s="295"/>
      <c r="AA71" s="295"/>
      <c r="AB71" s="295"/>
      <c r="AC71" s="295"/>
      <c r="AD71" s="295"/>
      <c r="AE71" s="295"/>
      <c r="AF71" s="296"/>
      <c r="AG71" s="105"/>
      <c r="AH71" s="105"/>
    </row>
    <row r="72" spans="1:34" ht="111" customHeight="1">
      <c r="A72" s="105"/>
      <c r="B72" s="291" t="s">
        <v>242</v>
      </c>
      <c r="C72" s="292"/>
      <c r="D72" s="292"/>
      <c r="E72" s="292"/>
      <c r="F72" s="292"/>
      <c r="G72" s="293"/>
      <c r="H72" s="294" t="s">
        <v>238</v>
      </c>
      <c r="I72" s="295"/>
      <c r="J72" s="295"/>
      <c r="K72" s="295"/>
      <c r="L72" s="295"/>
      <c r="M72" s="295"/>
      <c r="N72" s="295"/>
      <c r="O72" s="295"/>
      <c r="P72" s="295"/>
      <c r="Q72" s="295"/>
      <c r="R72" s="295"/>
      <c r="S72" s="295"/>
      <c r="T72" s="295"/>
      <c r="U72" s="295"/>
      <c r="V72" s="295"/>
      <c r="W72" s="295"/>
      <c r="X72" s="295"/>
      <c r="Y72" s="295"/>
      <c r="Z72" s="295"/>
      <c r="AA72" s="295"/>
      <c r="AB72" s="295"/>
      <c r="AC72" s="295"/>
      <c r="AD72" s="295"/>
      <c r="AE72" s="295"/>
      <c r="AF72" s="296"/>
      <c r="AG72" s="105"/>
      <c r="AH72" s="105"/>
    </row>
    <row r="73" spans="1:34" ht="52.5" customHeight="1">
      <c r="A73" s="105"/>
      <c r="B73" s="291" t="s">
        <v>243</v>
      </c>
      <c r="C73" s="292"/>
      <c r="D73" s="292"/>
      <c r="E73" s="292"/>
      <c r="F73" s="292"/>
      <c r="G73" s="293"/>
      <c r="H73" s="294" t="s">
        <v>246</v>
      </c>
      <c r="I73" s="295"/>
      <c r="J73" s="295"/>
      <c r="K73" s="295"/>
      <c r="L73" s="295"/>
      <c r="M73" s="295"/>
      <c r="N73" s="295"/>
      <c r="O73" s="295"/>
      <c r="P73" s="295"/>
      <c r="Q73" s="295"/>
      <c r="R73" s="295"/>
      <c r="S73" s="295"/>
      <c r="T73" s="295"/>
      <c r="U73" s="295"/>
      <c r="V73" s="295"/>
      <c r="W73" s="295"/>
      <c r="X73" s="295"/>
      <c r="Y73" s="295"/>
      <c r="Z73" s="295"/>
      <c r="AA73" s="295"/>
      <c r="AB73" s="295"/>
      <c r="AC73" s="295"/>
      <c r="AD73" s="295"/>
      <c r="AE73" s="295"/>
      <c r="AF73" s="296"/>
      <c r="AG73" s="105"/>
      <c r="AH73" s="105"/>
    </row>
    <row r="74" spans="1:34" ht="52.5" customHeight="1">
      <c r="A74" s="105"/>
      <c r="B74" s="291" t="s">
        <v>235</v>
      </c>
      <c r="C74" s="292"/>
      <c r="D74" s="292"/>
      <c r="E74" s="292"/>
      <c r="F74" s="292"/>
      <c r="G74" s="293"/>
      <c r="H74" s="294" t="s">
        <v>239</v>
      </c>
      <c r="I74" s="295"/>
      <c r="J74" s="295"/>
      <c r="K74" s="295"/>
      <c r="L74" s="295"/>
      <c r="M74" s="295"/>
      <c r="N74" s="295"/>
      <c r="O74" s="295"/>
      <c r="P74" s="295"/>
      <c r="Q74" s="295"/>
      <c r="R74" s="295"/>
      <c r="S74" s="295"/>
      <c r="T74" s="295"/>
      <c r="U74" s="295"/>
      <c r="V74" s="295"/>
      <c r="W74" s="295"/>
      <c r="X74" s="295"/>
      <c r="Y74" s="295"/>
      <c r="Z74" s="295"/>
      <c r="AA74" s="295"/>
      <c r="AB74" s="295"/>
      <c r="AC74" s="295"/>
      <c r="AD74" s="295"/>
      <c r="AE74" s="295"/>
      <c r="AF74" s="296"/>
      <c r="AG74" s="105"/>
      <c r="AH74" s="105"/>
    </row>
    <row r="75" spans="1:34" ht="81" customHeight="1">
      <c r="A75" s="105"/>
      <c r="B75" s="291" t="s">
        <v>244</v>
      </c>
      <c r="C75" s="292"/>
      <c r="D75" s="292"/>
      <c r="E75" s="292"/>
      <c r="F75" s="292"/>
      <c r="G75" s="293"/>
      <c r="H75" s="294" t="s">
        <v>247</v>
      </c>
      <c r="I75" s="295"/>
      <c r="J75" s="295"/>
      <c r="K75" s="295"/>
      <c r="L75" s="295"/>
      <c r="M75" s="295"/>
      <c r="N75" s="295"/>
      <c r="O75" s="295"/>
      <c r="P75" s="295"/>
      <c r="Q75" s="295"/>
      <c r="R75" s="295"/>
      <c r="S75" s="295"/>
      <c r="T75" s="295"/>
      <c r="U75" s="295"/>
      <c r="V75" s="295"/>
      <c r="W75" s="295"/>
      <c r="X75" s="295"/>
      <c r="Y75" s="295"/>
      <c r="Z75" s="295"/>
      <c r="AA75" s="295"/>
      <c r="AB75" s="295"/>
      <c r="AC75" s="295"/>
      <c r="AD75" s="295"/>
      <c r="AE75" s="295"/>
      <c r="AF75" s="296"/>
      <c r="AG75" s="105"/>
      <c r="AH75" s="105"/>
    </row>
    <row r="76" spans="1:34" ht="97.5" customHeight="1">
      <c r="A76" s="105"/>
      <c r="B76" s="291" t="s">
        <v>237</v>
      </c>
      <c r="C76" s="292"/>
      <c r="D76" s="292"/>
      <c r="E76" s="292"/>
      <c r="F76" s="292"/>
      <c r="G76" s="293"/>
      <c r="H76" s="294" t="s">
        <v>240</v>
      </c>
      <c r="I76" s="295"/>
      <c r="J76" s="295"/>
      <c r="K76" s="295"/>
      <c r="L76" s="295"/>
      <c r="M76" s="295"/>
      <c r="N76" s="295"/>
      <c r="O76" s="295"/>
      <c r="P76" s="295"/>
      <c r="Q76" s="295"/>
      <c r="R76" s="295"/>
      <c r="S76" s="295"/>
      <c r="T76" s="295"/>
      <c r="U76" s="295"/>
      <c r="V76" s="295"/>
      <c r="W76" s="295"/>
      <c r="X76" s="295"/>
      <c r="Y76" s="295"/>
      <c r="Z76" s="295"/>
      <c r="AA76" s="295"/>
      <c r="AB76" s="295"/>
      <c r="AC76" s="295"/>
      <c r="AD76" s="295"/>
      <c r="AE76" s="295"/>
      <c r="AF76" s="296"/>
      <c r="AG76" s="105"/>
      <c r="AH76" s="105"/>
    </row>
    <row r="77" spans="1:34">
      <c r="A77" s="105"/>
      <c r="B77" s="132"/>
      <c r="C77" s="132"/>
      <c r="D77" s="132"/>
      <c r="E77" s="132"/>
      <c r="F77" s="132"/>
      <c r="G77" s="132"/>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05"/>
      <c r="AH77" s="105"/>
    </row>
    <row r="78" spans="1:34">
      <c r="A78" s="105"/>
      <c r="B78" s="132"/>
      <c r="C78" s="132"/>
      <c r="D78" s="132"/>
      <c r="E78" s="132"/>
      <c r="F78" s="132"/>
      <c r="G78" s="132"/>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05"/>
      <c r="AH78" s="105"/>
    </row>
    <row r="79" spans="1:34">
      <c r="A79" s="105"/>
      <c r="B79" s="132"/>
      <c r="C79" s="132"/>
      <c r="D79" s="132"/>
      <c r="E79" s="132"/>
      <c r="F79" s="132"/>
      <c r="G79" s="132"/>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05"/>
      <c r="AH79" s="105"/>
    </row>
    <row r="80" spans="1:34" ht="26.25">
      <c r="A80" s="105"/>
      <c r="B80" s="128" t="s">
        <v>169</v>
      </c>
      <c r="C80" s="129"/>
      <c r="D80" s="129"/>
      <c r="E80" s="129"/>
      <c r="F80" s="129"/>
      <c r="G80" s="129"/>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05"/>
      <c r="AH80" s="105"/>
    </row>
    <row r="81" spans="1:36">
      <c r="A81" s="105"/>
      <c r="B81" s="132"/>
      <c r="C81" s="132"/>
      <c r="D81" s="132"/>
      <c r="E81" s="132"/>
      <c r="F81" s="132"/>
      <c r="G81" s="132"/>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05"/>
      <c r="AH81" s="105"/>
    </row>
    <row r="82" spans="1:36">
      <c r="A82" s="105"/>
      <c r="B82" s="132" t="s">
        <v>170</v>
      </c>
      <c r="C82" s="132"/>
      <c r="D82" s="132"/>
      <c r="E82" s="132"/>
      <c r="F82" s="132"/>
      <c r="G82" s="132"/>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05"/>
      <c r="AH82" s="105"/>
    </row>
    <row r="83" spans="1:36" ht="67.5">
      <c r="A83" s="105"/>
      <c r="B83" s="132"/>
      <c r="C83" s="132"/>
      <c r="D83" s="132"/>
      <c r="E83" s="132"/>
      <c r="F83" s="132"/>
      <c r="G83" s="132"/>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05"/>
      <c r="AH83" s="105"/>
      <c r="AJ83" s="174" t="s">
        <v>293</v>
      </c>
    </row>
    <row r="84" spans="1:36" ht="18.75">
      <c r="A84" s="105"/>
      <c r="C84" s="132"/>
      <c r="D84" s="132"/>
      <c r="E84" s="132"/>
      <c r="F84" s="132"/>
      <c r="G84" s="132"/>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05"/>
      <c r="AH84" s="105"/>
      <c r="AI84" s="153"/>
      <c r="AJ84" s="173" t="s">
        <v>294</v>
      </c>
    </row>
    <row r="85" spans="1:36">
      <c r="A85" s="105"/>
      <c r="C85" s="132"/>
      <c r="D85" s="132"/>
      <c r="E85" s="132"/>
      <c r="F85" s="132"/>
      <c r="G85" s="132"/>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05"/>
      <c r="AH85" s="105"/>
      <c r="AI85" s="154" t="s">
        <v>217</v>
      </c>
      <c r="AJ85" s="154" t="s">
        <v>171</v>
      </c>
    </row>
    <row r="86" spans="1:36">
      <c r="A86" s="105"/>
      <c r="C86" s="132"/>
      <c r="D86" s="132"/>
      <c r="E86" s="132"/>
      <c r="F86" s="132"/>
      <c r="G86" s="132"/>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05"/>
      <c r="AH86" s="105"/>
      <c r="AI86" s="154" t="s">
        <v>23</v>
      </c>
      <c r="AJ86" s="154" t="s">
        <v>173</v>
      </c>
    </row>
    <row r="87" spans="1:36">
      <c r="A87" s="105"/>
      <c r="C87" s="132"/>
      <c r="D87" s="132"/>
      <c r="E87" s="132"/>
      <c r="F87" s="132"/>
      <c r="G87" s="132"/>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05"/>
      <c r="AH87" s="105"/>
      <c r="AI87" s="154" t="s">
        <v>11</v>
      </c>
      <c r="AJ87" s="154" t="s">
        <v>219</v>
      </c>
    </row>
    <row r="88" spans="1:36" ht="18.75">
      <c r="A88" s="105"/>
      <c r="C88" s="132"/>
      <c r="D88" s="132"/>
      <c r="E88" s="132"/>
      <c r="F88" s="132"/>
      <c r="G88" s="132"/>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05"/>
      <c r="AH88" s="105"/>
      <c r="AI88" s="155"/>
      <c r="AJ88" s="154" t="s">
        <v>174</v>
      </c>
    </row>
    <row r="89" spans="1:36">
      <c r="A89" s="105"/>
      <c r="B89" s="132"/>
      <c r="C89" s="132"/>
      <c r="D89" s="132"/>
      <c r="E89" s="132"/>
      <c r="F89" s="132"/>
      <c r="G89" s="132"/>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05"/>
      <c r="AH89" s="105"/>
      <c r="AJ89" s="154" t="s">
        <v>248</v>
      </c>
    </row>
    <row r="90" spans="1:36">
      <c r="A90" s="105"/>
      <c r="B90" s="105"/>
      <c r="C90" s="105"/>
      <c r="D90" s="105"/>
      <c r="E90" s="105"/>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J90" s="154" t="s">
        <v>172</v>
      </c>
    </row>
    <row r="91" spans="1:36">
      <c r="AJ91" s="154" t="s">
        <v>223</v>
      </c>
    </row>
    <row r="92" spans="1:36">
      <c r="AJ92" s="154" t="s">
        <v>249</v>
      </c>
    </row>
    <row r="93" spans="1:36">
      <c r="AJ93" s="154" t="s">
        <v>250</v>
      </c>
    </row>
    <row r="94" spans="1:36">
      <c r="AJ94" s="154" t="s">
        <v>251</v>
      </c>
    </row>
    <row r="95" spans="1:36">
      <c r="AJ95" s="154" t="s">
        <v>252</v>
      </c>
    </row>
    <row r="96" spans="1:36">
      <c r="AJ96" s="154" t="s">
        <v>258</v>
      </c>
    </row>
    <row r="97" spans="36:36">
      <c r="AJ97" s="154" t="s">
        <v>175</v>
      </c>
    </row>
    <row r="98" spans="36:36">
      <c r="AJ98" s="154" t="s">
        <v>253</v>
      </c>
    </row>
    <row r="99" spans="36:36">
      <c r="AJ99" s="154" t="s">
        <v>254</v>
      </c>
    </row>
    <row r="100" spans="36:36">
      <c r="AJ100" s="154" t="s">
        <v>255</v>
      </c>
    </row>
    <row r="101" spans="36:36">
      <c r="AJ101" s="154" t="s">
        <v>256</v>
      </c>
    </row>
    <row r="102" spans="36:36">
      <c r="AJ102" s="154" t="s">
        <v>257</v>
      </c>
    </row>
    <row r="103" spans="36:36">
      <c r="AJ103" s="154" t="s">
        <v>176</v>
      </c>
    </row>
    <row r="104" spans="36:36">
      <c r="AJ104" s="154" t="s">
        <v>259</v>
      </c>
    </row>
    <row r="105" spans="36:36" ht="18.75">
      <c r="AJ105" s="155" t="s">
        <v>254</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0"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299" t="s">
        <v>15</v>
      </c>
      <c r="B1" s="300"/>
      <c r="C1" s="300"/>
      <c r="D1" s="301"/>
    </row>
    <row r="3" spans="1:8">
      <c r="B3" s="302" t="s">
        <v>16</v>
      </c>
      <c r="C3" s="303"/>
      <c r="D3" s="304"/>
    </row>
    <row r="4" spans="1:8">
      <c r="B4" s="88"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02" t="s">
        <v>184</v>
      </c>
      <c r="C12" s="303"/>
      <c r="D12" s="304"/>
    </row>
    <row r="13" spans="1:8" ht="24.75" customHeight="1">
      <c r="B13" s="134" t="s">
        <v>179</v>
      </c>
      <c r="C13" s="305" t="s">
        <v>181</v>
      </c>
      <c r="D13" s="306"/>
    </row>
    <row r="14" spans="1:8" ht="25.5" customHeight="1">
      <c r="B14" s="134" t="s">
        <v>106</v>
      </c>
      <c r="C14" s="305" t="s">
        <v>182</v>
      </c>
      <c r="D14" s="306"/>
      <c r="E14" s="89"/>
      <c r="F14" s="89"/>
      <c r="G14" s="89"/>
      <c r="H14" s="89"/>
    </row>
    <row r="15" spans="1:8" ht="49.5" customHeight="1">
      <c r="B15" s="134" t="s">
        <v>180</v>
      </c>
      <c r="C15" s="305" t="s">
        <v>183</v>
      </c>
      <c r="D15" s="306"/>
      <c r="F15" s="93" t="s">
        <v>135</v>
      </c>
    </row>
    <row r="17" spans="2:6">
      <c r="B17" s="302" t="s">
        <v>13</v>
      </c>
      <c r="C17" s="303"/>
      <c r="D17" s="304"/>
    </row>
    <row r="18" spans="2:6">
      <c r="B18" s="2"/>
      <c r="C18" s="3"/>
      <c r="D18" s="4"/>
      <c r="F18" s="93" t="s">
        <v>132</v>
      </c>
    </row>
    <row r="19" spans="2:6" s="90" customFormat="1" ht="38.25">
      <c r="B19" s="297" t="s">
        <v>185</v>
      </c>
      <c r="C19" s="135" t="s">
        <v>107</v>
      </c>
      <c r="D19" s="91"/>
      <c r="F19" s="94" t="s">
        <v>133</v>
      </c>
    </row>
    <row r="20" spans="2:6">
      <c r="B20" s="297"/>
      <c r="C20" s="136"/>
      <c r="D20" s="4"/>
      <c r="F20" s="93" t="s">
        <v>134</v>
      </c>
    </row>
    <row r="21" spans="2:6" ht="25.5">
      <c r="B21" s="297"/>
      <c r="C21" s="137" t="s">
        <v>108</v>
      </c>
      <c r="D21" s="4"/>
    </row>
    <row r="22" spans="2:6" ht="25.5">
      <c r="B22" s="297"/>
      <c r="C22" s="137" t="s">
        <v>0</v>
      </c>
      <c r="D22" s="4"/>
    </row>
    <row r="23" spans="2:6">
      <c r="B23" s="297"/>
      <c r="C23" s="137" t="s">
        <v>1</v>
      </c>
      <c r="D23" s="4"/>
    </row>
    <row r="24" spans="2:6">
      <c r="B24" s="2"/>
      <c r="C24" s="27"/>
      <c r="D24" s="4"/>
    </row>
    <row r="25" spans="2:6">
      <c r="B25" s="298" t="s">
        <v>186</v>
      </c>
      <c r="C25" s="138" t="s">
        <v>339</v>
      </c>
      <c r="D25" s="4"/>
    </row>
    <row r="26" spans="2:6" ht="25.5">
      <c r="B26" s="298"/>
      <c r="C26" s="139" t="s">
        <v>2</v>
      </c>
      <c r="D26" s="4"/>
    </row>
    <row r="27" spans="2:6">
      <c r="B27" s="298"/>
      <c r="C27" s="138"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290</v>
      </c>
      <c r="C50" s="172" t="s">
        <v>291</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2" t="s">
        <v>111</v>
      </c>
      <c r="D123" s="10"/>
    </row>
    <row r="124" spans="2:4">
      <c r="B124" s="140" t="s">
        <v>187</v>
      </c>
      <c r="C124" s="1" t="s">
        <v>110</v>
      </c>
      <c r="D124" s="4"/>
    </row>
    <row r="125" spans="2:4">
      <c r="B125" s="140" t="s">
        <v>187</v>
      </c>
      <c r="C125" s="31" t="s">
        <v>114</v>
      </c>
      <c r="D125" s="4"/>
    </row>
    <row r="126" spans="2:4">
      <c r="B126" s="140" t="s">
        <v>187</v>
      </c>
      <c r="C126" s="27" t="s">
        <v>115</v>
      </c>
      <c r="D126" s="4"/>
    </row>
    <row r="127" spans="2:4">
      <c r="B127" s="140" t="s">
        <v>187</v>
      </c>
      <c r="C127" s="27" t="s">
        <v>116</v>
      </c>
      <c r="D127" s="4"/>
    </row>
    <row r="128" spans="2:4">
      <c r="B128" s="140" t="s">
        <v>187</v>
      </c>
      <c r="C128" s="27" t="s">
        <v>117</v>
      </c>
      <c r="D128" s="4"/>
    </row>
    <row r="129" spans="2:4">
      <c r="B129" s="140" t="s">
        <v>187</v>
      </c>
      <c r="C129" s="27" t="s">
        <v>121</v>
      </c>
      <c r="D129" s="4"/>
    </row>
    <row r="130" spans="2:4">
      <c r="B130" s="140" t="s">
        <v>187</v>
      </c>
      <c r="C130" s="27" t="s">
        <v>122</v>
      </c>
      <c r="D130" s="4"/>
    </row>
    <row r="131" spans="2:4">
      <c r="B131" s="140" t="s">
        <v>187</v>
      </c>
      <c r="C131" s="31" t="s">
        <v>124</v>
      </c>
      <c r="D131" s="4"/>
    </row>
    <row r="132" spans="2:4">
      <c r="B132" s="140" t="s">
        <v>187</v>
      </c>
      <c r="C132" s="31" t="s">
        <v>125</v>
      </c>
      <c r="D132" s="4"/>
    </row>
    <row r="133" spans="2:4">
      <c r="B133" s="140" t="s">
        <v>187</v>
      </c>
      <c r="C133" s="1" t="s">
        <v>123</v>
      </c>
      <c r="D133" s="4"/>
    </row>
    <row r="134" spans="2:4">
      <c r="B134" s="140" t="s">
        <v>187</v>
      </c>
      <c r="C134" s="27" t="s">
        <v>118</v>
      </c>
      <c r="D134" s="4"/>
    </row>
    <row r="135" spans="2:4">
      <c r="B135" s="140" t="s">
        <v>187</v>
      </c>
      <c r="C135" s="27" t="s">
        <v>113</v>
      </c>
      <c r="D135" s="4"/>
    </row>
    <row r="136" spans="2:4">
      <c r="B136" s="140" t="s">
        <v>187</v>
      </c>
      <c r="C136" s="31" t="s">
        <v>119</v>
      </c>
      <c r="D136" s="4"/>
    </row>
    <row r="137" spans="2:4">
      <c r="B137" s="140" t="s">
        <v>187</v>
      </c>
      <c r="C137" s="31" t="s">
        <v>127</v>
      </c>
      <c r="D137" s="4"/>
    </row>
    <row r="138" spans="2:4">
      <c r="B138" s="140" t="s">
        <v>187</v>
      </c>
      <c r="C138" s="31" t="s">
        <v>112</v>
      </c>
      <c r="D138" s="4"/>
    </row>
    <row r="139" spans="2:4">
      <c r="B139" s="140" t="s">
        <v>187</v>
      </c>
      <c r="C139" s="31" t="s">
        <v>126</v>
      </c>
      <c r="D139" s="4"/>
    </row>
    <row r="140" spans="2:4">
      <c r="B140" s="141"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F24" sqref="F24:F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1" customFormat="1" ht="76.5">
      <c r="B24" s="82" t="s">
        <v>89</v>
      </c>
      <c r="C24" s="175" t="s">
        <v>51</v>
      </c>
      <c r="D24" s="176" t="s">
        <v>68</v>
      </c>
      <c r="E24" s="82" t="s">
        <v>253</v>
      </c>
      <c r="F24" s="82" t="s">
        <v>254</v>
      </c>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4"/>
      <c r="C25" s="39" t="s">
        <v>76</v>
      </c>
      <c r="D25" s="178">
        <f>SUM(E25:AA25)</f>
        <v>9</v>
      </c>
      <c r="E25" s="84">
        <v>0</v>
      </c>
      <c r="F25" s="84">
        <v>9</v>
      </c>
    </row>
    <row r="26" spans="2:52" ht="15">
      <c r="B26" s="85"/>
      <c r="C26" s="40" t="s">
        <v>77</v>
      </c>
      <c r="D26" s="178">
        <f>SUM(E26:AA26)</f>
        <v>0</v>
      </c>
      <c r="E26" s="85">
        <v>0</v>
      </c>
      <c r="F26" s="85">
        <v>0</v>
      </c>
    </row>
    <row r="27" spans="2:52" ht="15">
      <c r="B27" s="83">
        <f>B25+B26</f>
        <v>0</v>
      </c>
      <c r="C27" s="44" t="s">
        <v>22</v>
      </c>
      <c r="D27" s="83">
        <f t="shared" ref="D27" si="0">D25+D26</f>
        <v>9</v>
      </c>
      <c r="E27" s="83">
        <f>E25+E26</f>
        <v>0</v>
      </c>
      <c r="F27" s="83">
        <f>F25+F26</f>
        <v>9</v>
      </c>
    </row>
    <row r="28" spans="2:52">
      <c r="D28" s="17"/>
      <c r="H28" s="37"/>
    </row>
    <row r="29" spans="2:52">
      <c r="D29" s="17"/>
      <c r="H29" s="37"/>
    </row>
    <row r="30" spans="2:52">
      <c r="D30" s="17"/>
      <c r="H30" s="37"/>
    </row>
    <row r="31" spans="2:52" s="81" customFormat="1" ht="60" customHeight="1">
      <c r="B31" s="82" t="s">
        <v>90</v>
      </c>
      <c r="C31" s="175" t="s">
        <v>47</v>
      </c>
      <c r="D31" s="176" t="s">
        <v>68</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4"/>
      <c r="C32" s="40" t="s">
        <v>19</v>
      </c>
      <c r="D32" s="178">
        <f>SUM(E32:AA32)</f>
        <v>0</v>
      </c>
      <c r="E32" s="84">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5"/>
      <c r="C33" s="40" t="s">
        <v>44</v>
      </c>
      <c r="D33" s="178">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5"/>
      <c r="C34" s="40" t="s">
        <v>20</v>
      </c>
      <c r="D34" s="178">
        <f>SUM(E34:AA34)</f>
        <v>0</v>
      </c>
      <c r="E34" s="85">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5"/>
      <c r="C35" s="40" t="s">
        <v>21</v>
      </c>
      <c r="D35" s="178">
        <f>SUM(E35:AA35)</f>
        <v>0</v>
      </c>
      <c r="E35" s="85">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5"/>
      <c r="C36" s="40" t="s">
        <v>78</v>
      </c>
      <c r="D36" s="178">
        <f>SUM(E36:AA36)</f>
        <v>32</v>
      </c>
      <c r="E36" s="85">
        <v>32</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179">
        <f>SUM(D32:D36)</f>
        <v>32</v>
      </c>
      <c r="E37" s="86">
        <f>SUM(E32:E36)</f>
        <v>32</v>
      </c>
    </row>
    <row r="38" spans="2:52">
      <c r="D38" s="17"/>
      <c r="H38" s="37"/>
    </row>
    <row r="39" spans="2:52">
      <c r="D39" s="17"/>
      <c r="H39" s="37"/>
    </row>
    <row r="40" spans="2:52" s="81" customFormat="1" ht="63.75">
      <c r="B40" s="82" t="s">
        <v>90</v>
      </c>
      <c r="C40" s="175" t="s">
        <v>67</v>
      </c>
      <c r="D40" s="176" t="s">
        <v>68</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0" t="s">
        <v>75</v>
      </c>
      <c r="D41" s="178">
        <f>SUM(E41:AA41)</f>
        <v>32</v>
      </c>
      <c r="E41" s="85">
        <v>32</v>
      </c>
    </row>
    <row r="42" spans="2:52" ht="15">
      <c r="B42" s="85"/>
      <c r="C42" s="40" t="s">
        <v>74</v>
      </c>
      <c r="D42" s="178">
        <f>SUM(E42:AA42)</f>
        <v>0</v>
      </c>
      <c r="E42" s="85">
        <v>0</v>
      </c>
    </row>
    <row r="43" spans="2:52" s="17" customFormat="1" ht="15">
      <c r="B43" s="85"/>
      <c r="C43" s="40" t="s">
        <v>101</v>
      </c>
      <c r="D43" s="178">
        <f>SUM(E43:AA43)</f>
        <v>0</v>
      </c>
      <c r="E43" s="85">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179">
        <f>SUM(D41:D43)</f>
        <v>32</v>
      </c>
      <c r="E44" s="86">
        <f>SUM(E41:E43)</f>
        <v>32</v>
      </c>
    </row>
    <row r="45" spans="2:52">
      <c r="D45" s="17"/>
    </row>
    <row r="46" spans="2:52">
      <c r="D46" s="17"/>
    </row>
    <row r="47" spans="2:52" ht="25.5">
      <c r="C47" s="177" t="s">
        <v>59</v>
      </c>
      <c r="D47" s="177" t="s">
        <v>92</v>
      </c>
      <c r="E47" s="30" t="s">
        <v>91</v>
      </c>
    </row>
    <row r="48" spans="2:52">
      <c r="C48" s="87" t="s">
        <v>93</v>
      </c>
      <c r="D48" s="180" t="s">
        <v>94</v>
      </c>
      <c r="E48" s="87" t="s">
        <v>95</v>
      </c>
    </row>
  </sheetData>
  <phoneticPr fontId="2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3"/>
  <sheetViews>
    <sheetView showGridLines="0" tabSelected="1" zoomScaleNormal="100" workbookViewId="0">
      <selection activeCell="I35" sqref="I35"/>
    </sheetView>
  </sheetViews>
  <sheetFormatPr defaultColWidth="8.85546875" defaultRowHeight="15" outlineLevelCol="1"/>
  <cols>
    <col min="1" max="2" width="31.5703125" style="142" customWidth="1"/>
    <col min="3" max="3" width="43.28515625" style="142" customWidth="1"/>
    <col min="4" max="4" width="13.42578125" style="142" customWidth="1"/>
    <col min="5" max="5" width="18.140625" style="142" customWidth="1"/>
    <col min="6" max="14" width="15.28515625" style="142" customWidth="1" outlineLevel="1"/>
    <col min="15" max="15" width="16.7109375" style="142" customWidth="1" outlineLevel="1"/>
    <col min="16" max="16384" width="8.85546875" style="142"/>
  </cols>
  <sheetData>
    <row r="1" spans="1:15" ht="21" customHeight="1">
      <c r="A1" s="307" t="s">
        <v>192</v>
      </c>
      <c r="B1" s="308"/>
      <c r="C1" s="308"/>
      <c r="D1" s="308"/>
      <c r="E1" s="309"/>
      <c r="F1" s="310" t="s">
        <v>202</v>
      </c>
      <c r="G1" s="311"/>
      <c r="H1" s="311"/>
      <c r="I1" s="311"/>
      <c r="J1" s="311"/>
      <c r="K1" s="311"/>
      <c r="L1" s="311"/>
      <c r="M1" s="311"/>
      <c r="N1" s="311"/>
      <c r="O1" s="311"/>
    </row>
    <row r="2" spans="1:15" ht="18.75">
      <c r="A2" s="151" t="s">
        <v>195</v>
      </c>
      <c r="B2" s="151" t="s">
        <v>191</v>
      </c>
      <c r="C2" s="151" t="s">
        <v>193</v>
      </c>
      <c r="D2" s="151" t="s">
        <v>194</v>
      </c>
      <c r="E2" s="151" t="s">
        <v>196</v>
      </c>
      <c r="F2" s="152" t="s">
        <v>361</v>
      </c>
      <c r="G2" s="152" t="s">
        <v>363</v>
      </c>
      <c r="H2" s="152" t="s">
        <v>362</v>
      </c>
      <c r="I2" s="152" t="s">
        <v>365</v>
      </c>
      <c r="J2" s="152" t="s">
        <v>449</v>
      </c>
      <c r="K2" s="152" t="s">
        <v>197</v>
      </c>
      <c r="L2" s="152" t="s">
        <v>198</v>
      </c>
      <c r="M2" s="152" t="s">
        <v>199</v>
      </c>
      <c r="N2" s="152" t="s">
        <v>200</v>
      </c>
      <c r="O2" s="152" t="s">
        <v>201</v>
      </c>
    </row>
    <row r="3" spans="1:15">
      <c r="A3" s="211" t="s">
        <v>371</v>
      </c>
      <c r="B3" s="142" t="s">
        <v>106</v>
      </c>
      <c r="C3" s="208">
        <v>44984</v>
      </c>
      <c r="D3" s="208">
        <v>44984</v>
      </c>
      <c r="E3" s="210">
        <f t="shared" ref="E3" si="0">SUM(F3:O3)</f>
        <v>10</v>
      </c>
      <c r="H3" s="142">
        <v>5</v>
      </c>
      <c r="I3" s="142">
        <v>5</v>
      </c>
    </row>
    <row r="4" spans="1:15">
      <c r="A4" s="211" t="s">
        <v>372</v>
      </c>
      <c r="B4" s="142" t="s">
        <v>106</v>
      </c>
      <c r="C4" s="208">
        <v>44984</v>
      </c>
      <c r="D4" s="208">
        <v>44984</v>
      </c>
      <c r="E4" s="210">
        <f t="shared" ref="E4" si="1">SUM(F4:O4)</f>
        <v>10</v>
      </c>
      <c r="H4" s="142">
        <v>5</v>
      </c>
      <c r="I4" s="142">
        <v>5</v>
      </c>
      <c r="J4" s="209"/>
      <c r="K4" s="209"/>
      <c r="L4" s="209"/>
      <c r="M4" s="209"/>
      <c r="N4" s="209"/>
      <c r="O4" s="209"/>
    </row>
    <row r="5" spans="1:15">
      <c r="A5" s="209" t="s">
        <v>373</v>
      </c>
      <c r="B5" s="142" t="s">
        <v>106</v>
      </c>
      <c r="C5" s="208">
        <v>44984</v>
      </c>
      <c r="D5" s="208">
        <v>44984</v>
      </c>
      <c r="E5" s="212">
        <f t="shared" ref="E5:E30" si="2">SUM(F5:O5)</f>
        <v>10</v>
      </c>
      <c r="F5" s="209"/>
      <c r="G5" s="209"/>
      <c r="H5" s="209">
        <v>5</v>
      </c>
      <c r="I5" s="209">
        <v>5</v>
      </c>
      <c r="J5" s="209"/>
      <c r="K5" s="209"/>
      <c r="L5" s="209"/>
      <c r="M5" s="209"/>
      <c r="N5" s="209"/>
      <c r="O5" s="209"/>
    </row>
    <row r="6" spans="1:15">
      <c r="A6" s="209" t="s">
        <v>374</v>
      </c>
      <c r="B6" s="142" t="s">
        <v>106</v>
      </c>
      <c r="C6" s="208">
        <v>44984</v>
      </c>
      <c r="D6" s="208">
        <v>44984</v>
      </c>
      <c r="E6" s="212">
        <f t="shared" si="2"/>
        <v>10</v>
      </c>
      <c r="F6" s="209"/>
      <c r="G6" s="209"/>
      <c r="H6" s="209">
        <v>5</v>
      </c>
      <c r="I6" s="209">
        <v>5</v>
      </c>
      <c r="J6" s="209"/>
      <c r="K6" s="209"/>
      <c r="L6" s="209"/>
      <c r="M6" s="209"/>
      <c r="N6" s="209"/>
      <c r="O6" s="209"/>
    </row>
    <row r="7" spans="1:15">
      <c r="A7" s="209" t="s">
        <v>375</v>
      </c>
      <c r="B7" s="142" t="s">
        <v>106</v>
      </c>
      <c r="C7" s="208">
        <v>44984</v>
      </c>
      <c r="D7" s="208">
        <v>44984</v>
      </c>
      <c r="E7" s="212">
        <f t="shared" si="2"/>
        <v>10</v>
      </c>
      <c r="F7" s="209"/>
      <c r="G7" s="209"/>
      <c r="H7" s="209">
        <v>5</v>
      </c>
      <c r="I7" s="209">
        <v>5</v>
      </c>
      <c r="J7" s="209"/>
      <c r="K7" s="209"/>
      <c r="L7" s="209"/>
      <c r="M7" s="209"/>
      <c r="N7" s="209"/>
      <c r="O7" s="209"/>
    </row>
    <row r="8" spans="1:15">
      <c r="A8" s="209" t="s">
        <v>376</v>
      </c>
      <c r="B8" s="142" t="s">
        <v>106</v>
      </c>
      <c r="C8" s="208">
        <v>44984</v>
      </c>
      <c r="D8" s="208">
        <v>44984</v>
      </c>
      <c r="E8" s="212">
        <f t="shared" si="2"/>
        <v>10</v>
      </c>
      <c r="F8" s="209"/>
      <c r="G8" s="209"/>
      <c r="H8" s="209">
        <v>5</v>
      </c>
      <c r="I8" s="209">
        <v>5</v>
      </c>
      <c r="J8" s="209"/>
      <c r="K8" s="209"/>
      <c r="L8" s="209"/>
      <c r="M8" s="209"/>
      <c r="N8" s="209"/>
      <c r="O8" s="209"/>
    </row>
    <row r="9" spans="1:15">
      <c r="A9" s="209" t="s">
        <v>377</v>
      </c>
      <c r="B9" s="142" t="s">
        <v>106</v>
      </c>
      <c r="C9" s="208">
        <v>44984</v>
      </c>
      <c r="D9" s="208">
        <v>44984</v>
      </c>
      <c r="E9" s="212">
        <f t="shared" si="2"/>
        <v>10</v>
      </c>
      <c r="F9" s="209"/>
      <c r="G9" s="209"/>
      <c r="H9" s="209">
        <v>5</v>
      </c>
      <c r="I9" s="209">
        <v>5</v>
      </c>
      <c r="J9" s="209"/>
      <c r="K9" s="209"/>
      <c r="L9" s="209"/>
      <c r="M9" s="209"/>
      <c r="N9" s="209"/>
      <c r="O9" s="209"/>
    </row>
    <row r="10" spans="1:15">
      <c r="A10" s="209" t="s">
        <v>378</v>
      </c>
      <c r="B10" s="142" t="s">
        <v>106</v>
      </c>
      <c r="C10" s="208">
        <v>44984</v>
      </c>
      <c r="D10" s="208">
        <v>44984</v>
      </c>
      <c r="E10" s="212">
        <f t="shared" si="2"/>
        <v>10</v>
      </c>
      <c r="F10" s="209"/>
      <c r="G10" s="209"/>
      <c r="H10" s="209">
        <v>5</v>
      </c>
      <c r="I10" s="209">
        <v>5</v>
      </c>
      <c r="J10" s="209"/>
      <c r="K10" s="209"/>
      <c r="L10" s="209"/>
      <c r="M10" s="209"/>
      <c r="N10" s="209"/>
      <c r="O10" s="209"/>
    </row>
    <row r="11" spans="1:15">
      <c r="A11" s="209" t="s">
        <v>379</v>
      </c>
      <c r="B11" s="142" t="s">
        <v>106</v>
      </c>
      <c r="C11" s="208">
        <v>44984</v>
      </c>
      <c r="D11" s="208">
        <v>44984</v>
      </c>
      <c r="E11" s="212">
        <f t="shared" si="2"/>
        <v>10</v>
      </c>
      <c r="F11" s="209"/>
      <c r="G11" s="209"/>
      <c r="H11" s="209">
        <v>5</v>
      </c>
      <c r="I11" s="209">
        <v>5</v>
      </c>
      <c r="J11" s="209"/>
      <c r="K11" s="209"/>
      <c r="L11" s="209"/>
      <c r="M11" s="209"/>
      <c r="N11" s="209"/>
      <c r="O11" s="209"/>
    </row>
    <row r="12" spans="1:15">
      <c r="A12" s="209" t="s">
        <v>380</v>
      </c>
      <c r="B12" s="142" t="s">
        <v>106</v>
      </c>
      <c r="C12" s="208">
        <v>44984</v>
      </c>
      <c r="D12" s="208">
        <v>44984</v>
      </c>
      <c r="E12" s="212">
        <f t="shared" si="2"/>
        <v>10</v>
      </c>
      <c r="F12" s="209"/>
      <c r="G12" s="209"/>
      <c r="H12" s="209">
        <v>5</v>
      </c>
      <c r="I12" s="209">
        <v>5</v>
      </c>
      <c r="J12" s="209"/>
      <c r="K12" s="209"/>
      <c r="L12" s="209"/>
      <c r="M12" s="209"/>
      <c r="N12" s="209"/>
      <c r="O12" s="209"/>
    </row>
    <row r="13" spans="1:15">
      <c r="A13" s="209" t="s">
        <v>381</v>
      </c>
      <c r="B13" s="142" t="s">
        <v>106</v>
      </c>
      <c r="C13" s="208">
        <v>44984</v>
      </c>
      <c r="D13" s="208">
        <v>44984</v>
      </c>
      <c r="E13" s="212">
        <f t="shared" si="2"/>
        <v>10</v>
      </c>
      <c r="F13" s="209"/>
      <c r="G13" s="209"/>
      <c r="H13" s="209">
        <v>5</v>
      </c>
      <c r="I13" s="209">
        <v>5</v>
      </c>
      <c r="J13" s="209"/>
      <c r="K13" s="209"/>
      <c r="L13" s="209"/>
      <c r="M13" s="209"/>
      <c r="N13" s="209"/>
      <c r="O13" s="209"/>
    </row>
    <row r="14" spans="1:15">
      <c r="A14" s="209" t="s">
        <v>382</v>
      </c>
      <c r="B14" s="142" t="s">
        <v>106</v>
      </c>
      <c r="C14" s="208">
        <v>44984</v>
      </c>
      <c r="D14" s="208">
        <v>44984</v>
      </c>
      <c r="E14" s="212">
        <f t="shared" si="2"/>
        <v>10</v>
      </c>
      <c r="F14" s="209"/>
      <c r="G14" s="209"/>
      <c r="H14" s="209">
        <v>5</v>
      </c>
      <c r="I14" s="209">
        <v>5</v>
      </c>
      <c r="J14" s="209"/>
      <c r="K14" s="209"/>
      <c r="L14" s="209"/>
      <c r="M14" s="209"/>
      <c r="N14" s="209"/>
      <c r="O14" s="209"/>
    </row>
    <row r="15" spans="1:15">
      <c r="A15" s="209" t="s">
        <v>383</v>
      </c>
      <c r="B15" s="142" t="s">
        <v>106</v>
      </c>
      <c r="C15" s="208">
        <v>44984</v>
      </c>
      <c r="D15" s="208">
        <v>44984</v>
      </c>
      <c r="E15" s="212">
        <f t="shared" si="2"/>
        <v>10</v>
      </c>
      <c r="F15" s="209"/>
      <c r="G15" s="209"/>
      <c r="H15" s="209">
        <v>5</v>
      </c>
      <c r="I15" s="209">
        <v>5</v>
      </c>
      <c r="J15" s="209"/>
      <c r="K15" s="209"/>
      <c r="L15" s="209"/>
      <c r="M15" s="209"/>
      <c r="N15" s="209"/>
      <c r="O15" s="209"/>
    </row>
    <row r="16" spans="1:15">
      <c r="A16" s="209" t="s">
        <v>384</v>
      </c>
      <c r="B16" s="142" t="s">
        <v>106</v>
      </c>
      <c r="C16" s="208">
        <v>44984</v>
      </c>
      <c r="D16" s="208">
        <v>44984</v>
      </c>
      <c r="E16" s="212">
        <f t="shared" si="2"/>
        <v>10</v>
      </c>
      <c r="F16" s="209"/>
      <c r="G16" s="209"/>
      <c r="H16" s="209">
        <v>5</v>
      </c>
      <c r="I16" s="209">
        <v>5</v>
      </c>
      <c r="J16" s="209"/>
      <c r="K16" s="209"/>
      <c r="L16" s="209"/>
      <c r="M16" s="209"/>
      <c r="N16" s="209"/>
      <c r="O16" s="209"/>
    </row>
    <row r="17" spans="1:15">
      <c r="A17" s="209" t="s">
        <v>385</v>
      </c>
      <c r="B17" s="142" t="s">
        <v>106</v>
      </c>
      <c r="C17" s="208">
        <v>44984</v>
      </c>
      <c r="D17" s="208">
        <v>44984</v>
      </c>
      <c r="E17" s="212">
        <f t="shared" si="2"/>
        <v>10</v>
      </c>
      <c r="F17" s="209"/>
      <c r="G17" s="209"/>
      <c r="H17" s="209">
        <v>5</v>
      </c>
      <c r="I17" s="209">
        <v>5</v>
      </c>
      <c r="J17" s="209"/>
      <c r="K17" s="209"/>
      <c r="L17" s="209"/>
      <c r="M17" s="209"/>
      <c r="N17" s="209"/>
      <c r="O17" s="209"/>
    </row>
    <row r="18" spans="1:15">
      <c r="A18" s="209" t="s">
        <v>386</v>
      </c>
      <c r="B18" s="142" t="s">
        <v>106</v>
      </c>
      <c r="C18" s="208">
        <v>44984</v>
      </c>
      <c r="D18" s="208">
        <v>44984</v>
      </c>
      <c r="E18" s="212">
        <f t="shared" si="2"/>
        <v>10</v>
      </c>
      <c r="F18" s="209"/>
      <c r="G18" s="209"/>
      <c r="H18" s="209">
        <v>5</v>
      </c>
      <c r="I18" s="209">
        <v>5</v>
      </c>
      <c r="J18" s="209"/>
      <c r="K18" s="209"/>
      <c r="L18" s="209"/>
      <c r="M18" s="209"/>
      <c r="N18" s="209"/>
      <c r="O18" s="209"/>
    </row>
    <row r="19" spans="1:15">
      <c r="A19" s="209" t="s">
        <v>387</v>
      </c>
      <c r="B19" s="142" t="s">
        <v>106</v>
      </c>
      <c r="C19" s="208">
        <v>44984</v>
      </c>
      <c r="D19" s="208">
        <v>44984</v>
      </c>
      <c r="E19" s="212">
        <f t="shared" si="2"/>
        <v>10</v>
      </c>
      <c r="F19" s="209"/>
      <c r="G19" s="209"/>
      <c r="H19" s="209">
        <v>5</v>
      </c>
      <c r="I19" s="209">
        <v>5</v>
      </c>
      <c r="J19" s="209"/>
      <c r="K19" s="209"/>
      <c r="L19" s="209"/>
      <c r="M19" s="209"/>
      <c r="N19" s="209"/>
      <c r="O19" s="209"/>
    </row>
    <row r="20" spans="1:15">
      <c r="A20" s="209" t="s">
        <v>388</v>
      </c>
      <c r="B20" s="142" t="s">
        <v>106</v>
      </c>
      <c r="C20" s="208">
        <v>44984</v>
      </c>
      <c r="D20" s="208">
        <v>44984</v>
      </c>
      <c r="E20" s="212">
        <f t="shared" si="2"/>
        <v>10</v>
      </c>
      <c r="F20" s="209"/>
      <c r="G20" s="209"/>
      <c r="H20" s="209">
        <v>5</v>
      </c>
      <c r="I20" s="209">
        <v>5</v>
      </c>
      <c r="J20" s="209"/>
      <c r="K20" s="209"/>
      <c r="L20" s="209"/>
      <c r="M20" s="209"/>
      <c r="N20" s="209"/>
      <c r="O20" s="209"/>
    </row>
    <row r="21" spans="1:15">
      <c r="A21" s="209" t="s">
        <v>389</v>
      </c>
      <c r="B21" s="142" t="s">
        <v>106</v>
      </c>
      <c r="C21" s="208">
        <v>44984</v>
      </c>
      <c r="D21" s="208">
        <v>44984</v>
      </c>
      <c r="E21" s="212">
        <f t="shared" si="2"/>
        <v>10</v>
      </c>
      <c r="F21" s="209"/>
      <c r="G21" s="209"/>
      <c r="H21" s="209">
        <v>5</v>
      </c>
      <c r="I21" s="209">
        <v>5</v>
      </c>
      <c r="J21" s="209"/>
      <c r="K21" s="209"/>
      <c r="L21" s="209"/>
      <c r="M21" s="209"/>
      <c r="N21" s="209"/>
      <c r="O21" s="209"/>
    </row>
    <row r="22" spans="1:15">
      <c r="A22" s="209" t="s">
        <v>390</v>
      </c>
      <c r="B22" s="142" t="s">
        <v>106</v>
      </c>
      <c r="C22" s="208">
        <v>44984</v>
      </c>
      <c r="D22" s="208">
        <v>44984</v>
      </c>
      <c r="E22" s="212">
        <f t="shared" si="2"/>
        <v>10</v>
      </c>
      <c r="F22" s="209"/>
      <c r="G22" s="209"/>
      <c r="H22" s="209">
        <v>5</v>
      </c>
      <c r="I22" s="209">
        <v>5</v>
      </c>
      <c r="J22" s="209"/>
      <c r="K22" s="209"/>
      <c r="L22" s="209"/>
      <c r="M22" s="209"/>
      <c r="N22" s="209"/>
      <c r="O22" s="209"/>
    </row>
    <row r="23" spans="1:15">
      <c r="A23" s="209" t="s">
        <v>391</v>
      </c>
      <c r="B23" s="142" t="s">
        <v>106</v>
      </c>
      <c r="C23" s="208">
        <v>44984</v>
      </c>
      <c r="D23" s="208">
        <v>44984</v>
      </c>
      <c r="E23" s="212">
        <f t="shared" si="2"/>
        <v>10</v>
      </c>
      <c r="F23" s="209"/>
      <c r="G23" s="209"/>
      <c r="H23" s="209">
        <v>5</v>
      </c>
      <c r="I23" s="209">
        <v>5</v>
      </c>
      <c r="J23" s="209"/>
      <c r="K23" s="209"/>
      <c r="L23" s="209"/>
      <c r="M23" s="209"/>
      <c r="N23" s="209"/>
      <c r="O23" s="209"/>
    </row>
    <row r="24" spans="1:15">
      <c r="A24" s="209" t="s">
        <v>392</v>
      </c>
      <c r="B24" s="142" t="s">
        <v>106</v>
      </c>
      <c r="C24" s="208">
        <v>44984</v>
      </c>
      <c r="D24" s="208">
        <v>44984</v>
      </c>
      <c r="E24" s="212">
        <f t="shared" si="2"/>
        <v>10</v>
      </c>
      <c r="F24" s="209"/>
      <c r="G24" s="209"/>
      <c r="H24" s="209">
        <v>5</v>
      </c>
      <c r="I24" s="209">
        <v>5</v>
      </c>
      <c r="J24" s="209"/>
      <c r="K24" s="209"/>
      <c r="L24" s="209"/>
      <c r="M24" s="209"/>
      <c r="N24" s="209"/>
      <c r="O24" s="209"/>
    </row>
    <row r="25" spans="1:15">
      <c r="A25" s="209" t="s">
        <v>393</v>
      </c>
      <c r="B25" s="142" t="s">
        <v>106</v>
      </c>
      <c r="C25" s="208">
        <v>44984</v>
      </c>
      <c r="D25" s="208">
        <v>44984</v>
      </c>
      <c r="E25" s="212">
        <f t="shared" si="2"/>
        <v>20</v>
      </c>
      <c r="F25" s="209"/>
      <c r="G25" s="209"/>
      <c r="H25" s="209">
        <v>10</v>
      </c>
      <c r="I25" s="209">
        <v>10</v>
      </c>
      <c r="J25" s="209"/>
      <c r="K25" s="209"/>
      <c r="L25" s="209"/>
      <c r="M25" s="209"/>
      <c r="N25" s="209"/>
      <c r="O25" s="209"/>
    </row>
    <row r="26" spans="1:15">
      <c r="A26" s="209" t="s">
        <v>394</v>
      </c>
      <c r="B26" s="142" t="s">
        <v>106</v>
      </c>
      <c r="C26" s="208">
        <v>44984</v>
      </c>
      <c r="D26" s="208">
        <v>44984</v>
      </c>
      <c r="E26" s="212">
        <f t="shared" si="2"/>
        <v>20</v>
      </c>
      <c r="F26" s="209"/>
      <c r="G26" s="209"/>
      <c r="H26" s="209">
        <v>10</v>
      </c>
      <c r="I26" s="209">
        <v>10</v>
      </c>
      <c r="J26" s="209"/>
      <c r="K26" s="209"/>
      <c r="L26" s="209"/>
      <c r="M26" s="209"/>
      <c r="N26" s="209"/>
      <c r="O26" s="209"/>
    </row>
    <row r="27" spans="1:15">
      <c r="A27" s="209" t="s">
        <v>395</v>
      </c>
      <c r="B27" s="142" t="s">
        <v>106</v>
      </c>
      <c r="C27" s="208">
        <v>44984</v>
      </c>
      <c r="D27" s="208">
        <v>44984</v>
      </c>
      <c r="E27" s="212">
        <f t="shared" si="2"/>
        <v>20</v>
      </c>
      <c r="F27" s="209"/>
      <c r="G27" s="209"/>
      <c r="H27" s="209">
        <v>10</v>
      </c>
      <c r="I27" s="209">
        <v>10</v>
      </c>
      <c r="J27" s="209"/>
      <c r="K27" s="209"/>
      <c r="L27" s="209"/>
      <c r="M27" s="209"/>
      <c r="N27" s="209"/>
      <c r="O27" s="209"/>
    </row>
    <row r="28" spans="1:15">
      <c r="A28" s="209" t="s">
        <v>396</v>
      </c>
      <c r="B28" s="142" t="s">
        <v>106</v>
      </c>
      <c r="C28" s="208">
        <v>44984</v>
      </c>
      <c r="D28" s="208">
        <v>44984</v>
      </c>
      <c r="E28" s="212">
        <f t="shared" si="2"/>
        <v>20</v>
      </c>
      <c r="F28" s="209"/>
      <c r="G28" s="209"/>
      <c r="H28" s="209">
        <v>10</v>
      </c>
      <c r="I28" s="209">
        <v>10</v>
      </c>
      <c r="J28" s="209"/>
      <c r="K28" s="209"/>
      <c r="L28" s="209"/>
      <c r="M28" s="209"/>
      <c r="N28" s="209"/>
      <c r="O28" s="209"/>
    </row>
    <row r="29" spans="1:15">
      <c r="A29" s="209" t="s">
        <v>397</v>
      </c>
      <c r="B29" s="142" t="s">
        <v>106</v>
      </c>
      <c r="C29" s="208">
        <v>44984</v>
      </c>
      <c r="D29" s="208">
        <v>44984</v>
      </c>
      <c r="E29" s="212">
        <f t="shared" si="2"/>
        <v>20</v>
      </c>
      <c r="F29" s="209"/>
      <c r="G29" s="209"/>
      <c r="H29" s="209">
        <v>10</v>
      </c>
      <c r="I29" s="209">
        <v>10</v>
      </c>
      <c r="J29" s="209"/>
      <c r="K29" s="209"/>
      <c r="L29" s="209"/>
      <c r="M29" s="209"/>
      <c r="N29" s="209"/>
      <c r="O29" s="209"/>
    </row>
    <row r="30" spans="1:15">
      <c r="A30" s="209" t="s">
        <v>398</v>
      </c>
      <c r="B30" s="142" t="s">
        <v>106</v>
      </c>
      <c r="C30" s="208">
        <v>44984</v>
      </c>
      <c r="D30" s="208">
        <v>44984</v>
      </c>
      <c r="E30" s="212">
        <f t="shared" si="2"/>
        <v>20</v>
      </c>
      <c r="F30" s="209"/>
      <c r="G30" s="209"/>
      <c r="H30" s="209">
        <v>10</v>
      </c>
      <c r="I30" s="209">
        <v>10</v>
      </c>
      <c r="J30" s="209"/>
      <c r="K30" s="209"/>
      <c r="L30" s="209"/>
      <c r="M30" s="209"/>
      <c r="N30" s="209"/>
      <c r="O30" s="209"/>
    </row>
    <row r="31" spans="1:15">
      <c r="A31" s="209" t="s">
        <v>410</v>
      </c>
      <c r="B31" s="142" t="s">
        <v>106</v>
      </c>
      <c r="C31" s="208">
        <v>45007</v>
      </c>
      <c r="D31" s="208">
        <v>45007</v>
      </c>
      <c r="E31" s="212">
        <f>SUM(F31:O31)</f>
        <v>20</v>
      </c>
      <c r="F31" s="209"/>
      <c r="G31" s="209"/>
      <c r="H31" s="209">
        <v>10</v>
      </c>
      <c r="I31" s="209">
        <v>10</v>
      </c>
      <c r="J31" s="209"/>
      <c r="K31" s="209"/>
      <c r="L31" s="209"/>
      <c r="M31" s="209"/>
      <c r="N31" s="209"/>
      <c r="O31" s="209"/>
    </row>
    <row r="32" spans="1:15">
      <c r="A32" s="209" t="s">
        <v>446</v>
      </c>
      <c r="B32" s="142" t="s">
        <v>106</v>
      </c>
      <c r="C32" s="208">
        <v>45007</v>
      </c>
      <c r="D32" s="208">
        <v>45007</v>
      </c>
      <c r="E32" s="212">
        <f>SUM(F32:O32)</f>
        <v>20</v>
      </c>
      <c r="F32" s="209"/>
      <c r="G32" s="209"/>
      <c r="H32" s="209">
        <v>10</v>
      </c>
      <c r="I32" s="209">
        <v>10</v>
      </c>
      <c r="J32" s="209"/>
      <c r="K32" s="209"/>
      <c r="L32" s="209"/>
      <c r="M32" s="209"/>
      <c r="N32" s="209"/>
      <c r="O32" s="209"/>
    </row>
    <row r="33" spans="1:15">
      <c r="A33" s="317" t="s">
        <v>448</v>
      </c>
      <c r="B33" s="142" t="s">
        <v>106</v>
      </c>
      <c r="C33" s="208">
        <v>45127</v>
      </c>
      <c r="D33" s="208">
        <v>45127</v>
      </c>
      <c r="E33" s="212">
        <f>SUM(F33:O33)</f>
        <v>20</v>
      </c>
      <c r="F33" s="209"/>
      <c r="G33" s="209"/>
      <c r="H33" s="209">
        <v>10</v>
      </c>
      <c r="I33" s="209"/>
      <c r="J33" s="209">
        <v>10</v>
      </c>
      <c r="K33" s="209"/>
      <c r="L33" s="209"/>
      <c r="M33" s="209"/>
      <c r="N33" s="209"/>
      <c r="O33" s="209"/>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B3:B33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20" activePane="bottomRight" state="frozenSplit"/>
      <selection activeCell="K17" sqref="K17"/>
      <selection pane="topRight" activeCell="K17" sqref="K17"/>
      <selection pane="bottomLeft" activeCell="K17" sqref="K17"/>
      <selection pane="bottomRight" activeCell="D39" sqref="D39"/>
    </sheetView>
  </sheetViews>
  <sheetFormatPr defaultRowHeight="12.75" outlineLevelRow="1" outlineLevelCol="1"/>
  <cols>
    <col min="1" max="1" width="5.28515625" style="71" customWidth="1"/>
    <col min="2" max="2" width="9.85546875" style="47" customWidth="1"/>
    <col min="3" max="3" width="15.425781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4.42578125" style="50" bestFit="1"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8"/>
      <c r="Q2" s="53">
        <f>COUNTIF($L5:$L500,"=" &amp; Q1)</f>
        <v>0</v>
      </c>
      <c r="R2" s="53">
        <f>COUNTIF($L5:$L500,"=" &amp; R1)</f>
        <v>0</v>
      </c>
      <c r="S2" s="53">
        <f>COUNTIF($L5:$L500,"=" &amp; S1)</f>
        <v>0</v>
      </c>
      <c r="T2" s="53">
        <f>COUNTIF($L5:$L500,"=" &amp; T1)</f>
        <v>33</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3"/>
      <c r="AC2" s="33"/>
      <c r="AD2" s="33"/>
      <c r="AE2" s="33"/>
      <c r="AF2" s="33"/>
      <c r="AH2" s="53">
        <f>COUNTIF($M5:$M500,"=" &amp; AH1)</f>
        <v>33</v>
      </c>
      <c r="AI2" s="53">
        <f>COUNTIF($M5:$M500,"=" &amp; AI1)</f>
        <v>0</v>
      </c>
      <c r="AJ2" s="53">
        <f>COUNTIF($M5:$M500,"=" &amp; AJ1)</f>
        <v>0</v>
      </c>
      <c r="AM2" s="33"/>
      <c r="AN2" s="33"/>
      <c r="AO2" s="33"/>
      <c r="AP2" s="35"/>
      <c r="AQ2" s="35"/>
      <c r="AR2" s="33"/>
      <c r="AS2" s="35"/>
      <c r="AT2" s="35"/>
    </row>
    <row r="3" spans="1:46" s="52" customFormat="1" ht="25.5" customHeight="1" outlineLevel="1">
      <c r="A3" s="313" t="str">
        <f>IF(Issue_to_treat=1,NbOfNotTreatedIssues+NbOfRejectedIssues&amp;" issue(s) to treat",IF(Issues_to_approve=1,NbOfNotApprovedIssues&amp;" issue(s) to approve",IF(Issues_postponed=1,NbOfNotApprovedAndPostponedIssues&amp;" issue(s) postponed","Status OK")))</f>
        <v>Status OK</v>
      </c>
      <c r="B3" s="313"/>
      <c r="C3" s="314"/>
      <c r="D3" s="65" t="s">
        <v>63</v>
      </c>
      <c r="E3" s="312" t="s">
        <v>81</v>
      </c>
      <c r="F3" s="312"/>
      <c r="G3" s="312"/>
      <c r="H3" s="51"/>
      <c r="I3" s="51"/>
      <c r="J3" s="51"/>
      <c r="K3" s="51"/>
      <c r="L3" s="51"/>
      <c r="M3" s="51"/>
      <c r="N3" s="57"/>
      <c r="O3" s="57"/>
      <c r="P3" s="57"/>
      <c r="Q3" s="61"/>
      <c r="R3" s="61"/>
      <c r="S3" s="61"/>
      <c r="T3" s="61"/>
      <c r="U3" s="61"/>
      <c r="V3" s="61"/>
      <c r="W3" s="61"/>
      <c r="X3" s="25"/>
      <c r="Y3" s="25"/>
      <c r="Z3" s="25"/>
      <c r="AA3" s="25"/>
      <c r="AB3" s="25"/>
    </row>
    <row r="4" spans="1:46" s="150" customFormat="1" ht="47.25">
      <c r="A4" s="143" t="s">
        <v>30</v>
      </c>
      <c r="B4" s="143" t="s">
        <v>9</v>
      </c>
      <c r="C4" s="143" t="s">
        <v>32</v>
      </c>
      <c r="D4" s="143" t="s">
        <v>177</v>
      </c>
      <c r="E4" s="143" t="s">
        <v>69</v>
      </c>
      <c r="F4" s="143" t="s">
        <v>31</v>
      </c>
      <c r="G4" s="144" t="s">
        <v>46</v>
      </c>
      <c r="H4" s="145" t="s">
        <v>48</v>
      </c>
      <c r="I4" s="145" t="s">
        <v>105</v>
      </c>
      <c r="J4" s="145" t="s">
        <v>33</v>
      </c>
      <c r="K4" s="146" t="s">
        <v>49</v>
      </c>
      <c r="L4" s="145" t="s">
        <v>47</v>
      </c>
      <c r="M4" s="143" t="s">
        <v>178</v>
      </c>
      <c r="N4" s="147"/>
      <c r="O4" s="147"/>
      <c r="P4" s="147"/>
      <c r="Q4" s="148"/>
      <c r="R4" s="148"/>
      <c r="S4" s="148"/>
      <c r="T4" s="148"/>
      <c r="U4" s="148"/>
      <c r="V4" s="148"/>
      <c r="W4" s="148"/>
      <c r="X4" s="149"/>
      <c r="Y4" s="149"/>
      <c r="Z4" s="149"/>
      <c r="AA4" s="149"/>
      <c r="AB4" s="149"/>
    </row>
    <row r="5" spans="1:46" s="25" customFormat="1" ht="25.5">
      <c r="A5" s="72">
        <v>1</v>
      </c>
      <c r="B5" s="204" t="s">
        <v>399</v>
      </c>
      <c r="C5" s="204" t="s">
        <v>371</v>
      </c>
      <c r="D5" s="205" t="s">
        <v>367</v>
      </c>
      <c r="E5" s="69">
        <v>44984.382997685185</v>
      </c>
      <c r="F5" s="53" t="s">
        <v>366</v>
      </c>
      <c r="G5" s="18"/>
      <c r="H5" s="22"/>
      <c r="I5" s="22"/>
      <c r="J5" s="22" t="s">
        <v>366</v>
      </c>
      <c r="K5" s="206">
        <v>44984.383043981485</v>
      </c>
      <c r="L5" s="22" t="s">
        <v>27</v>
      </c>
      <c r="M5" s="80" t="s">
        <v>28</v>
      </c>
      <c r="N5" s="57"/>
      <c r="O5" s="57"/>
      <c r="P5" s="57"/>
      <c r="Q5" s="61"/>
      <c r="R5" s="61"/>
      <c r="S5" s="61"/>
      <c r="T5" s="61"/>
      <c r="U5" s="61"/>
      <c r="V5" s="61"/>
      <c r="W5" s="61"/>
    </row>
    <row r="6" spans="1:46" s="25" customFormat="1" ht="25.5">
      <c r="A6" s="73">
        <v>2</v>
      </c>
      <c r="B6" s="204" t="s">
        <v>399</v>
      </c>
      <c r="C6" s="204" t="s">
        <v>369</v>
      </c>
      <c r="D6" s="29" t="s">
        <v>367</v>
      </c>
      <c r="E6" s="69">
        <v>44984.40148148148</v>
      </c>
      <c r="F6" s="53" t="s">
        <v>366</v>
      </c>
      <c r="G6" s="18"/>
      <c r="H6" s="22"/>
      <c r="I6" s="22"/>
      <c r="J6" s="22" t="s">
        <v>366</v>
      </c>
      <c r="K6" s="206">
        <v>44984.40152777778</v>
      </c>
      <c r="L6" s="22" t="s">
        <v>27</v>
      </c>
      <c r="M6" s="80" t="s">
        <v>28</v>
      </c>
      <c r="N6" s="57"/>
      <c r="O6" s="57"/>
      <c r="P6" s="57"/>
      <c r="Q6" s="61"/>
      <c r="R6" s="61"/>
      <c r="S6" s="61"/>
      <c r="T6" s="61"/>
      <c r="U6" s="61"/>
      <c r="V6" s="61"/>
      <c r="W6" s="61"/>
    </row>
    <row r="7" spans="1:46" s="25" customFormat="1" ht="25.5">
      <c r="A7" s="73">
        <v>3</v>
      </c>
      <c r="B7" s="41" t="s">
        <v>400</v>
      </c>
      <c r="C7" s="41" t="s">
        <v>373</v>
      </c>
      <c r="D7" s="29" t="s">
        <v>367</v>
      </c>
      <c r="E7" s="69">
        <v>44984.409953703704</v>
      </c>
      <c r="F7" s="53" t="s">
        <v>366</v>
      </c>
      <c r="G7" s="18"/>
      <c r="H7" s="22"/>
      <c r="I7" s="22"/>
      <c r="J7" s="22" t="s">
        <v>366</v>
      </c>
      <c r="K7" s="206">
        <v>44984.410694444443</v>
      </c>
      <c r="L7" s="22" t="s">
        <v>27</v>
      </c>
      <c r="M7" s="80" t="s">
        <v>28</v>
      </c>
      <c r="N7" s="57"/>
      <c r="O7" s="57"/>
      <c r="P7" s="57"/>
      <c r="Q7" s="61"/>
      <c r="R7" s="61"/>
      <c r="S7" s="61"/>
      <c r="T7" s="61"/>
      <c r="U7" s="61"/>
      <c r="V7" s="61"/>
      <c r="W7" s="61"/>
    </row>
    <row r="8" spans="1:46" s="25" customFormat="1" ht="25.5">
      <c r="A8" s="73">
        <v>4</v>
      </c>
      <c r="B8" s="41" t="s">
        <v>401</v>
      </c>
      <c r="C8" s="41" t="s">
        <v>374</v>
      </c>
      <c r="D8" s="29" t="s">
        <v>367</v>
      </c>
      <c r="E8" s="69">
        <v>44984.40997685185</v>
      </c>
      <c r="F8" s="53" t="s">
        <v>366</v>
      </c>
      <c r="G8" s="18"/>
      <c r="H8" s="22"/>
      <c r="I8" s="22"/>
      <c r="J8" s="22" t="s">
        <v>366</v>
      </c>
      <c r="K8" s="206">
        <v>44984.410717592589</v>
      </c>
      <c r="L8" s="22" t="s">
        <v>27</v>
      </c>
      <c r="M8" s="80" t="s">
        <v>28</v>
      </c>
      <c r="N8" s="57"/>
      <c r="O8" s="57"/>
      <c r="P8" s="57"/>
      <c r="Q8" s="61"/>
      <c r="R8" s="61"/>
      <c r="S8" s="61"/>
      <c r="T8" s="61"/>
      <c r="U8" s="61"/>
      <c r="V8" s="61"/>
      <c r="W8" s="61"/>
    </row>
    <row r="9" spans="1:46" s="25" customFormat="1" ht="25.5">
      <c r="A9" s="73">
        <v>5</v>
      </c>
      <c r="B9" s="41" t="s">
        <v>399</v>
      </c>
      <c r="C9" s="41" t="s">
        <v>375</v>
      </c>
      <c r="D9" s="29" t="s">
        <v>367</v>
      </c>
      <c r="E9" s="69">
        <v>44984.409988425927</v>
      </c>
      <c r="F9" s="53" t="s">
        <v>366</v>
      </c>
      <c r="G9" s="18"/>
      <c r="H9" s="22"/>
      <c r="I9" s="22"/>
      <c r="J9" s="22" t="s">
        <v>366</v>
      </c>
      <c r="K9" s="206">
        <v>44984.410740740743</v>
      </c>
      <c r="L9" s="22" t="s">
        <v>27</v>
      </c>
      <c r="M9" s="80" t="s">
        <v>28</v>
      </c>
      <c r="N9" s="57"/>
      <c r="O9" s="57"/>
      <c r="P9" s="57"/>
      <c r="Q9" s="61"/>
      <c r="R9" s="61"/>
      <c r="S9" s="61"/>
      <c r="T9" s="61"/>
      <c r="U9" s="61"/>
      <c r="V9" s="61"/>
      <c r="W9" s="61"/>
    </row>
    <row r="10" spans="1:46" s="25" customFormat="1" ht="25.5">
      <c r="A10" s="73">
        <v>6</v>
      </c>
      <c r="B10" s="41" t="s">
        <v>399</v>
      </c>
      <c r="C10" s="41" t="s">
        <v>376</v>
      </c>
      <c r="D10" s="29" t="s">
        <v>367</v>
      </c>
      <c r="E10" s="69">
        <v>44984.41</v>
      </c>
      <c r="F10" s="53" t="s">
        <v>366</v>
      </c>
      <c r="G10" s="29"/>
      <c r="H10" s="22"/>
      <c r="I10" s="22"/>
      <c r="J10" s="22" t="s">
        <v>366</v>
      </c>
      <c r="K10" s="206">
        <v>44984.410752314812</v>
      </c>
      <c r="L10" s="22" t="s">
        <v>27</v>
      </c>
      <c r="M10" s="22" t="s">
        <v>28</v>
      </c>
      <c r="N10" s="57"/>
      <c r="O10" s="57"/>
      <c r="P10" s="57"/>
      <c r="Q10" s="61"/>
      <c r="R10" s="61"/>
      <c r="S10" s="61"/>
      <c r="T10" s="61"/>
      <c r="U10" s="61"/>
      <c r="V10" s="61"/>
      <c r="W10" s="61"/>
    </row>
    <row r="11" spans="1:46" s="25" customFormat="1" ht="25.5">
      <c r="A11" s="73">
        <v>7</v>
      </c>
      <c r="B11" s="41" t="s">
        <v>399</v>
      </c>
      <c r="C11" s="41" t="s">
        <v>377</v>
      </c>
      <c r="D11" s="29" t="s">
        <v>367</v>
      </c>
      <c r="E11" s="69">
        <v>44984.410011574073</v>
      </c>
      <c r="F11" s="53" t="s">
        <v>366</v>
      </c>
      <c r="G11" s="18"/>
      <c r="H11" s="22"/>
      <c r="I11" s="22"/>
      <c r="J11" s="22" t="s">
        <v>366</v>
      </c>
      <c r="K11" s="207">
        <v>44984.410775462966</v>
      </c>
      <c r="L11" s="22" t="s">
        <v>27</v>
      </c>
      <c r="M11" s="22" t="s">
        <v>28</v>
      </c>
      <c r="N11" s="57"/>
      <c r="O11" s="57"/>
      <c r="P11" s="57"/>
      <c r="Q11" s="61"/>
      <c r="R11" s="61"/>
      <c r="S11" s="61"/>
      <c r="T11" s="61"/>
      <c r="U11" s="61"/>
      <c r="V11" s="61"/>
      <c r="W11" s="61"/>
    </row>
    <row r="12" spans="1:46" s="25" customFormat="1" ht="25.5">
      <c r="A12" s="73">
        <v>8</v>
      </c>
      <c r="B12" s="41" t="s">
        <v>399</v>
      </c>
      <c r="C12" s="41" t="s">
        <v>378</v>
      </c>
      <c r="D12" s="29" t="s">
        <v>367</v>
      </c>
      <c r="E12" s="69">
        <v>44984.410069444442</v>
      </c>
      <c r="F12" s="70" t="s">
        <v>366</v>
      </c>
      <c r="G12" s="18"/>
      <c r="H12" s="22"/>
      <c r="I12" s="22"/>
      <c r="J12" s="22" t="s">
        <v>366</v>
      </c>
      <c r="K12" s="23">
        <v>44984.410798611112</v>
      </c>
      <c r="L12" s="22" t="s">
        <v>27</v>
      </c>
      <c r="M12" s="22" t="s">
        <v>28</v>
      </c>
      <c r="N12" s="57"/>
      <c r="O12" s="57"/>
      <c r="P12" s="57"/>
      <c r="Q12" s="61"/>
      <c r="R12" s="61"/>
      <c r="S12" s="61"/>
      <c r="T12" s="61"/>
      <c r="U12" s="61"/>
      <c r="V12" s="61"/>
      <c r="W12" s="61"/>
    </row>
    <row r="13" spans="1:46" s="25" customFormat="1" ht="25.5">
      <c r="A13" s="73">
        <v>9</v>
      </c>
      <c r="B13" s="41" t="s">
        <v>399</v>
      </c>
      <c r="C13" s="41" t="s">
        <v>379</v>
      </c>
      <c r="D13" s="29" t="s">
        <v>367</v>
      </c>
      <c r="E13" s="69">
        <v>44984.410081018519</v>
      </c>
      <c r="F13" s="70" t="s">
        <v>366</v>
      </c>
      <c r="G13" s="18"/>
      <c r="H13" s="22"/>
      <c r="I13" s="22"/>
      <c r="J13" s="22" t="s">
        <v>366</v>
      </c>
      <c r="K13" s="23">
        <v>44984.410821759258</v>
      </c>
      <c r="L13" s="22" t="s">
        <v>27</v>
      </c>
      <c r="M13" s="22" t="s">
        <v>28</v>
      </c>
      <c r="N13" s="57"/>
      <c r="O13" s="57"/>
      <c r="P13" s="57"/>
      <c r="Q13" s="61"/>
      <c r="R13" s="61"/>
      <c r="S13" s="61"/>
      <c r="T13" s="61"/>
      <c r="U13" s="61"/>
      <c r="V13" s="61"/>
      <c r="W13" s="61"/>
    </row>
    <row r="14" spans="1:46" s="25" customFormat="1" ht="25.5">
      <c r="A14" s="73">
        <v>10</v>
      </c>
      <c r="B14" s="41" t="s">
        <v>402</v>
      </c>
      <c r="C14" s="41" t="s">
        <v>380</v>
      </c>
      <c r="D14" s="29" t="s">
        <v>367</v>
      </c>
      <c r="E14" s="69">
        <v>44984.410092592596</v>
      </c>
      <c r="F14" s="70" t="s">
        <v>366</v>
      </c>
      <c r="G14" s="18"/>
      <c r="H14" s="22"/>
      <c r="I14" s="22"/>
      <c r="J14" s="22" t="s">
        <v>366</v>
      </c>
      <c r="K14" s="23">
        <v>44984.410925925928</v>
      </c>
      <c r="L14" s="22" t="s">
        <v>27</v>
      </c>
      <c r="M14" s="22" t="s">
        <v>28</v>
      </c>
      <c r="N14" s="57"/>
      <c r="O14" s="57"/>
      <c r="P14" s="57"/>
      <c r="Q14" s="61"/>
      <c r="R14" s="61"/>
      <c r="S14" s="61"/>
      <c r="T14" s="61"/>
      <c r="U14" s="61"/>
      <c r="V14" s="61"/>
      <c r="W14" s="61"/>
    </row>
    <row r="15" spans="1:46" s="25" customFormat="1" ht="25.5">
      <c r="A15" s="73">
        <v>11</v>
      </c>
      <c r="B15" s="41" t="s">
        <v>399</v>
      </c>
      <c r="C15" s="41" t="s">
        <v>381</v>
      </c>
      <c r="D15" s="29" t="s">
        <v>367</v>
      </c>
      <c r="E15" s="69">
        <v>44984.410115740742</v>
      </c>
      <c r="F15" s="70" t="s">
        <v>366</v>
      </c>
      <c r="G15" s="18"/>
      <c r="H15" s="22"/>
      <c r="I15" s="22"/>
      <c r="J15" s="22" t="s">
        <v>366</v>
      </c>
      <c r="K15" s="23">
        <v>44984.410949074074</v>
      </c>
      <c r="L15" s="22" t="s">
        <v>27</v>
      </c>
      <c r="M15" s="22" t="s">
        <v>28</v>
      </c>
      <c r="N15" s="57"/>
      <c r="O15" s="57"/>
      <c r="P15" s="57"/>
      <c r="Q15" s="61"/>
      <c r="R15" s="61"/>
      <c r="S15" s="61"/>
      <c r="T15" s="61"/>
      <c r="U15" s="61"/>
      <c r="V15" s="61"/>
      <c r="W15" s="61"/>
    </row>
    <row r="16" spans="1:46" s="25" customFormat="1" ht="25.5">
      <c r="A16" s="73">
        <v>12</v>
      </c>
      <c r="B16" s="41" t="s">
        <v>399</v>
      </c>
      <c r="C16" s="41" t="s">
        <v>382</v>
      </c>
      <c r="D16" s="29" t="s">
        <v>367</v>
      </c>
      <c r="E16" s="69">
        <v>44984.410127314812</v>
      </c>
      <c r="F16" s="70" t="s">
        <v>366</v>
      </c>
      <c r="G16" s="18"/>
      <c r="H16" s="22"/>
      <c r="I16" s="80"/>
      <c r="J16" s="80" t="s">
        <v>366</v>
      </c>
      <c r="K16" s="206">
        <v>44984.41097222222</v>
      </c>
      <c r="L16" s="22" t="s">
        <v>27</v>
      </c>
      <c r="M16" s="22" t="s">
        <v>28</v>
      </c>
      <c r="N16" s="57"/>
      <c r="O16" s="57"/>
      <c r="P16" s="57"/>
      <c r="Q16" s="61"/>
      <c r="R16" s="61"/>
      <c r="S16" s="61"/>
      <c r="T16" s="61"/>
      <c r="U16" s="61"/>
      <c r="V16" s="61"/>
      <c r="W16" s="61"/>
    </row>
    <row r="17" spans="1:23" s="25" customFormat="1" ht="25.5">
      <c r="A17" s="73">
        <v>13</v>
      </c>
      <c r="B17" s="41" t="s">
        <v>399</v>
      </c>
      <c r="C17" s="41" t="s">
        <v>383</v>
      </c>
      <c r="D17" s="29" t="s">
        <v>367</v>
      </c>
      <c r="E17" s="69">
        <v>44984.410138888888</v>
      </c>
      <c r="F17" s="70" t="s">
        <v>366</v>
      </c>
      <c r="G17" s="18"/>
      <c r="H17" s="22"/>
      <c r="I17" s="80"/>
      <c r="J17" s="80" t="s">
        <v>366</v>
      </c>
      <c r="K17" s="206">
        <v>44984.410995370374</v>
      </c>
      <c r="L17" s="22" t="s">
        <v>27</v>
      </c>
      <c r="M17" s="22" t="s">
        <v>28</v>
      </c>
      <c r="N17" s="57"/>
      <c r="O17" s="57"/>
      <c r="P17" s="57"/>
      <c r="Q17" s="61"/>
      <c r="R17" s="61"/>
      <c r="S17" s="61"/>
      <c r="T17" s="61"/>
      <c r="U17" s="61"/>
      <c r="V17" s="61"/>
      <c r="W17" s="61"/>
    </row>
    <row r="18" spans="1:23" s="25" customFormat="1" ht="25.5">
      <c r="A18" s="73">
        <v>14</v>
      </c>
      <c r="B18" s="41" t="s">
        <v>399</v>
      </c>
      <c r="C18" s="41" t="s">
        <v>384</v>
      </c>
      <c r="D18" s="29" t="s">
        <v>367</v>
      </c>
      <c r="E18" s="69">
        <v>44984.410150462965</v>
      </c>
      <c r="F18" s="70" t="s">
        <v>366</v>
      </c>
      <c r="G18" s="18"/>
      <c r="H18" s="22"/>
      <c r="I18" s="80"/>
      <c r="J18" s="80" t="s">
        <v>366</v>
      </c>
      <c r="K18" s="206">
        <v>44984.411041666666</v>
      </c>
      <c r="L18" s="22" t="s">
        <v>27</v>
      </c>
      <c r="M18" s="22" t="s">
        <v>28</v>
      </c>
      <c r="N18" s="57"/>
      <c r="O18" s="57"/>
      <c r="P18" s="57"/>
      <c r="Q18" s="61"/>
      <c r="R18" s="61"/>
      <c r="S18" s="61"/>
      <c r="T18" s="61"/>
      <c r="U18" s="61"/>
      <c r="V18" s="61"/>
      <c r="W18" s="61"/>
    </row>
    <row r="19" spans="1:23" s="25" customFormat="1" ht="25.5">
      <c r="A19" s="73">
        <v>15</v>
      </c>
      <c r="B19" s="41" t="s">
        <v>399</v>
      </c>
      <c r="C19" s="41" t="s">
        <v>385</v>
      </c>
      <c r="D19" s="29" t="s">
        <v>367</v>
      </c>
      <c r="E19" s="69">
        <v>44984.410162037035</v>
      </c>
      <c r="F19" s="70" t="s">
        <v>366</v>
      </c>
      <c r="G19" s="18"/>
      <c r="H19" s="22"/>
      <c r="I19" s="22"/>
      <c r="J19" s="22" t="s">
        <v>366</v>
      </c>
      <c r="K19" s="23">
        <v>44984.411064814813</v>
      </c>
      <c r="L19" s="22" t="s">
        <v>27</v>
      </c>
      <c r="M19" s="22" t="s">
        <v>28</v>
      </c>
      <c r="N19" s="57"/>
      <c r="O19" s="57"/>
      <c r="P19" s="57"/>
      <c r="Q19" s="61"/>
      <c r="R19" s="61"/>
      <c r="S19" s="61"/>
      <c r="T19" s="61"/>
      <c r="U19" s="61"/>
      <c r="V19" s="61"/>
      <c r="W19" s="61"/>
    </row>
    <row r="20" spans="1:23" s="25" customFormat="1" ht="25.5">
      <c r="A20" s="73">
        <v>16</v>
      </c>
      <c r="B20" s="41" t="s">
        <v>399</v>
      </c>
      <c r="C20" s="41" t="s">
        <v>386</v>
      </c>
      <c r="D20" s="29" t="s">
        <v>367</v>
      </c>
      <c r="E20" s="69">
        <v>44984.410208333335</v>
      </c>
      <c r="F20" s="70" t="s">
        <v>366</v>
      </c>
      <c r="G20" s="18"/>
      <c r="H20" s="22"/>
      <c r="I20" s="80"/>
      <c r="J20" s="80" t="s">
        <v>366</v>
      </c>
      <c r="K20" s="206">
        <v>44984.411087962966</v>
      </c>
      <c r="L20" s="22" t="s">
        <v>27</v>
      </c>
      <c r="M20" s="22" t="s">
        <v>28</v>
      </c>
      <c r="N20" s="57"/>
      <c r="O20" s="57"/>
      <c r="P20" s="57"/>
      <c r="Q20" s="61"/>
      <c r="R20" s="61"/>
      <c r="S20" s="61"/>
      <c r="T20" s="61"/>
      <c r="U20" s="61"/>
      <c r="V20" s="61"/>
      <c r="W20" s="61"/>
    </row>
    <row r="21" spans="1:23" s="25" customFormat="1" ht="25.5">
      <c r="A21" s="73">
        <v>17</v>
      </c>
      <c r="B21" s="41" t="s">
        <v>399</v>
      </c>
      <c r="C21" s="41" t="s">
        <v>387</v>
      </c>
      <c r="D21" s="29" t="s">
        <v>367</v>
      </c>
      <c r="E21" s="69">
        <v>44984.410324074073</v>
      </c>
      <c r="F21" s="70" t="s">
        <v>366</v>
      </c>
      <c r="G21" s="18"/>
      <c r="H21" s="22"/>
      <c r="I21" s="22"/>
      <c r="J21" s="22" t="s">
        <v>366</v>
      </c>
      <c r="K21" s="23">
        <v>44984.411099537036</v>
      </c>
      <c r="L21" s="22" t="s">
        <v>27</v>
      </c>
      <c r="M21" s="22" t="s">
        <v>28</v>
      </c>
      <c r="N21" s="57"/>
      <c r="O21" s="57"/>
      <c r="P21" s="57"/>
      <c r="Q21" s="61"/>
      <c r="R21" s="61"/>
      <c r="S21" s="61"/>
      <c r="T21" s="61"/>
      <c r="U21" s="61"/>
      <c r="V21" s="61"/>
      <c r="W21" s="61"/>
    </row>
    <row r="22" spans="1:23" s="25" customFormat="1" ht="25.5">
      <c r="A22" s="73">
        <v>18</v>
      </c>
      <c r="B22" s="41" t="s">
        <v>399</v>
      </c>
      <c r="C22" s="41" t="s">
        <v>388</v>
      </c>
      <c r="D22" s="29" t="s">
        <v>367</v>
      </c>
      <c r="E22" s="69">
        <v>44984.41033564815</v>
      </c>
      <c r="F22" s="70" t="s">
        <v>366</v>
      </c>
      <c r="G22" s="18"/>
      <c r="H22" s="22"/>
      <c r="I22" s="22"/>
      <c r="J22" s="22" t="s">
        <v>366</v>
      </c>
      <c r="K22" s="23">
        <v>44984.411168981482</v>
      </c>
      <c r="L22" s="22" t="s">
        <v>27</v>
      </c>
      <c r="M22" s="22" t="s">
        <v>28</v>
      </c>
      <c r="N22" s="57"/>
      <c r="O22" s="57"/>
      <c r="P22" s="57"/>
      <c r="Q22" s="61"/>
      <c r="R22" s="61"/>
      <c r="S22" s="61"/>
      <c r="T22" s="61"/>
      <c r="U22" s="61"/>
      <c r="V22" s="61"/>
      <c r="W22" s="61"/>
    </row>
    <row r="23" spans="1:23" s="25" customFormat="1" ht="25.5">
      <c r="A23" s="73">
        <v>19</v>
      </c>
      <c r="B23" s="41" t="s">
        <v>399</v>
      </c>
      <c r="C23" s="41" t="s">
        <v>389</v>
      </c>
      <c r="D23" s="29" t="s">
        <v>367</v>
      </c>
      <c r="E23" s="69">
        <v>44984.410416666666</v>
      </c>
      <c r="F23" s="70" t="s">
        <v>366</v>
      </c>
      <c r="G23" s="18"/>
      <c r="H23" s="22"/>
      <c r="I23" s="22"/>
      <c r="J23" s="22" t="s">
        <v>366</v>
      </c>
      <c r="K23" s="23">
        <v>44984.411226851851</v>
      </c>
      <c r="L23" s="22" t="s">
        <v>27</v>
      </c>
      <c r="M23" s="22" t="s">
        <v>28</v>
      </c>
      <c r="N23" s="57"/>
      <c r="O23" s="57"/>
      <c r="P23" s="57"/>
      <c r="Q23" s="61"/>
      <c r="R23" s="61"/>
      <c r="S23" s="61"/>
      <c r="T23" s="61"/>
      <c r="U23" s="61"/>
      <c r="V23" s="61"/>
      <c r="W23" s="61"/>
    </row>
    <row r="24" spans="1:23" s="25" customFormat="1" ht="25.5">
      <c r="A24" s="73">
        <v>20</v>
      </c>
      <c r="B24" s="41" t="s">
        <v>399</v>
      </c>
      <c r="C24" s="41" t="s">
        <v>390</v>
      </c>
      <c r="D24" s="29" t="s">
        <v>367</v>
      </c>
      <c r="E24" s="69">
        <v>44984.410428240742</v>
      </c>
      <c r="F24" s="70" t="s">
        <v>366</v>
      </c>
      <c r="G24" s="18"/>
      <c r="H24" s="22"/>
      <c r="I24" s="22"/>
      <c r="J24" s="22" t="s">
        <v>366</v>
      </c>
      <c r="K24" s="23">
        <v>44984.411249999997</v>
      </c>
      <c r="L24" s="22" t="s">
        <v>27</v>
      </c>
      <c r="M24" s="22" t="s">
        <v>28</v>
      </c>
      <c r="N24" s="57"/>
      <c r="O24" s="57"/>
      <c r="P24" s="57"/>
      <c r="Q24" s="61"/>
      <c r="R24" s="61"/>
      <c r="S24" s="61"/>
      <c r="T24" s="61"/>
      <c r="U24" s="61"/>
      <c r="V24" s="61"/>
      <c r="W24" s="61"/>
    </row>
    <row r="25" spans="1:23" s="25" customFormat="1" ht="25.5">
      <c r="A25" s="73">
        <v>21</v>
      </c>
      <c r="B25" s="41" t="s">
        <v>399</v>
      </c>
      <c r="C25" s="41" t="s">
        <v>391</v>
      </c>
      <c r="D25" s="29" t="s">
        <v>367</v>
      </c>
      <c r="E25" s="69">
        <v>44984.410439814812</v>
      </c>
      <c r="F25" s="70" t="s">
        <v>366</v>
      </c>
      <c r="G25" s="18"/>
      <c r="H25" s="22"/>
      <c r="I25" s="22"/>
      <c r="J25" s="22" t="s">
        <v>366</v>
      </c>
      <c r="K25" s="23">
        <v>44984.411273148151</v>
      </c>
      <c r="L25" s="22" t="s">
        <v>27</v>
      </c>
      <c r="M25" s="22" t="s">
        <v>28</v>
      </c>
      <c r="N25" s="57"/>
      <c r="O25" s="57"/>
      <c r="P25" s="57"/>
      <c r="Q25" s="61"/>
      <c r="R25" s="61"/>
      <c r="S25" s="61"/>
      <c r="T25" s="61"/>
      <c r="U25" s="61"/>
      <c r="V25" s="61"/>
      <c r="W25" s="61"/>
    </row>
    <row r="26" spans="1:23" s="25" customFormat="1" ht="25.5">
      <c r="A26" s="73">
        <v>22</v>
      </c>
      <c r="B26" s="41" t="s">
        <v>403</v>
      </c>
      <c r="C26" s="41" t="s">
        <v>392</v>
      </c>
      <c r="D26" s="29" t="s">
        <v>367</v>
      </c>
      <c r="E26" s="69">
        <v>44984.410474537035</v>
      </c>
      <c r="F26" s="70" t="s">
        <v>366</v>
      </c>
      <c r="G26" s="18"/>
      <c r="H26" s="22"/>
      <c r="I26" s="22"/>
      <c r="J26" s="22" t="s">
        <v>366</v>
      </c>
      <c r="K26" s="23">
        <v>44984.41133101852</v>
      </c>
      <c r="L26" s="22" t="s">
        <v>27</v>
      </c>
      <c r="M26" s="22" t="s">
        <v>28</v>
      </c>
      <c r="N26" s="57"/>
      <c r="O26" s="57"/>
      <c r="P26" s="57"/>
      <c r="Q26" s="61"/>
      <c r="R26" s="61"/>
      <c r="S26" s="61"/>
      <c r="T26" s="61"/>
      <c r="U26" s="61"/>
      <c r="V26" s="61"/>
      <c r="W26" s="61"/>
    </row>
    <row r="27" spans="1:23" s="25" customFormat="1" ht="25.5">
      <c r="A27" s="73">
        <v>23</v>
      </c>
      <c r="B27" s="28">
        <v>1.1000000000000001</v>
      </c>
      <c r="C27" s="41" t="s">
        <v>393</v>
      </c>
      <c r="D27" s="29" t="s">
        <v>367</v>
      </c>
      <c r="E27" s="69">
        <v>44984.410497685189</v>
      </c>
      <c r="F27" s="70" t="s">
        <v>366</v>
      </c>
      <c r="G27" s="18"/>
      <c r="H27" s="22"/>
      <c r="I27" s="22"/>
      <c r="J27" s="22" t="s">
        <v>366</v>
      </c>
      <c r="K27" s="23">
        <v>44984.411354166667</v>
      </c>
      <c r="L27" s="22" t="s">
        <v>27</v>
      </c>
      <c r="M27" s="22" t="s">
        <v>28</v>
      </c>
      <c r="N27" s="57"/>
      <c r="O27" s="57"/>
      <c r="P27" s="57"/>
      <c r="Q27" s="61"/>
      <c r="R27" s="61"/>
      <c r="S27" s="61"/>
      <c r="T27" s="61"/>
      <c r="U27" s="61"/>
      <c r="V27" s="61"/>
      <c r="W27" s="61"/>
    </row>
    <row r="28" spans="1:23" s="25" customFormat="1" ht="25.5">
      <c r="A28" s="73">
        <v>24</v>
      </c>
      <c r="B28" s="41">
        <v>1.1000000000000001</v>
      </c>
      <c r="C28" s="41" t="s">
        <v>394</v>
      </c>
      <c r="D28" s="29" t="s">
        <v>367</v>
      </c>
      <c r="E28" s="69">
        <v>44984.410578703704</v>
      </c>
      <c r="F28" s="70" t="s">
        <v>366</v>
      </c>
      <c r="G28" s="18"/>
      <c r="H28" s="22"/>
      <c r="I28" s="22"/>
      <c r="J28" s="22" t="s">
        <v>366</v>
      </c>
      <c r="K28" s="23">
        <v>44984.411365740743</v>
      </c>
      <c r="L28" s="22" t="s">
        <v>27</v>
      </c>
      <c r="M28" s="22" t="s">
        <v>28</v>
      </c>
      <c r="N28" s="57"/>
      <c r="O28" s="57"/>
      <c r="P28" s="57"/>
      <c r="Q28" s="61"/>
      <c r="R28" s="61"/>
      <c r="S28" s="61"/>
      <c r="T28" s="61"/>
      <c r="U28" s="61"/>
      <c r="V28" s="61"/>
      <c r="W28" s="61"/>
    </row>
    <row r="29" spans="1:23" s="25" customFormat="1" ht="25.5">
      <c r="A29" s="73">
        <v>25</v>
      </c>
      <c r="B29" s="41">
        <v>1.1000000000000001</v>
      </c>
      <c r="C29" s="41" t="s">
        <v>395</v>
      </c>
      <c r="D29" s="29" t="s">
        <v>367</v>
      </c>
      <c r="E29" s="69">
        <v>44984.410590277781</v>
      </c>
      <c r="F29" s="70" t="s">
        <v>366</v>
      </c>
      <c r="G29" s="18"/>
      <c r="H29" s="22"/>
      <c r="I29" s="22"/>
      <c r="J29" s="22" t="s">
        <v>366</v>
      </c>
      <c r="K29" s="23">
        <v>44984.41138888889</v>
      </c>
      <c r="L29" s="22" t="s">
        <v>27</v>
      </c>
      <c r="M29" s="22" t="s">
        <v>28</v>
      </c>
      <c r="N29" s="57"/>
      <c r="O29" s="57"/>
      <c r="P29" s="57"/>
      <c r="Q29" s="61"/>
      <c r="R29" s="61"/>
      <c r="S29" s="61"/>
      <c r="T29" s="61"/>
      <c r="U29" s="61"/>
      <c r="V29" s="61"/>
      <c r="W29" s="61"/>
    </row>
    <row r="30" spans="1:23" s="25" customFormat="1" ht="25.5">
      <c r="A30" s="73">
        <v>26</v>
      </c>
      <c r="B30" s="41">
        <v>1.1000000000000001</v>
      </c>
      <c r="C30" s="41" t="s">
        <v>396</v>
      </c>
      <c r="D30" s="29" t="s">
        <v>367</v>
      </c>
      <c r="E30" s="69">
        <v>44984.410601851851</v>
      </c>
      <c r="F30" s="70" t="s">
        <v>366</v>
      </c>
      <c r="G30" s="18"/>
      <c r="H30" s="22"/>
      <c r="I30" s="22"/>
      <c r="J30" s="22" t="s">
        <v>366</v>
      </c>
      <c r="K30" s="23">
        <v>44984.411412037036</v>
      </c>
      <c r="L30" s="22" t="s">
        <v>27</v>
      </c>
      <c r="M30" s="22" t="s">
        <v>28</v>
      </c>
      <c r="N30" s="57"/>
      <c r="O30" s="57"/>
      <c r="P30" s="57"/>
      <c r="Q30" s="61"/>
      <c r="R30" s="61"/>
      <c r="S30" s="61"/>
      <c r="T30" s="61"/>
      <c r="U30" s="61"/>
      <c r="V30" s="61"/>
      <c r="W30" s="61"/>
    </row>
    <row r="31" spans="1:23" s="25" customFormat="1" ht="25.5">
      <c r="A31" s="73">
        <v>27</v>
      </c>
      <c r="B31" s="41" t="s">
        <v>402</v>
      </c>
      <c r="C31" s="41" t="s">
        <v>397</v>
      </c>
      <c r="D31" s="29" t="s">
        <v>367</v>
      </c>
      <c r="E31" s="69">
        <v>44984.410624999997</v>
      </c>
      <c r="F31" s="70" t="s">
        <v>366</v>
      </c>
      <c r="G31" s="18"/>
      <c r="H31" s="22"/>
      <c r="I31" s="22"/>
      <c r="J31" s="22" t="s">
        <v>366</v>
      </c>
      <c r="K31" s="23">
        <v>44984.411423611113</v>
      </c>
      <c r="L31" s="22" t="s">
        <v>27</v>
      </c>
      <c r="M31" s="22" t="s">
        <v>28</v>
      </c>
      <c r="N31" s="57"/>
      <c r="O31" s="57"/>
      <c r="P31" s="57"/>
      <c r="Q31" s="61"/>
      <c r="R31" s="61"/>
      <c r="S31" s="61"/>
      <c r="T31" s="61"/>
      <c r="U31" s="61"/>
      <c r="V31" s="61"/>
      <c r="W31" s="61"/>
    </row>
    <row r="32" spans="1:23" s="25" customFormat="1" ht="25.5">
      <c r="A32" s="73">
        <v>28</v>
      </c>
      <c r="B32" s="41">
        <v>1.1000000000000001</v>
      </c>
      <c r="C32" s="41" t="s">
        <v>398</v>
      </c>
      <c r="D32" s="29" t="s">
        <v>367</v>
      </c>
      <c r="E32" s="69">
        <v>44984.410636574074</v>
      </c>
      <c r="F32" s="70" t="s">
        <v>366</v>
      </c>
      <c r="G32" s="18"/>
      <c r="H32" s="22"/>
      <c r="I32" s="22"/>
      <c r="J32" s="22" t="s">
        <v>366</v>
      </c>
      <c r="K32" s="23">
        <v>44984.411446759259</v>
      </c>
      <c r="L32" s="22" t="s">
        <v>27</v>
      </c>
      <c r="M32" s="22" t="s">
        <v>28</v>
      </c>
      <c r="N32" s="57"/>
      <c r="O32" s="57"/>
      <c r="P32" s="57"/>
      <c r="Q32" s="61"/>
      <c r="R32" s="61"/>
      <c r="S32" s="61"/>
      <c r="T32" s="61"/>
      <c r="U32" s="61"/>
      <c r="V32" s="61"/>
      <c r="W32" s="61"/>
    </row>
    <row r="33" spans="1:23" s="25" customFormat="1">
      <c r="A33" s="73">
        <v>29</v>
      </c>
      <c r="B33" s="41" t="s">
        <v>440</v>
      </c>
      <c r="C33" s="41" t="s">
        <v>372</v>
      </c>
      <c r="D33" s="29" t="s">
        <v>441</v>
      </c>
      <c r="E33" s="69">
        <v>45007.429884259262</v>
      </c>
      <c r="F33" s="70" t="s">
        <v>442</v>
      </c>
      <c r="G33" s="18"/>
      <c r="H33" s="22"/>
      <c r="I33" s="22"/>
      <c r="J33" s="22" t="s">
        <v>442</v>
      </c>
      <c r="K33" s="23">
        <v>45007.430138888885</v>
      </c>
      <c r="L33" s="22" t="s">
        <v>27</v>
      </c>
      <c r="M33" s="22" t="s">
        <v>28</v>
      </c>
      <c r="N33" s="57"/>
      <c r="O33" s="57"/>
      <c r="P33" s="57"/>
      <c r="Q33" s="61"/>
      <c r="R33" s="61"/>
      <c r="S33" s="61"/>
      <c r="T33" s="61"/>
      <c r="U33" s="61"/>
      <c r="V33" s="61"/>
      <c r="W33" s="61"/>
    </row>
    <row r="34" spans="1:23" s="25" customFormat="1">
      <c r="A34" s="73">
        <v>30</v>
      </c>
      <c r="B34" s="41" t="s">
        <v>399</v>
      </c>
      <c r="C34" s="41" t="s">
        <v>372</v>
      </c>
      <c r="D34" s="29" t="s">
        <v>367</v>
      </c>
      <c r="E34" s="69">
        <v>45007.430069444446</v>
      </c>
      <c r="F34" s="70" t="s">
        <v>442</v>
      </c>
      <c r="G34" s="18"/>
      <c r="H34" s="22"/>
      <c r="I34" s="22"/>
      <c r="J34" s="22" t="s">
        <v>442</v>
      </c>
      <c r="K34" s="23">
        <v>45007.430231481485</v>
      </c>
      <c r="L34" s="22" t="s">
        <v>27</v>
      </c>
      <c r="M34" s="22" t="s">
        <v>28</v>
      </c>
      <c r="N34" s="57"/>
      <c r="O34" s="57"/>
      <c r="P34" s="57"/>
      <c r="Q34" s="61"/>
      <c r="R34" s="61"/>
      <c r="S34" s="61"/>
      <c r="T34" s="61"/>
      <c r="U34" s="61"/>
      <c r="V34" s="61"/>
      <c r="W34" s="61"/>
    </row>
    <row r="35" spans="1:23" s="25" customFormat="1">
      <c r="A35" s="73">
        <v>31</v>
      </c>
      <c r="B35" s="41" t="s">
        <v>443</v>
      </c>
      <c r="C35" s="41" t="s">
        <v>373</v>
      </c>
      <c r="D35" s="29" t="s">
        <v>445</v>
      </c>
      <c r="E35" s="69">
        <v>45007.431134259263</v>
      </c>
      <c r="F35" s="70" t="s">
        <v>442</v>
      </c>
      <c r="G35" s="18"/>
      <c r="H35" s="22"/>
      <c r="I35" s="22"/>
      <c r="J35" s="22" t="s">
        <v>442</v>
      </c>
      <c r="K35" s="23">
        <v>45007.430138888885</v>
      </c>
      <c r="L35" s="22" t="s">
        <v>27</v>
      </c>
      <c r="M35" s="22" t="s">
        <v>28</v>
      </c>
      <c r="N35" s="57"/>
      <c r="O35" s="57"/>
      <c r="P35" s="57"/>
      <c r="Q35" s="61"/>
      <c r="R35" s="61"/>
      <c r="S35" s="61"/>
      <c r="T35" s="61"/>
      <c r="U35" s="61"/>
      <c r="V35" s="61"/>
      <c r="W35" s="61"/>
    </row>
    <row r="36" spans="1:23" s="25" customFormat="1">
      <c r="A36" s="73">
        <v>32</v>
      </c>
      <c r="B36" s="41" t="s">
        <v>444</v>
      </c>
      <c r="C36" s="41" t="s">
        <v>373</v>
      </c>
      <c r="D36" s="29" t="s">
        <v>367</v>
      </c>
      <c r="E36" s="69">
        <v>45007.431261574071</v>
      </c>
      <c r="F36" s="70" t="s">
        <v>442</v>
      </c>
      <c r="G36" s="18"/>
      <c r="H36" s="22"/>
      <c r="I36" s="22"/>
      <c r="J36" s="22" t="s">
        <v>442</v>
      </c>
      <c r="K36" s="23">
        <v>45007.430138888885</v>
      </c>
      <c r="L36" s="22" t="s">
        <v>27</v>
      </c>
      <c r="M36" s="22" t="s">
        <v>28</v>
      </c>
      <c r="N36" s="57"/>
      <c r="O36" s="57"/>
      <c r="P36" s="57"/>
      <c r="Q36" s="61"/>
      <c r="R36" s="61"/>
      <c r="S36" s="61"/>
      <c r="T36" s="61"/>
      <c r="U36" s="61"/>
      <c r="V36" s="61"/>
      <c r="W36" s="61"/>
    </row>
    <row r="37" spans="1:23" s="25" customFormat="1" ht="25.5">
      <c r="A37" s="73">
        <v>33</v>
      </c>
      <c r="B37" s="41" t="s">
        <v>447</v>
      </c>
      <c r="C37" s="41" t="s">
        <v>373</v>
      </c>
      <c r="D37" s="29" t="s">
        <v>367</v>
      </c>
      <c r="E37" s="69">
        <v>45127.691087962965</v>
      </c>
      <c r="F37" s="70" t="s">
        <v>366</v>
      </c>
      <c r="G37" s="18"/>
      <c r="H37" s="22"/>
      <c r="I37" s="22"/>
      <c r="J37" s="22" t="s">
        <v>442</v>
      </c>
      <c r="K37" s="23">
        <v>45127.691145833334</v>
      </c>
      <c r="L37" s="22" t="s">
        <v>27</v>
      </c>
      <c r="M37" s="22" t="s">
        <v>28</v>
      </c>
      <c r="N37" s="57"/>
      <c r="O37" s="57"/>
      <c r="P37" s="57"/>
      <c r="Q37" s="61"/>
      <c r="R37" s="61"/>
      <c r="S37" s="61"/>
      <c r="T37" s="61"/>
      <c r="U37" s="61"/>
      <c r="V37" s="61"/>
      <c r="W37" s="61"/>
    </row>
    <row r="38" spans="1:23" s="25" customFormat="1">
      <c r="A38" s="73">
        <v>34</v>
      </c>
      <c r="B38" s="28"/>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41"/>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41"/>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41"/>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41"/>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41"/>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41"/>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41"/>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41"/>
      <c r="D46" s="29"/>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29"/>
      <c r="E48" s="69"/>
      <c r="F48" s="70"/>
      <c r="G48" s="18"/>
      <c r="H48" s="22"/>
      <c r="I48" s="22"/>
      <c r="J48" s="22"/>
      <c r="K48" s="23"/>
      <c r="L48" s="22"/>
      <c r="M48" s="22"/>
      <c r="N48" s="57"/>
      <c r="O48" s="57"/>
      <c r="P48" s="57"/>
      <c r="Q48" s="61"/>
      <c r="R48" s="61"/>
      <c r="S48" s="61"/>
      <c r="T48" s="61"/>
      <c r="U48" s="61"/>
      <c r="V48" s="61"/>
      <c r="W48" s="61"/>
    </row>
    <row r="49" spans="1:23" s="25" customFormat="1">
      <c r="A49" s="73">
        <v>45</v>
      </c>
      <c r="B49" s="41"/>
      <c r="C49" s="41"/>
      <c r="D49" s="29"/>
      <c r="E49" s="69"/>
      <c r="F49" s="70"/>
      <c r="G49" s="18"/>
      <c r="H49" s="22"/>
      <c r="I49" s="22"/>
      <c r="J49" s="22"/>
      <c r="K49" s="23"/>
      <c r="L49" s="22"/>
      <c r="M49" s="22"/>
      <c r="N49" s="57"/>
      <c r="O49" s="57"/>
      <c r="P49" s="57"/>
      <c r="Q49" s="61"/>
      <c r="R49" s="61"/>
      <c r="S49" s="61"/>
      <c r="T49" s="61"/>
      <c r="U49" s="61"/>
      <c r="V49" s="61"/>
      <c r="W49" s="61"/>
    </row>
    <row r="50" spans="1:23" s="25" customFormat="1">
      <c r="A50" s="73">
        <v>46</v>
      </c>
      <c r="B50" s="41"/>
      <c r="C50" s="41"/>
      <c r="D50" s="29"/>
      <c r="E50" s="69"/>
      <c r="F50" s="70"/>
      <c r="G50" s="18"/>
      <c r="H50" s="22"/>
      <c r="I50" s="22"/>
      <c r="J50" s="22"/>
      <c r="K50" s="23"/>
      <c r="L50" s="22"/>
      <c r="M50" s="22"/>
      <c r="N50" s="57"/>
      <c r="O50" s="57"/>
      <c r="P50" s="57"/>
      <c r="Q50" s="61"/>
      <c r="R50" s="61"/>
      <c r="S50" s="61"/>
      <c r="T50" s="61"/>
      <c r="U50" s="61"/>
      <c r="V50" s="61"/>
      <c r="W50" s="61"/>
    </row>
    <row r="51" spans="1:23" s="25" customFormat="1">
      <c r="A51" s="73">
        <v>47</v>
      </c>
      <c r="B51" s="41"/>
      <c r="C51" s="41"/>
      <c r="D51" s="29"/>
      <c r="E51" s="69"/>
      <c r="F51" s="70"/>
      <c r="G51" s="18"/>
      <c r="H51" s="22"/>
      <c r="I51" s="22"/>
      <c r="J51" s="22"/>
      <c r="K51" s="23"/>
      <c r="L51" s="22"/>
      <c r="M51" s="22"/>
      <c r="N51" s="57"/>
      <c r="O51" s="57"/>
      <c r="P51" s="57"/>
      <c r="Q51" s="61"/>
      <c r="R51" s="61"/>
      <c r="S51" s="61"/>
      <c r="T51" s="61"/>
      <c r="U51" s="61"/>
      <c r="V51" s="61"/>
      <c r="W51" s="61"/>
    </row>
    <row r="52" spans="1:23" s="25" customFormat="1">
      <c r="A52" s="73">
        <v>48</v>
      </c>
      <c r="B52" s="41"/>
      <c r="C52" s="41"/>
      <c r="D52" s="29"/>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28" type="noConversion"/>
  <conditionalFormatting sqref="L205:L65536 P1:P2">
    <cfRule type="cellIs" dxfId="1658" priority="203" stopIfTrue="1" operator="equal">
      <formula>"Fixed"</formula>
    </cfRule>
    <cfRule type="cellIs" dxfId="1657" priority="204" stopIfTrue="1" operator="equal">
      <formula>"Open"</formula>
    </cfRule>
  </conditionalFormatting>
  <conditionalFormatting sqref="L4">
    <cfRule type="cellIs" dxfId="1656" priority="205" stopIfTrue="1" operator="equal">
      <formula>"Open"</formula>
    </cfRule>
    <cfRule type="cellIs" dxfId="1655" priority="206" stopIfTrue="1" operator="equal">
      <formula>"Fixed"</formula>
    </cfRule>
  </conditionalFormatting>
  <conditionalFormatting sqref="L12:L20 L24:L25 L33:L34 L27:L29 L39:L43 L47:L204">
    <cfRule type="expression" dxfId="1654" priority="207" stopIfTrue="1">
      <formula>AND($M12="Approved",$L12="Fixed")</formula>
    </cfRule>
    <cfRule type="cellIs" dxfId="1653" priority="208" stopIfTrue="1" operator="equal">
      <formula>"Fixed"</formula>
    </cfRule>
    <cfRule type="cellIs" dxfId="1652" priority="209" stopIfTrue="1" operator="equal">
      <formula>"Open"</formula>
    </cfRule>
  </conditionalFormatting>
  <conditionalFormatting sqref="M12:M20 M24:M25 M33:M34 M27:M29 M39:M43 M47:M204">
    <cfRule type="expression" dxfId="1651" priority="210" stopIfTrue="1">
      <formula>OR(M12="Fixed",M12="Approved")</formula>
    </cfRule>
    <cfRule type="cellIs" dxfId="1650" priority="211" stopIfTrue="1" operator="equal">
      <formula>"Rejected"</formula>
    </cfRule>
  </conditionalFormatting>
  <conditionalFormatting sqref="A3">
    <cfRule type="expression" dxfId="1649" priority="197" stopIfTrue="1">
      <formula>$X$2=1</formula>
    </cfRule>
    <cfRule type="expression" dxfId="1648" priority="198" stopIfTrue="1">
      <formula>$Y$2=1</formula>
    </cfRule>
    <cfRule type="expression" dxfId="1647" priority="200" stopIfTrue="1">
      <formula>$AA$2=1</formula>
    </cfRule>
  </conditionalFormatting>
  <conditionalFormatting sqref="A3:C3">
    <cfRule type="expression" dxfId="1646" priority="199" stopIfTrue="1">
      <formula>$Z$2=1</formula>
    </cfRule>
  </conditionalFormatting>
  <conditionalFormatting sqref="D24:K24 E25:K25 A29:B29 B28 A30:A38 A39:B39 A40:A42 D39:K42 A48:K51 A44:A47 D47:K47 A43:K43 A53:K204 A52 C52:K52 A5:A28 D20:G20 D19:K19 D16:G18 D12:K15 D27:K29 D33:K33 E34:K34">
    <cfRule type="expression" dxfId="1645" priority="381" stopIfTrue="1">
      <formula>AND($M5="Approved",OR($L5=$R$1,$L5=$T$1))</formula>
    </cfRule>
  </conditionalFormatting>
  <conditionalFormatting sqref="L21">
    <cfRule type="expression" dxfId="1644" priority="191" stopIfTrue="1">
      <formula>AND($M21="Approved",$L21="Fixed")</formula>
    </cfRule>
    <cfRule type="cellIs" dxfId="1643" priority="192" stopIfTrue="1" operator="equal">
      <formula>"Fixed"</formula>
    </cfRule>
    <cfRule type="cellIs" dxfId="1642" priority="193" stopIfTrue="1" operator="equal">
      <formula>"Open"</formula>
    </cfRule>
  </conditionalFormatting>
  <conditionalFormatting sqref="M21">
    <cfRule type="expression" dxfId="1641" priority="194" stopIfTrue="1">
      <formula>OR(M21="Fixed",M21="Approved")</formula>
    </cfRule>
    <cfRule type="cellIs" dxfId="1640" priority="195" stopIfTrue="1" operator="equal">
      <formula>"Rejected"</formula>
    </cfRule>
  </conditionalFormatting>
  <conditionalFormatting sqref="D21:K21">
    <cfRule type="expression" dxfId="1639" priority="196" stopIfTrue="1">
      <formula>AND($M21="Approved",OR($L21=$R$1,$L21=$T$1))</formula>
    </cfRule>
  </conditionalFormatting>
  <conditionalFormatting sqref="L22">
    <cfRule type="expression" dxfId="1638" priority="185" stopIfTrue="1">
      <formula>AND($M22="Approved",$L22="Fixed")</formula>
    </cfRule>
    <cfRule type="cellIs" dxfId="1637" priority="186" stopIfTrue="1" operator="equal">
      <formula>"Fixed"</formula>
    </cfRule>
    <cfRule type="cellIs" dxfId="1636" priority="187" stopIfTrue="1" operator="equal">
      <formula>"Open"</formula>
    </cfRule>
  </conditionalFormatting>
  <conditionalFormatting sqref="M22">
    <cfRule type="expression" dxfId="1635" priority="188" stopIfTrue="1">
      <formula>OR(M22="Fixed",M22="Approved")</formula>
    </cfRule>
    <cfRule type="cellIs" dxfId="1634" priority="189" stopIfTrue="1" operator="equal">
      <formula>"Rejected"</formula>
    </cfRule>
  </conditionalFormatting>
  <conditionalFormatting sqref="D22:K22">
    <cfRule type="expression" dxfId="1633" priority="190" stopIfTrue="1">
      <formula>AND($M22="Approved",OR($L22=$R$1,$L22=$T$1))</formula>
    </cfRule>
  </conditionalFormatting>
  <conditionalFormatting sqref="L23">
    <cfRule type="expression" dxfId="1632" priority="179" stopIfTrue="1">
      <formula>AND($M23="Approved",$L23="Fixed")</formula>
    </cfRule>
    <cfRule type="cellIs" dxfId="1631" priority="180" stopIfTrue="1" operator="equal">
      <formula>"Fixed"</formula>
    </cfRule>
    <cfRule type="cellIs" dxfId="1630" priority="181" stopIfTrue="1" operator="equal">
      <formula>"Open"</formula>
    </cfRule>
  </conditionalFormatting>
  <conditionalFormatting sqref="M23">
    <cfRule type="expression" dxfId="1629" priority="182" stopIfTrue="1">
      <formula>OR(M23="Fixed",M23="Approved")</formula>
    </cfRule>
    <cfRule type="cellIs" dxfId="1628" priority="183" stopIfTrue="1" operator="equal">
      <formula>"Rejected"</formula>
    </cfRule>
  </conditionalFormatting>
  <conditionalFormatting sqref="D23:K23">
    <cfRule type="expression" dxfId="1627" priority="184" stopIfTrue="1">
      <formula>AND($M23="Approved",OR($L23=$R$1,$L23=$T$1))</formula>
    </cfRule>
  </conditionalFormatting>
  <conditionalFormatting sqref="D25">
    <cfRule type="expression" dxfId="1626" priority="177" stopIfTrue="1">
      <formula>AND($M25="Approved",OR($L25=$R$1,$L25=$T$1))</formula>
    </cfRule>
  </conditionalFormatting>
  <conditionalFormatting sqref="L26">
    <cfRule type="expression" dxfId="1625" priority="171" stopIfTrue="1">
      <formula>AND($M26="Approved",$L26="Fixed")</formula>
    </cfRule>
    <cfRule type="cellIs" dxfId="1624" priority="172" stopIfTrue="1" operator="equal">
      <formula>"Fixed"</formula>
    </cfRule>
    <cfRule type="cellIs" dxfId="1623" priority="173" stopIfTrue="1" operator="equal">
      <formula>"Open"</formula>
    </cfRule>
  </conditionalFormatting>
  <conditionalFormatting sqref="M26">
    <cfRule type="expression" dxfId="1622" priority="174" stopIfTrue="1">
      <formula>OR(M26="Fixed",M26="Approved")</formula>
    </cfRule>
    <cfRule type="cellIs" dxfId="1621" priority="175" stopIfTrue="1" operator="equal">
      <formula>"Rejected"</formula>
    </cfRule>
  </conditionalFormatting>
  <conditionalFormatting sqref="E26:K26">
    <cfRule type="expression" dxfId="1620" priority="176" stopIfTrue="1">
      <formula>AND($M26="Approved",OR($L26=$R$1,$L26=$T$1))</formula>
    </cfRule>
  </conditionalFormatting>
  <conditionalFormatting sqref="D26">
    <cfRule type="expression" dxfId="1619" priority="170" stopIfTrue="1">
      <formula>AND($M26="Approved",OR($L26=$R$1,$L26=$T$1))</formula>
    </cfRule>
  </conditionalFormatting>
  <conditionalFormatting sqref="B27">
    <cfRule type="expression" dxfId="1618" priority="169" stopIfTrue="1">
      <formula>AND($M27="Approved",OR($L27=$R$1,$L27=$T$1))</formula>
    </cfRule>
  </conditionalFormatting>
  <conditionalFormatting sqref="B28">
    <cfRule type="expression" dxfId="1617" priority="168" stopIfTrue="1">
      <formula>AND($M28="Approved",OR($L28=$R$1,$L28=$T$1))</formula>
    </cfRule>
  </conditionalFormatting>
  <conditionalFormatting sqref="L30">
    <cfRule type="expression" dxfId="1616" priority="162" stopIfTrue="1">
      <formula>AND($M30="Approved",$L30="Fixed")</formula>
    </cfRule>
    <cfRule type="cellIs" dxfId="1615" priority="163" stopIfTrue="1" operator="equal">
      <formula>"Fixed"</formula>
    </cfRule>
    <cfRule type="cellIs" dxfId="1614" priority="164" stopIfTrue="1" operator="equal">
      <formula>"Open"</formula>
    </cfRule>
  </conditionalFormatting>
  <conditionalFormatting sqref="M30">
    <cfRule type="expression" dxfId="1613" priority="165" stopIfTrue="1">
      <formula>OR(M30="Fixed",M30="Approved")</formula>
    </cfRule>
    <cfRule type="cellIs" dxfId="1612" priority="166" stopIfTrue="1" operator="equal">
      <formula>"Rejected"</formula>
    </cfRule>
  </conditionalFormatting>
  <conditionalFormatting sqref="B30 D30:K30">
    <cfRule type="expression" dxfId="1611" priority="167" stopIfTrue="1">
      <formula>AND($M30="Approved",OR($L30=$R$1,$L30=$T$1))</formula>
    </cfRule>
  </conditionalFormatting>
  <conditionalFormatting sqref="L31">
    <cfRule type="expression" dxfId="1610" priority="156" stopIfTrue="1">
      <formula>AND($M31="Approved",$L31="Fixed")</formula>
    </cfRule>
    <cfRule type="cellIs" dxfId="1609" priority="157" stopIfTrue="1" operator="equal">
      <formula>"Fixed"</formula>
    </cfRule>
    <cfRule type="cellIs" dxfId="1608" priority="158" stopIfTrue="1" operator="equal">
      <formula>"Open"</formula>
    </cfRule>
  </conditionalFormatting>
  <conditionalFormatting sqref="M31">
    <cfRule type="expression" dxfId="1607" priority="159" stopIfTrue="1">
      <formula>OR(M31="Fixed",M31="Approved")</formula>
    </cfRule>
    <cfRule type="cellIs" dxfId="1606" priority="160" stopIfTrue="1" operator="equal">
      <formula>"Rejected"</formula>
    </cfRule>
  </conditionalFormatting>
  <conditionalFormatting sqref="B31 D31:K31">
    <cfRule type="expression" dxfId="1605" priority="161" stopIfTrue="1">
      <formula>AND($M31="Approved",OR($L31=$R$1,$L31=$T$1))</formula>
    </cfRule>
  </conditionalFormatting>
  <conditionalFormatting sqref="L32">
    <cfRule type="expression" dxfId="1604" priority="150" stopIfTrue="1">
      <formula>AND($M32="Approved",$L32="Fixed")</formula>
    </cfRule>
    <cfRule type="cellIs" dxfId="1603" priority="151" stopIfTrue="1" operator="equal">
      <formula>"Fixed"</formula>
    </cfRule>
    <cfRule type="cellIs" dxfId="1602" priority="152" stopIfTrue="1" operator="equal">
      <formula>"Open"</formula>
    </cfRule>
  </conditionalFormatting>
  <conditionalFormatting sqref="M32">
    <cfRule type="expression" dxfId="1601" priority="153" stopIfTrue="1">
      <formula>OR(M32="Fixed",M32="Approved")</formula>
    </cfRule>
    <cfRule type="cellIs" dxfId="1600" priority="154" stopIfTrue="1" operator="equal">
      <formula>"Rejected"</formula>
    </cfRule>
  </conditionalFormatting>
  <conditionalFormatting sqref="B32 D32:K32">
    <cfRule type="expression" dxfId="1599" priority="155" stopIfTrue="1">
      <formula>AND($M32="Approved",OR($L32=$R$1,$L32=$T$1))</formula>
    </cfRule>
  </conditionalFormatting>
  <conditionalFormatting sqref="B27">
    <cfRule type="expression" dxfId="1598" priority="149" stopIfTrue="1">
      <formula>AND($M27="Approved",OR($L27=$R$1,$L27=$T$1))</formula>
    </cfRule>
  </conditionalFormatting>
  <conditionalFormatting sqref="L29">
    <cfRule type="expression" dxfId="1597" priority="143" stopIfTrue="1">
      <formula>AND($M29="Approved",$L29="Fixed")</formula>
    </cfRule>
    <cfRule type="cellIs" dxfId="1596" priority="144" stopIfTrue="1" operator="equal">
      <formula>"Fixed"</formula>
    </cfRule>
    <cfRule type="cellIs" dxfId="1595" priority="145" stopIfTrue="1" operator="equal">
      <formula>"Open"</formula>
    </cfRule>
  </conditionalFormatting>
  <conditionalFormatting sqref="M29">
    <cfRule type="expression" dxfId="1594" priority="146" stopIfTrue="1">
      <formula>OR(M29="Fixed",M29="Approved")</formula>
    </cfRule>
    <cfRule type="cellIs" dxfId="1593" priority="147" stopIfTrue="1" operator="equal">
      <formula>"Rejected"</formula>
    </cfRule>
  </conditionalFormatting>
  <conditionalFormatting sqref="B29 D29:K29">
    <cfRule type="expression" dxfId="1592" priority="148" stopIfTrue="1">
      <formula>AND($M29="Approved",OR($L29=$R$1,$L29=$T$1))</formula>
    </cfRule>
  </conditionalFormatting>
  <conditionalFormatting sqref="L30">
    <cfRule type="expression" dxfId="1591" priority="137" stopIfTrue="1">
      <formula>AND($M30="Approved",$L30="Fixed")</formula>
    </cfRule>
    <cfRule type="cellIs" dxfId="1590" priority="138" stopIfTrue="1" operator="equal">
      <formula>"Fixed"</formula>
    </cfRule>
    <cfRule type="cellIs" dxfId="1589" priority="139" stopIfTrue="1" operator="equal">
      <formula>"Open"</formula>
    </cfRule>
  </conditionalFormatting>
  <conditionalFormatting sqref="M30">
    <cfRule type="expression" dxfId="1588" priority="140" stopIfTrue="1">
      <formula>OR(M30="Fixed",M30="Approved")</formula>
    </cfRule>
    <cfRule type="cellIs" dxfId="1587" priority="141" stopIfTrue="1" operator="equal">
      <formula>"Rejected"</formula>
    </cfRule>
  </conditionalFormatting>
  <conditionalFormatting sqref="B30 D30:K30">
    <cfRule type="expression" dxfId="1586" priority="142" stopIfTrue="1">
      <formula>AND($M30="Approved",OR($L30=$R$1,$L30=$T$1))</formula>
    </cfRule>
  </conditionalFormatting>
  <conditionalFormatting sqref="L31">
    <cfRule type="expression" dxfId="1585" priority="131" stopIfTrue="1">
      <formula>AND($M31="Approved",$L31="Fixed")</formula>
    </cfRule>
    <cfRule type="cellIs" dxfId="1584" priority="132" stopIfTrue="1" operator="equal">
      <formula>"Fixed"</formula>
    </cfRule>
    <cfRule type="cellIs" dxfId="1583" priority="133" stopIfTrue="1" operator="equal">
      <formula>"Open"</formula>
    </cfRule>
  </conditionalFormatting>
  <conditionalFormatting sqref="M31">
    <cfRule type="expression" dxfId="1582" priority="134" stopIfTrue="1">
      <formula>OR(M31="Fixed",M31="Approved")</formula>
    </cfRule>
    <cfRule type="cellIs" dxfId="1581" priority="135" stopIfTrue="1" operator="equal">
      <formula>"Rejected"</formula>
    </cfRule>
  </conditionalFormatting>
  <conditionalFormatting sqref="B31 D31:K31">
    <cfRule type="expression" dxfId="1580" priority="136" stopIfTrue="1">
      <formula>AND($M31="Approved",OR($L31=$R$1,$L31=$T$1))</formula>
    </cfRule>
  </conditionalFormatting>
  <conditionalFormatting sqref="B33">
    <cfRule type="expression" dxfId="1579" priority="130" stopIfTrue="1">
      <formula>AND($M33="Approved",OR($L33=$R$1,$L33=$T$1))</formula>
    </cfRule>
  </conditionalFormatting>
  <conditionalFormatting sqref="C33">
    <cfRule type="expression" dxfId="1578" priority="129" stopIfTrue="1">
      <formula>AND($M33="Approved",OR($L33=$R$1,$L33=$T$1))</formula>
    </cfRule>
  </conditionalFormatting>
  <conditionalFormatting sqref="E35:F35">
    <cfRule type="expression" dxfId="1577" priority="128" stopIfTrue="1">
      <formula>AND($M35="Approved",OR($L35=$R$1,$L35=$T$1))</formula>
    </cfRule>
  </conditionalFormatting>
  <conditionalFormatting sqref="E36:F36">
    <cfRule type="expression" dxfId="1576" priority="122" stopIfTrue="1">
      <formula>AND($M36="Approved",OR($L36=$R$1,$L36=$T$1))</formula>
    </cfRule>
  </conditionalFormatting>
  <conditionalFormatting sqref="L37">
    <cfRule type="expression" dxfId="1575" priority="111" stopIfTrue="1">
      <formula>AND($M37="Approved",$L37="Fixed")</formula>
    </cfRule>
    <cfRule type="cellIs" dxfId="1574" priority="112" stopIfTrue="1" operator="equal">
      <formula>"Fixed"</formula>
    </cfRule>
    <cfRule type="cellIs" dxfId="1573" priority="113" stopIfTrue="1" operator="equal">
      <formula>"Open"</formula>
    </cfRule>
  </conditionalFormatting>
  <conditionalFormatting sqref="M37">
    <cfRule type="expression" dxfId="1572" priority="114" stopIfTrue="1">
      <formula>OR(M37="Fixed",M37="Approved")</formula>
    </cfRule>
    <cfRule type="cellIs" dxfId="1571" priority="115" stopIfTrue="1" operator="equal">
      <formula>"Rejected"</formula>
    </cfRule>
  </conditionalFormatting>
  <conditionalFormatting sqref="B37:I37 K37">
    <cfRule type="expression" dxfId="1570" priority="116" stopIfTrue="1">
      <formula>AND($M37="Approved",OR($L37=$R$1,$L37=$T$1))</formula>
    </cfRule>
  </conditionalFormatting>
  <conditionalFormatting sqref="L38">
    <cfRule type="expression" dxfId="1569" priority="105" stopIfTrue="1">
      <formula>AND($M38="Approved",$L38="Fixed")</formula>
    </cfRule>
    <cfRule type="cellIs" dxfId="1568" priority="106" stopIfTrue="1" operator="equal">
      <formula>"Fixed"</formula>
    </cfRule>
    <cfRule type="cellIs" dxfId="1567" priority="107" stopIfTrue="1" operator="equal">
      <formula>"Open"</formula>
    </cfRule>
  </conditionalFormatting>
  <conditionalFormatting sqref="M38">
    <cfRule type="expression" dxfId="1566" priority="108" stopIfTrue="1">
      <formula>OR(M38="Fixed",M38="Approved")</formula>
    </cfRule>
    <cfRule type="cellIs" dxfId="1565" priority="109" stopIfTrue="1" operator="equal">
      <formula>"Rejected"</formula>
    </cfRule>
  </conditionalFormatting>
  <conditionalFormatting sqref="B38:K38">
    <cfRule type="expression" dxfId="1564" priority="110" stopIfTrue="1">
      <formula>AND($M38="Approved",OR($L38=$R$1,$L38=$T$1))</formula>
    </cfRule>
  </conditionalFormatting>
  <conditionalFormatting sqref="C39">
    <cfRule type="expression" dxfId="1563" priority="104" stopIfTrue="1">
      <formula>AND($M39="Approved",OR($L39=$R$1,$L39=$T$1))</formula>
    </cfRule>
  </conditionalFormatting>
  <conditionalFormatting sqref="B40">
    <cfRule type="expression" dxfId="1562" priority="103" stopIfTrue="1">
      <formula>AND($M40="Approved",OR($L40=$R$1,$L40=$T$1))</formula>
    </cfRule>
  </conditionalFormatting>
  <conditionalFormatting sqref="C40">
    <cfRule type="expression" dxfId="1561" priority="102" stopIfTrue="1">
      <formula>AND($M40="Approved",OR($L40=$R$1,$L40=$T$1))</formula>
    </cfRule>
  </conditionalFormatting>
  <conditionalFormatting sqref="B41">
    <cfRule type="expression" dxfId="1560" priority="101" stopIfTrue="1">
      <formula>AND($M41="Approved",OR($L41=$R$1,$L41=$T$1))</formula>
    </cfRule>
  </conditionalFormatting>
  <conditionalFormatting sqref="C41">
    <cfRule type="expression" dxfId="1559" priority="100" stopIfTrue="1">
      <formula>AND($M41="Approved",OR($L41=$R$1,$L41=$T$1))</formula>
    </cfRule>
  </conditionalFormatting>
  <conditionalFormatting sqref="B42">
    <cfRule type="expression" dxfId="1558" priority="99" stopIfTrue="1">
      <formula>AND($M42="Approved",OR($L42=$R$1,$L42=$T$1))</formula>
    </cfRule>
  </conditionalFormatting>
  <conditionalFormatting sqref="C42">
    <cfRule type="expression" dxfId="1557" priority="98" stopIfTrue="1">
      <formula>AND($M42="Approved",OR($L42=$R$1,$L42=$T$1))</formula>
    </cfRule>
  </conditionalFormatting>
  <conditionalFormatting sqref="L44">
    <cfRule type="expression" dxfId="1556" priority="92" stopIfTrue="1">
      <formula>AND($M44="Approved",$L44="Fixed")</formula>
    </cfRule>
    <cfRule type="cellIs" dxfId="1555" priority="93" stopIfTrue="1" operator="equal">
      <formula>"Fixed"</formula>
    </cfRule>
    <cfRule type="cellIs" dxfId="1554" priority="94" stopIfTrue="1" operator="equal">
      <formula>"Open"</formula>
    </cfRule>
  </conditionalFormatting>
  <conditionalFormatting sqref="M44">
    <cfRule type="expression" dxfId="1553" priority="95" stopIfTrue="1">
      <formula>OR(M44="Fixed",M44="Approved")</formula>
    </cfRule>
    <cfRule type="cellIs" dxfId="1552" priority="96" stopIfTrue="1" operator="equal">
      <formula>"Rejected"</formula>
    </cfRule>
  </conditionalFormatting>
  <conditionalFormatting sqref="B44 D44:K44">
    <cfRule type="expression" dxfId="1551" priority="97" stopIfTrue="1">
      <formula>AND($M44="Approved",OR($L44=$R$1,$L44=$T$1))</formula>
    </cfRule>
  </conditionalFormatting>
  <conditionalFormatting sqref="L45">
    <cfRule type="expression" dxfId="1550" priority="86" stopIfTrue="1">
      <formula>AND($M45="Approved",$L45="Fixed")</formula>
    </cfRule>
    <cfRule type="cellIs" dxfId="1549" priority="87" stopIfTrue="1" operator="equal">
      <formula>"Fixed"</formula>
    </cfRule>
    <cfRule type="cellIs" dxfId="1548" priority="88" stopIfTrue="1" operator="equal">
      <formula>"Open"</formula>
    </cfRule>
  </conditionalFormatting>
  <conditionalFormatting sqref="M45">
    <cfRule type="expression" dxfId="1547" priority="89" stopIfTrue="1">
      <formula>OR(M45="Fixed",M45="Approved")</formula>
    </cfRule>
    <cfRule type="cellIs" dxfId="1546" priority="90" stopIfTrue="1" operator="equal">
      <formula>"Rejected"</formula>
    </cfRule>
  </conditionalFormatting>
  <conditionalFormatting sqref="B45 D45:K45">
    <cfRule type="expression" dxfId="1545" priority="91" stopIfTrue="1">
      <formula>AND($M45="Approved",OR($L45=$R$1,$L45=$T$1))</formula>
    </cfRule>
  </conditionalFormatting>
  <conditionalFormatting sqref="L46">
    <cfRule type="expression" dxfId="1544" priority="80" stopIfTrue="1">
      <formula>AND($M46="Approved",$L46="Fixed")</formula>
    </cfRule>
    <cfRule type="cellIs" dxfId="1543" priority="81" stopIfTrue="1" operator="equal">
      <formula>"Fixed"</formula>
    </cfRule>
    <cfRule type="cellIs" dxfId="1542" priority="82" stopIfTrue="1" operator="equal">
      <formula>"Open"</formula>
    </cfRule>
  </conditionalFormatting>
  <conditionalFormatting sqref="M46">
    <cfRule type="expression" dxfId="1541" priority="83" stopIfTrue="1">
      <formula>OR(M46="Fixed",M46="Approved")</formula>
    </cfRule>
    <cfRule type="cellIs" dxfId="1540" priority="84" stopIfTrue="1" operator="equal">
      <formula>"Rejected"</formula>
    </cfRule>
  </conditionalFormatting>
  <conditionalFormatting sqref="B46 D46:K46">
    <cfRule type="expression" dxfId="1539" priority="85" stopIfTrue="1">
      <formula>AND($M46="Approved",OR($L46=$R$1,$L46=$T$1))</formula>
    </cfRule>
  </conditionalFormatting>
  <conditionalFormatting sqref="B47">
    <cfRule type="expression" dxfId="1538" priority="79" stopIfTrue="1">
      <formula>AND($M47="Approved",OR($L47=$R$1,$L47=$T$1))</formula>
    </cfRule>
  </conditionalFormatting>
  <conditionalFormatting sqref="C44">
    <cfRule type="expression" dxfId="1537" priority="78" stopIfTrue="1">
      <formula>AND($M44="Approved",OR($L44=$R$1,$L44=$T$1))</formula>
    </cfRule>
  </conditionalFormatting>
  <conditionalFormatting sqref="C45">
    <cfRule type="expression" dxfId="1536" priority="77" stopIfTrue="1">
      <formula>AND($M45="Approved",OR($L45=$R$1,$L45=$T$1))</formula>
    </cfRule>
  </conditionalFormatting>
  <conditionalFormatting sqref="C46">
    <cfRule type="expression" dxfId="1535" priority="76" stopIfTrue="1">
      <formula>AND($M46="Approved",OR($L46=$R$1,$L46=$T$1))</formula>
    </cfRule>
  </conditionalFormatting>
  <conditionalFormatting sqref="C47">
    <cfRule type="expression" dxfId="1534" priority="75" stopIfTrue="1">
      <formula>AND($M47="Approved",OR($L47=$R$1,$L47=$T$1))</formula>
    </cfRule>
  </conditionalFormatting>
  <conditionalFormatting sqref="B52">
    <cfRule type="expression" dxfId="1533" priority="74" stopIfTrue="1">
      <formula>AND($M52="Approved",OR($L52=$R$1,$L52=$T$1))</formula>
    </cfRule>
  </conditionalFormatting>
  <conditionalFormatting sqref="L5 L10:L11">
    <cfRule type="expression" dxfId="1532" priority="68" stopIfTrue="1">
      <formula>AND($M5="Approved",$L5="Fixed")</formula>
    </cfRule>
    <cfRule type="cellIs" dxfId="1531" priority="69" stopIfTrue="1" operator="equal">
      <formula>"Fixed"</formula>
    </cfRule>
    <cfRule type="cellIs" dxfId="1530" priority="70" stopIfTrue="1" operator="equal">
      <formula>"Open"</formula>
    </cfRule>
  </conditionalFormatting>
  <conditionalFormatting sqref="M5 M10:M11">
    <cfRule type="expression" dxfId="1529" priority="71" stopIfTrue="1">
      <formula>OR(M5="Fixed",M5="Approved")</formula>
    </cfRule>
    <cfRule type="cellIs" dxfId="1528" priority="72" stopIfTrue="1" operator="equal">
      <formula>"Rejected"</formula>
    </cfRule>
  </conditionalFormatting>
  <conditionalFormatting sqref="B5 E5:K5 D10:K11">
    <cfRule type="expression" dxfId="1527" priority="73" stopIfTrue="1">
      <formula>AND($M5="Approved",OR($L5=$R$1,$L5=$T$1))</formula>
    </cfRule>
  </conditionalFormatting>
  <conditionalFormatting sqref="M6">
    <cfRule type="expression" dxfId="1526" priority="65" stopIfTrue="1">
      <formula>OR(M6="Fixed",M6="Approved")</formula>
    </cfRule>
    <cfRule type="cellIs" dxfId="1525" priority="66" stopIfTrue="1" operator="equal">
      <formula>"Rejected"</formula>
    </cfRule>
  </conditionalFormatting>
  <conditionalFormatting sqref="E6:H6">
    <cfRule type="expression" dxfId="1524" priority="67" stopIfTrue="1">
      <formula>AND($M6="Approved",OR($L6=$R$1,$L6=$T$1))</formula>
    </cfRule>
  </conditionalFormatting>
  <conditionalFormatting sqref="M7">
    <cfRule type="expression" dxfId="1523" priority="59" stopIfTrue="1">
      <formula>OR(M7="Fixed",M7="Approved")</formula>
    </cfRule>
    <cfRule type="cellIs" dxfId="1522" priority="60" stopIfTrue="1" operator="equal">
      <formula>"Rejected"</formula>
    </cfRule>
  </conditionalFormatting>
  <conditionalFormatting sqref="E7:H7">
    <cfRule type="expression" dxfId="1521" priority="61" stopIfTrue="1">
      <formula>AND($M7="Approved",OR($L7=$R$1,$L7=$T$1))</formula>
    </cfRule>
  </conditionalFormatting>
  <conditionalFormatting sqref="M8">
    <cfRule type="expression" dxfId="1520" priority="53" stopIfTrue="1">
      <formula>OR(M8="Fixed",M8="Approved")</formula>
    </cfRule>
    <cfRule type="cellIs" dxfId="1519" priority="54" stopIfTrue="1" operator="equal">
      <formula>"Rejected"</formula>
    </cfRule>
  </conditionalFormatting>
  <conditionalFormatting sqref="E8:H8">
    <cfRule type="expression" dxfId="1518" priority="55" stopIfTrue="1">
      <formula>AND($M8="Approved",OR($L8=$R$1,$L8=$T$1))</formula>
    </cfRule>
  </conditionalFormatting>
  <conditionalFormatting sqref="M9">
    <cfRule type="expression" dxfId="1517" priority="47" stopIfTrue="1">
      <formula>OR(M9="Fixed",M9="Approved")</formula>
    </cfRule>
    <cfRule type="cellIs" dxfId="1516" priority="48" stopIfTrue="1" operator="equal">
      <formula>"Rejected"</formula>
    </cfRule>
  </conditionalFormatting>
  <conditionalFormatting sqref="E9:H9">
    <cfRule type="expression" dxfId="1515" priority="49" stopIfTrue="1">
      <formula>AND($M9="Approved",OR($L9=$R$1,$L9=$T$1))</formula>
    </cfRule>
  </conditionalFormatting>
  <conditionalFormatting sqref="C5">
    <cfRule type="expression" dxfId="1514" priority="39" stopIfTrue="1">
      <formula>AND($M5="Approved",OR($L5=$R$1,$L5=$T$1))</formula>
    </cfRule>
  </conditionalFormatting>
  <conditionalFormatting sqref="L6:L9">
    <cfRule type="expression" dxfId="1513" priority="35" stopIfTrue="1">
      <formula>AND($M6="Approved",$L6="Fixed")</formula>
    </cfRule>
    <cfRule type="cellIs" dxfId="1512" priority="36" stopIfTrue="1" operator="equal">
      <formula>"Fixed"</formula>
    </cfRule>
    <cfRule type="cellIs" dxfId="1511" priority="37" stopIfTrue="1" operator="equal">
      <formula>"Open"</formula>
    </cfRule>
  </conditionalFormatting>
  <conditionalFormatting sqref="I6:K9">
    <cfRule type="expression" dxfId="1510" priority="38" stopIfTrue="1">
      <formula>AND($M6="Approved",OR($L6=$R$1,$L6=$T$1))</formula>
    </cfRule>
  </conditionalFormatting>
  <conditionalFormatting sqref="H16:K16">
    <cfRule type="expression" dxfId="1509" priority="34" stopIfTrue="1">
      <formula>AND($M16="Approved",OR($L16=$R$1,$L16=$T$1))</formula>
    </cfRule>
  </conditionalFormatting>
  <conditionalFormatting sqref="H17:I17 K17">
    <cfRule type="expression" dxfId="1508" priority="33" stopIfTrue="1">
      <formula>AND($M17="Approved",OR($L17=$R$1,$L17=$T$1))</formula>
    </cfRule>
  </conditionalFormatting>
  <conditionalFormatting sqref="H18:I18 K18">
    <cfRule type="expression" dxfId="1507" priority="32" stopIfTrue="1">
      <formula>AND($M18="Approved",OR($L18=$R$1,$L18=$T$1))</formula>
    </cfRule>
  </conditionalFormatting>
  <conditionalFormatting sqref="H20:I20 K20">
    <cfRule type="expression" dxfId="1506" priority="31" stopIfTrue="1">
      <formula>AND($M20="Approved",OR($L20=$R$1,$L20=$T$1))</formula>
    </cfRule>
  </conditionalFormatting>
  <conditionalFormatting sqref="J17:J18">
    <cfRule type="expression" dxfId="1505" priority="30" stopIfTrue="1">
      <formula>AND($M17="Approved",OR($L17=$R$1,$L17=$T$1))</formula>
    </cfRule>
  </conditionalFormatting>
  <conditionalFormatting sqref="J20">
    <cfRule type="expression" dxfId="1504" priority="29" stopIfTrue="1">
      <formula>AND($M20="Approved",OR($L20=$R$1,$L20=$T$1))</formula>
    </cfRule>
  </conditionalFormatting>
  <conditionalFormatting sqref="D6:D9">
    <cfRule type="expression" dxfId="1503" priority="28" stopIfTrue="1">
      <formula>AND($M6="Approved",OR($L6=$R$1,$L6=$T$1))</formula>
    </cfRule>
  </conditionalFormatting>
  <conditionalFormatting sqref="B6">
    <cfRule type="expression" dxfId="1502" priority="27" stopIfTrue="1">
      <formula>AND($M6="Approved",OR($L6=$R$1,$L6=$T$1))</formula>
    </cfRule>
  </conditionalFormatting>
  <conditionalFormatting sqref="C6">
    <cfRule type="expression" dxfId="1501" priority="26" stopIfTrue="1">
      <formula>AND($M6="Approved",OR($L6=$R$1,$L6=$T$1))</formula>
    </cfRule>
  </conditionalFormatting>
  <conditionalFormatting sqref="B7:B26">
    <cfRule type="expression" dxfId="1500" priority="25" stopIfTrue="1">
      <formula>AND($M7="Approved",OR($L7=$R$1,$L7=$T$1))</formula>
    </cfRule>
  </conditionalFormatting>
  <conditionalFormatting sqref="B7:B26">
    <cfRule type="expression" dxfId="1499" priority="24" stopIfTrue="1">
      <formula>AND($M7="Approved",OR($L7=$R$1,$L7=$T$1))</formula>
    </cfRule>
  </conditionalFormatting>
  <conditionalFormatting sqref="C7:C26">
    <cfRule type="expression" dxfId="1498" priority="23" stopIfTrue="1">
      <formula>AND($M7="Approved",OR($L7=$R$1,$L7=$T$1))</formula>
    </cfRule>
  </conditionalFormatting>
  <conditionalFormatting sqref="C7:C26">
    <cfRule type="expression" dxfId="1497" priority="22" stopIfTrue="1">
      <formula>AND($M7="Approved",OR($L7=$R$1,$L7=$T$1))</formula>
    </cfRule>
  </conditionalFormatting>
  <conditionalFormatting sqref="C27:C32">
    <cfRule type="expression" dxfId="1496" priority="21" stopIfTrue="1">
      <formula>AND($M27="Approved",OR($L27=$R$1,$L27=$T$1))</formula>
    </cfRule>
  </conditionalFormatting>
  <conditionalFormatting sqref="B34">
    <cfRule type="expression" dxfId="1495" priority="20" stopIfTrue="1">
      <formula>AND($M34="Approved",OR($L34=$R$1,$L34=$T$1))</formula>
    </cfRule>
  </conditionalFormatting>
  <conditionalFormatting sqref="C34">
    <cfRule type="expression" dxfId="1494" priority="19" stopIfTrue="1">
      <formula>AND($M34="Approved",OR($L34=$R$1,$L34=$T$1))</formula>
    </cfRule>
  </conditionalFormatting>
  <conditionalFormatting sqref="D34">
    <cfRule type="expression" dxfId="1493" priority="18" stopIfTrue="1">
      <formula>AND($M34="Approved",OR($L34=$R$1,$L34=$T$1))</formula>
    </cfRule>
  </conditionalFormatting>
  <conditionalFormatting sqref="B35">
    <cfRule type="expression" dxfId="1492" priority="17" stopIfTrue="1">
      <formula>AND($M35="Approved",OR($L35=$R$1,$L35=$T$1))</formula>
    </cfRule>
  </conditionalFormatting>
  <conditionalFormatting sqref="B35">
    <cfRule type="expression" dxfId="1491" priority="16" stopIfTrue="1">
      <formula>AND($M35="Approved",OR($L35=$R$1,$L35=$T$1))</formula>
    </cfRule>
  </conditionalFormatting>
  <conditionalFormatting sqref="C35">
    <cfRule type="expression" dxfId="1490" priority="15" stopIfTrue="1">
      <formula>AND($M35="Approved",OR($L35=$R$1,$L35=$T$1))</formula>
    </cfRule>
  </conditionalFormatting>
  <conditionalFormatting sqref="C35">
    <cfRule type="expression" dxfId="1489" priority="14" stopIfTrue="1">
      <formula>AND($M35="Approved",OR($L35=$R$1,$L35=$T$1))</formula>
    </cfRule>
  </conditionalFormatting>
  <conditionalFormatting sqref="B36">
    <cfRule type="expression" dxfId="1488" priority="13" stopIfTrue="1">
      <formula>AND($M36="Approved",OR($L36=$R$1,$L36=$T$1))</formula>
    </cfRule>
  </conditionalFormatting>
  <conditionalFormatting sqref="B36">
    <cfRule type="expression" dxfId="1487" priority="12" stopIfTrue="1">
      <formula>AND($M36="Approved",OR($L36=$R$1,$L36=$T$1))</formula>
    </cfRule>
  </conditionalFormatting>
  <conditionalFormatting sqref="C36">
    <cfRule type="expression" dxfId="1486" priority="11" stopIfTrue="1">
      <formula>AND($M36="Approved",OR($L36=$R$1,$L36=$T$1))</formula>
    </cfRule>
  </conditionalFormatting>
  <conditionalFormatting sqref="C36">
    <cfRule type="expression" dxfId="1485" priority="10" stopIfTrue="1">
      <formula>AND($M36="Approved",OR($L36=$R$1,$L36=$T$1))</formula>
    </cfRule>
  </conditionalFormatting>
  <conditionalFormatting sqref="D35">
    <cfRule type="expression" dxfId="1484" priority="9" stopIfTrue="1">
      <formula>AND($M35="Approved",OR($L35=$R$1,$L35=$T$1))</formula>
    </cfRule>
  </conditionalFormatting>
  <conditionalFormatting sqref="D36">
    <cfRule type="expression" dxfId="1483" priority="8" stopIfTrue="1">
      <formula>AND($M36="Approved",OR($L36=$R$1,$L36=$T$1))</formula>
    </cfRule>
  </conditionalFormatting>
  <conditionalFormatting sqref="L35:L36">
    <cfRule type="expression" dxfId="1482" priority="2" stopIfTrue="1">
      <formula>AND($M35="Approved",$L35="Fixed")</formula>
    </cfRule>
    <cfRule type="cellIs" dxfId="1481" priority="3" stopIfTrue="1" operator="equal">
      <formula>"Fixed"</formula>
    </cfRule>
    <cfRule type="cellIs" dxfId="1480" priority="4" stopIfTrue="1" operator="equal">
      <formula>"Open"</formula>
    </cfRule>
  </conditionalFormatting>
  <conditionalFormatting sqref="M35:M36">
    <cfRule type="expression" dxfId="1479" priority="5" stopIfTrue="1">
      <formula>OR(M35="Fixed",M35="Approved")</formula>
    </cfRule>
    <cfRule type="cellIs" dxfId="1478" priority="6" stopIfTrue="1" operator="equal">
      <formula>"Rejected"</formula>
    </cfRule>
  </conditionalFormatting>
  <conditionalFormatting sqref="G35:K36">
    <cfRule type="expression" dxfId="1477" priority="7" stopIfTrue="1">
      <formula>AND($M35="Approved",OR($L35=$R$1,$L35=$T$1))</formula>
    </cfRule>
  </conditionalFormatting>
  <conditionalFormatting sqref="J37">
    <cfRule type="expression" dxfId="1476" priority="1" stopIfTrue="1">
      <formula>AND($M37="Approved",OR($L37=$R$1,$L37=$T$1))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activeCell="B1" sqref="B1"/>
      <selection pane="bottomLeft" activeCell="A4" sqref="A4"/>
      <selection pane="bottomRight" activeCell="C3" sqref="C3"/>
    </sheetView>
  </sheetViews>
  <sheetFormatPr defaultColWidth="9.28515625" defaultRowHeight="12.75" outlineLevelCol="1"/>
  <cols>
    <col min="1" max="1" width="12.85546875" style="158" bestFit="1" customWidth="1"/>
    <col min="2" max="2" width="61" style="157" customWidth="1"/>
    <col min="3" max="3" width="6.28515625" style="156" bestFit="1" customWidth="1"/>
    <col min="4" max="4" width="33.7109375" style="156" customWidth="1"/>
    <col min="5" max="6" width="30.7109375" style="156" customWidth="1" outlineLevel="1"/>
    <col min="7" max="16384" width="9.28515625" style="156"/>
  </cols>
  <sheetData>
    <row r="2" spans="1:7" ht="46.5">
      <c r="A2" s="181" t="s">
        <v>218</v>
      </c>
      <c r="B2" s="182" t="s">
        <v>231</v>
      </c>
      <c r="C2" s="183" t="s">
        <v>404</v>
      </c>
      <c r="D2" s="184" t="s">
        <v>227</v>
      </c>
      <c r="E2" s="315" t="s">
        <v>186</v>
      </c>
      <c r="F2" s="316"/>
    </row>
    <row r="3" spans="1:7" ht="18.75">
      <c r="A3" s="185"/>
      <c r="B3" s="186"/>
      <c r="C3" s="187">
        <f>COUNTIF(Review.ratings,"Yes") / ( COUNTA(Review.QuestionIds) - COUNTIF(Review.ratings,"NA"))</f>
        <v>0</v>
      </c>
      <c r="D3" s="192"/>
      <c r="E3" s="200" t="s">
        <v>224</v>
      </c>
      <c r="F3" s="200" t="s">
        <v>225</v>
      </c>
      <c r="G3" s="193"/>
    </row>
    <row r="4" spans="1:7" ht="36">
      <c r="A4" s="188"/>
      <c r="B4" s="189" t="s">
        <v>229</v>
      </c>
      <c r="C4" s="190"/>
      <c r="D4" s="190"/>
      <c r="E4" s="190"/>
      <c r="F4" s="191"/>
      <c r="G4" s="25"/>
    </row>
    <row r="5" spans="1:7" ht="18.75">
      <c r="A5" s="159"/>
      <c r="B5" s="167" t="s">
        <v>228</v>
      </c>
      <c r="C5" s="160"/>
      <c r="D5" s="160"/>
      <c r="E5" s="200"/>
      <c r="F5" s="200"/>
    </row>
    <row r="6" spans="1:7" ht="38.25">
      <c r="A6" s="162" t="s">
        <v>341</v>
      </c>
      <c r="B6" s="170" t="s">
        <v>230</v>
      </c>
      <c r="C6" s="194"/>
      <c r="D6" s="195"/>
      <c r="E6" s="161"/>
      <c r="F6" s="161"/>
    </row>
    <row r="7" spans="1:7" ht="18.75">
      <c r="A7" s="159"/>
      <c r="B7" s="167" t="s">
        <v>266</v>
      </c>
      <c r="C7" s="160"/>
      <c r="D7" s="160"/>
      <c r="E7" s="200"/>
      <c r="F7" s="200"/>
    </row>
    <row r="8" spans="1:7" ht="38.25">
      <c r="A8" s="162" t="s">
        <v>343</v>
      </c>
      <c r="B8" s="170" t="s">
        <v>267</v>
      </c>
      <c r="C8" s="194"/>
      <c r="D8" s="195"/>
      <c r="E8" s="161"/>
      <c r="F8" s="161"/>
    </row>
    <row r="9" spans="1:7" ht="25.5">
      <c r="A9" s="162" t="s">
        <v>344</v>
      </c>
      <c r="B9" s="170" t="s">
        <v>268</v>
      </c>
      <c r="C9" s="194"/>
      <c r="D9" s="195"/>
      <c r="E9" s="161"/>
      <c r="F9" s="161"/>
    </row>
    <row r="10" spans="1:7" ht="38.25">
      <c r="A10" s="162" t="s">
        <v>345</v>
      </c>
      <c r="B10" s="170" t="s">
        <v>346</v>
      </c>
      <c r="C10" s="194"/>
      <c r="D10" s="195"/>
      <c r="E10" s="161"/>
      <c r="F10" s="161"/>
    </row>
    <row r="11" spans="1:7" ht="25.5">
      <c r="A11" s="162" t="s">
        <v>347</v>
      </c>
      <c r="B11" s="170" t="s">
        <v>269</v>
      </c>
      <c r="C11" s="194"/>
      <c r="D11" s="195"/>
      <c r="E11" s="161"/>
      <c r="F11" s="161"/>
    </row>
    <row r="12" spans="1:7" ht="51">
      <c r="A12" s="162" t="s">
        <v>348</v>
      </c>
      <c r="B12" s="170" t="s">
        <v>270</v>
      </c>
      <c r="C12" s="194"/>
      <c r="D12" s="195"/>
      <c r="E12" s="161"/>
      <c r="F12" s="161"/>
    </row>
    <row r="13" spans="1:7" ht="25.5">
      <c r="A13" s="162" t="s">
        <v>349</v>
      </c>
      <c r="B13" s="170" t="s">
        <v>271</v>
      </c>
      <c r="C13" s="194"/>
      <c r="D13" s="195"/>
      <c r="E13" s="161"/>
      <c r="F13" s="161"/>
    </row>
    <row r="14" spans="1:7" ht="25.5">
      <c r="A14" s="162" t="s">
        <v>350</v>
      </c>
      <c r="B14" s="170" t="s">
        <v>272</v>
      </c>
      <c r="C14" s="194"/>
      <c r="D14" s="195"/>
      <c r="E14" s="161"/>
      <c r="F14" s="161"/>
    </row>
    <row r="15" spans="1:7" ht="38.25">
      <c r="A15" s="162" t="s">
        <v>351</v>
      </c>
      <c r="B15" s="170" t="s">
        <v>273</v>
      </c>
      <c r="C15" s="194"/>
      <c r="D15" s="195"/>
      <c r="E15" s="161"/>
      <c r="F15" s="161"/>
    </row>
    <row r="16" spans="1:7" ht="25.5">
      <c r="A16" s="162" t="s">
        <v>352</v>
      </c>
      <c r="B16" s="170" t="s">
        <v>342</v>
      </c>
      <c r="C16" s="194"/>
      <c r="D16" s="195"/>
      <c r="E16" s="161"/>
      <c r="F16" s="161"/>
    </row>
    <row r="17" spans="1:6" ht="38.25">
      <c r="A17" s="162" t="s">
        <v>353</v>
      </c>
      <c r="B17" s="170" t="s">
        <v>354</v>
      </c>
      <c r="C17" s="194"/>
      <c r="D17" s="195"/>
      <c r="E17" s="161"/>
      <c r="F17" s="161"/>
    </row>
    <row r="18" spans="1:6" ht="38.25">
      <c r="A18" s="162" t="s">
        <v>355</v>
      </c>
      <c r="B18" s="170" t="s">
        <v>274</v>
      </c>
      <c r="C18" s="194"/>
      <c r="D18" s="195"/>
      <c r="E18" s="161"/>
      <c r="F18" s="161"/>
    </row>
    <row r="19" spans="1:6" ht="25.5">
      <c r="A19" s="162" t="s">
        <v>356</v>
      </c>
      <c r="B19" s="170" t="s">
        <v>275</v>
      </c>
      <c r="C19" s="194"/>
      <c r="D19" s="195"/>
      <c r="E19" s="161"/>
      <c r="F19" s="161"/>
    </row>
    <row r="20" spans="1:6" ht="25.5">
      <c r="A20" s="162" t="s">
        <v>357</v>
      </c>
      <c r="B20" s="170" t="s">
        <v>276</v>
      </c>
      <c r="C20" s="194"/>
      <c r="D20" s="195"/>
      <c r="E20" s="161"/>
      <c r="F20" s="161"/>
    </row>
    <row r="21" spans="1:6" ht="38.25">
      <c r="A21" s="162" t="s">
        <v>358</v>
      </c>
      <c r="B21" s="170" t="s">
        <v>277</v>
      </c>
      <c r="C21" s="194"/>
      <c r="D21" s="195"/>
      <c r="E21" s="161"/>
      <c r="F21" s="161"/>
    </row>
    <row r="22" spans="1:6" ht="38.25">
      <c r="A22" s="162" t="s">
        <v>359</v>
      </c>
      <c r="B22" s="170" t="s">
        <v>360</v>
      </c>
      <c r="C22" s="194"/>
      <c r="D22" s="195"/>
      <c r="E22" s="161"/>
      <c r="F22" s="161"/>
    </row>
    <row r="23" spans="1:6" ht="18.75">
      <c r="A23" s="159"/>
      <c r="B23" s="167" t="s">
        <v>221</v>
      </c>
      <c r="C23" s="160"/>
      <c r="D23" s="160"/>
      <c r="E23" s="200"/>
      <c r="F23" s="200"/>
    </row>
    <row r="24" spans="1:6" ht="38.25">
      <c r="A24" s="162" t="s">
        <v>316</v>
      </c>
      <c r="B24" s="170" t="s">
        <v>211</v>
      </c>
      <c r="C24" s="194"/>
      <c r="D24" s="203" t="s">
        <v>368</v>
      </c>
      <c r="E24" s="161"/>
      <c r="F24" s="161"/>
    </row>
    <row r="25" spans="1:6" ht="25.5">
      <c r="A25" s="162" t="s">
        <v>317</v>
      </c>
      <c r="B25" s="170" t="s">
        <v>212</v>
      </c>
      <c r="C25" s="194"/>
      <c r="D25" s="195"/>
      <c r="E25" s="161"/>
      <c r="F25" s="161"/>
    </row>
    <row r="26" spans="1:6" ht="38.25">
      <c r="A26" s="162" t="s">
        <v>318</v>
      </c>
      <c r="B26" s="170" t="s">
        <v>213</v>
      </c>
      <c r="C26" s="194"/>
      <c r="D26" s="203"/>
      <c r="E26" s="161"/>
      <c r="F26" s="161"/>
    </row>
    <row r="27" spans="1:6" ht="38.25">
      <c r="A27" s="162" t="s">
        <v>319</v>
      </c>
      <c r="B27" s="170" t="s">
        <v>214</v>
      </c>
      <c r="C27" s="194"/>
      <c r="D27" s="203"/>
      <c r="E27" s="161"/>
      <c r="F27" s="161"/>
    </row>
    <row r="28" spans="1:6" ht="18.75">
      <c r="A28" s="159"/>
      <c r="B28" s="167" t="s">
        <v>222</v>
      </c>
      <c r="C28" s="160"/>
      <c r="D28" s="160"/>
      <c r="E28" s="200"/>
      <c r="F28" s="200"/>
    </row>
    <row r="29" spans="1:6" ht="38.25">
      <c r="A29" s="162" t="s">
        <v>320</v>
      </c>
      <c r="B29" s="170" t="s">
        <v>215</v>
      </c>
      <c r="C29" s="194"/>
      <c r="D29" s="195"/>
      <c r="E29" s="161"/>
      <c r="F29" s="161"/>
    </row>
    <row r="30" spans="1:6" ht="38.25">
      <c r="A30" s="162" t="s">
        <v>321</v>
      </c>
      <c r="B30" s="170" t="s">
        <v>216</v>
      </c>
      <c r="C30" s="194"/>
      <c r="D30" s="195"/>
      <c r="E30" s="161"/>
      <c r="F30" s="161"/>
    </row>
    <row r="31" spans="1:6" ht="18.75">
      <c r="A31" s="159"/>
      <c r="B31" s="167" t="s">
        <v>209</v>
      </c>
      <c r="C31" s="160"/>
      <c r="D31" s="160"/>
      <c r="E31" s="200"/>
      <c r="F31" s="200"/>
    </row>
    <row r="32" spans="1:6" ht="51">
      <c r="A32" s="162" t="s">
        <v>322</v>
      </c>
      <c r="B32" s="170" t="s">
        <v>210</v>
      </c>
      <c r="C32" s="194"/>
      <c r="D32" s="195"/>
      <c r="E32" s="161"/>
      <c r="F32" s="161"/>
    </row>
    <row r="33" spans="1:6" ht="18">
      <c r="A33" s="196"/>
      <c r="B33" s="197" t="s">
        <v>226</v>
      </c>
      <c r="C33" s="196"/>
      <c r="D33" s="196"/>
      <c r="E33" s="196"/>
      <c r="F33" s="196"/>
    </row>
    <row r="34" spans="1:6">
      <c r="A34" s="162"/>
      <c r="B34" s="170"/>
    </row>
    <row r="35" spans="1:6" ht="15">
      <c r="A35" s="198"/>
      <c r="B35" s="199" t="s">
        <v>340</v>
      </c>
      <c r="C35" s="198"/>
      <c r="D35" s="198"/>
      <c r="E35" s="198"/>
      <c r="F35" s="198"/>
    </row>
  </sheetData>
  <mergeCells count="1">
    <mergeCell ref="E2:F2"/>
  </mergeCells>
  <conditionalFormatting sqref="C6">
    <cfRule type="cellIs" dxfId="1475" priority="1071" operator="equal">
      <formula>"No"</formula>
    </cfRule>
    <cfRule type="cellIs" dxfId="1474" priority="1072" operator="equal">
      <formula>"NA"</formula>
    </cfRule>
    <cfRule type="cellIs" dxfId="1473" priority="1073" operator="equal">
      <formula>"Yes"</formula>
    </cfRule>
  </conditionalFormatting>
  <conditionalFormatting sqref="C24">
    <cfRule type="cellIs" dxfId="1472" priority="335" operator="equal">
      <formula>"No"</formula>
    </cfRule>
    <cfRule type="cellIs" dxfId="1471" priority="336" operator="equal">
      <formula>"NA"</formula>
    </cfRule>
    <cfRule type="cellIs" dxfId="1470" priority="337" operator="equal">
      <formula>"Yes"</formula>
    </cfRule>
  </conditionalFormatting>
  <conditionalFormatting sqref="C26">
    <cfRule type="cellIs" dxfId="1469" priority="243" operator="equal">
      <formula>"No"</formula>
    </cfRule>
    <cfRule type="cellIs" dxfId="1468" priority="244" operator="equal">
      <formula>"NA"</formula>
    </cfRule>
    <cfRule type="cellIs" dxfId="1467" priority="245" operator="equal">
      <formula>"Yes"</formula>
    </cfRule>
  </conditionalFormatting>
  <conditionalFormatting sqref="C32">
    <cfRule type="cellIs" dxfId="1466" priority="59" operator="equal">
      <formula>"No"</formula>
    </cfRule>
    <cfRule type="cellIs" dxfId="1465" priority="60" operator="equal">
      <formula>"NA"</formula>
    </cfRule>
    <cfRule type="cellIs" dxfId="1464" priority="61" operator="equal">
      <formula>"Yes"</formula>
    </cfRule>
  </conditionalFormatting>
  <conditionalFormatting sqref="C8:C22">
    <cfRule type="cellIs" dxfId="1463" priority="13" operator="equal">
      <formula>"No"</formula>
    </cfRule>
    <cfRule type="cellIs" dxfId="1462" priority="14" operator="equal">
      <formula>"NA"</formula>
    </cfRule>
    <cfRule type="cellIs" dxfId="1461" priority="15" operator="equal">
      <formula>"Yes"</formula>
    </cfRule>
  </conditionalFormatting>
  <conditionalFormatting sqref="C25">
    <cfRule type="cellIs" dxfId="1460" priority="10" operator="equal">
      <formula>"No"</formula>
    </cfRule>
    <cfRule type="cellIs" dxfId="1459" priority="11" operator="equal">
      <formula>"NA"</formula>
    </cfRule>
    <cfRule type="cellIs" dxfId="1458" priority="12" operator="equal">
      <formula>"Yes"</formula>
    </cfRule>
  </conditionalFormatting>
  <conditionalFormatting sqref="C27">
    <cfRule type="cellIs" dxfId="1457" priority="7" operator="equal">
      <formula>"No"</formula>
    </cfRule>
    <cfRule type="cellIs" dxfId="1456" priority="8" operator="equal">
      <formula>"NA"</formula>
    </cfRule>
    <cfRule type="cellIs" dxfId="1455" priority="9" operator="equal">
      <formula>"Yes"</formula>
    </cfRule>
  </conditionalFormatting>
  <conditionalFormatting sqref="C29">
    <cfRule type="cellIs" dxfId="1454" priority="4" operator="equal">
      <formula>"No"</formula>
    </cfRule>
    <cfRule type="cellIs" dxfId="1453" priority="5" operator="equal">
      <formula>"NA"</formula>
    </cfRule>
    <cfRule type="cellIs" dxfId="1452" priority="6" operator="equal">
      <formula>"Yes"</formula>
    </cfRule>
  </conditionalFormatting>
  <conditionalFormatting sqref="C30">
    <cfRule type="cellIs" dxfId="1451" priority="1" operator="equal">
      <formula>"No"</formula>
    </cfRule>
    <cfRule type="cellIs" dxfId="1450" priority="2" operator="equal">
      <formula>"NA"</formula>
    </cfRule>
    <cfRule type="cellIs" dxfId="1449" priority="3" operator="equal">
      <formula>"Yes"</formula>
    </cfRule>
  </conditionalFormatting>
  <dataValidations count="1">
    <dataValidation type="list" allowBlank="1" showInputMessage="1" showErrorMessage="1" sqref="C6 C32 C8:C22 C24:C27 C29:C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K36"/>
  <sheetViews>
    <sheetView zoomScaleNormal="100" workbookViewId="0">
      <pane xSplit="1" ySplit="3" topLeftCell="C4" activePane="bottomRight" state="frozen"/>
      <selection pane="topRight" activeCell="B1" sqref="B1"/>
      <selection pane="bottomLeft" activeCell="A4" sqref="A4"/>
      <selection pane="bottomRight" activeCell="AH11" sqref="AH11"/>
    </sheetView>
  </sheetViews>
  <sheetFormatPr defaultColWidth="9.28515625" defaultRowHeight="12.75" outlineLevelCol="1"/>
  <cols>
    <col min="1" max="1" width="13" style="158" bestFit="1" customWidth="1"/>
    <col min="2" max="2" width="61" style="157" customWidth="1"/>
    <col min="3" max="33" width="6.28515625" style="156" bestFit="1" customWidth="1"/>
    <col min="34" max="34" width="33.7109375" style="156" customWidth="1"/>
    <col min="35" max="36" width="30.7109375" style="156" customWidth="1" outlineLevel="1"/>
    <col min="37" max="16384" width="9.28515625" style="156"/>
  </cols>
  <sheetData>
    <row r="2" spans="1:37" ht="69" customHeight="1">
      <c r="A2" s="181" t="s">
        <v>218</v>
      </c>
      <c r="B2" s="182" t="s">
        <v>232</v>
      </c>
      <c r="C2" s="183" t="s">
        <v>405</v>
      </c>
      <c r="D2" s="183" t="s">
        <v>410</v>
      </c>
      <c r="E2" s="183" t="s">
        <v>412</v>
      </c>
      <c r="F2" s="183" t="s">
        <v>411</v>
      </c>
      <c r="G2" s="183" t="s">
        <v>413</v>
      </c>
      <c r="H2" s="183" t="s">
        <v>414</v>
      </c>
      <c r="I2" s="183" t="s">
        <v>415</v>
      </c>
      <c r="J2" s="183" t="s">
        <v>416</v>
      </c>
      <c r="K2" s="183" t="s">
        <v>417</v>
      </c>
      <c r="L2" s="183" t="s">
        <v>418</v>
      </c>
      <c r="M2" s="183" t="s">
        <v>419</v>
      </c>
      <c r="N2" s="183" t="s">
        <v>420</v>
      </c>
      <c r="O2" s="183" t="s">
        <v>421</v>
      </c>
      <c r="P2" s="183" t="s">
        <v>422</v>
      </c>
      <c r="Q2" s="183" t="s">
        <v>423</v>
      </c>
      <c r="R2" s="183" t="s">
        <v>424</v>
      </c>
      <c r="S2" s="183" t="s">
        <v>425</v>
      </c>
      <c r="T2" s="183" t="s">
        <v>426</v>
      </c>
      <c r="U2" s="183" t="s">
        <v>427</v>
      </c>
      <c r="V2" s="183" t="s">
        <v>428</v>
      </c>
      <c r="W2" s="183" t="s">
        <v>429</v>
      </c>
      <c r="X2" s="183" t="s">
        <v>430</v>
      </c>
      <c r="Y2" s="183" t="s">
        <v>431</v>
      </c>
      <c r="Z2" s="183" t="s">
        <v>432</v>
      </c>
      <c r="AA2" s="183" t="s">
        <v>433</v>
      </c>
      <c r="AB2" s="183" t="s">
        <v>434</v>
      </c>
      <c r="AC2" s="183" t="s">
        <v>435</v>
      </c>
      <c r="AD2" s="183" t="s">
        <v>436</v>
      </c>
      <c r="AE2" s="183" t="s">
        <v>410</v>
      </c>
      <c r="AF2" s="183" t="s">
        <v>446</v>
      </c>
      <c r="AG2" s="183" t="s">
        <v>448</v>
      </c>
      <c r="AH2" s="184" t="s">
        <v>227</v>
      </c>
      <c r="AI2" s="315" t="s">
        <v>186</v>
      </c>
      <c r="AJ2" s="316"/>
    </row>
    <row r="3" spans="1:37" ht="18.75">
      <c r="A3" s="185"/>
      <c r="B3" s="186"/>
      <c r="C3" s="187">
        <f t="shared" ref="C3:AD3" si="0">COUNTIF(C5:C36,"Yes") / ( COUNTA(C5:C36) - COUNTIF(C5:C36,"NA"))</f>
        <v>1</v>
      </c>
      <c r="D3" s="187">
        <f t="shared" si="0"/>
        <v>1</v>
      </c>
      <c r="E3" s="187">
        <f t="shared" si="0"/>
        <v>1</v>
      </c>
      <c r="F3" s="187">
        <f t="shared" si="0"/>
        <v>1</v>
      </c>
      <c r="G3" s="187">
        <f t="shared" si="0"/>
        <v>1</v>
      </c>
      <c r="H3" s="187">
        <f t="shared" si="0"/>
        <v>1</v>
      </c>
      <c r="I3" s="187">
        <f t="shared" si="0"/>
        <v>1</v>
      </c>
      <c r="J3" s="187">
        <f t="shared" si="0"/>
        <v>1</v>
      </c>
      <c r="K3" s="187">
        <f t="shared" si="0"/>
        <v>1</v>
      </c>
      <c r="L3" s="187">
        <f t="shared" si="0"/>
        <v>1</v>
      </c>
      <c r="M3" s="187">
        <f t="shared" si="0"/>
        <v>1</v>
      </c>
      <c r="N3" s="187">
        <f t="shared" si="0"/>
        <v>1</v>
      </c>
      <c r="O3" s="187">
        <f t="shared" si="0"/>
        <v>1</v>
      </c>
      <c r="P3" s="187">
        <f t="shared" si="0"/>
        <v>1</v>
      </c>
      <c r="Q3" s="187">
        <f t="shared" si="0"/>
        <v>1</v>
      </c>
      <c r="R3" s="187">
        <f t="shared" si="0"/>
        <v>1</v>
      </c>
      <c r="S3" s="187">
        <f t="shared" si="0"/>
        <v>1</v>
      </c>
      <c r="T3" s="187">
        <f t="shared" si="0"/>
        <v>1</v>
      </c>
      <c r="U3" s="187">
        <f t="shared" si="0"/>
        <v>1</v>
      </c>
      <c r="V3" s="187">
        <f t="shared" si="0"/>
        <v>1</v>
      </c>
      <c r="W3" s="187">
        <f t="shared" si="0"/>
        <v>1</v>
      </c>
      <c r="X3" s="187">
        <f t="shared" si="0"/>
        <v>1</v>
      </c>
      <c r="Y3" s="187">
        <f t="shared" si="0"/>
        <v>1</v>
      </c>
      <c r="Z3" s="187">
        <f t="shared" si="0"/>
        <v>1</v>
      </c>
      <c r="AA3" s="187">
        <f t="shared" si="0"/>
        <v>1</v>
      </c>
      <c r="AB3" s="187">
        <f t="shared" si="0"/>
        <v>1</v>
      </c>
      <c r="AC3" s="187">
        <f t="shared" si="0"/>
        <v>1</v>
      </c>
      <c r="AD3" s="187">
        <f t="shared" si="0"/>
        <v>1</v>
      </c>
      <c r="AE3" s="187">
        <f t="shared" ref="AE3:AF3" si="1">COUNTIF(AE5:AE36,"Yes") / ( COUNTA(AE5:AE36) - COUNTIF(AE5:AE36,"NA"))</f>
        <v>1</v>
      </c>
      <c r="AF3" s="187">
        <f t="shared" si="1"/>
        <v>1</v>
      </c>
      <c r="AG3" s="187">
        <f t="shared" ref="AG3" si="2">COUNTIF(AG5:AG36,"Yes") / ( COUNTA(AG5:AG36) - COUNTIF(AG5:AG36,"NA"))</f>
        <v>1</v>
      </c>
      <c r="AH3" s="192"/>
      <c r="AI3" s="200" t="s">
        <v>224</v>
      </c>
      <c r="AJ3" s="200" t="s">
        <v>225</v>
      </c>
      <c r="AK3" s="193"/>
    </row>
    <row r="4" spans="1:37" ht="36">
      <c r="A4" s="188"/>
      <c r="B4" s="189" t="s">
        <v>229</v>
      </c>
      <c r="C4" s="190"/>
      <c r="D4" s="190"/>
      <c r="E4" s="190"/>
      <c r="F4" s="190"/>
      <c r="G4" s="190"/>
      <c r="H4" s="190"/>
      <c r="I4" s="190"/>
      <c r="J4" s="190"/>
      <c r="K4" s="190"/>
      <c r="L4" s="190"/>
      <c r="M4" s="190"/>
      <c r="N4" s="190"/>
      <c r="O4" s="190"/>
      <c r="P4" s="190"/>
      <c r="Q4" s="190"/>
      <c r="R4" s="190"/>
      <c r="S4" s="190"/>
      <c r="T4" s="190"/>
      <c r="U4" s="190"/>
      <c r="V4" s="190"/>
      <c r="W4" s="190"/>
      <c r="X4" s="190"/>
      <c r="Y4" s="190"/>
      <c r="Z4" s="190"/>
      <c r="AA4" s="190"/>
      <c r="AB4" s="190"/>
      <c r="AC4" s="190"/>
      <c r="AD4" s="190"/>
      <c r="AE4" s="190"/>
      <c r="AF4" s="190"/>
      <c r="AG4" s="190"/>
      <c r="AH4" s="190"/>
      <c r="AI4" s="190"/>
      <c r="AJ4" s="191"/>
      <c r="AK4" s="25"/>
    </row>
    <row r="5" spans="1:37" ht="18.75">
      <c r="A5" s="159"/>
      <c r="B5" s="167" t="s">
        <v>220</v>
      </c>
      <c r="C5" s="160"/>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160"/>
      <c r="AD5" s="160"/>
      <c r="AE5" s="160"/>
      <c r="AF5" s="160"/>
      <c r="AG5" s="160"/>
      <c r="AH5" s="160"/>
      <c r="AI5" s="200"/>
      <c r="AJ5" s="200"/>
    </row>
    <row r="6" spans="1:37" ht="38.25">
      <c r="A6" s="162" t="s">
        <v>296</v>
      </c>
      <c r="B6" s="170" t="s">
        <v>233</v>
      </c>
      <c r="C6" s="194" t="s">
        <v>11</v>
      </c>
      <c r="D6" s="194" t="s">
        <v>11</v>
      </c>
      <c r="E6" s="194" t="s">
        <v>11</v>
      </c>
      <c r="F6" s="194" t="s">
        <v>11</v>
      </c>
      <c r="G6" s="194" t="s">
        <v>11</v>
      </c>
      <c r="H6" s="194" t="s">
        <v>11</v>
      </c>
      <c r="I6" s="194" t="s">
        <v>11</v>
      </c>
      <c r="J6" s="194" t="s">
        <v>11</v>
      </c>
      <c r="K6" s="194" t="s">
        <v>11</v>
      </c>
      <c r="L6" s="194" t="s">
        <v>11</v>
      </c>
      <c r="M6" s="194" t="s">
        <v>11</v>
      </c>
      <c r="N6" s="194" t="s">
        <v>11</v>
      </c>
      <c r="O6" s="194" t="s">
        <v>11</v>
      </c>
      <c r="P6" s="194" t="s">
        <v>11</v>
      </c>
      <c r="Q6" s="194" t="s">
        <v>11</v>
      </c>
      <c r="R6" s="194" t="s">
        <v>11</v>
      </c>
      <c r="S6" s="194" t="s">
        <v>11</v>
      </c>
      <c r="T6" s="194" t="s">
        <v>11</v>
      </c>
      <c r="U6" s="194" t="s">
        <v>11</v>
      </c>
      <c r="V6" s="194" t="s">
        <v>11</v>
      </c>
      <c r="W6" s="194" t="s">
        <v>11</v>
      </c>
      <c r="X6" s="194" t="s">
        <v>11</v>
      </c>
      <c r="Y6" s="194" t="s">
        <v>11</v>
      </c>
      <c r="Z6" s="194" t="s">
        <v>11</v>
      </c>
      <c r="AA6" s="194" t="s">
        <v>11</v>
      </c>
      <c r="AB6" s="194" t="s">
        <v>11</v>
      </c>
      <c r="AC6" s="194" t="s">
        <v>11</v>
      </c>
      <c r="AD6" s="194" t="s">
        <v>11</v>
      </c>
      <c r="AE6" s="194" t="s">
        <v>11</v>
      </c>
      <c r="AF6" s="194" t="s">
        <v>11</v>
      </c>
      <c r="AG6" s="194" t="s">
        <v>11</v>
      </c>
      <c r="AH6" s="203" t="s">
        <v>437</v>
      </c>
      <c r="AI6" s="161"/>
      <c r="AJ6" s="161"/>
    </row>
    <row r="7" spans="1:37" ht="38.25">
      <c r="A7" s="162" t="s">
        <v>297</v>
      </c>
      <c r="B7" s="170" t="s">
        <v>234</v>
      </c>
      <c r="C7" s="194" t="s">
        <v>11</v>
      </c>
      <c r="D7" s="194" t="s">
        <v>11</v>
      </c>
      <c r="E7" s="194" t="s">
        <v>11</v>
      </c>
      <c r="F7" s="194" t="s">
        <v>11</v>
      </c>
      <c r="G7" s="194" t="s">
        <v>11</v>
      </c>
      <c r="H7" s="194" t="s">
        <v>11</v>
      </c>
      <c r="I7" s="194" t="s">
        <v>11</v>
      </c>
      <c r="J7" s="194" t="s">
        <v>11</v>
      </c>
      <c r="K7" s="194" t="s">
        <v>11</v>
      </c>
      <c r="L7" s="194" t="s">
        <v>11</v>
      </c>
      <c r="M7" s="194" t="s">
        <v>11</v>
      </c>
      <c r="N7" s="194" t="s">
        <v>11</v>
      </c>
      <c r="O7" s="194" t="s">
        <v>11</v>
      </c>
      <c r="P7" s="194" t="s">
        <v>11</v>
      </c>
      <c r="Q7" s="194" t="s">
        <v>11</v>
      </c>
      <c r="R7" s="194" t="s">
        <v>11</v>
      </c>
      <c r="S7" s="194" t="s">
        <v>11</v>
      </c>
      <c r="T7" s="194" t="s">
        <v>11</v>
      </c>
      <c r="U7" s="194" t="s">
        <v>11</v>
      </c>
      <c r="V7" s="194" t="s">
        <v>11</v>
      </c>
      <c r="W7" s="194" t="s">
        <v>11</v>
      </c>
      <c r="X7" s="194" t="s">
        <v>11</v>
      </c>
      <c r="Y7" s="194" t="s">
        <v>11</v>
      </c>
      <c r="Z7" s="194" t="s">
        <v>11</v>
      </c>
      <c r="AA7" s="194" t="s">
        <v>11</v>
      </c>
      <c r="AB7" s="194" t="s">
        <v>11</v>
      </c>
      <c r="AC7" s="194" t="s">
        <v>11</v>
      </c>
      <c r="AD7" s="194" t="s">
        <v>11</v>
      </c>
      <c r="AE7" s="194" t="s">
        <v>11</v>
      </c>
      <c r="AF7" s="194" t="s">
        <v>11</v>
      </c>
      <c r="AG7" s="194" t="s">
        <v>11</v>
      </c>
      <c r="AH7" s="29" t="s">
        <v>408</v>
      </c>
      <c r="AI7" s="161"/>
      <c r="AJ7" s="161"/>
    </row>
    <row r="8" spans="1:37" ht="18.75">
      <c r="A8" s="159"/>
      <c r="B8" s="167" t="s">
        <v>266</v>
      </c>
      <c r="C8" s="160"/>
      <c r="D8" s="160"/>
      <c r="E8" s="160"/>
      <c r="F8" s="160"/>
      <c r="G8" s="160"/>
      <c r="H8" s="160"/>
      <c r="I8" s="160"/>
      <c r="J8" s="160"/>
      <c r="K8" s="160"/>
      <c r="L8" s="160"/>
      <c r="M8" s="160"/>
      <c r="N8" s="160"/>
      <c r="O8" s="160"/>
      <c r="P8" s="160"/>
      <c r="Q8" s="160"/>
      <c r="R8" s="160"/>
      <c r="S8" s="160"/>
      <c r="T8" s="160"/>
      <c r="U8" s="160"/>
      <c r="V8" s="160"/>
      <c r="W8" s="160"/>
      <c r="X8" s="160"/>
      <c r="Y8" s="160"/>
      <c r="Z8" s="160"/>
      <c r="AA8" s="160"/>
      <c r="AB8" s="160"/>
      <c r="AC8" s="160"/>
      <c r="AD8" s="160"/>
      <c r="AE8" s="160"/>
      <c r="AF8" s="160"/>
      <c r="AG8" s="160"/>
      <c r="AH8" s="160"/>
      <c r="AI8" s="200"/>
      <c r="AJ8" s="200"/>
    </row>
    <row r="9" spans="1:37" ht="25.5">
      <c r="A9" s="162" t="s">
        <v>298</v>
      </c>
      <c r="B9" s="170" t="s">
        <v>278</v>
      </c>
      <c r="C9" s="194" t="s">
        <v>11</v>
      </c>
      <c r="D9" s="194" t="s">
        <v>11</v>
      </c>
      <c r="E9" s="194" t="s">
        <v>11</v>
      </c>
      <c r="F9" s="194" t="s">
        <v>11</v>
      </c>
      <c r="G9" s="194" t="s">
        <v>11</v>
      </c>
      <c r="H9" s="194" t="s">
        <v>11</v>
      </c>
      <c r="I9" s="194" t="s">
        <v>11</v>
      </c>
      <c r="J9" s="194" t="s">
        <v>11</v>
      </c>
      <c r="K9" s="194" t="s">
        <v>11</v>
      </c>
      <c r="L9" s="194" t="s">
        <v>11</v>
      </c>
      <c r="M9" s="194" t="s">
        <v>11</v>
      </c>
      <c r="N9" s="194" t="s">
        <v>11</v>
      </c>
      <c r="O9" s="194" t="s">
        <v>11</v>
      </c>
      <c r="P9" s="194" t="s">
        <v>11</v>
      </c>
      <c r="Q9" s="194" t="s">
        <v>11</v>
      </c>
      <c r="R9" s="194" t="s">
        <v>11</v>
      </c>
      <c r="S9" s="194" t="s">
        <v>11</v>
      </c>
      <c r="T9" s="194" t="s">
        <v>11</v>
      </c>
      <c r="U9" s="194" t="s">
        <v>11</v>
      </c>
      <c r="V9" s="194" t="s">
        <v>11</v>
      </c>
      <c r="W9" s="194" t="s">
        <v>11</v>
      </c>
      <c r="X9" s="194" t="s">
        <v>11</v>
      </c>
      <c r="Y9" s="194" t="s">
        <v>11</v>
      </c>
      <c r="Z9" s="194" t="s">
        <v>11</v>
      </c>
      <c r="AA9" s="194" t="s">
        <v>11</v>
      </c>
      <c r="AB9" s="194" t="s">
        <v>11</v>
      </c>
      <c r="AC9" s="194" t="s">
        <v>11</v>
      </c>
      <c r="AD9" s="194" t="s">
        <v>11</v>
      </c>
      <c r="AE9" s="194" t="s">
        <v>11</v>
      </c>
      <c r="AF9" s="194" t="s">
        <v>11</v>
      </c>
      <c r="AG9" s="194" t="s">
        <v>11</v>
      </c>
      <c r="AH9" s="203" t="s">
        <v>406</v>
      </c>
      <c r="AI9" s="161"/>
      <c r="AJ9" s="161"/>
    </row>
    <row r="10" spans="1:37" ht="25.5">
      <c r="A10" s="162" t="s">
        <v>299</v>
      </c>
      <c r="B10" s="170" t="s">
        <v>279</v>
      </c>
      <c r="C10" s="194" t="s">
        <v>11</v>
      </c>
      <c r="D10" s="194" t="s">
        <v>11</v>
      </c>
      <c r="E10" s="194" t="s">
        <v>11</v>
      </c>
      <c r="F10" s="194" t="s">
        <v>11</v>
      </c>
      <c r="G10" s="194" t="s">
        <v>11</v>
      </c>
      <c r="H10" s="194" t="s">
        <v>11</v>
      </c>
      <c r="I10" s="194" t="s">
        <v>11</v>
      </c>
      <c r="J10" s="194" t="s">
        <v>11</v>
      </c>
      <c r="K10" s="194" t="s">
        <v>11</v>
      </c>
      <c r="L10" s="194" t="s">
        <v>11</v>
      </c>
      <c r="M10" s="194" t="s">
        <v>11</v>
      </c>
      <c r="N10" s="194" t="s">
        <v>11</v>
      </c>
      <c r="O10" s="194" t="s">
        <v>11</v>
      </c>
      <c r="P10" s="194" t="s">
        <v>11</v>
      </c>
      <c r="Q10" s="194" t="s">
        <v>11</v>
      </c>
      <c r="R10" s="194" t="s">
        <v>11</v>
      </c>
      <c r="S10" s="194" t="s">
        <v>11</v>
      </c>
      <c r="T10" s="194" t="s">
        <v>11</v>
      </c>
      <c r="U10" s="194" t="s">
        <v>11</v>
      </c>
      <c r="V10" s="194" t="s">
        <v>11</v>
      </c>
      <c r="W10" s="194" t="s">
        <v>11</v>
      </c>
      <c r="X10" s="194" t="s">
        <v>11</v>
      </c>
      <c r="Y10" s="194" t="s">
        <v>11</v>
      </c>
      <c r="Z10" s="194" t="s">
        <v>11</v>
      </c>
      <c r="AA10" s="194" t="s">
        <v>11</v>
      </c>
      <c r="AB10" s="194" t="s">
        <v>11</v>
      </c>
      <c r="AC10" s="194" t="s">
        <v>11</v>
      </c>
      <c r="AD10" s="194" t="s">
        <v>11</v>
      </c>
      <c r="AE10" s="194" t="s">
        <v>11</v>
      </c>
      <c r="AF10" s="194" t="s">
        <v>11</v>
      </c>
      <c r="AG10" s="194" t="s">
        <v>11</v>
      </c>
      <c r="AH10" s="203" t="s">
        <v>438</v>
      </c>
      <c r="AI10" s="161"/>
      <c r="AJ10" s="161"/>
    </row>
    <row r="11" spans="1:37" ht="38.25">
      <c r="A11" s="162" t="s">
        <v>300</v>
      </c>
      <c r="B11" s="170" t="s">
        <v>301</v>
      </c>
      <c r="C11" s="194" t="s">
        <v>11</v>
      </c>
      <c r="D11" s="194" t="s">
        <v>11</v>
      </c>
      <c r="E11" s="194" t="s">
        <v>11</v>
      </c>
      <c r="F11" s="194" t="s">
        <v>11</v>
      </c>
      <c r="G11" s="194" t="s">
        <v>11</v>
      </c>
      <c r="H11" s="194" t="s">
        <v>11</v>
      </c>
      <c r="I11" s="194" t="s">
        <v>11</v>
      </c>
      <c r="J11" s="194" t="s">
        <v>11</v>
      </c>
      <c r="K11" s="194" t="s">
        <v>11</v>
      </c>
      <c r="L11" s="194" t="s">
        <v>11</v>
      </c>
      <c r="M11" s="194" t="s">
        <v>11</v>
      </c>
      <c r="N11" s="194" t="s">
        <v>11</v>
      </c>
      <c r="O11" s="194" t="s">
        <v>11</v>
      </c>
      <c r="P11" s="194" t="s">
        <v>11</v>
      </c>
      <c r="Q11" s="194" t="s">
        <v>11</v>
      </c>
      <c r="R11" s="194" t="s">
        <v>11</v>
      </c>
      <c r="S11" s="194" t="s">
        <v>11</v>
      </c>
      <c r="T11" s="194" t="s">
        <v>11</v>
      </c>
      <c r="U11" s="194" t="s">
        <v>11</v>
      </c>
      <c r="V11" s="194" t="s">
        <v>11</v>
      </c>
      <c r="W11" s="194" t="s">
        <v>11</v>
      </c>
      <c r="X11" s="194" t="s">
        <v>11</v>
      </c>
      <c r="Y11" s="194" t="s">
        <v>11</v>
      </c>
      <c r="Z11" s="194" t="s">
        <v>11</v>
      </c>
      <c r="AA11" s="194" t="s">
        <v>11</v>
      </c>
      <c r="AB11" s="194" t="s">
        <v>11</v>
      </c>
      <c r="AC11" s="194" t="s">
        <v>11</v>
      </c>
      <c r="AD11" s="194" t="s">
        <v>11</v>
      </c>
      <c r="AE11" s="194" t="s">
        <v>11</v>
      </c>
      <c r="AF11" s="194" t="s">
        <v>11</v>
      </c>
      <c r="AG11" s="194" t="s">
        <v>11</v>
      </c>
      <c r="AH11" s="29" t="s">
        <v>408</v>
      </c>
      <c r="AI11" s="161"/>
      <c r="AJ11" s="161"/>
    </row>
    <row r="12" spans="1:37" ht="63.75">
      <c r="A12" s="162" t="s">
        <v>302</v>
      </c>
      <c r="B12" s="170" t="s">
        <v>303</v>
      </c>
      <c r="C12" s="194" t="s">
        <v>217</v>
      </c>
      <c r="D12" s="194" t="s">
        <v>217</v>
      </c>
      <c r="E12" s="194" t="s">
        <v>217</v>
      </c>
      <c r="F12" s="194" t="s">
        <v>217</v>
      </c>
      <c r="G12" s="194" t="s">
        <v>217</v>
      </c>
      <c r="H12" s="194" t="s">
        <v>217</v>
      </c>
      <c r="I12" s="194" t="s">
        <v>217</v>
      </c>
      <c r="J12" s="194" t="s">
        <v>217</v>
      </c>
      <c r="K12" s="194" t="s">
        <v>217</v>
      </c>
      <c r="L12" s="194" t="s">
        <v>217</v>
      </c>
      <c r="M12" s="194" t="s">
        <v>217</v>
      </c>
      <c r="N12" s="194" t="s">
        <v>217</v>
      </c>
      <c r="O12" s="194" t="s">
        <v>217</v>
      </c>
      <c r="P12" s="194" t="s">
        <v>217</v>
      </c>
      <c r="Q12" s="194" t="s">
        <v>217</v>
      </c>
      <c r="R12" s="194" t="s">
        <v>217</v>
      </c>
      <c r="S12" s="194" t="s">
        <v>217</v>
      </c>
      <c r="T12" s="194" t="s">
        <v>217</v>
      </c>
      <c r="U12" s="194" t="s">
        <v>217</v>
      </c>
      <c r="V12" s="194" t="s">
        <v>217</v>
      </c>
      <c r="W12" s="194" t="s">
        <v>217</v>
      </c>
      <c r="X12" s="194" t="s">
        <v>217</v>
      </c>
      <c r="Y12" s="194" t="s">
        <v>217</v>
      </c>
      <c r="Z12" s="194" t="s">
        <v>217</v>
      </c>
      <c r="AA12" s="194" t="s">
        <v>217</v>
      </c>
      <c r="AB12" s="194" t="s">
        <v>217</v>
      </c>
      <c r="AC12" s="194" t="s">
        <v>217</v>
      </c>
      <c r="AD12" s="194" t="s">
        <v>217</v>
      </c>
      <c r="AE12" s="194" t="s">
        <v>217</v>
      </c>
      <c r="AF12" s="194" t="s">
        <v>217</v>
      </c>
      <c r="AG12" s="194" t="s">
        <v>217</v>
      </c>
      <c r="AH12" s="195"/>
      <c r="AI12" s="161"/>
      <c r="AJ12" s="161"/>
    </row>
    <row r="13" spans="1:37" ht="63.75">
      <c r="A13" s="162" t="s">
        <v>304</v>
      </c>
      <c r="B13" s="170" t="s">
        <v>305</v>
      </c>
      <c r="C13" s="194" t="s">
        <v>217</v>
      </c>
      <c r="D13" s="194" t="s">
        <v>217</v>
      </c>
      <c r="E13" s="194" t="s">
        <v>217</v>
      </c>
      <c r="F13" s="194" t="s">
        <v>217</v>
      </c>
      <c r="G13" s="194" t="s">
        <v>217</v>
      </c>
      <c r="H13" s="194" t="s">
        <v>217</v>
      </c>
      <c r="I13" s="194" t="s">
        <v>217</v>
      </c>
      <c r="J13" s="194" t="s">
        <v>217</v>
      </c>
      <c r="K13" s="194" t="s">
        <v>217</v>
      </c>
      <c r="L13" s="194" t="s">
        <v>217</v>
      </c>
      <c r="M13" s="194" t="s">
        <v>217</v>
      </c>
      <c r="N13" s="194" t="s">
        <v>217</v>
      </c>
      <c r="O13" s="194" t="s">
        <v>217</v>
      </c>
      <c r="P13" s="194" t="s">
        <v>217</v>
      </c>
      <c r="Q13" s="194" t="s">
        <v>217</v>
      </c>
      <c r="R13" s="194" t="s">
        <v>217</v>
      </c>
      <c r="S13" s="194" t="s">
        <v>217</v>
      </c>
      <c r="T13" s="194" t="s">
        <v>217</v>
      </c>
      <c r="U13" s="194" t="s">
        <v>217</v>
      </c>
      <c r="V13" s="194" t="s">
        <v>217</v>
      </c>
      <c r="W13" s="194" t="s">
        <v>217</v>
      </c>
      <c r="X13" s="194" t="s">
        <v>217</v>
      </c>
      <c r="Y13" s="194" t="s">
        <v>217</v>
      </c>
      <c r="Z13" s="194" t="s">
        <v>217</v>
      </c>
      <c r="AA13" s="194" t="s">
        <v>217</v>
      </c>
      <c r="AB13" s="194" t="s">
        <v>217</v>
      </c>
      <c r="AC13" s="194" t="s">
        <v>217</v>
      </c>
      <c r="AD13" s="194" t="s">
        <v>217</v>
      </c>
      <c r="AE13" s="194" t="s">
        <v>217</v>
      </c>
      <c r="AF13" s="194" t="s">
        <v>217</v>
      </c>
      <c r="AG13" s="194" t="s">
        <v>217</v>
      </c>
      <c r="AH13" s="195"/>
      <c r="AI13" s="161"/>
      <c r="AJ13" s="161"/>
    </row>
    <row r="14" spans="1:37" ht="25.5">
      <c r="A14" s="162" t="s">
        <v>306</v>
      </c>
      <c r="B14" s="170" t="s">
        <v>280</v>
      </c>
      <c r="C14" s="194" t="s">
        <v>11</v>
      </c>
      <c r="D14" s="194" t="s">
        <v>11</v>
      </c>
      <c r="E14" s="194" t="s">
        <v>11</v>
      </c>
      <c r="F14" s="194" t="s">
        <v>11</v>
      </c>
      <c r="G14" s="194" t="s">
        <v>11</v>
      </c>
      <c r="H14" s="194" t="s">
        <v>11</v>
      </c>
      <c r="I14" s="194" t="s">
        <v>11</v>
      </c>
      <c r="J14" s="194" t="s">
        <v>11</v>
      </c>
      <c r="K14" s="194" t="s">
        <v>11</v>
      </c>
      <c r="L14" s="194" t="s">
        <v>11</v>
      </c>
      <c r="M14" s="194" t="s">
        <v>11</v>
      </c>
      <c r="N14" s="194" t="s">
        <v>11</v>
      </c>
      <c r="O14" s="194" t="s">
        <v>11</v>
      </c>
      <c r="P14" s="194" t="s">
        <v>11</v>
      </c>
      <c r="Q14" s="194" t="s">
        <v>11</v>
      </c>
      <c r="R14" s="194" t="s">
        <v>11</v>
      </c>
      <c r="S14" s="194" t="s">
        <v>11</v>
      </c>
      <c r="T14" s="194" t="s">
        <v>11</v>
      </c>
      <c r="U14" s="194" t="s">
        <v>11</v>
      </c>
      <c r="V14" s="194" t="s">
        <v>11</v>
      </c>
      <c r="W14" s="194" t="s">
        <v>11</v>
      </c>
      <c r="X14" s="194" t="s">
        <v>11</v>
      </c>
      <c r="Y14" s="194" t="s">
        <v>11</v>
      </c>
      <c r="Z14" s="194" t="s">
        <v>11</v>
      </c>
      <c r="AA14" s="194" t="s">
        <v>11</v>
      </c>
      <c r="AB14" s="194" t="s">
        <v>11</v>
      </c>
      <c r="AC14" s="194" t="s">
        <v>11</v>
      </c>
      <c r="AD14" s="194" t="s">
        <v>11</v>
      </c>
      <c r="AE14" s="194" t="s">
        <v>11</v>
      </c>
      <c r="AF14" s="194" t="s">
        <v>11</v>
      </c>
      <c r="AG14" s="194" t="s">
        <v>11</v>
      </c>
      <c r="AH14" s="29" t="s">
        <v>409</v>
      </c>
      <c r="AI14" s="161"/>
      <c r="AJ14" s="161"/>
    </row>
    <row r="15" spans="1:37" ht="25.5">
      <c r="A15" s="162" t="s">
        <v>307</v>
      </c>
      <c r="B15" s="170" t="s">
        <v>281</v>
      </c>
      <c r="C15" s="194" t="s">
        <v>217</v>
      </c>
      <c r="D15" s="194" t="s">
        <v>217</v>
      </c>
      <c r="E15" s="194" t="s">
        <v>217</v>
      </c>
      <c r="F15" s="194" t="s">
        <v>217</v>
      </c>
      <c r="G15" s="194" t="s">
        <v>217</v>
      </c>
      <c r="H15" s="194" t="s">
        <v>217</v>
      </c>
      <c r="I15" s="194" t="s">
        <v>217</v>
      </c>
      <c r="J15" s="194" t="s">
        <v>217</v>
      </c>
      <c r="K15" s="194" t="s">
        <v>217</v>
      </c>
      <c r="L15" s="194" t="s">
        <v>217</v>
      </c>
      <c r="M15" s="194" t="s">
        <v>217</v>
      </c>
      <c r="N15" s="194" t="s">
        <v>217</v>
      </c>
      <c r="O15" s="194" t="s">
        <v>217</v>
      </c>
      <c r="P15" s="194" t="s">
        <v>217</v>
      </c>
      <c r="Q15" s="194" t="s">
        <v>217</v>
      </c>
      <c r="R15" s="194" t="s">
        <v>217</v>
      </c>
      <c r="S15" s="194" t="s">
        <v>217</v>
      </c>
      <c r="T15" s="194" t="s">
        <v>217</v>
      </c>
      <c r="U15" s="194" t="s">
        <v>217</v>
      </c>
      <c r="V15" s="194" t="s">
        <v>217</v>
      </c>
      <c r="W15" s="194" t="s">
        <v>217</v>
      </c>
      <c r="X15" s="194" t="s">
        <v>217</v>
      </c>
      <c r="Y15" s="194" t="s">
        <v>217</v>
      </c>
      <c r="Z15" s="194" t="s">
        <v>217</v>
      </c>
      <c r="AA15" s="194" t="s">
        <v>217</v>
      </c>
      <c r="AB15" s="194" t="s">
        <v>217</v>
      </c>
      <c r="AC15" s="194" t="s">
        <v>217</v>
      </c>
      <c r="AD15" s="194" t="s">
        <v>217</v>
      </c>
      <c r="AE15" s="194" t="s">
        <v>217</v>
      </c>
      <c r="AF15" s="194" t="s">
        <v>217</v>
      </c>
      <c r="AG15" s="194" t="s">
        <v>217</v>
      </c>
      <c r="AH15" s="195"/>
      <c r="AI15" s="161"/>
      <c r="AJ15" s="161"/>
    </row>
    <row r="16" spans="1:37" ht="25.5">
      <c r="A16" s="162" t="s">
        <v>308</v>
      </c>
      <c r="B16" s="170" t="s">
        <v>282</v>
      </c>
      <c r="C16" s="194" t="s">
        <v>11</v>
      </c>
      <c r="D16" s="194" t="s">
        <v>11</v>
      </c>
      <c r="E16" s="194" t="s">
        <v>11</v>
      </c>
      <c r="F16" s="194" t="s">
        <v>11</v>
      </c>
      <c r="G16" s="194" t="s">
        <v>11</v>
      </c>
      <c r="H16" s="194" t="s">
        <v>11</v>
      </c>
      <c r="I16" s="194" t="s">
        <v>11</v>
      </c>
      <c r="J16" s="194" t="s">
        <v>11</v>
      </c>
      <c r="K16" s="194" t="s">
        <v>11</v>
      </c>
      <c r="L16" s="194" t="s">
        <v>11</v>
      </c>
      <c r="M16" s="194" t="s">
        <v>11</v>
      </c>
      <c r="N16" s="194" t="s">
        <v>11</v>
      </c>
      <c r="O16" s="194" t="s">
        <v>11</v>
      </c>
      <c r="P16" s="194" t="s">
        <v>11</v>
      </c>
      <c r="Q16" s="194" t="s">
        <v>11</v>
      </c>
      <c r="R16" s="194" t="s">
        <v>11</v>
      </c>
      <c r="S16" s="194" t="s">
        <v>11</v>
      </c>
      <c r="T16" s="194" t="s">
        <v>11</v>
      </c>
      <c r="U16" s="194" t="s">
        <v>11</v>
      </c>
      <c r="V16" s="194" t="s">
        <v>11</v>
      </c>
      <c r="W16" s="194" t="s">
        <v>11</v>
      </c>
      <c r="X16" s="194" t="s">
        <v>11</v>
      </c>
      <c r="Y16" s="194" t="s">
        <v>11</v>
      </c>
      <c r="Z16" s="194" t="s">
        <v>11</v>
      </c>
      <c r="AA16" s="194" t="s">
        <v>11</v>
      </c>
      <c r="AB16" s="194" t="s">
        <v>11</v>
      </c>
      <c r="AC16" s="194" t="s">
        <v>11</v>
      </c>
      <c r="AD16" s="194" t="s">
        <v>11</v>
      </c>
      <c r="AE16" s="194" t="s">
        <v>11</v>
      </c>
      <c r="AF16" s="194" t="s">
        <v>11</v>
      </c>
      <c r="AG16" s="194" t="s">
        <v>11</v>
      </c>
      <c r="AH16" s="203" t="s">
        <v>439</v>
      </c>
      <c r="AI16" s="161"/>
      <c r="AJ16" s="161"/>
    </row>
    <row r="17" spans="1:36" ht="51">
      <c r="A17" s="162" t="s">
        <v>309</v>
      </c>
      <c r="B17" s="170" t="s">
        <v>283</v>
      </c>
      <c r="C17" s="194" t="s">
        <v>217</v>
      </c>
      <c r="D17" s="194" t="s">
        <v>217</v>
      </c>
      <c r="E17" s="194" t="s">
        <v>217</v>
      </c>
      <c r="F17" s="194" t="s">
        <v>217</v>
      </c>
      <c r="G17" s="194" t="s">
        <v>217</v>
      </c>
      <c r="H17" s="194" t="s">
        <v>217</v>
      </c>
      <c r="I17" s="194" t="s">
        <v>217</v>
      </c>
      <c r="J17" s="194" t="s">
        <v>217</v>
      </c>
      <c r="K17" s="194" t="s">
        <v>217</v>
      </c>
      <c r="L17" s="194" t="s">
        <v>217</v>
      </c>
      <c r="M17" s="194" t="s">
        <v>217</v>
      </c>
      <c r="N17" s="194" t="s">
        <v>217</v>
      </c>
      <c r="O17" s="194" t="s">
        <v>217</v>
      </c>
      <c r="P17" s="194" t="s">
        <v>217</v>
      </c>
      <c r="Q17" s="194" t="s">
        <v>217</v>
      </c>
      <c r="R17" s="194" t="s">
        <v>217</v>
      </c>
      <c r="S17" s="194" t="s">
        <v>217</v>
      </c>
      <c r="T17" s="194" t="s">
        <v>217</v>
      </c>
      <c r="U17" s="194" t="s">
        <v>217</v>
      </c>
      <c r="V17" s="194" t="s">
        <v>217</v>
      </c>
      <c r="W17" s="194" t="s">
        <v>217</v>
      </c>
      <c r="X17" s="194" t="s">
        <v>217</v>
      </c>
      <c r="Y17" s="194" t="s">
        <v>217</v>
      </c>
      <c r="Z17" s="194" t="s">
        <v>217</v>
      </c>
      <c r="AA17" s="194" t="s">
        <v>217</v>
      </c>
      <c r="AB17" s="194" t="s">
        <v>217</v>
      </c>
      <c r="AC17" s="194" t="s">
        <v>217</v>
      </c>
      <c r="AD17" s="194" t="s">
        <v>217</v>
      </c>
      <c r="AE17" s="194" t="s">
        <v>217</v>
      </c>
      <c r="AF17" s="194" t="s">
        <v>217</v>
      </c>
      <c r="AG17" s="194" t="s">
        <v>217</v>
      </c>
      <c r="AH17" s="195"/>
      <c r="AI17" s="161"/>
      <c r="AJ17" s="161"/>
    </row>
    <row r="18" spans="1:36" ht="38.25">
      <c r="A18" s="162" t="s">
        <v>310</v>
      </c>
      <c r="B18" s="170" t="s">
        <v>284</v>
      </c>
      <c r="C18" s="194" t="s">
        <v>11</v>
      </c>
      <c r="D18" s="194" t="s">
        <v>11</v>
      </c>
      <c r="E18" s="194" t="s">
        <v>11</v>
      </c>
      <c r="F18" s="194" t="s">
        <v>11</v>
      </c>
      <c r="G18" s="194" t="s">
        <v>11</v>
      </c>
      <c r="H18" s="194" t="s">
        <v>11</v>
      </c>
      <c r="I18" s="194" t="s">
        <v>11</v>
      </c>
      <c r="J18" s="194" t="s">
        <v>11</v>
      </c>
      <c r="K18" s="194" t="s">
        <v>11</v>
      </c>
      <c r="L18" s="194" t="s">
        <v>11</v>
      </c>
      <c r="M18" s="194" t="s">
        <v>11</v>
      </c>
      <c r="N18" s="194" t="s">
        <v>11</v>
      </c>
      <c r="O18" s="194" t="s">
        <v>11</v>
      </c>
      <c r="P18" s="194" t="s">
        <v>11</v>
      </c>
      <c r="Q18" s="194" t="s">
        <v>11</v>
      </c>
      <c r="R18" s="194" t="s">
        <v>11</v>
      </c>
      <c r="S18" s="194" t="s">
        <v>11</v>
      </c>
      <c r="T18" s="194" t="s">
        <v>11</v>
      </c>
      <c r="U18" s="194" t="s">
        <v>11</v>
      </c>
      <c r="V18" s="194" t="s">
        <v>11</v>
      </c>
      <c r="W18" s="194" t="s">
        <v>11</v>
      </c>
      <c r="X18" s="194" t="s">
        <v>11</v>
      </c>
      <c r="Y18" s="194" t="s">
        <v>11</v>
      </c>
      <c r="Z18" s="194" t="s">
        <v>11</v>
      </c>
      <c r="AA18" s="194" t="s">
        <v>11</v>
      </c>
      <c r="AB18" s="194" t="s">
        <v>11</v>
      </c>
      <c r="AC18" s="194" t="s">
        <v>11</v>
      </c>
      <c r="AD18" s="194" t="s">
        <v>11</v>
      </c>
      <c r="AE18" s="194" t="s">
        <v>11</v>
      </c>
      <c r="AF18" s="194" t="s">
        <v>11</v>
      </c>
      <c r="AG18" s="194" t="s">
        <v>11</v>
      </c>
      <c r="AH18" s="29" t="s">
        <v>409</v>
      </c>
      <c r="AI18" s="161"/>
      <c r="AJ18" s="161"/>
    </row>
    <row r="19" spans="1:36" ht="51">
      <c r="A19" s="162" t="s">
        <v>311</v>
      </c>
      <c r="B19" s="170" t="s">
        <v>285</v>
      </c>
      <c r="C19" s="194" t="s">
        <v>11</v>
      </c>
      <c r="D19" s="194" t="s">
        <v>11</v>
      </c>
      <c r="E19" s="194" t="s">
        <v>11</v>
      </c>
      <c r="F19" s="194" t="s">
        <v>11</v>
      </c>
      <c r="G19" s="194" t="s">
        <v>11</v>
      </c>
      <c r="H19" s="194" t="s">
        <v>11</v>
      </c>
      <c r="I19" s="194" t="s">
        <v>11</v>
      </c>
      <c r="J19" s="194" t="s">
        <v>11</v>
      </c>
      <c r="K19" s="194" t="s">
        <v>11</v>
      </c>
      <c r="L19" s="194" t="s">
        <v>11</v>
      </c>
      <c r="M19" s="194" t="s">
        <v>11</v>
      </c>
      <c r="N19" s="194" t="s">
        <v>11</v>
      </c>
      <c r="O19" s="194" t="s">
        <v>11</v>
      </c>
      <c r="P19" s="194" t="s">
        <v>11</v>
      </c>
      <c r="Q19" s="194" t="s">
        <v>11</v>
      </c>
      <c r="R19" s="194" t="s">
        <v>11</v>
      </c>
      <c r="S19" s="194" t="s">
        <v>11</v>
      </c>
      <c r="T19" s="194" t="s">
        <v>11</v>
      </c>
      <c r="U19" s="194" t="s">
        <v>11</v>
      </c>
      <c r="V19" s="194" t="s">
        <v>11</v>
      </c>
      <c r="W19" s="194" t="s">
        <v>11</v>
      </c>
      <c r="X19" s="194" t="s">
        <v>11</v>
      </c>
      <c r="Y19" s="194" t="s">
        <v>11</v>
      </c>
      <c r="Z19" s="194" t="s">
        <v>11</v>
      </c>
      <c r="AA19" s="194" t="s">
        <v>11</v>
      </c>
      <c r="AB19" s="194" t="s">
        <v>11</v>
      </c>
      <c r="AC19" s="194" t="s">
        <v>11</v>
      </c>
      <c r="AD19" s="194" t="s">
        <v>11</v>
      </c>
      <c r="AE19" s="194" t="s">
        <v>11</v>
      </c>
      <c r="AF19" s="194" t="s">
        <v>11</v>
      </c>
      <c r="AG19" s="194" t="s">
        <v>11</v>
      </c>
      <c r="AH19" s="29" t="s">
        <v>409</v>
      </c>
      <c r="AI19" s="161"/>
      <c r="AJ19" s="161"/>
    </row>
    <row r="20" spans="1:36" ht="38.25">
      <c r="A20" s="162" t="s">
        <v>312</v>
      </c>
      <c r="B20" s="170" t="s">
        <v>286</v>
      </c>
      <c r="C20" s="194" t="s">
        <v>11</v>
      </c>
      <c r="D20" s="194" t="s">
        <v>11</v>
      </c>
      <c r="E20" s="194" t="s">
        <v>11</v>
      </c>
      <c r="F20" s="194" t="s">
        <v>11</v>
      </c>
      <c r="G20" s="194" t="s">
        <v>11</v>
      </c>
      <c r="H20" s="194" t="s">
        <v>11</v>
      </c>
      <c r="I20" s="194" t="s">
        <v>11</v>
      </c>
      <c r="J20" s="194" t="s">
        <v>11</v>
      </c>
      <c r="K20" s="194" t="s">
        <v>11</v>
      </c>
      <c r="L20" s="194" t="s">
        <v>11</v>
      </c>
      <c r="M20" s="194" t="s">
        <v>11</v>
      </c>
      <c r="N20" s="194" t="s">
        <v>11</v>
      </c>
      <c r="O20" s="194" t="s">
        <v>11</v>
      </c>
      <c r="P20" s="194" t="s">
        <v>11</v>
      </c>
      <c r="Q20" s="194" t="s">
        <v>11</v>
      </c>
      <c r="R20" s="194" t="s">
        <v>11</v>
      </c>
      <c r="S20" s="194" t="s">
        <v>11</v>
      </c>
      <c r="T20" s="194" t="s">
        <v>11</v>
      </c>
      <c r="U20" s="194" t="s">
        <v>11</v>
      </c>
      <c r="V20" s="194" t="s">
        <v>11</v>
      </c>
      <c r="W20" s="194" t="s">
        <v>11</v>
      </c>
      <c r="X20" s="194" t="s">
        <v>11</v>
      </c>
      <c r="Y20" s="194" t="s">
        <v>11</v>
      </c>
      <c r="Z20" s="194" t="s">
        <v>11</v>
      </c>
      <c r="AA20" s="194" t="s">
        <v>11</v>
      </c>
      <c r="AB20" s="194" t="s">
        <v>11</v>
      </c>
      <c r="AC20" s="194" t="s">
        <v>11</v>
      </c>
      <c r="AD20" s="194" t="s">
        <v>11</v>
      </c>
      <c r="AE20" s="194" t="s">
        <v>11</v>
      </c>
      <c r="AF20" s="194" t="s">
        <v>11</v>
      </c>
      <c r="AG20" s="194" t="s">
        <v>11</v>
      </c>
      <c r="AH20" s="29" t="s">
        <v>409</v>
      </c>
      <c r="AI20" s="161"/>
      <c r="AJ20" s="161"/>
    </row>
    <row r="21" spans="1:36" ht="25.5">
      <c r="A21" s="162" t="s">
        <v>313</v>
      </c>
      <c r="B21" s="170" t="s">
        <v>287</v>
      </c>
      <c r="C21" s="194" t="s">
        <v>11</v>
      </c>
      <c r="D21" s="194" t="s">
        <v>11</v>
      </c>
      <c r="E21" s="194" t="s">
        <v>11</v>
      </c>
      <c r="F21" s="194" t="s">
        <v>11</v>
      </c>
      <c r="G21" s="194" t="s">
        <v>11</v>
      </c>
      <c r="H21" s="194" t="s">
        <v>11</v>
      </c>
      <c r="I21" s="194" t="s">
        <v>11</v>
      </c>
      <c r="J21" s="194" t="s">
        <v>11</v>
      </c>
      <c r="K21" s="194" t="s">
        <v>11</v>
      </c>
      <c r="L21" s="194" t="s">
        <v>11</v>
      </c>
      <c r="M21" s="194" t="s">
        <v>11</v>
      </c>
      <c r="N21" s="194" t="s">
        <v>11</v>
      </c>
      <c r="O21" s="194" t="s">
        <v>11</v>
      </c>
      <c r="P21" s="194" t="s">
        <v>11</v>
      </c>
      <c r="Q21" s="194" t="s">
        <v>11</v>
      </c>
      <c r="R21" s="194" t="s">
        <v>11</v>
      </c>
      <c r="S21" s="194" t="s">
        <v>11</v>
      </c>
      <c r="T21" s="194" t="s">
        <v>11</v>
      </c>
      <c r="U21" s="194" t="s">
        <v>11</v>
      </c>
      <c r="V21" s="194" t="s">
        <v>11</v>
      </c>
      <c r="W21" s="194" t="s">
        <v>11</v>
      </c>
      <c r="X21" s="194" t="s">
        <v>11</v>
      </c>
      <c r="Y21" s="194" t="s">
        <v>11</v>
      </c>
      <c r="Z21" s="194" t="s">
        <v>11</v>
      </c>
      <c r="AA21" s="194" t="s">
        <v>11</v>
      </c>
      <c r="AB21" s="194" t="s">
        <v>11</v>
      </c>
      <c r="AC21" s="194" t="s">
        <v>11</v>
      </c>
      <c r="AD21" s="194" t="s">
        <v>11</v>
      </c>
      <c r="AE21" s="194" t="s">
        <v>11</v>
      </c>
      <c r="AF21" s="194" t="s">
        <v>11</v>
      </c>
      <c r="AG21" s="194" t="s">
        <v>11</v>
      </c>
      <c r="AH21" s="29" t="s">
        <v>409</v>
      </c>
      <c r="AI21" s="161"/>
      <c r="AJ21" s="161"/>
    </row>
    <row r="22" spans="1:36" ht="38.25">
      <c r="A22" s="162" t="s">
        <v>314</v>
      </c>
      <c r="B22" s="170" t="s">
        <v>288</v>
      </c>
      <c r="C22" s="194" t="s">
        <v>11</v>
      </c>
      <c r="D22" s="194" t="s">
        <v>11</v>
      </c>
      <c r="E22" s="194" t="s">
        <v>11</v>
      </c>
      <c r="F22" s="194" t="s">
        <v>11</v>
      </c>
      <c r="G22" s="194" t="s">
        <v>11</v>
      </c>
      <c r="H22" s="194" t="s">
        <v>11</v>
      </c>
      <c r="I22" s="194" t="s">
        <v>11</v>
      </c>
      <c r="J22" s="194" t="s">
        <v>11</v>
      </c>
      <c r="K22" s="194" t="s">
        <v>11</v>
      </c>
      <c r="L22" s="194" t="s">
        <v>11</v>
      </c>
      <c r="M22" s="194" t="s">
        <v>11</v>
      </c>
      <c r="N22" s="194" t="s">
        <v>11</v>
      </c>
      <c r="O22" s="194" t="s">
        <v>11</v>
      </c>
      <c r="P22" s="194" t="s">
        <v>11</v>
      </c>
      <c r="Q22" s="194" t="s">
        <v>11</v>
      </c>
      <c r="R22" s="194" t="s">
        <v>11</v>
      </c>
      <c r="S22" s="194" t="s">
        <v>11</v>
      </c>
      <c r="T22" s="194" t="s">
        <v>11</v>
      </c>
      <c r="U22" s="194" t="s">
        <v>11</v>
      </c>
      <c r="V22" s="194" t="s">
        <v>11</v>
      </c>
      <c r="W22" s="194" t="s">
        <v>11</v>
      </c>
      <c r="X22" s="194" t="s">
        <v>11</v>
      </c>
      <c r="Y22" s="194" t="s">
        <v>11</v>
      </c>
      <c r="Z22" s="194" t="s">
        <v>11</v>
      </c>
      <c r="AA22" s="194" t="s">
        <v>11</v>
      </c>
      <c r="AB22" s="194" t="s">
        <v>11</v>
      </c>
      <c r="AC22" s="194" t="s">
        <v>11</v>
      </c>
      <c r="AD22" s="194" t="s">
        <v>11</v>
      </c>
      <c r="AE22" s="194" t="s">
        <v>11</v>
      </c>
      <c r="AF22" s="194" t="s">
        <v>11</v>
      </c>
      <c r="AG22" s="194" t="s">
        <v>11</v>
      </c>
      <c r="AH22" s="29" t="s">
        <v>409</v>
      </c>
      <c r="AI22" s="161"/>
      <c r="AJ22" s="161"/>
    </row>
    <row r="23" spans="1:36" ht="25.5">
      <c r="A23" s="162" t="s">
        <v>315</v>
      </c>
      <c r="B23" s="170" t="s">
        <v>289</v>
      </c>
      <c r="C23" s="194" t="s">
        <v>11</v>
      </c>
      <c r="D23" s="194" t="s">
        <v>11</v>
      </c>
      <c r="E23" s="194" t="s">
        <v>11</v>
      </c>
      <c r="F23" s="194" t="s">
        <v>11</v>
      </c>
      <c r="G23" s="194" t="s">
        <v>11</v>
      </c>
      <c r="H23" s="194" t="s">
        <v>11</v>
      </c>
      <c r="I23" s="194" t="s">
        <v>11</v>
      </c>
      <c r="J23" s="194" t="s">
        <v>11</v>
      </c>
      <c r="K23" s="194" t="s">
        <v>11</v>
      </c>
      <c r="L23" s="194" t="s">
        <v>11</v>
      </c>
      <c r="M23" s="194" t="s">
        <v>11</v>
      </c>
      <c r="N23" s="194" t="s">
        <v>11</v>
      </c>
      <c r="O23" s="194" t="s">
        <v>11</v>
      </c>
      <c r="P23" s="194" t="s">
        <v>11</v>
      </c>
      <c r="Q23" s="194" t="s">
        <v>11</v>
      </c>
      <c r="R23" s="194" t="s">
        <v>11</v>
      </c>
      <c r="S23" s="194" t="s">
        <v>11</v>
      </c>
      <c r="T23" s="194" t="s">
        <v>11</v>
      </c>
      <c r="U23" s="194" t="s">
        <v>11</v>
      </c>
      <c r="V23" s="194" t="s">
        <v>11</v>
      </c>
      <c r="W23" s="194" t="s">
        <v>11</v>
      </c>
      <c r="X23" s="194" t="s">
        <v>11</v>
      </c>
      <c r="Y23" s="194" t="s">
        <v>11</v>
      </c>
      <c r="Z23" s="194" t="s">
        <v>11</v>
      </c>
      <c r="AA23" s="194" t="s">
        <v>11</v>
      </c>
      <c r="AB23" s="194" t="s">
        <v>11</v>
      </c>
      <c r="AC23" s="194" t="s">
        <v>11</v>
      </c>
      <c r="AD23" s="194" t="s">
        <v>11</v>
      </c>
      <c r="AE23" s="194" t="s">
        <v>11</v>
      </c>
      <c r="AF23" s="194" t="s">
        <v>11</v>
      </c>
      <c r="AG23" s="194" t="s">
        <v>11</v>
      </c>
      <c r="AH23" s="29" t="s">
        <v>409</v>
      </c>
      <c r="AI23" s="161"/>
      <c r="AJ23" s="161"/>
    </row>
    <row r="24" spans="1:36" ht="18.75">
      <c r="A24" s="159"/>
      <c r="B24" s="167" t="s">
        <v>221</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c r="AG24" s="160"/>
      <c r="AH24" s="160"/>
      <c r="AI24" s="200"/>
      <c r="AJ24" s="200"/>
    </row>
    <row r="25" spans="1:36" ht="38.25">
      <c r="A25" s="162" t="s">
        <v>316</v>
      </c>
      <c r="B25" s="170" t="s">
        <v>211</v>
      </c>
      <c r="C25" s="194" t="s">
        <v>11</v>
      </c>
      <c r="D25" s="194" t="s">
        <v>11</v>
      </c>
      <c r="E25" s="194" t="s">
        <v>11</v>
      </c>
      <c r="F25" s="194" t="s">
        <v>11</v>
      </c>
      <c r="G25" s="194" t="s">
        <v>11</v>
      </c>
      <c r="H25" s="194" t="s">
        <v>11</v>
      </c>
      <c r="I25" s="194" t="s">
        <v>11</v>
      </c>
      <c r="J25" s="194" t="s">
        <v>11</v>
      </c>
      <c r="K25" s="194" t="s">
        <v>11</v>
      </c>
      <c r="L25" s="194" t="s">
        <v>11</v>
      </c>
      <c r="M25" s="194" t="s">
        <v>11</v>
      </c>
      <c r="N25" s="194" t="s">
        <v>11</v>
      </c>
      <c r="O25" s="194" t="s">
        <v>11</v>
      </c>
      <c r="P25" s="194" t="s">
        <v>11</v>
      </c>
      <c r="Q25" s="194" t="s">
        <v>11</v>
      </c>
      <c r="R25" s="194" t="s">
        <v>11</v>
      </c>
      <c r="S25" s="194" t="s">
        <v>11</v>
      </c>
      <c r="T25" s="194" t="s">
        <v>11</v>
      </c>
      <c r="U25" s="194" t="s">
        <v>11</v>
      </c>
      <c r="V25" s="194" t="s">
        <v>11</v>
      </c>
      <c r="W25" s="194" t="s">
        <v>11</v>
      </c>
      <c r="X25" s="194" t="s">
        <v>11</v>
      </c>
      <c r="Y25" s="194" t="s">
        <v>11</v>
      </c>
      <c r="Z25" s="194" t="s">
        <v>11</v>
      </c>
      <c r="AA25" s="194" t="s">
        <v>11</v>
      </c>
      <c r="AB25" s="194" t="s">
        <v>11</v>
      </c>
      <c r="AC25" s="194" t="s">
        <v>11</v>
      </c>
      <c r="AD25" s="194" t="s">
        <v>11</v>
      </c>
      <c r="AE25" s="194" t="s">
        <v>11</v>
      </c>
      <c r="AF25" s="194" t="s">
        <v>11</v>
      </c>
      <c r="AG25" s="194" t="s">
        <v>11</v>
      </c>
      <c r="AH25" s="203" t="s">
        <v>407</v>
      </c>
      <c r="AI25" s="161"/>
      <c r="AJ25" s="161"/>
    </row>
    <row r="26" spans="1:36" ht="25.5">
      <c r="A26" s="162" t="s">
        <v>317</v>
      </c>
      <c r="B26" s="170" t="s">
        <v>212</v>
      </c>
      <c r="C26" s="194" t="s">
        <v>217</v>
      </c>
      <c r="D26" s="194" t="s">
        <v>217</v>
      </c>
      <c r="E26" s="194" t="s">
        <v>217</v>
      </c>
      <c r="F26" s="194" t="s">
        <v>217</v>
      </c>
      <c r="G26" s="194" t="s">
        <v>217</v>
      </c>
      <c r="H26" s="194" t="s">
        <v>217</v>
      </c>
      <c r="I26" s="194" t="s">
        <v>217</v>
      </c>
      <c r="J26" s="194" t="s">
        <v>217</v>
      </c>
      <c r="K26" s="194" t="s">
        <v>217</v>
      </c>
      <c r="L26" s="194" t="s">
        <v>217</v>
      </c>
      <c r="M26" s="194" t="s">
        <v>217</v>
      </c>
      <c r="N26" s="194" t="s">
        <v>217</v>
      </c>
      <c r="O26" s="194" t="s">
        <v>217</v>
      </c>
      <c r="P26" s="194" t="s">
        <v>217</v>
      </c>
      <c r="Q26" s="194" t="s">
        <v>217</v>
      </c>
      <c r="R26" s="194" t="s">
        <v>217</v>
      </c>
      <c r="S26" s="194" t="s">
        <v>217</v>
      </c>
      <c r="T26" s="194" t="s">
        <v>217</v>
      </c>
      <c r="U26" s="194" t="s">
        <v>217</v>
      </c>
      <c r="V26" s="194" t="s">
        <v>217</v>
      </c>
      <c r="W26" s="194" t="s">
        <v>217</v>
      </c>
      <c r="X26" s="194" t="s">
        <v>217</v>
      </c>
      <c r="Y26" s="194" t="s">
        <v>217</v>
      </c>
      <c r="Z26" s="194" t="s">
        <v>217</v>
      </c>
      <c r="AA26" s="194" t="s">
        <v>217</v>
      </c>
      <c r="AB26" s="194" t="s">
        <v>217</v>
      </c>
      <c r="AC26" s="194" t="s">
        <v>217</v>
      </c>
      <c r="AD26" s="194" t="s">
        <v>217</v>
      </c>
      <c r="AE26" s="194" t="s">
        <v>217</v>
      </c>
      <c r="AF26" s="194" t="s">
        <v>217</v>
      </c>
      <c r="AG26" s="194" t="s">
        <v>217</v>
      </c>
      <c r="AH26" s="195"/>
      <c r="AI26" s="161"/>
      <c r="AJ26" s="161"/>
    </row>
    <row r="27" spans="1:36" ht="38.25">
      <c r="A27" s="162" t="s">
        <v>318</v>
      </c>
      <c r="B27" s="170" t="s">
        <v>213</v>
      </c>
      <c r="C27" s="194" t="s">
        <v>217</v>
      </c>
      <c r="D27" s="194" t="s">
        <v>217</v>
      </c>
      <c r="E27" s="194" t="s">
        <v>217</v>
      </c>
      <c r="F27" s="194" t="s">
        <v>217</v>
      </c>
      <c r="G27" s="194" t="s">
        <v>217</v>
      </c>
      <c r="H27" s="194" t="s">
        <v>217</v>
      </c>
      <c r="I27" s="194" t="s">
        <v>217</v>
      </c>
      <c r="J27" s="194" t="s">
        <v>217</v>
      </c>
      <c r="K27" s="194" t="s">
        <v>217</v>
      </c>
      <c r="L27" s="194" t="s">
        <v>217</v>
      </c>
      <c r="M27" s="194" t="s">
        <v>217</v>
      </c>
      <c r="N27" s="194" t="s">
        <v>217</v>
      </c>
      <c r="O27" s="194" t="s">
        <v>217</v>
      </c>
      <c r="P27" s="194" t="s">
        <v>217</v>
      </c>
      <c r="Q27" s="194" t="s">
        <v>217</v>
      </c>
      <c r="R27" s="194" t="s">
        <v>217</v>
      </c>
      <c r="S27" s="194" t="s">
        <v>217</v>
      </c>
      <c r="T27" s="194" t="s">
        <v>217</v>
      </c>
      <c r="U27" s="194" t="s">
        <v>217</v>
      </c>
      <c r="V27" s="194" t="s">
        <v>217</v>
      </c>
      <c r="W27" s="194" t="s">
        <v>217</v>
      </c>
      <c r="X27" s="194" t="s">
        <v>217</v>
      </c>
      <c r="Y27" s="194" t="s">
        <v>217</v>
      </c>
      <c r="Z27" s="194" t="s">
        <v>217</v>
      </c>
      <c r="AA27" s="194" t="s">
        <v>217</v>
      </c>
      <c r="AB27" s="194" t="s">
        <v>217</v>
      </c>
      <c r="AC27" s="194" t="s">
        <v>217</v>
      </c>
      <c r="AD27" s="194" t="s">
        <v>217</v>
      </c>
      <c r="AE27" s="194" t="s">
        <v>217</v>
      </c>
      <c r="AF27" s="194" t="s">
        <v>217</v>
      </c>
      <c r="AG27" s="194" t="s">
        <v>217</v>
      </c>
      <c r="AH27" s="195"/>
      <c r="AI27" s="161"/>
      <c r="AJ27" s="161"/>
    </row>
    <row r="28" spans="1:36" ht="38.25">
      <c r="A28" s="162" t="s">
        <v>319</v>
      </c>
      <c r="B28" s="170" t="s">
        <v>214</v>
      </c>
      <c r="C28" s="194" t="s">
        <v>217</v>
      </c>
      <c r="D28" s="194" t="s">
        <v>217</v>
      </c>
      <c r="E28" s="194" t="s">
        <v>217</v>
      </c>
      <c r="F28" s="194" t="s">
        <v>217</v>
      </c>
      <c r="G28" s="194" t="s">
        <v>217</v>
      </c>
      <c r="H28" s="194" t="s">
        <v>217</v>
      </c>
      <c r="I28" s="194" t="s">
        <v>217</v>
      </c>
      <c r="J28" s="194" t="s">
        <v>217</v>
      </c>
      <c r="K28" s="194" t="s">
        <v>217</v>
      </c>
      <c r="L28" s="194" t="s">
        <v>217</v>
      </c>
      <c r="M28" s="194" t="s">
        <v>217</v>
      </c>
      <c r="N28" s="194" t="s">
        <v>217</v>
      </c>
      <c r="O28" s="194" t="s">
        <v>217</v>
      </c>
      <c r="P28" s="194" t="s">
        <v>217</v>
      </c>
      <c r="Q28" s="194" t="s">
        <v>217</v>
      </c>
      <c r="R28" s="194" t="s">
        <v>217</v>
      </c>
      <c r="S28" s="194" t="s">
        <v>217</v>
      </c>
      <c r="T28" s="194" t="s">
        <v>217</v>
      </c>
      <c r="U28" s="194" t="s">
        <v>217</v>
      </c>
      <c r="V28" s="194" t="s">
        <v>217</v>
      </c>
      <c r="W28" s="194" t="s">
        <v>217</v>
      </c>
      <c r="X28" s="194" t="s">
        <v>217</v>
      </c>
      <c r="Y28" s="194" t="s">
        <v>217</v>
      </c>
      <c r="Z28" s="194" t="s">
        <v>217</v>
      </c>
      <c r="AA28" s="194" t="s">
        <v>217</v>
      </c>
      <c r="AB28" s="194" t="s">
        <v>217</v>
      </c>
      <c r="AC28" s="194" t="s">
        <v>217</v>
      </c>
      <c r="AD28" s="194" t="s">
        <v>217</v>
      </c>
      <c r="AE28" s="194" t="s">
        <v>217</v>
      </c>
      <c r="AF28" s="194" t="s">
        <v>217</v>
      </c>
      <c r="AG28" s="194" t="s">
        <v>217</v>
      </c>
      <c r="AH28" s="195"/>
      <c r="AI28" s="161"/>
      <c r="AJ28" s="161"/>
    </row>
    <row r="29" spans="1:36" ht="18.75">
      <c r="A29" s="159"/>
      <c r="B29" s="167" t="s">
        <v>222</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c r="AG29" s="160"/>
      <c r="AH29" s="160"/>
      <c r="AI29" s="200"/>
      <c r="AJ29" s="200"/>
    </row>
    <row r="30" spans="1:36" ht="38.25">
      <c r="A30" s="162" t="s">
        <v>320</v>
      </c>
      <c r="B30" s="170" t="s">
        <v>215</v>
      </c>
      <c r="C30" s="194" t="s">
        <v>217</v>
      </c>
      <c r="D30" s="194" t="s">
        <v>217</v>
      </c>
      <c r="E30" s="194" t="s">
        <v>217</v>
      </c>
      <c r="F30" s="194" t="s">
        <v>217</v>
      </c>
      <c r="G30" s="194" t="s">
        <v>217</v>
      </c>
      <c r="H30" s="194" t="s">
        <v>217</v>
      </c>
      <c r="I30" s="194" t="s">
        <v>217</v>
      </c>
      <c r="J30" s="194" t="s">
        <v>217</v>
      </c>
      <c r="K30" s="194" t="s">
        <v>217</v>
      </c>
      <c r="L30" s="194" t="s">
        <v>217</v>
      </c>
      <c r="M30" s="194" t="s">
        <v>217</v>
      </c>
      <c r="N30" s="194" t="s">
        <v>217</v>
      </c>
      <c r="O30" s="194" t="s">
        <v>217</v>
      </c>
      <c r="P30" s="194" t="s">
        <v>217</v>
      </c>
      <c r="Q30" s="194" t="s">
        <v>217</v>
      </c>
      <c r="R30" s="194" t="s">
        <v>217</v>
      </c>
      <c r="S30" s="194" t="s">
        <v>217</v>
      </c>
      <c r="T30" s="194" t="s">
        <v>217</v>
      </c>
      <c r="U30" s="194" t="s">
        <v>217</v>
      </c>
      <c r="V30" s="194" t="s">
        <v>217</v>
      </c>
      <c r="W30" s="194" t="s">
        <v>217</v>
      </c>
      <c r="X30" s="194" t="s">
        <v>217</v>
      </c>
      <c r="Y30" s="194" t="s">
        <v>217</v>
      </c>
      <c r="Z30" s="194" t="s">
        <v>217</v>
      </c>
      <c r="AA30" s="194" t="s">
        <v>217</v>
      </c>
      <c r="AB30" s="194" t="s">
        <v>217</v>
      </c>
      <c r="AC30" s="194" t="s">
        <v>217</v>
      </c>
      <c r="AD30" s="194" t="s">
        <v>217</v>
      </c>
      <c r="AE30" s="194" t="s">
        <v>217</v>
      </c>
      <c r="AF30" s="194" t="s">
        <v>217</v>
      </c>
      <c r="AG30" s="194" t="s">
        <v>217</v>
      </c>
      <c r="AH30" s="195"/>
      <c r="AI30" s="161"/>
      <c r="AJ30" s="161"/>
    </row>
    <row r="31" spans="1:36" ht="38.25">
      <c r="A31" s="162" t="s">
        <v>321</v>
      </c>
      <c r="B31" s="170" t="s">
        <v>216</v>
      </c>
      <c r="C31" s="194" t="s">
        <v>217</v>
      </c>
      <c r="D31" s="194" t="s">
        <v>217</v>
      </c>
      <c r="E31" s="194" t="s">
        <v>217</v>
      </c>
      <c r="F31" s="194" t="s">
        <v>217</v>
      </c>
      <c r="G31" s="194" t="s">
        <v>217</v>
      </c>
      <c r="H31" s="194" t="s">
        <v>217</v>
      </c>
      <c r="I31" s="194" t="s">
        <v>217</v>
      </c>
      <c r="J31" s="194" t="s">
        <v>217</v>
      </c>
      <c r="K31" s="194" t="s">
        <v>217</v>
      </c>
      <c r="L31" s="194" t="s">
        <v>217</v>
      </c>
      <c r="M31" s="194" t="s">
        <v>217</v>
      </c>
      <c r="N31" s="194" t="s">
        <v>217</v>
      </c>
      <c r="O31" s="194" t="s">
        <v>217</v>
      </c>
      <c r="P31" s="194" t="s">
        <v>217</v>
      </c>
      <c r="Q31" s="194" t="s">
        <v>217</v>
      </c>
      <c r="R31" s="194" t="s">
        <v>217</v>
      </c>
      <c r="S31" s="194" t="s">
        <v>217</v>
      </c>
      <c r="T31" s="194" t="s">
        <v>217</v>
      </c>
      <c r="U31" s="194" t="s">
        <v>217</v>
      </c>
      <c r="V31" s="194" t="s">
        <v>217</v>
      </c>
      <c r="W31" s="194" t="s">
        <v>217</v>
      </c>
      <c r="X31" s="194" t="s">
        <v>217</v>
      </c>
      <c r="Y31" s="194" t="s">
        <v>217</v>
      </c>
      <c r="Z31" s="194" t="s">
        <v>217</v>
      </c>
      <c r="AA31" s="194" t="s">
        <v>217</v>
      </c>
      <c r="AB31" s="194" t="s">
        <v>217</v>
      </c>
      <c r="AC31" s="194" t="s">
        <v>217</v>
      </c>
      <c r="AD31" s="194" t="s">
        <v>217</v>
      </c>
      <c r="AE31" s="194" t="s">
        <v>217</v>
      </c>
      <c r="AF31" s="194" t="s">
        <v>217</v>
      </c>
      <c r="AG31" s="194" t="s">
        <v>217</v>
      </c>
      <c r="AH31" s="195"/>
      <c r="AI31" s="161"/>
      <c r="AJ31" s="161"/>
    </row>
    <row r="32" spans="1:36" ht="18.75">
      <c r="A32" s="159"/>
      <c r="B32" s="167" t="s">
        <v>209</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c r="AI32" s="200"/>
      <c r="AJ32" s="200"/>
    </row>
    <row r="33" spans="1:36" ht="51">
      <c r="A33" s="162" t="s">
        <v>322</v>
      </c>
      <c r="B33" s="170" t="s">
        <v>210</v>
      </c>
      <c r="C33" s="194" t="s">
        <v>11</v>
      </c>
      <c r="D33" s="194" t="s">
        <v>11</v>
      </c>
      <c r="E33" s="194" t="s">
        <v>11</v>
      </c>
      <c r="F33" s="194" t="s">
        <v>11</v>
      </c>
      <c r="G33" s="194" t="s">
        <v>11</v>
      </c>
      <c r="H33" s="194" t="s">
        <v>11</v>
      </c>
      <c r="I33" s="194" t="s">
        <v>11</v>
      </c>
      <c r="J33" s="194" t="s">
        <v>11</v>
      </c>
      <c r="K33" s="194" t="s">
        <v>11</v>
      </c>
      <c r="L33" s="194" t="s">
        <v>11</v>
      </c>
      <c r="M33" s="194" t="s">
        <v>11</v>
      </c>
      <c r="N33" s="194" t="s">
        <v>11</v>
      </c>
      <c r="O33" s="194" t="s">
        <v>11</v>
      </c>
      <c r="P33" s="194" t="s">
        <v>11</v>
      </c>
      <c r="Q33" s="194" t="s">
        <v>11</v>
      </c>
      <c r="R33" s="194" t="s">
        <v>11</v>
      </c>
      <c r="S33" s="194" t="s">
        <v>11</v>
      </c>
      <c r="T33" s="194" t="s">
        <v>11</v>
      </c>
      <c r="U33" s="194" t="s">
        <v>11</v>
      </c>
      <c r="V33" s="194" t="s">
        <v>11</v>
      </c>
      <c r="W33" s="194" t="s">
        <v>11</v>
      </c>
      <c r="X33" s="194" t="s">
        <v>11</v>
      </c>
      <c r="Y33" s="194" t="s">
        <v>11</v>
      </c>
      <c r="Z33" s="194" t="s">
        <v>11</v>
      </c>
      <c r="AA33" s="194" t="s">
        <v>11</v>
      </c>
      <c r="AB33" s="194" t="s">
        <v>11</v>
      </c>
      <c r="AC33" s="194" t="s">
        <v>11</v>
      </c>
      <c r="AD33" s="194" t="s">
        <v>11</v>
      </c>
      <c r="AE33" s="194" t="s">
        <v>11</v>
      </c>
      <c r="AF33" s="194" t="s">
        <v>11</v>
      </c>
      <c r="AG33" s="194" t="s">
        <v>11</v>
      </c>
      <c r="AH33" s="203" t="s">
        <v>364</v>
      </c>
      <c r="AI33" s="161"/>
      <c r="AJ33" s="161"/>
    </row>
    <row r="34" spans="1:36" ht="18">
      <c r="A34" s="196"/>
      <c r="B34" s="197" t="s">
        <v>226</v>
      </c>
      <c r="C34" s="196"/>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row>
    <row r="35" spans="1:36" ht="15">
      <c r="A35" s="163"/>
      <c r="B35" s="164"/>
      <c r="C35" s="16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6"/>
    </row>
    <row r="36" spans="1:36" ht="15">
      <c r="A36" s="201"/>
      <c r="B36" s="202" t="s">
        <v>340</v>
      </c>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row>
  </sheetData>
  <mergeCells count="1">
    <mergeCell ref="AI2:AJ2"/>
  </mergeCells>
  <conditionalFormatting sqref="C6">
    <cfRule type="cellIs" dxfId="1448" priority="3910" operator="equal">
      <formula>"No"</formula>
    </cfRule>
    <cfRule type="cellIs" dxfId="1447" priority="3911" operator="equal">
      <formula>"NA"</formula>
    </cfRule>
    <cfRule type="cellIs" dxfId="1446" priority="3912" operator="equal">
      <formula>"Yes"</formula>
    </cfRule>
  </conditionalFormatting>
  <conditionalFormatting sqref="C7">
    <cfRule type="cellIs" dxfId="1445" priority="3864" operator="equal">
      <formula>"No"</formula>
    </cfRule>
    <cfRule type="cellIs" dxfId="1444" priority="3865" operator="equal">
      <formula>"NA"</formula>
    </cfRule>
    <cfRule type="cellIs" dxfId="1443" priority="3866" operator="equal">
      <formula>"Yes"</formula>
    </cfRule>
  </conditionalFormatting>
  <conditionalFormatting sqref="C10">
    <cfRule type="cellIs" dxfId="1442" priority="3772" operator="equal">
      <formula>"No"</formula>
    </cfRule>
    <cfRule type="cellIs" dxfId="1441" priority="3773" operator="equal">
      <formula>"NA"</formula>
    </cfRule>
    <cfRule type="cellIs" dxfId="1440" priority="3774" operator="equal">
      <formula>"Yes"</formula>
    </cfRule>
  </conditionalFormatting>
  <conditionalFormatting sqref="C12">
    <cfRule type="cellIs" dxfId="1439" priority="3680" operator="equal">
      <formula>"No"</formula>
    </cfRule>
    <cfRule type="cellIs" dxfId="1438" priority="3681" operator="equal">
      <formula>"NA"</formula>
    </cfRule>
    <cfRule type="cellIs" dxfId="1437" priority="3682" operator="equal">
      <formula>"Yes"</formula>
    </cfRule>
  </conditionalFormatting>
  <conditionalFormatting sqref="C15">
    <cfRule type="cellIs" dxfId="1436" priority="3542" operator="equal">
      <formula>"No"</formula>
    </cfRule>
    <cfRule type="cellIs" dxfId="1435" priority="3543" operator="equal">
      <formula>"NA"</formula>
    </cfRule>
    <cfRule type="cellIs" dxfId="1434" priority="3544" operator="equal">
      <formula>"Yes"</formula>
    </cfRule>
  </conditionalFormatting>
  <conditionalFormatting sqref="C16">
    <cfRule type="cellIs" dxfId="1433" priority="3496" operator="equal">
      <formula>"No"</formula>
    </cfRule>
    <cfRule type="cellIs" dxfId="1432" priority="3497" operator="equal">
      <formula>"NA"</formula>
    </cfRule>
    <cfRule type="cellIs" dxfId="1431" priority="3498" operator="equal">
      <formula>"Yes"</formula>
    </cfRule>
  </conditionalFormatting>
  <conditionalFormatting sqref="C17">
    <cfRule type="cellIs" dxfId="1430" priority="3450" operator="equal">
      <formula>"No"</formula>
    </cfRule>
    <cfRule type="cellIs" dxfId="1429" priority="3451" operator="equal">
      <formula>"NA"</formula>
    </cfRule>
    <cfRule type="cellIs" dxfId="1428" priority="3452" operator="equal">
      <formula>"Yes"</formula>
    </cfRule>
  </conditionalFormatting>
  <conditionalFormatting sqref="C25">
    <cfRule type="cellIs" dxfId="1427" priority="3128" operator="equal">
      <formula>"No"</formula>
    </cfRule>
    <cfRule type="cellIs" dxfId="1426" priority="3129" operator="equal">
      <formula>"NA"</formula>
    </cfRule>
    <cfRule type="cellIs" dxfId="1425" priority="3130" operator="equal">
      <formula>"Yes"</formula>
    </cfRule>
  </conditionalFormatting>
  <conditionalFormatting sqref="C26">
    <cfRule type="cellIs" dxfId="1424" priority="3082" operator="equal">
      <formula>"No"</formula>
    </cfRule>
    <cfRule type="cellIs" dxfId="1423" priority="3083" operator="equal">
      <formula>"NA"</formula>
    </cfRule>
    <cfRule type="cellIs" dxfId="1422" priority="3084" operator="equal">
      <formula>"Yes"</formula>
    </cfRule>
  </conditionalFormatting>
  <conditionalFormatting sqref="C27">
    <cfRule type="cellIs" dxfId="1421" priority="3036" operator="equal">
      <formula>"No"</formula>
    </cfRule>
    <cfRule type="cellIs" dxfId="1420" priority="3037" operator="equal">
      <formula>"NA"</formula>
    </cfRule>
    <cfRule type="cellIs" dxfId="1419" priority="3038" operator="equal">
      <formula>"Yes"</formula>
    </cfRule>
  </conditionalFormatting>
  <conditionalFormatting sqref="C28">
    <cfRule type="cellIs" dxfId="1418" priority="2990" operator="equal">
      <formula>"No"</formula>
    </cfRule>
    <cfRule type="cellIs" dxfId="1417" priority="2991" operator="equal">
      <formula>"NA"</formula>
    </cfRule>
    <cfRule type="cellIs" dxfId="1416" priority="2992" operator="equal">
      <formula>"Yes"</formula>
    </cfRule>
  </conditionalFormatting>
  <conditionalFormatting sqref="C30">
    <cfRule type="cellIs" dxfId="1415" priority="2944" operator="equal">
      <formula>"No"</formula>
    </cfRule>
    <cfRule type="cellIs" dxfId="1414" priority="2945" operator="equal">
      <formula>"NA"</formula>
    </cfRule>
    <cfRule type="cellIs" dxfId="1413" priority="2946" operator="equal">
      <formula>"Yes"</formula>
    </cfRule>
  </conditionalFormatting>
  <conditionalFormatting sqref="C31">
    <cfRule type="cellIs" dxfId="1412" priority="2898" operator="equal">
      <formula>"No"</formula>
    </cfRule>
    <cfRule type="cellIs" dxfId="1411" priority="2899" operator="equal">
      <formula>"NA"</formula>
    </cfRule>
    <cfRule type="cellIs" dxfId="1410" priority="2900" operator="equal">
      <formula>"Yes"</formula>
    </cfRule>
  </conditionalFormatting>
  <conditionalFormatting sqref="C33">
    <cfRule type="cellIs" dxfId="1409" priority="2852" operator="equal">
      <formula>"No"</formula>
    </cfRule>
    <cfRule type="cellIs" dxfId="1408" priority="2853" operator="equal">
      <formula>"NA"</formula>
    </cfRule>
    <cfRule type="cellIs" dxfId="1407" priority="2854" operator="equal">
      <formula>"Yes"</formula>
    </cfRule>
  </conditionalFormatting>
  <conditionalFormatting sqref="C9">
    <cfRule type="cellIs" dxfId="1406" priority="1726" operator="equal">
      <formula>"No"</formula>
    </cfRule>
    <cfRule type="cellIs" dxfId="1405" priority="1727" operator="equal">
      <formula>"NA"</formula>
    </cfRule>
    <cfRule type="cellIs" dxfId="1404" priority="1728" operator="equal">
      <formula>"Yes"</formula>
    </cfRule>
  </conditionalFormatting>
  <conditionalFormatting sqref="C11">
    <cfRule type="cellIs" dxfId="1403" priority="1723" operator="equal">
      <formula>"No"</formula>
    </cfRule>
    <cfRule type="cellIs" dxfId="1402" priority="1724" operator="equal">
      <formula>"NA"</formula>
    </cfRule>
    <cfRule type="cellIs" dxfId="1401" priority="1725" operator="equal">
      <formula>"Yes"</formula>
    </cfRule>
  </conditionalFormatting>
  <conditionalFormatting sqref="C14">
    <cfRule type="cellIs" dxfId="1400" priority="1720" operator="equal">
      <formula>"No"</formula>
    </cfRule>
    <cfRule type="cellIs" dxfId="1399" priority="1721" operator="equal">
      <formula>"NA"</formula>
    </cfRule>
    <cfRule type="cellIs" dxfId="1398" priority="1722" operator="equal">
      <formula>"Yes"</formula>
    </cfRule>
  </conditionalFormatting>
  <conditionalFormatting sqref="D6">
    <cfRule type="cellIs" dxfId="1397" priority="1429" operator="equal">
      <formula>"No"</formula>
    </cfRule>
    <cfRule type="cellIs" dxfId="1396" priority="1430" operator="equal">
      <formula>"NA"</formula>
    </cfRule>
    <cfRule type="cellIs" dxfId="1395" priority="1431" operator="equal">
      <formula>"Yes"</formula>
    </cfRule>
  </conditionalFormatting>
  <conditionalFormatting sqref="D7">
    <cfRule type="cellIs" dxfId="1394" priority="1426" operator="equal">
      <formula>"No"</formula>
    </cfRule>
    <cfRule type="cellIs" dxfId="1393" priority="1427" operator="equal">
      <formula>"NA"</formula>
    </cfRule>
    <cfRule type="cellIs" dxfId="1392" priority="1428" operator="equal">
      <formula>"Yes"</formula>
    </cfRule>
  </conditionalFormatting>
  <conditionalFormatting sqref="D10">
    <cfRule type="cellIs" dxfId="1391" priority="1423" operator="equal">
      <formula>"No"</formula>
    </cfRule>
    <cfRule type="cellIs" dxfId="1390" priority="1424" operator="equal">
      <formula>"NA"</formula>
    </cfRule>
    <cfRule type="cellIs" dxfId="1389" priority="1425" operator="equal">
      <formula>"Yes"</formula>
    </cfRule>
  </conditionalFormatting>
  <conditionalFormatting sqref="D16">
    <cfRule type="cellIs" dxfId="1388" priority="1411" operator="equal">
      <formula>"No"</formula>
    </cfRule>
    <cfRule type="cellIs" dxfId="1387" priority="1412" operator="equal">
      <formula>"NA"</formula>
    </cfRule>
    <cfRule type="cellIs" dxfId="1386" priority="1413" operator="equal">
      <formula>"Yes"</formula>
    </cfRule>
  </conditionalFormatting>
  <conditionalFormatting sqref="D25">
    <cfRule type="cellIs" dxfId="1385" priority="1387" operator="equal">
      <formula>"No"</formula>
    </cfRule>
    <cfRule type="cellIs" dxfId="1384" priority="1388" operator="equal">
      <formula>"NA"</formula>
    </cfRule>
    <cfRule type="cellIs" dxfId="1383" priority="1389" operator="equal">
      <formula>"Yes"</formula>
    </cfRule>
  </conditionalFormatting>
  <conditionalFormatting sqref="D26">
    <cfRule type="cellIs" dxfId="1382" priority="1384" operator="equal">
      <formula>"No"</formula>
    </cfRule>
    <cfRule type="cellIs" dxfId="1381" priority="1385" operator="equal">
      <formula>"NA"</formula>
    </cfRule>
    <cfRule type="cellIs" dxfId="1380" priority="1386" operator="equal">
      <formula>"Yes"</formula>
    </cfRule>
  </conditionalFormatting>
  <conditionalFormatting sqref="D27">
    <cfRule type="cellIs" dxfId="1379" priority="1381" operator="equal">
      <formula>"No"</formula>
    </cfRule>
    <cfRule type="cellIs" dxfId="1378" priority="1382" operator="equal">
      <formula>"NA"</formula>
    </cfRule>
    <cfRule type="cellIs" dxfId="1377" priority="1383" operator="equal">
      <formula>"Yes"</formula>
    </cfRule>
  </conditionalFormatting>
  <conditionalFormatting sqref="D28">
    <cfRule type="cellIs" dxfId="1376" priority="1378" operator="equal">
      <formula>"No"</formula>
    </cfRule>
    <cfRule type="cellIs" dxfId="1375" priority="1379" operator="equal">
      <formula>"NA"</formula>
    </cfRule>
    <cfRule type="cellIs" dxfId="1374" priority="1380" operator="equal">
      <formula>"Yes"</formula>
    </cfRule>
  </conditionalFormatting>
  <conditionalFormatting sqref="D30">
    <cfRule type="cellIs" dxfId="1373" priority="1375" operator="equal">
      <formula>"No"</formula>
    </cfRule>
    <cfRule type="cellIs" dxfId="1372" priority="1376" operator="equal">
      <formula>"NA"</formula>
    </cfRule>
    <cfRule type="cellIs" dxfId="1371" priority="1377" operator="equal">
      <formula>"Yes"</formula>
    </cfRule>
  </conditionalFormatting>
  <conditionalFormatting sqref="D31">
    <cfRule type="cellIs" dxfId="1370" priority="1372" operator="equal">
      <formula>"No"</formula>
    </cfRule>
    <cfRule type="cellIs" dxfId="1369" priority="1373" operator="equal">
      <formula>"NA"</formula>
    </cfRule>
    <cfRule type="cellIs" dxfId="1368" priority="1374" operator="equal">
      <formula>"Yes"</formula>
    </cfRule>
  </conditionalFormatting>
  <conditionalFormatting sqref="D33">
    <cfRule type="cellIs" dxfId="1367" priority="1369" operator="equal">
      <formula>"No"</formula>
    </cfRule>
    <cfRule type="cellIs" dxfId="1366" priority="1370" operator="equal">
      <formula>"NA"</formula>
    </cfRule>
    <cfRule type="cellIs" dxfId="1365" priority="1371" operator="equal">
      <formula>"Yes"</formula>
    </cfRule>
  </conditionalFormatting>
  <conditionalFormatting sqref="D9">
    <cfRule type="cellIs" dxfId="1364" priority="1366" operator="equal">
      <formula>"No"</formula>
    </cfRule>
    <cfRule type="cellIs" dxfId="1363" priority="1367" operator="equal">
      <formula>"NA"</formula>
    </cfRule>
    <cfRule type="cellIs" dxfId="1362" priority="1368" operator="equal">
      <formula>"Yes"</formula>
    </cfRule>
  </conditionalFormatting>
  <conditionalFormatting sqref="D11">
    <cfRule type="cellIs" dxfId="1361" priority="1363" operator="equal">
      <formula>"No"</formula>
    </cfRule>
    <cfRule type="cellIs" dxfId="1360" priority="1364" operator="equal">
      <formula>"NA"</formula>
    </cfRule>
    <cfRule type="cellIs" dxfId="1359" priority="1365" operator="equal">
      <formula>"Yes"</formula>
    </cfRule>
  </conditionalFormatting>
  <conditionalFormatting sqref="C18:C23">
    <cfRule type="cellIs" dxfId="1358" priority="1357" operator="equal">
      <formula>"No"</formula>
    </cfRule>
    <cfRule type="cellIs" dxfId="1357" priority="1358" operator="equal">
      <formula>"NA"</formula>
    </cfRule>
    <cfRule type="cellIs" dxfId="1356" priority="1359" operator="equal">
      <formula>"Yes"</formula>
    </cfRule>
  </conditionalFormatting>
  <conditionalFormatting sqref="D12 D14:D15">
    <cfRule type="cellIs" dxfId="1355" priority="1354" operator="equal">
      <formula>"No"</formula>
    </cfRule>
    <cfRule type="cellIs" dxfId="1354" priority="1355" operator="equal">
      <formula>"NA"</formula>
    </cfRule>
    <cfRule type="cellIs" dxfId="1353" priority="1356" operator="equal">
      <formula>"Yes"</formula>
    </cfRule>
  </conditionalFormatting>
  <conditionalFormatting sqref="D17:D23">
    <cfRule type="cellIs" dxfId="1352" priority="1351" operator="equal">
      <formula>"No"</formula>
    </cfRule>
    <cfRule type="cellIs" dxfId="1351" priority="1352" operator="equal">
      <formula>"NA"</formula>
    </cfRule>
    <cfRule type="cellIs" dxfId="1350" priority="1353" operator="equal">
      <formula>"Yes"</formula>
    </cfRule>
  </conditionalFormatting>
  <conditionalFormatting sqref="C13">
    <cfRule type="cellIs" dxfId="1349" priority="1348" operator="equal">
      <formula>"No"</formula>
    </cfRule>
    <cfRule type="cellIs" dxfId="1348" priority="1349" operator="equal">
      <formula>"NA"</formula>
    </cfRule>
    <cfRule type="cellIs" dxfId="1347" priority="1350" operator="equal">
      <formula>"Yes"</formula>
    </cfRule>
  </conditionalFormatting>
  <conditionalFormatting sqref="D13">
    <cfRule type="cellIs" dxfId="1346" priority="1345" operator="equal">
      <formula>"No"</formula>
    </cfRule>
    <cfRule type="cellIs" dxfId="1345" priority="1346" operator="equal">
      <formula>"NA"</formula>
    </cfRule>
    <cfRule type="cellIs" dxfId="1344" priority="1347" operator="equal">
      <formula>"Yes"</formula>
    </cfRule>
  </conditionalFormatting>
  <conditionalFormatting sqref="E6">
    <cfRule type="cellIs" dxfId="1343" priority="1342" operator="equal">
      <formula>"No"</formula>
    </cfRule>
    <cfRule type="cellIs" dxfId="1342" priority="1343" operator="equal">
      <formula>"NA"</formula>
    </cfRule>
    <cfRule type="cellIs" dxfId="1341" priority="1344" operator="equal">
      <formula>"Yes"</formula>
    </cfRule>
  </conditionalFormatting>
  <conditionalFormatting sqref="E7">
    <cfRule type="cellIs" dxfId="1340" priority="1339" operator="equal">
      <formula>"No"</formula>
    </cfRule>
    <cfRule type="cellIs" dxfId="1339" priority="1340" operator="equal">
      <formula>"NA"</formula>
    </cfRule>
    <cfRule type="cellIs" dxfId="1338" priority="1341" operator="equal">
      <formula>"Yes"</formula>
    </cfRule>
  </conditionalFormatting>
  <conditionalFormatting sqref="E10">
    <cfRule type="cellIs" dxfId="1337" priority="1336" operator="equal">
      <formula>"No"</formula>
    </cfRule>
    <cfRule type="cellIs" dxfId="1336" priority="1337" operator="equal">
      <formula>"NA"</formula>
    </cfRule>
    <cfRule type="cellIs" dxfId="1335" priority="1338" operator="equal">
      <formula>"Yes"</formula>
    </cfRule>
  </conditionalFormatting>
  <conditionalFormatting sqref="E16">
    <cfRule type="cellIs" dxfId="1334" priority="1333" operator="equal">
      <formula>"No"</formula>
    </cfRule>
    <cfRule type="cellIs" dxfId="1333" priority="1334" operator="equal">
      <formula>"NA"</formula>
    </cfRule>
    <cfRule type="cellIs" dxfId="1332" priority="1335" operator="equal">
      <formula>"Yes"</formula>
    </cfRule>
  </conditionalFormatting>
  <conditionalFormatting sqref="E25">
    <cfRule type="cellIs" dxfId="1331" priority="1330" operator="equal">
      <formula>"No"</formula>
    </cfRule>
    <cfRule type="cellIs" dxfId="1330" priority="1331" operator="equal">
      <formula>"NA"</formula>
    </cfRule>
    <cfRule type="cellIs" dxfId="1329" priority="1332" operator="equal">
      <formula>"Yes"</formula>
    </cfRule>
  </conditionalFormatting>
  <conditionalFormatting sqref="E26">
    <cfRule type="cellIs" dxfId="1328" priority="1327" operator="equal">
      <formula>"No"</formula>
    </cfRule>
    <cfRule type="cellIs" dxfId="1327" priority="1328" operator="equal">
      <formula>"NA"</formula>
    </cfRule>
    <cfRule type="cellIs" dxfId="1326" priority="1329" operator="equal">
      <formula>"Yes"</formula>
    </cfRule>
  </conditionalFormatting>
  <conditionalFormatting sqref="E27">
    <cfRule type="cellIs" dxfId="1325" priority="1324" operator="equal">
      <formula>"No"</formula>
    </cfRule>
    <cfRule type="cellIs" dxfId="1324" priority="1325" operator="equal">
      <formula>"NA"</formula>
    </cfRule>
    <cfRule type="cellIs" dxfId="1323" priority="1326" operator="equal">
      <formula>"Yes"</formula>
    </cfRule>
  </conditionalFormatting>
  <conditionalFormatting sqref="E28">
    <cfRule type="cellIs" dxfId="1322" priority="1321" operator="equal">
      <formula>"No"</formula>
    </cfRule>
    <cfRule type="cellIs" dxfId="1321" priority="1322" operator="equal">
      <formula>"NA"</formula>
    </cfRule>
    <cfRule type="cellIs" dxfId="1320" priority="1323" operator="equal">
      <formula>"Yes"</formula>
    </cfRule>
  </conditionalFormatting>
  <conditionalFormatting sqref="E30">
    <cfRule type="cellIs" dxfId="1319" priority="1318" operator="equal">
      <formula>"No"</formula>
    </cfRule>
    <cfRule type="cellIs" dxfId="1318" priority="1319" operator="equal">
      <formula>"NA"</formula>
    </cfRule>
    <cfRule type="cellIs" dxfId="1317" priority="1320" operator="equal">
      <formula>"Yes"</formula>
    </cfRule>
  </conditionalFormatting>
  <conditionalFormatting sqref="E31">
    <cfRule type="cellIs" dxfId="1316" priority="1315" operator="equal">
      <formula>"No"</formula>
    </cfRule>
    <cfRule type="cellIs" dxfId="1315" priority="1316" operator="equal">
      <formula>"NA"</formula>
    </cfRule>
    <cfRule type="cellIs" dxfId="1314" priority="1317" operator="equal">
      <formula>"Yes"</formula>
    </cfRule>
  </conditionalFormatting>
  <conditionalFormatting sqref="E33">
    <cfRule type="cellIs" dxfId="1313" priority="1312" operator="equal">
      <formula>"No"</formula>
    </cfRule>
    <cfRule type="cellIs" dxfId="1312" priority="1313" operator="equal">
      <formula>"NA"</formula>
    </cfRule>
    <cfRule type="cellIs" dxfId="1311" priority="1314" operator="equal">
      <formula>"Yes"</formula>
    </cfRule>
  </conditionalFormatting>
  <conditionalFormatting sqref="E9">
    <cfRule type="cellIs" dxfId="1310" priority="1309" operator="equal">
      <formula>"No"</formula>
    </cfRule>
    <cfRule type="cellIs" dxfId="1309" priority="1310" operator="equal">
      <formula>"NA"</formula>
    </cfRule>
    <cfRule type="cellIs" dxfId="1308" priority="1311" operator="equal">
      <formula>"Yes"</formula>
    </cfRule>
  </conditionalFormatting>
  <conditionalFormatting sqref="E11">
    <cfRule type="cellIs" dxfId="1307" priority="1306" operator="equal">
      <formula>"No"</formula>
    </cfRule>
    <cfRule type="cellIs" dxfId="1306" priority="1307" operator="equal">
      <formula>"NA"</formula>
    </cfRule>
    <cfRule type="cellIs" dxfId="1305" priority="1308" operator="equal">
      <formula>"Yes"</formula>
    </cfRule>
  </conditionalFormatting>
  <conditionalFormatting sqref="E12 E14:E15">
    <cfRule type="cellIs" dxfId="1304" priority="1303" operator="equal">
      <formula>"No"</formula>
    </cfRule>
    <cfRule type="cellIs" dxfId="1303" priority="1304" operator="equal">
      <formula>"NA"</formula>
    </cfRule>
    <cfRule type="cellIs" dxfId="1302" priority="1305" operator="equal">
      <formula>"Yes"</formula>
    </cfRule>
  </conditionalFormatting>
  <conditionalFormatting sqref="E17:E23">
    <cfRule type="cellIs" dxfId="1301" priority="1300" operator="equal">
      <formula>"No"</formula>
    </cfRule>
    <cfRule type="cellIs" dxfId="1300" priority="1301" operator="equal">
      <formula>"NA"</formula>
    </cfRule>
    <cfRule type="cellIs" dxfId="1299" priority="1302" operator="equal">
      <formula>"Yes"</formula>
    </cfRule>
  </conditionalFormatting>
  <conditionalFormatting sqref="E13">
    <cfRule type="cellIs" dxfId="1298" priority="1297" operator="equal">
      <formula>"No"</formula>
    </cfRule>
    <cfRule type="cellIs" dxfId="1297" priority="1298" operator="equal">
      <formula>"NA"</formula>
    </cfRule>
    <cfRule type="cellIs" dxfId="1296" priority="1299" operator="equal">
      <formula>"Yes"</formula>
    </cfRule>
  </conditionalFormatting>
  <conditionalFormatting sqref="F6">
    <cfRule type="cellIs" dxfId="1295" priority="1294" operator="equal">
      <formula>"No"</formula>
    </cfRule>
    <cfRule type="cellIs" dxfId="1294" priority="1295" operator="equal">
      <formula>"NA"</formula>
    </cfRule>
    <cfRule type="cellIs" dxfId="1293" priority="1296" operator="equal">
      <formula>"Yes"</formula>
    </cfRule>
  </conditionalFormatting>
  <conditionalFormatting sqref="F7">
    <cfRule type="cellIs" dxfId="1292" priority="1291" operator="equal">
      <formula>"No"</formula>
    </cfRule>
    <cfRule type="cellIs" dxfId="1291" priority="1292" operator="equal">
      <formula>"NA"</formula>
    </cfRule>
    <cfRule type="cellIs" dxfId="1290" priority="1293" operator="equal">
      <formula>"Yes"</formula>
    </cfRule>
  </conditionalFormatting>
  <conditionalFormatting sqref="F10">
    <cfRule type="cellIs" dxfId="1289" priority="1288" operator="equal">
      <formula>"No"</formula>
    </cfRule>
    <cfRule type="cellIs" dxfId="1288" priority="1289" operator="equal">
      <formula>"NA"</formula>
    </cfRule>
    <cfRule type="cellIs" dxfId="1287" priority="1290" operator="equal">
      <formula>"Yes"</formula>
    </cfRule>
  </conditionalFormatting>
  <conditionalFormatting sqref="F16">
    <cfRule type="cellIs" dxfId="1286" priority="1285" operator="equal">
      <formula>"No"</formula>
    </cfRule>
    <cfRule type="cellIs" dxfId="1285" priority="1286" operator="equal">
      <formula>"NA"</formula>
    </cfRule>
    <cfRule type="cellIs" dxfId="1284" priority="1287" operator="equal">
      <formula>"Yes"</formula>
    </cfRule>
  </conditionalFormatting>
  <conditionalFormatting sqref="F25">
    <cfRule type="cellIs" dxfId="1283" priority="1282" operator="equal">
      <formula>"No"</formula>
    </cfRule>
    <cfRule type="cellIs" dxfId="1282" priority="1283" operator="equal">
      <formula>"NA"</formula>
    </cfRule>
    <cfRule type="cellIs" dxfId="1281" priority="1284" operator="equal">
      <formula>"Yes"</formula>
    </cfRule>
  </conditionalFormatting>
  <conditionalFormatting sqref="F26">
    <cfRule type="cellIs" dxfId="1280" priority="1279" operator="equal">
      <formula>"No"</formula>
    </cfRule>
    <cfRule type="cellIs" dxfId="1279" priority="1280" operator="equal">
      <formula>"NA"</formula>
    </cfRule>
    <cfRule type="cellIs" dxfId="1278" priority="1281" operator="equal">
      <formula>"Yes"</formula>
    </cfRule>
  </conditionalFormatting>
  <conditionalFormatting sqref="F27">
    <cfRule type="cellIs" dxfId="1277" priority="1276" operator="equal">
      <formula>"No"</formula>
    </cfRule>
    <cfRule type="cellIs" dxfId="1276" priority="1277" operator="equal">
      <formula>"NA"</formula>
    </cfRule>
    <cfRule type="cellIs" dxfId="1275" priority="1278" operator="equal">
      <formula>"Yes"</formula>
    </cfRule>
  </conditionalFormatting>
  <conditionalFormatting sqref="F28">
    <cfRule type="cellIs" dxfId="1274" priority="1273" operator="equal">
      <formula>"No"</formula>
    </cfRule>
    <cfRule type="cellIs" dxfId="1273" priority="1274" operator="equal">
      <formula>"NA"</formula>
    </cfRule>
    <cfRule type="cellIs" dxfId="1272" priority="1275" operator="equal">
      <formula>"Yes"</formula>
    </cfRule>
  </conditionalFormatting>
  <conditionalFormatting sqref="F30">
    <cfRule type="cellIs" dxfId="1271" priority="1270" operator="equal">
      <formula>"No"</formula>
    </cfRule>
    <cfRule type="cellIs" dxfId="1270" priority="1271" operator="equal">
      <formula>"NA"</formula>
    </cfRule>
    <cfRule type="cellIs" dxfId="1269" priority="1272" operator="equal">
      <formula>"Yes"</formula>
    </cfRule>
  </conditionalFormatting>
  <conditionalFormatting sqref="F31">
    <cfRule type="cellIs" dxfId="1268" priority="1267" operator="equal">
      <formula>"No"</formula>
    </cfRule>
    <cfRule type="cellIs" dxfId="1267" priority="1268" operator="equal">
      <formula>"NA"</formula>
    </cfRule>
    <cfRule type="cellIs" dxfId="1266" priority="1269" operator="equal">
      <formula>"Yes"</formula>
    </cfRule>
  </conditionalFormatting>
  <conditionalFormatting sqref="F33">
    <cfRule type="cellIs" dxfId="1265" priority="1264" operator="equal">
      <formula>"No"</formula>
    </cfRule>
    <cfRule type="cellIs" dxfId="1264" priority="1265" operator="equal">
      <formula>"NA"</formula>
    </cfRule>
    <cfRule type="cellIs" dxfId="1263" priority="1266" operator="equal">
      <formula>"Yes"</formula>
    </cfRule>
  </conditionalFormatting>
  <conditionalFormatting sqref="F9">
    <cfRule type="cellIs" dxfId="1262" priority="1261" operator="equal">
      <formula>"No"</formula>
    </cfRule>
    <cfRule type="cellIs" dxfId="1261" priority="1262" operator="equal">
      <formula>"NA"</formula>
    </cfRule>
    <cfRule type="cellIs" dxfId="1260" priority="1263" operator="equal">
      <formula>"Yes"</formula>
    </cfRule>
  </conditionalFormatting>
  <conditionalFormatting sqref="F11">
    <cfRule type="cellIs" dxfId="1259" priority="1258" operator="equal">
      <formula>"No"</formula>
    </cfRule>
    <cfRule type="cellIs" dxfId="1258" priority="1259" operator="equal">
      <formula>"NA"</formula>
    </cfRule>
    <cfRule type="cellIs" dxfId="1257" priority="1260" operator="equal">
      <formula>"Yes"</formula>
    </cfRule>
  </conditionalFormatting>
  <conditionalFormatting sqref="F12 F14:F15">
    <cfRule type="cellIs" dxfId="1256" priority="1255" operator="equal">
      <formula>"No"</formula>
    </cfRule>
    <cfRule type="cellIs" dxfId="1255" priority="1256" operator="equal">
      <formula>"NA"</formula>
    </cfRule>
    <cfRule type="cellIs" dxfId="1254" priority="1257" operator="equal">
      <formula>"Yes"</formula>
    </cfRule>
  </conditionalFormatting>
  <conditionalFormatting sqref="F17:F23">
    <cfRule type="cellIs" dxfId="1253" priority="1252" operator="equal">
      <formula>"No"</formula>
    </cfRule>
    <cfRule type="cellIs" dxfId="1252" priority="1253" operator="equal">
      <formula>"NA"</formula>
    </cfRule>
    <cfRule type="cellIs" dxfId="1251" priority="1254" operator="equal">
      <formula>"Yes"</formula>
    </cfRule>
  </conditionalFormatting>
  <conditionalFormatting sqref="F13">
    <cfRule type="cellIs" dxfId="1250" priority="1249" operator="equal">
      <formula>"No"</formula>
    </cfRule>
    <cfRule type="cellIs" dxfId="1249" priority="1250" operator="equal">
      <formula>"NA"</formula>
    </cfRule>
    <cfRule type="cellIs" dxfId="1248" priority="1251" operator="equal">
      <formula>"Yes"</formula>
    </cfRule>
  </conditionalFormatting>
  <conditionalFormatting sqref="G6">
    <cfRule type="cellIs" dxfId="1247" priority="1246" operator="equal">
      <formula>"No"</formula>
    </cfRule>
    <cfRule type="cellIs" dxfId="1246" priority="1247" operator="equal">
      <formula>"NA"</formula>
    </cfRule>
    <cfRule type="cellIs" dxfId="1245" priority="1248" operator="equal">
      <formula>"Yes"</formula>
    </cfRule>
  </conditionalFormatting>
  <conditionalFormatting sqref="G7">
    <cfRule type="cellIs" dxfId="1244" priority="1243" operator="equal">
      <formula>"No"</formula>
    </cfRule>
    <cfRule type="cellIs" dxfId="1243" priority="1244" operator="equal">
      <formula>"NA"</formula>
    </cfRule>
    <cfRule type="cellIs" dxfId="1242" priority="1245" operator="equal">
      <formula>"Yes"</formula>
    </cfRule>
  </conditionalFormatting>
  <conditionalFormatting sqref="G10">
    <cfRule type="cellIs" dxfId="1241" priority="1240" operator="equal">
      <formula>"No"</formula>
    </cfRule>
    <cfRule type="cellIs" dxfId="1240" priority="1241" operator="equal">
      <formula>"NA"</formula>
    </cfRule>
    <cfRule type="cellIs" dxfId="1239" priority="1242" operator="equal">
      <formula>"Yes"</formula>
    </cfRule>
  </conditionalFormatting>
  <conditionalFormatting sqref="G16">
    <cfRule type="cellIs" dxfId="1238" priority="1237" operator="equal">
      <formula>"No"</formula>
    </cfRule>
    <cfRule type="cellIs" dxfId="1237" priority="1238" operator="equal">
      <formula>"NA"</formula>
    </cfRule>
    <cfRule type="cellIs" dxfId="1236" priority="1239" operator="equal">
      <formula>"Yes"</formula>
    </cfRule>
  </conditionalFormatting>
  <conditionalFormatting sqref="G25">
    <cfRule type="cellIs" dxfId="1235" priority="1234" operator="equal">
      <formula>"No"</formula>
    </cfRule>
    <cfRule type="cellIs" dxfId="1234" priority="1235" operator="equal">
      <formula>"NA"</formula>
    </cfRule>
    <cfRule type="cellIs" dxfId="1233" priority="1236" operator="equal">
      <formula>"Yes"</formula>
    </cfRule>
  </conditionalFormatting>
  <conditionalFormatting sqref="G26">
    <cfRule type="cellIs" dxfId="1232" priority="1231" operator="equal">
      <formula>"No"</formula>
    </cfRule>
    <cfRule type="cellIs" dxfId="1231" priority="1232" operator="equal">
      <formula>"NA"</formula>
    </cfRule>
    <cfRule type="cellIs" dxfId="1230" priority="1233" operator="equal">
      <formula>"Yes"</formula>
    </cfRule>
  </conditionalFormatting>
  <conditionalFormatting sqref="G27">
    <cfRule type="cellIs" dxfId="1229" priority="1228" operator="equal">
      <formula>"No"</formula>
    </cfRule>
    <cfRule type="cellIs" dxfId="1228" priority="1229" operator="equal">
      <formula>"NA"</formula>
    </cfRule>
    <cfRule type="cellIs" dxfId="1227" priority="1230" operator="equal">
      <formula>"Yes"</formula>
    </cfRule>
  </conditionalFormatting>
  <conditionalFormatting sqref="G28">
    <cfRule type="cellIs" dxfId="1226" priority="1225" operator="equal">
      <formula>"No"</formula>
    </cfRule>
    <cfRule type="cellIs" dxfId="1225" priority="1226" operator="equal">
      <formula>"NA"</formula>
    </cfRule>
    <cfRule type="cellIs" dxfId="1224" priority="1227" operator="equal">
      <formula>"Yes"</formula>
    </cfRule>
  </conditionalFormatting>
  <conditionalFormatting sqref="G30">
    <cfRule type="cellIs" dxfId="1223" priority="1222" operator="equal">
      <formula>"No"</formula>
    </cfRule>
    <cfRule type="cellIs" dxfId="1222" priority="1223" operator="equal">
      <formula>"NA"</formula>
    </cfRule>
    <cfRule type="cellIs" dxfId="1221" priority="1224" operator="equal">
      <formula>"Yes"</formula>
    </cfRule>
  </conditionalFormatting>
  <conditionalFormatting sqref="G31">
    <cfRule type="cellIs" dxfId="1220" priority="1219" operator="equal">
      <formula>"No"</formula>
    </cfRule>
    <cfRule type="cellIs" dxfId="1219" priority="1220" operator="equal">
      <formula>"NA"</formula>
    </cfRule>
    <cfRule type="cellIs" dxfId="1218" priority="1221" operator="equal">
      <formula>"Yes"</formula>
    </cfRule>
  </conditionalFormatting>
  <conditionalFormatting sqref="G33">
    <cfRule type="cellIs" dxfId="1217" priority="1216" operator="equal">
      <formula>"No"</formula>
    </cfRule>
    <cfRule type="cellIs" dxfId="1216" priority="1217" operator="equal">
      <formula>"NA"</formula>
    </cfRule>
    <cfRule type="cellIs" dxfId="1215" priority="1218" operator="equal">
      <formula>"Yes"</formula>
    </cfRule>
  </conditionalFormatting>
  <conditionalFormatting sqref="G9">
    <cfRule type="cellIs" dxfId="1214" priority="1213" operator="equal">
      <formula>"No"</formula>
    </cfRule>
    <cfRule type="cellIs" dxfId="1213" priority="1214" operator="equal">
      <formula>"NA"</formula>
    </cfRule>
    <cfRule type="cellIs" dxfId="1212" priority="1215" operator="equal">
      <formula>"Yes"</formula>
    </cfRule>
  </conditionalFormatting>
  <conditionalFormatting sqref="G11">
    <cfRule type="cellIs" dxfId="1211" priority="1210" operator="equal">
      <formula>"No"</formula>
    </cfRule>
    <cfRule type="cellIs" dxfId="1210" priority="1211" operator="equal">
      <formula>"NA"</formula>
    </cfRule>
    <cfRule type="cellIs" dxfId="1209" priority="1212" operator="equal">
      <formula>"Yes"</formula>
    </cfRule>
  </conditionalFormatting>
  <conditionalFormatting sqref="G12 G14:G15">
    <cfRule type="cellIs" dxfId="1208" priority="1207" operator="equal">
      <formula>"No"</formula>
    </cfRule>
    <cfRule type="cellIs" dxfId="1207" priority="1208" operator="equal">
      <formula>"NA"</formula>
    </cfRule>
    <cfRule type="cellIs" dxfId="1206" priority="1209" operator="equal">
      <formula>"Yes"</formula>
    </cfRule>
  </conditionalFormatting>
  <conditionalFormatting sqref="G17:G23">
    <cfRule type="cellIs" dxfId="1205" priority="1204" operator="equal">
      <formula>"No"</formula>
    </cfRule>
    <cfRule type="cellIs" dxfId="1204" priority="1205" operator="equal">
      <formula>"NA"</formula>
    </cfRule>
    <cfRule type="cellIs" dxfId="1203" priority="1206" operator="equal">
      <formula>"Yes"</formula>
    </cfRule>
  </conditionalFormatting>
  <conditionalFormatting sqref="G13">
    <cfRule type="cellIs" dxfId="1202" priority="1201" operator="equal">
      <formula>"No"</formula>
    </cfRule>
    <cfRule type="cellIs" dxfId="1201" priority="1202" operator="equal">
      <formula>"NA"</formula>
    </cfRule>
    <cfRule type="cellIs" dxfId="1200" priority="1203" operator="equal">
      <formula>"Yes"</formula>
    </cfRule>
  </conditionalFormatting>
  <conditionalFormatting sqref="H6">
    <cfRule type="cellIs" dxfId="1199" priority="1198" operator="equal">
      <formula>"No"</formula>
    </cfRule>
    <cfRule type="cellIs" dxfId="1198" priority="1199" operator="equal">
      <formula>"NA"</formula>
    </cfRule>
    <cfRule type="cellIs" dxfId="1197" priority="1200" operator="equal">
      <formula>"Yes"</formula>
    </cfRule>
  </conditionalFormatting>
  <conditionalFormatting sqref="H7">
    <cfRule type="cellIs" dxfId="1196" priority="1195" operator="equal">
      <formula>"No"</formula>
    </cfRule>
    <cfRule type="cellIs" dxfId="1195" priority="1196" operator="equal">
      <formula>"NA"</formula>
    </cfRule>
    <cfRule type="cellIs" dxfId="1194" priority="1197" operator="equal">
      <formula>"Yes"</formula>
    </cfRule>
  </conditionalFormatting>
  <conditionalFormatting sqref="H10">
    <cfRule type="cellIs" dxfId="1193" priority="1192" operator="equal">
      <formula>"No"</formula>
    </cfRule>
    <cfRule type="cellIs" dxfId="1192" priority="1193" operator="equal">
      <formula>"NA"</formula>
    </cfRule>
    <cfRule type="cellIs" dxfId="1191" priority="1194" operator="equal">
      <formula>"Yes"</formula>
    </cfRule>
  </conditionalFormatting>
  <conditionalFormatting sqref="H16">
    <cfRule type="cellIs" dxfId="1190" priority="1189" operator="equal">
      <formula>"No"</formula>
    </cfRule>
    <cfRule type="cellIs" dxfId="1189" priority="1190" operator="equal">
      <formula>"NA"</formula>
    </cfRule>
    <cfRule type="cellIs" dxfId="1188" priority="1191" operator="equal">
      <formula>"Yes"</formula>
    </cfRule>
  </conditionalFormatting>
  <conditionalFormatting sqref="H25">
    <cfRule type="cellIs" dxfId="1187" priority="1186" operator="equal">
      <formula>"No"</formula>
    </cfRule>
    <cfRule type="cellIs" dxfId="1186" priority="1187" operator="equal">
      <formula>"NA"</formula>
    </cfRule>
    <cfRule type="cellIs" dxfId="1185" priority="1188" operator="equal">
      <formula>"Yes"</formula>
    </cfRule>
  </conditionalFormatting>
  <conditionalFormatting sqref="H26">
    <cfRule type="cellIs" dxfId="1184" priority="1183" operator="equal">
      <formula>"No"</formula>
    </cfRule>
    <cfRule type="cellIs" dxfId="1183" priority="1184" operator="equal">
      <formula>"NA"</formula>
    </cfRule>
    <cfRule type="cellIs" dxfId="1182" priority="1185" operator="equal">
      <formula>"Yes"</formula>
    </cfRule>
  </conditionalFormatting>
  <conditionalFormatting sqref="H27">
    <cfRule type="cellIs" dxfId="1181" priority="1180" operator="equal">
      <formula>"No"</formula>
    </cfRule>
    <cfRule type="cellIs" dxfId="1180" priority="1181" operator="equal">
      <formula>"NA"</formula>
    </cfRule>
    <cfRule type="cellIs" dxfId="1179" priority="1182" operator="equal">
      <formula>"Yes"</formula>
    </cfRule>
  </conditionalFormatting>
  <conditionalFormatting sqref="H28">
    <cfRule type="cellIs" dxfId="1178" priority="1177" operator="equal">
      <formula>"No"</formula>
    </cfRule>
    <cfRule type="cellIs" dxfId="1177" priority="1178" operator="equal">
      <formula>"NA"</formula>
    </cfRule>
    <cfRule type="cellIs" dxfId="1176" priority="1179" operator="equal">
      <formula>"Yes"</formula>
    </cfRule>
  </conditionalFormatting>
  <conditionalFormatting sqref="H30">
    <cfRule type="cellIs" dxfId="1175" priority="1174" operator="equal">
      <formula>"No"</formula>
    </cfRule>
    <cfRule type="cellIs" dxfId="1174" priority="1175" operator="equal">
      <formula>"NA"</formula>
    </cfRule>
    <cfRule type="cellIs" dxfId="1173" priority="1176" operator="equal">
      <formula>"Yes"</formula>
    </cfRule>
  </conditionalFormatting>
  <conditionalFormatting sqref="H31">
    <cfRule type="cellIs" dxfId="1172" priority="1171" operator="equal">
      <formula>"No"</formula>
    </cfRule>
    <cfRule type="cellIs" dxfId="1171" priority="1172" operator="equal">
      <formula>"NA"</formula>
    </cfRule>
    <cfRule type="cellIs" dxfId="1170" priority="1173" operator="equal">
      <formula>"Yes"</formula>
    </cfRule>
  </conditionalFormatting>
  <conditionalFormatting sqref="H33">
    <cfRule type="cellIs" dxfId="1169" priority="1168" operator="equal">
      <formula>"No"</formula>
    </cfRule>
    <cfRule type="cellIs" dxfId="1168" priority="1169" operator="equal">
      <formula>"NA"</formula>
    </cfRule>
    <cfRule type="cellIs" dxfId="1167" priority="1170" operator="equal">
      <formula>"Yes"</formula>
    </cfRule>
  </conditionalFormatting>
  <conditionalFormatting sqref="H9">
    <cfRule type="cellIs" dxfId="1166" priority="1165" operator="equal">
      <formula>"No"</formula>
    </cfRule>
    <cfRule type="cellIs" dxfId="1165" priority="1166" operator="equal">
      <formula>"NA"</formula>
    </cfRule>
    <cfRule type="cellIs" dxfId="1164" priority="1167" operator="equal">
      <formula>"Yes"</formula>
    </cfRule>
  </conditionalFormatting>
  <conditionalFormatting sqref="H11">
    <cfRule type="cellIs" dxfId="1163" priority="1162" operator="equal">
      <formula>"No"</formula>
    </cfRule>
    <cfRule type="cellIs" dxfId="1162" priority="1163" operator="equal">
      <formula>"NA"</formula>
    </cfRule>
    <cfRule type="cellIs" dxfId="1161" priority="1164" operator="equal">
      <formula>"Yes"</formula>
    </cfRule>
  </conditionalFormatting>
  <conditionalFormatting sqref="H12 H14:H15">
    <cfRule type="cellIs" dxfId="1160" priority="1159" operator="equal">
      <formula>"No"</formula>
    </cfRule>
    <cfRule type="cellIs" dxfId="1159" priority="1160" operator="equal">
      <formula>"NA"</formula>
    </cfRule>
    <cfRule type="cellIs" dxfId="1158" priority="1161" operator="equal">
      <formula>"Yes"</formula>
    </cfRule>
  </conditionalFormatting>
  <conditionalFormatting sqref="H17:H23">
    <cfRule type="cellIs" dxfId="1157" priority="1156" operator="equal">
      <formula>"No"</formula>
    </cfRule>
    <cfRule type="cellIs" dxfId="1156" priority="1157" operator="equal">
      <formula>"NA"</formula>
    </cfRule>
    <cfRule type="cellIs" dxfId="1155" priority="1158" operator="equal">
      <formula>"Yes"</formula>
    </cfRule>
  </conditionalFormatting>
  <conditionalFormatting sqref="H13">
    <cfRule type="cellIs" dxfId="1154" priority="1153" operator="equal">
      <formula>"No"</formula>
    </cfRule>
    <cfRule type="cellIs" dxfId="1153" priority="1154" operator="equal">
      <formula>"NA"</formula>
    </cfRule>
    <cfRule type="cellIs" dxfId="1152" priority="1155" operator="equal">
      <formula>"Yes"</formula>
    </cfRule>
  </conditionalFormatting>
  <conditionalFormatting sqref="I6">
    <cfRule type="cellIs" dxfId="1151" priority="1150" operator="equal">
      <formula>"No"</formula>
    </cfRule>
    <cfRule type="cellIs" dxfId="1150" priority="1151" operator="equal">
      <formula>"NA"</formula>
    </cfRule>
    <cfRule type="cellIs" dxfId="1149" priority="1152" operator="equal">
      <formula>"Yes"</formula>
    </cfRule>
  </conditionalFormatting>
  <conditionalFormatting sqref="I7">
    <cfRule type="cellIs" dxfId="1148" priority="1147" operator="equal">
      <formula>"No"</formula>
    </cfRule>
    <cfRule type="cellIs" dxfId="1147" priority="1148" operator="equal">
      <formula>"NA"</formula>
    </cfRule>
    <cfRule type="cellIs" dxfId="1146" priority="1149" operator="equal">
      <formula>"Yes"</formula>
    </cfRule>
  </conditionalFormatting>
  <conditionalFormatting sqref="I10">
    <cfRule type="cellIs" dxfId="1145" priority="1144" operator="equal">
      <formula>"No"</formula>
    </cfRule>
    <cfRule type="cellIs" dxfId="1144" priority="1145" operator="equal">
      <formula>"NA"</formula>
    </cfRule>
    <cfRule type="cellIs" dxfId="1143" priority="1146" operator="equal">
      <formula>"Yes"</formula>
    </cfRule>
  </conditionalFormatting>
  <conditionalFormatting sqref="I16">
    <cfRule type="cellIs" dxfId="1142" priority="1141" operator="equal">
      <formula>"No"</formula>
    </cfRule>
    <cfRule type="cellIs" dxfId="1141" priority="1142" operator="equal">
      <formula>"NA"</formula>
    </cfRule>
    <cfRule type="cellIs" dxfId="1140" priority="1143" operator="equal">
      <formula>"Yes"</formula>
    </cfRule>
  </conditionalFormatting>
  <conditionalFormatting sqref="I25">
    <cfRule type="cellIs" dxfId="1139" priority="1138" operator="equal">
      <formula>"No"</formula>
    </cfRule>
    <cfRule type="cellIs" dxfId="1138" priority="1139" operator="equal">
      <formula>"NA"</formula>
    </cfRule>
    <cfRule type="cellIs" dxfId="1137" priority="1140" operator="equal">
      <formula>"Yes"</formula>
    </cfRule>
  </conditionalFormatting>
  <conditionalFormatting sqref="I26">
    <cfRule type="cellIs" dxfId="1136" priority="1135" operator="equal">
      <formula>"No"</formula>
    </cfRule>
    <cfRule type="cellIs" dxfId="1135" priority="1136" operator="equal">
      <formula>"NA"</formula>
    </cfRule>
    <cfRule type="cellIs" dxfId="1134" priority="1137" operator="equal">
      <formula>"Yes"</formula>
    </cfRule>
  </conditionalFormatting>
  <conditionalFormatting sqref="I27">
    <cfRule type="cellIs" dxfId="1133" priority="1132" operator="equal">
      <formula>"No"</formula>
    </cfRule>
    <cfRule type="cellIs" dxfId="1132" priority="1133" operator="equal">
      <formula>"NA"</formula>
    </cfRule>
    <cfRule type="cellIs" dxfId="1131" priority="1134" operator="equal">
      <formula>"Yes"</formula>
    </cfRule>
  </conditionalFormatting>
  <conditionalFormatting sqref="I28">
    <cfRule type="cellIs" dxfId="1130" priority="1129" operator="equal">
      <formula>"No"</formula>
    </cfRule>
    <cfRule type="cellIs" dxfId="1129" priority="1130" operator="equal">
      <formula>"NA"</formula>
    </cfRule>
    <cfRule type="cellIs" dxfId="1128" priority="1131" operator="equal">
      <formula>"Yes"</formula>
    </cfRule>
  </conditionalFormatting>
  <conditionalFormatting sqref="I30">
    <cfRule type="cellIs" dxfId="1127" priority="1126" operator="equal">
      <formula>"No"</formula>
    </cfRule>
    <cfRule type="cellIs" dxfId="1126" priority="1127" operator="equal">
      <formula>"NA"</formula>
    </cfRule>
    <cfRule type="cellIs" dxfId="1125" priority="1128" operator="equal">
      <formula>"Yes"</formula>
    </cfRule>
  </conditionalFormatting>
  <conditionalFormatting sqref="I31">
    <cfRule type="cellIs" dxfId="1124" priority="1123" operator="equal">
      <formula>"No"</formula>
    </cfRule>
    <cfRule type="cellIs" dxfId="1123" priority="1124" operator="equal">
      <formula>"NA"</formula>
    </cfRule>
    <cfRule type="cellIs" dxfId="1122" priority="1125" operator="equal">
      <formula>"Yes"</formula>
    </cfRule>
  </conditionalFormatting>
  <conditionalFormatting sqref="I33">
    <cfRule type="cellIs" dxfId="1121" priority="1120" operator="equal">
      <formula>"No"</formula>
    </cfRule>
    <cfRule type="cellIs" dxfId="1120" priority="1121" operator="equal">
      <formula>"NA"</formula>
    </cfRule>
    <cfRule type="cellIs" dxfId="1119" priority="1122" operator="equal">
      <formula>"Yes"</formula>
    </cfRule>
  </conditionalFormatting>
  <conditionalFormatting sqref="I9">
    <cfRule type="cellIs" dxfId="1118" priority="1117" operator="equal">
      <formula>"No"</formula>
    </cfRule>
    <cfRule type="cellIs" dxfId="1117" priority="1118" operator="equal">
      <formula>"NA"</formula>
    </cfRule>
    <cfRule type="cellIs" dxfId="1116" priority="1119" operator="equal">
      <formula>"Yes"</formula>
    </cfRule>
  </conditionalFormatting>
  <conditionalFormatting sqref="I11">
    <cfRule type="cellIs" dxfId="1115" priority="1114" operator="equal">
      <formula>"No"</formula>
    </cfRule>
    <cfRule type="cellIs" dxfId="1114" priority="1115" operator="equal">
      <formula>"NA"</formula>
    </cfRule>
    <cfRule type="cellIs" dxfId="1113" priority="1116" operator="equal">
      <formula>"Yes"</formula>
    </cfRule>
  </conditionalFormatting>
  <conditionalFormatting sqref="I12 I14:I15">
    <cfRule type="cellIs" dxfId="1112" priority="1111" operator="equal">
      <formula>"No"</formula>
    </cfRule>
    <cfRule type="cellIs" dxfId="1111" priority="1112" operator="equal">
      <formula>"NA"</formula>
    </cfRule>
    <cfRule type="cellIs" dxfId="1110" priority="1113" operator="equal">
      <formula>"Yes"</formula>
    </cfRule>
  </conditionalFormatting>
  <conditionalFormatting sqref="I17:I23">
    <cfRule type="cellIs" dxfId="1109" priority="1108" operator="equal">
      <formula>"No"</formula>
    </cfRule>
    <cfRule type="cellIs" dxfId="1108" priority="1109" operator="equal">
      <formula>"NA"</formula>
    </cfRule>
    <cfRule type="cellIs" dxfId="1107" priority="1110" operator="equal">
      <formula>"Yes"</formula>
    </cfRule>
  </conditionalFormatting>
  <conditionalFormatting sqref="I13">
    <cfRule type="cellIs" dxfId="1106" priority="1105" operator="equal">
      <formula>"No"</formula>
    </cfRule>
    <cfRule type="cellIs" dxfId="1105" priority="1106" operator="equal">
      <formula>"NA"</formula>
    </cfRule>
    <cfRule type="cellIs" dxfId="1104" priority="1107" operator="equal">
      <formula>"Yes"</formula>
    </cfRule>
  </conditionalFormatting>
  <conditionalFormatting sqref="J6">
    <cfRule type="cellIs" dxfId="1103" priority="1102" operator="equal">
      <formula>"No"</formula>
    </cfRule>
    <cfRule type="cellIs" dxfId="1102" priority="1103" operator="equal">
      <formula>"NA"</formula>
    </cfRule>
    <cfRule type="cellIs" dxfId="1101" priority="1104" operator="equal">
      <formula>"Yes"</formula>
    </cfRule>
  </conditionalFormatting>
  <conditionalFormatting sqref="J7">
    <cfRule type="cellIs" dxfId="1100" priority="1099" operator="equal">
      <formula>"No"</formula>
    </cfRule>
    <cfRule type="cellIs" dxfId="1099" priority="1100" operator="equal">
      <formula>"NA"</formula>
    </cfRule>
    <cfRule type="cellIs" dxfId="1098" priority="1101" operator="equal">
      <formula>"Yes"</formula>
    </cfRule>
  </conditionalFormatting>
  <conditionalFormatting sqref="J10">
    <cfRule type="cellIs" dxfId="1097" priority="1096" operator="equal">
      <formula>"No"</formula>
    </cfRule>
    <cfRule type="cellIs" dxfId="1096" priority="1097" operator="equal">
      <formula>"NA"</formula>
    </cfRule>
    <cfRule type="cellIs" dxfId="1095" priority="1098" operator="equal">
      <formula>"Yes"</formula>
    </cfRule>
  </conditionalFormatting>
  <conditionalFormatting sqref="J16">
    <cfRule type="cellIs" dxfId="1094" priority="1093" operator="equal">
      <formula>"No"</formula>
    </cfRule>
    <cfRule type="cellIs" dxfId="1093" priority="1094" operator="equal">
      <formula>"NA"</formula>
    </cfRule>
    <cfRule type="cellIs" dxfId="1092" priority="1095" operator="equal">
      <formula>"Yes"</formula>
    </cfRule>
  </conditionalFormatting>
  <conditionalFormatting sqref="J25">
    <cfRule type="cellIs" dxfId="1091" priority="1090" operator="equal">
      <formula>"No"</formula>
    </cfRule>
    <cfRule type="cellIs" dxfId="1090" priority="1091" operator="equal">
      <formula>"NA"</formula>
    </cfRule>
    <cfRule type="cellIs" dxfId="1089" priority="1092" operator="equal">
      <formula>"Yes"</formula>
    </cfRule>
  </conditionalFormatting>
  <conditionalFormatting sqref="J26">
    <cfRule type="cellIs" dxfId="1088" priority="1087" operator="equal">
      <formula>"No"</formula>
    </cfRule>
    <cfRule type="cellIs" dxfId="1087" priority="1088" operator="equal">
      <formula>"NA"</formula>
    </cfRule>
    <cfRule type="cellIs" dxfId="1086" priority="1089" operator="equal">
      <formula>"Yes"</formula>
    </cfRule>
  </conditionalFormatting>
  <conditionalFormatting sqref="J27">
    <cfRule type="cellIs" dxfId="1085" priority="1084" operator="equal">
      <formula>"No"</formula>
    </cfRule>
    <cfRule type="cellIs" dxfId="1084" priority="1085" operator="equal">
      <formula>"NA"</formula>
    </cfRule>
    <cfRule type="cellIs" dxfId="1083" priority="1086" operator="equal">
      <formula>"Yes"</formula>
    </cfRule>
  </conditionalFormatting>
  <conditionalFormatting sqref="J28">
    <cfRule type="cellIs" dxfId="1082" priority="1081" operator="equal">
      <formula>"No"</formula>
    </cfRule>
    <cfRule type="cellIs" dxfId="1081" priority="1082" operator="equal">
      <formula>"NA"</formula>
    </cfRule>
    <cfRule type="cellIs" dxfId="1080" priority="1083" operator="equal">
      <formula>"Yes"</formula>
    </cfRule>
  </conditionalFormatting>
  <conditionalFormatting sqref="J30">
    <cfRule type="cellIs" dxfId="1079" priority="1078" operator="equal">
      <formula>"No"</formula>
    </cfRule>
    <cfRule type="cellIs" dxfId="1078" priority="1079" operator="equal">
      <formula>"NA"</formula>
    </cfRule>
    <cfRule type="cellIs" dxfId="1077" priority="1080" operator="equal">
      <formula>"Yes"</formula>
    </cfRule>
  </conditionalFormatting>
  <conditionalFormatting sqref="J31">
    <cfRule type="cellIs" dxfId="1076" priority="1075" operator="equal">
      <formula>"No"</formula>
    </cfRule>
    <cfRule type="cellIs" dxfId="1075" priority="1076" operator="equal">
      <formula>"NA"</formula>
    </cfRule>
    <cfRule type="cellIs" dxfId="1074" priority="1077" operator="equal">
      <formula>"Yes"</formula>
    </cfRule>
  </conditionalFormatting>
  <conditionalFormatting sqref="J33">
    <cfRule type="cellIs" dxfId="1073" priority="1072" operator="equal">
      <formula>"No"</formula>
    </cfRule>
    <cfRule type="cellIs" dxfId="1072" priority="1073" operator="equal">
      <formula>"NA"</formula>
    </cfRule>
    <cfRule type="cellIs" dxfId="1071" priority="1074" operator="equal">
      <formula>"Yes"</formula>
    </cfRule>
  </conditionalFormatting>
  <conditionalFormatting sqref="J9">
    <cfRule type="cellIs" dxfId="1070" priority="1069" operator="equal">
      <formula>"No"</formula>
    </cfRule>
    <cfRule type="cellIs" dxfId="1069" priority="1070" operator="equal">
      <formula>"NA"</formula>
    </cfRule>
    <cfRule type="cellIs" dxfId="1068" priority="1071" operator="equal">
      <formula>"Yes"</formula>
    </cfRule>
  </conditionalFormatting>
  <conditionalFormatting sqref="J11">
    <cfRule type="cellIs" dxfId="1067" priority="1066" operator="equal">
      <formula>"No"</formula>
    </cfRule>
    <cfRule type="cellIs" dxfId="1066" priority="1067" operator="equal">
      <formula>"NA"</formula>
    </cfRule>
    <cfRule type="cellIs" dxfId="1065" priority="1068" operator="equal">
      <formula>"Yes"</formula>
    </cfRule>
  </conditionalFormatting>
  <conditionalFormatting sqref="J12 J14:J15">
    <cfRule type="cellIs" dxfId="1064" priority="1063" operator="equal">
      <formula>"No"</formula>
    </cfRule>
    <cfRule type="cellIs" dxfId="1063" priority="1064" operator="equal">
      <formula>"NA"</formula>
    </cfRule>
    <cfRule type="cellIs" dxfId="1062" priority="1065" operator="equal">
      <formula>"Yes"</formula>
    </cfRule>
  </conditionalFormatting>
  <conditionalFormatting sqref="J17:J23">
    <cfRule type="cellIs" dxfId="1061" priority="1060" operator="equal">
      <formula>"No"</formula>
    </cfRule>
    <cfRule type="cellIs" dxfId="1060" priority="1061" operator="equal">
      <formula>"NA"</formula>
    </cfRule>
    <cfRule type="cellIs" dxfId="1059" priority="1062" operator="equal">
      <formula>"Yes"</formula>
    </cfRule>
  </conditionalFormatting>
  <conditionalFormatting sqref="J13">
    <cfRule type="cellIs" dxfId="1058" priority="1057" operator="equal">
      <formula>"No"</formula>
    </cfRule>
    <cfRule type="cellIs" dxfId="1057" priority="1058" operator="equal">
      <formula>"NA"</formula>
    </cfRule>
    <cfRule type="cellIs" dxfId="1056" priority="1059" operator="equal">
      <formula>"Yes"</formula>
    </cfRule>
  </conditionalFormatting>
  <conditionalFormatting sqref="K6">
    <cfRule type="cellIs" dxfId="1055" priority="1054" operator="equal">
      <formula>"No"</formula>
    </cfRule>
    <cfRule type="cellIs" dxfId="1054" priority="1055" operator="equal">
      <formula>"NA"</formula>
    </cfRule>
    <cfRule type="cellIs" dxfId="1053" priority="1056" operator="equal">
      <formula>"Yes"</formula>
    </cfRule>
  </conditionalFormatting>
  <conditionalFormatting sqref="K7">
    <cfRule type="cellIs" dxfId="1052" priority="1051" operator="equal">
      <formula>"No"</formula>
    </cfRule>
    <cfRule type="cellIs" dxfId="1051" priority="1052" operator="equal">
      <formula>"NA"</formula>
    </cfRule>
    <cfRule type="cellIs" dxfId="1050" priority="1053" operator="equal">
      <formula>"Yes"</formula>
    </cfRule>
  </conditionalFormatting>
  <conditionalFormatting sqref="K10">
    <cfRule type="cellIs" dxfId="1049" priority="1048" operator="equal">
      <formula>"No"</formula>
    </cfRule>
    <cfRule type="cellIs" dxfId="1048" priority="1049" operator="equal">
      <formula>"NA"</formula>
    </cfRule>
    <cfRule type="cellIs" dxfId="1047" priority="1050" operator="equal">
      <formula>"Yes"</formula>
    </cfRule>
  </conditionalFormatting>
  <conditionalFormatting sqref="K16">
    <cfRule type="cellIs" dxfId="1046" priority="1045" operator="equal">
      <formula>"No"</formula>
    </cfRule>
    <cfRule type="cellIs" dxfId="1045" priority="1046" operator="equal">
      <formula>"NA"</formula>
    </cfRule>
    <cfRule type="cellIs" dxfId="1044" priority="1047" operator="equal">
      <formula>"Yes"</formula>
    </cfRule>
  </conditionalFormatting>
  <conditionalFormatting sqref="K25">
    <cfRule type="cellIs" dxfId="1043" priority="1042" operator="equal">
      <formula>"No"</formula>
    </cfRule>
    <cfRule type="cellIs" dxfId="1042" priority="1043" operator="equal">
      <formula>"NA"</formula>
    </cfRule>
    <cfRule type="cellIs" dxfId="1041" priority="1044" operator="equal">
      <formula>"Yes"</formula>
    </cfRule>
  </conditionalFormatting>
  <conditionalFormatting sqref="K26">
    <cfRule type="cellIs" dxfId="1040" priority="1039" operator="equal">
      <formula>"No"</formula>
    </cfRule>
    <cfRule type="cellIs" dxfId="1039" priority="1040" operator="equal">
      <formula>"NA"</formula>
    </cfRule>
    <cfRule type="cellIs" dxfId="1038" priority="1041" operator="equal">
      <formula>"Yes"</formula>
    </cfRule>
  </conditionalFormatting>
  <conditionalFormatting sqref="K27">
    <cfRule type="cellIs" dxfId="1037" priority="1036" operator="equal">
      <formula>"No"</formula>
    </cfRule>
    <cfRule type="cellIs" dxfId="1036" priority="1037" operator="equal">
      <formula>"NA"</formula>
    </cfRule>
    <cfRule type="cellIs" dxfId="1035" priority="1038" operator="equal">
      <formula>"Yes"</formula>
    </cfRule>
  </conditionalFormatting>
  <conditionalFormatting sqref="K28">
    <cfRule type="cellIs" dxfId="1034" priority="1033" operator="equal">
      <formula>"No"</formula>
    </cfRule>
    <cfRule type="cellIs" dxfId="1033" priority="1034" operator="equal">
      <formula>"NA"</formula>
    </cfRule>
    <cfRule type="cellIs" dxfId="1032" priority="1035" operator="equal">
      <formula>"Yes"</formula>
    </cfRule>
  </conditionalFormatting>
  <conditionalFormatting sqref="K30">
    <cfRule type="cellIs" dxfId="1031" priority="1030" operator="equal">
      <formula>"No"</formula>
    </cfRule>
    <cfRule type="cellIs" dxfId="1030" priority="1031" operator="equal">
      <formula>"NA"</formula>
    </cfRule>
    <cfRule type="cellIs" dxfId="1029" priority="1032" operator="equal">
      <formula>"Yes"</formula>
    </cfRule>
  </conditionalFormatting>
  <conditionalFormatting sqref="K31">
    <cfRule type="cellIs" dxfId="1028" priority="1027" operator="equal">
      <formula>"No"</formula>
    </cfRule>
    <cfRule type="cellIs" dxfId="1027" priority="1028" operator="equal">
      <formula>"NA"</formula>
    </cfRule>
    <cfRule type="cellIs" dxfId="1026" priority="1029" operator="equal">
      <formula>"Yes"</formula>
    </cfRule>
  </conditionalFormatting>
  <conditionalFormatting sqref="K33">
    <cfRule type="cellIs" dxfId="1025" priority="1024" operator="equal">
      <formula>"No"</formula>
    </cfRule>
    <cfRule type="cellIs" dxfId="1024" priority="1025" operator="equal">
      <formula>"NA"</formula>
    </cfRule>
    <cfRule type="cellIs" dxfId="1023" priority="1026" operator="equal">
      <formula>"Yes"</formula>
    </cfRule>
  </conditionalFormatting>
  <conditionalFormatting sqref="K9">
    <cfRule type="cellIs" dxfId="1022" priority="1021" operator="equal">
      <formula>"No"</formula>
    </cfRule>
    <cfRule type="cellIs" dxfId="1021" priority="1022" operator="equal">
      <formula>"NA"</formula>
    </cfRule>
    <cfRule type="cellIs" dxfId="1020" priority="1023" operator="equal">
      <formula>"Yes"</formula>
    </cfRule>
  </conditionalFormatting>
  <conditionalFormatting sqref="K11">
    <cfRule type="cellIs" dxfId="1019" priority="1018" operator="equal">
      <formula>"No"</formula>
    </cfRule>
    <cfRule type="cellIs" dxfId="1018" priority="1019" operator="equal">
      <formula>"NA"</formula>
    </cfRule>
    <cfRule type="cellIs" dxfId="1017" priority="1020" operator="equal">
      <formula>"Yes"</formula>
    </cfRule>
  </conditionalFormatting>
  <conditionalFormatting sqref="K12 K14:K15">
    <cfRule type="cellIs" dxfId="1016" priority="1015" operator="equal">
      <formula>"No"</formula>
    </cfRule>
    <cfRule type="cellIs" dxfId="1015" priority="1016" operator="equal">
      <formula>"NA"</formula>
    </cfRule>
    <cfRule type="cellIs" dxfId="1014" priority="1017" operator="equal">
      <formula>"Yes"</formula>
    </cfRule>
  </conditionalFormatting>
  <conditionalFormatting sqref="K17:K23">
    <cfRule type="cellIs" dxfId="1013" priority="1012" operator="equal">
      <formula>"No"</formula>
    </cfRule>
    <cfRule type="cellIs" dxfId="1012" priority="1013" operator="equal">
      <formula>"NA"</formula>
    </cfRule>
    <cfRule type="cellIs" dxfId="1011" priority="1014" operator="equal">
      <formula>"Yes"</formula>
    </cfRule>
  </conditionalFormatting>
  <conditionalFormatting sqref="K13">
    <cfRule type="cellIs" dxfId="1010" priority="1009" operator="equal">
      <formula>"No"</formula>
    </cfRule>
    <cfRule type="cellIs" dxfId="1009" priority="1010" operator="equal">
      <formula>"NA"</formula>
    </cfRule>
    <cfRule type="cellIs" dxfId="1008" priority="1011" operator="equal">
      <formula>"Yes"</formula>
    </cfRule>
  </conditionalFormatting>
  <conditionalFormatting sqref="L6">
    <cfRule type="cellIs" dxfId="1007" priority="1006" operator="equal">
      <formula>"No"</formula>
    </cfRule>
    <cfRule type="cellIs" dxfId="1006" priority="1007" operator="equal">
      <formula>"NA"</formula>
    </cfRule>
    <cfRule type="cellIs" dxfId="1005" priority="1008" operator="equal">
      <formula>"Yes"</formula>
    </cfRule>
  </conditionalFormatting>
  <conditionalFormatting sqref="L7">
    <cfRule type="cellIs" dxfId="1004" priority="1003" operator="equal">
      <formula>"No"</formula>
    </cfRule>
    <cfRule type="cellIs" dxfId="1003" priority="1004" operator="equal">
      <formula>"NA"</formula>
    </cfRule>
    <cfRule type="cellIs" dxfId="1002" priority="1005" operator="equal">
      <formula>"Yes"</formula>
    </cfRule>
  </conditionalFormatting>
  <conditionalFormatting sqref="L10">
    <cfRule type="cellIs" dxfId="1001" priority="1000" operator="equal">
      <formula>"No"</formula>
    </cfRule>
    <cfRule type="cellIs" dxfId="1000" priority="1001" operator="equal">
      <formula>"NA"</formula>
    </cfRule>
    <cfRule type="cellIs" dxfId="999" priority="1002" operator="equal">
      <formula>"Yes"</formula>
    </cfRule>
  </conditionalFormatting>
  <conditionalFormatting sqref="L16">
    <cfRule type="cellIs" dxfId="998" priority="997" operator="equal">
      <formula>"No"</formula>
    </cfRule>
    <cfRule type="cellIs" dxfId="997" priority="998" operator="equal">
      <formula>"NA"</formula>
    </cfRule>
    <cfRule type="cellIs" dxfId="996" priority="999" operator="equal">
      <formula>"Yes"</formula>
    </cfRule>
  </conditionalFormatting>
  <conditionalFormatting sqref="L25">
    <cfRule type="cellIs" dxfId="995" priority="994" operator="equal">
      <formula>"No"</formula>
    </cfRule>
    <cfRule type="cellIs" dxfId="994" priority="995" operator="equal">
      <formula>"NA"</formula>
    </cfRule>
    <cfRule type="cellIs" dxfId="993" priority="996" operator="equal">
      <formula>"Yes"</formula>
    </cfRule>
  </conditionalFormatting>
  <conditionalFormatting sqref="L26">
    <cfRule type="cellIs" dxfId="992" priority="991" operator="equal">
      <formula>"No"</formula>
    </cfRule>
    <cfRule type="cellIs" dxfId="991" priority="992" operator="equal">
      <formula>"NA"</formula>
    </cfRule>
    <cfRule type="cellIs" dxfId="990" priority="993" operator="equal">
      <formula>"Yes"</formula>
    </cfRule>
  </conditionalFormatting>
  <conditionalFormatting sqref="L27">
    <cfRule type="cellIs" dxfId="989" priority="988" operator="equal">
      <formula>"No"</formula>
    </cfRule>
    <cfRule type="cellIs" dxfId="988" priority="989" operator="equal">
      <formula>"NA"</formula>
    </cfRule>
    <cfRule type="cellIs" dxfId="987" priority="990" operator="equal">
      <formula>"Yes"</formula>
    </cfRule>
  </conditionalFormatting>
  <conditionalFormatting sqref="L28">
    <cfRule type="cellIs" dxfId="986" priority="985" operator="equal">
      <formula>"No"</formula>
    </cfRule>
    <cfRule type="cellIs" dxfId="985" priority="986" operator="equal">
      <formula>"NA"</formula>
    </cfRule>
    <cfRule type="cellIs" dxfId="984" priority="987" operator="equal">
      <formula>"Yes"</formula>
    </cfRule>
  </conditionalFormatting>
  <conditionalFormatting sqref="L30">
    <cfRule type="cellIs" dxfId="983" priority="982" operator="equal">
      <formula>"No"</formula>
    </cfRule>
    <cfRule type="cellIs" dxfId="982" priority="983" operator="equal">
      <formula>"NA"</formula>
    </cfRule>
    <cfRule type="cellIs" dxfId="981" priority="984" operator="equal">
      <formula>"Yes"</formula>
    </cfRule>
  </conditionalFormatting>
  <conditionalFormatting sqref="L31">
    <cfRule type="cellIs" dxfId="980" priority="979" operator="equal">
      <formula>"No"</formula>
    </cfRule>
    <cfRule type="cellIs" dxfId="979" priority="980" operator="equal">
      <formula>"NA"</formula>
    </cfRule>
    <cfRule type="cellIs" dxfId="978" priority="981" operator="equal">
      <formula>"Yes"</formula>
    </cfRule>
  </conditionalFormatting>
  <conditionalFormatting sqref="L33">
    <cfRule type="cellIs" dxfId="977" priority="976" operator="equal">
      <formula>"No"</formula>
    </cfRule>
    <cfRule type="cellIs" dxfId="976" priority="977" operator="equal">
      <formula>"NA"</formula>
    </cfRule>
    <cfRule type="cellIs" dxfId="975" priority="978" operator="equal">
      <formula>"Yes"</formula>
    </cfRule>
  </conditionalFormatting>
  <conditionalFormatting sqref="L9">
    <cfRule type="cellIs" dxfId="974" priority="973" operator="equal">
      <formula>"No"</formula>
    </cfRule>
    <cfRule type="cellIs" dxfId="973" priority="974" operator="equal">
      <formula>"NA"</formula>
    </cfRule>
    <cfRule type="cellIs" dxfId="972" priority="975" operator="equal">
      <formula>"Yes"</formula>
    </cfRule>
  </conditionalFormatting>
  <conditionalFormatting sqref="L11">
    <cfRule type="cellIs" dxfId="971" priority="970" operator="equal">
      <formula>"No"</formula>
    </cfRule>
    <cfRule type="cellIs" dxfId="970" priority="971" operator="equal">
      <formula>"NA"</formula>
    </cfRule>
    <cfRule type="cellIs" dxfId="969" priority="972" operator="equal">
      <formula>"Yes"</formula>
    </cfRule>
  </conditionalFormatting>
  <conditionalFormatting sqref="L12 L14:L15">
    <cfRule type="cellIs" dxfId="968" priority="967" operator="equal">
      <formula>"No"</formula>
    </cfRule>
    <cfRule type="cellIs" dxfId="967" priority="968" operator="equal">
      <formula>"NA"</formula>
    </cfRule>
    <cfRule type="cellIs" dxfId="966" priority="969" operator="equal">
      <formula>"Yes"</formula>
    </cfRule>
  </conditionalFormatting>
  <conditionalFormatting sqref="L17:L23">
    <cfRule type="cellIs" dxfId="965" priority="964" operator="equal">
      <formula>"No"</formula>
    </cfRule>
    <cfRule type="cellIs" dxfId="964" priority="965" operator="equal">
      <formula>"NA"</formula>
    </cfRule>
    <cfRule type="cellIs" dxfId="963" priority="966" operator="equal">
      <formula>"Yes"</formula>
    </cfRule>
  </conditionalFormatting>
  <conditionalFormatting sqref="L13">
    <cfRule type="cellIs" dxfId="962" priority="961" operator="equal">
      <formula>"No"</formula>
    </cfRule>
    <cfRule type="cellIs" dxfId="961" priority="962" operator="equal">
      <formula>"NA"</formula>
    </cfRule>
    <cfRule type="cellIs" dxfId="960" priority="963" operator="equal">
      <formula>"Yes"</formula>
    </cfRule>
  </conditionalFormatting>
  <conditionalFormatting sqref="M6">
    <cfRule type="cellIs" dxfId="959" priority="958" operator="equal">
      <formula>"No"</formula>
    </cfRule>
    <cfRule type="cellIs" dxfId="958" priority="959" operator="equal">
      <formula>"NA"</formula>
    </cfRule>
    <cfRule type="cellIs" dxfId="957" priority="960" operator="equal">
      <formula>"Yes"</formula>
    </cfRule>
  </conditionalFormatting>
  <conditionalFormatting sqref="M7">
    <cfRule type="cellIs" dxfId="956" priority="955" operator="equal">
      <formula>"No"</formula>
    </cfRule>
    <cfRule type="cellIs" dxfId="955" priority="956" operator="equal">
      <formula>"NA"</formula>
    </cfRule>
    <cfRule type="cellIs" dxfId="954" priority="957" operator="equal">
      <formula>"Yes"</formula>
    </cfRule>
  </conditionalFormatting>
  <conditionalFormatting sqref="M10">
    <cfRule type="cellIs" dxfId="953" priority="952" operator="equal">
      <formula>"No"</formula>
    </cfRule>
    <cfRule type="cellIs" dxfId="952" priority="953" operator="equal">
      <formula>"NA"</formula>
    </cfRule>
    <cfRule type="cellIs" dxfId="951" priority="954" operator="equal">
      <formula>"Yes"</formula>
    </cfRule>
  </conditionalFormatting>
  <conditionalFormatting sqref="M16">
    <cfRule type="cellIs" dxfId="950" priority="949" operator="equal">
      <formula>"No"</formula>
    </cfRule>
    <cfRule type="cellIs" dxfId="949" priority="950" operator="equal">
      <formula>"NA"</formula>
    </cfRule>
    <cfRule type="cellIs" dxfId="948" priority="951" operator="equal">
      <formula>"Yes"</formula>
    </cfRule>
  </conditionalFormatting>
  <conditionalFormatting sqref="M25">
    <cfRule type="cellIs" dxfId="947" priority="946" operator="equal">
      <formula>"No"</formula>
    </cfRule>
    <cfRule type="cellIs" dxfId="946" priority="947" operator="equal">
      <formula>"NA"</formula>
    </cfRule>
    <cfRule type="cellIs" dxfId="945" priority="948" operator="equal">
      <formula>"Yes"</formula>
    </cfRule>
  </conditionalFormatting>
  <conditionalFormatting sqref="M26">
    <cfRule type="cellIs" dxfId="944" priority="943" operator="equal">
      <formula>"No"</formula>
    </cfRule>
    <cfRule type="cellIs" dxfId="943" priority="944" operator="equal">
      <formula>"NA"</formula>
    </cfRule>
    <cfRule type="cellIs" dxfId="942" priority="945" operator="equal">
      <formula>"Yes"</formula>
    </cfRule>
  </conditionalFormatting>
  <conditionalFormatting sqref="M27">
    <cfRule type="cellIs" dxfId="941" priority="940" operator="equal">
      <formula>"No"</formula>
    </cfRule>
    <cfRule type="cellIs" dxfId="940" priority="941" operator="equal">
      <formula>"NA"</formula>
    </cfRule>
    <cfRule type="cellIs" dxfId="939" priority="942" operator="equal">
      <formula>"Yes"</formula>
    </cfRule>
  </conditionalFormatting>
  <conditionalFormatting sqref="M28">
    <cfRule type="cellIs" dxfId="938" priority="937" operator="equal">
      <formula>"No"</formula>
    </cfRule>
    <cfRule type="cellIs" dxfId="937" priority="938" operator="equal">
      <formula>"NA"</formula>
    </cfRule>
    <cfRule type="cellIs" dxfId="936" priority="939" operator="equal">
      <formula>"Yes"</formula>
    </cfRule>
  </conditionalFormatting>
  <conditionalFormatting sqref="M30">
    <cfRule type="cellIs" dxfId="935" priority="934" operator="equal">
      <formula>"No"</formula>
    </cfRule>
    <cfRule type="cellIs" dxfId="934" priority="935" operator="equal">
      <formula>"NA"</formula>
    </cfRule>
    <cfRule type="cellIs" dxfId="933" priority="936" operator="equal">
      <formula>"Yes"</formula>
    </cfRule>
  </conditionalFormatting>
  <conditionalFormatting sqref="M31">
    <cfRule type="cellIs" dxfId="932" priority="931" operator="equal">
      <formula>"No"</formula>
    </cfRule>
    <cfRule type="cellIs" dxfId="931" priority="932" operator="equal">
      <formula>"NA"</formula>
    </cfRule>
    <cfRule type="cellIs" dxfId="930" priority="933" operator="equal">
      <formula>"Yes"</formula>
    </cfRule>
  </conditionalFormatting>
  <conditionalFormatting sqref="M33">
    <cfRule type="cellIs" dxfId="929" priority="928" operator="equal">
      <formula>"No"</formula>
    </cfRule>
    <cfRule type="cellIs" dxfId="928" priority="929" operator="equal">
      <formula>"NA"</formula>
    </cfRule>
    <cfRule type="cellIs" dxfId="927" priority="930" operator="equal">
      <formula>"Yes"</formula>
    </cfRule>
  </conditionalFormatting>
  <conditionalFormatting sqref="M9">
    <cfRule type="cellIs" dxfId="926" priority="925" operator="equal">
      <formula>"No"</formula>
    </cfRule>
    <cfRule type="cellIs" dxfId="925" priority="926" operator="equal">
      <formula>"NA"</formula>
    </cfRule>
    <cfRule type="cellIs" dxfId="924" priority="927" operator="equal">
      <formula>"Yes"</formula>
    </cfRule>
  </conditionalFormatting>
  <conditionalFormatting sqref="M11">
    <cfRule type="cellIs" dxfId="923" priority="922" operator="equal">
      <formula>"No"</formula>
    </cfRule>
    <cfRule type="cellIs" dxfId="922" priority="923" operator="equal">
      <formula>"NA"</formula>
    </cfRule>
    <cfRule type="cellIs" dxfId="921" priority="924" operator="equal">
      <formula>"Yes"</formula>
    </cfRule>
  </conditionalFormatting>
  <conditionalFormatting sqref="M12 M14:M15">
    <cfRule type="cellIs" dxfId="920" priority="919" operator="equal">
      <formula>"No"</formula>
    </cfRule>
    <cfRule type="cellIs" dxfId="919" priority="920" operator="equal">
      <formula>"NA"</formula>
    </cfRule>
    <cfRule type="cellIs" dxfId="918" priority="921" operator="equal">
      <formula>"Yes"</formula>
    </cfRule>
  </conditionalFormatting>
  <conditionalFormatting sqref="M17:M23">
    <cfRule type="cellIs" dxfId="917" priority="916" operator="equal">
      <formula>"No"</formula>
    </cfRule>
    <cfRule type="cellIs" dxfId="916" priority="917" operator="equal">
      <formula>"NA"</formula>
    </cfRule>
    <cfRule type="cellIs" dxfId="915" priority="918" operator="equal">
      <formula>"Yes"</formula>
    </cfRule>
  </conditionalFormatting>
  <conditionalFormatting sqref="M13">
    <cfRule type="cellIs" dxfId="914" priority="913" operator="equal">
      <formula>"No"</formula>
    </cfRule>
    <cfRule type="cellIs" dxfId="913" priority="914" operator="equal">
      <formula>"NA"</formula>
    </cfRule>
    <cfRule type="cellIs" dxfId="912" priority="915" operator="equal">
      <formula>"Yes"</formula>
    </cfRule>
  </conditionalFormatting>
  <conditionalFormatting sqref="N6">
    <cfRule type="cellIs" dxfId="911" priority="910" operator="equal">
      <formula>"No"</formula>
    </cfRule>
    <cfRule type="cellIs" dxfId="910" priority="911" operator="equal">
      <formula>"NA"</formula>
    </cfRule>
    <cfRule type="cellIs" dxfId="909" priority="912" operator="equal">
      <formula>"Yes"</formula>
    </cfRule>
  </conditionalFormatting>
  <conditionalFormatting sqref="N7">
    <cfRule type="cellIs" dxfId="908" priority="907" operator="equal">
      <formula>"No"</formula>
    </cfRule>
    <cfRule type="cellIs" dxfId="907" priority="908" operator="equal">
      <formula>"NA"</formula>
    </cfRule>
    <cfRule type="cellIs" dxfId="906" priority="909" operator="equal">
      <formula>"Yes"</formula>
    </cfRule>
  </conditionalFormatting>
  <conditionalFormatting sqref="N10">
    <cfRule type="cellIs" dxfId="905" priority="904" operator="equal">
      <formula>"No"</formula>
    </cfRule>
    <cfRule type="cellIs" dxfId="904" priority="905" operator="equal">
      <formula>"NA"</formula>
    </cfRule>
    <cfRule type="cellIs" dxfId="903" priority="906" operator="equal">
      <formula>"Yes"</formula>
    </cfRule>
  </conditionalFormatting>
  <conditionalFormatting sqref="N16">
    <cfRule type="cellIs" dxfId="902" priority="901" operator="equal">
      <formula>"No"</formula>
    </cfRule>
    <cfRule type="cellIs" dxfId="901" priority="902" operator="equal">
      <formula>"NA"</formula>
    </cfRule>
    <cfRule type="cellIs" dxfId="900" priority="903" operator="equal">
      <formula>"Yes"</formula>
    </cfRule>
  </conditionalFormatting>
  <conditionalFormatting sqref="N25">
    <cfRule type="cellIs" dxfId="899" priority="898" operator="equal">
      <formula>"No"</formula>
    </cfRule>
    <cfRule type="cellIs" dxfId="898" priority="899" operator="equal">
      <formula>"NA"</formula>
    </cfRule>
    <cfRule type="cellIs" dxfId="897" priority="900" operator="equal">
      <formula>"Yes"</formula>
    </cfRule>
  </conditionalFormatting>
  <conditionalFormatting sqref="N26">
    <cfRule type="cellIs" dxfId="896" priority="895" operator="equal">
      <formula>"No"</formula>
    </cfRule>
    <cfRule type="cellIs" dxfId="895" priority="896" operator="equal">
      <formula>"NA"</formula>
    </cfRule>
    <cfRule type="cellIs" dxfId="894" priority="897" operator="equal">
      <formula>"Yes"</formula>
    </cfRule>
  </conditionalFormatting>
  <conditionalFormatting sqref="N27">
    <cfRule type="cellIs" dxfId="893" priority="892" operator="equal">
      <formula>"No"</formula>
    </cfRule>
    <cfRule type="cellIs" dxfId="892" priority="893" operator="equal">
      <formula>"NA"</formula>
    </cfRule>
    <cfRule type="cellIs" dxfId="891" priority="894" operator="equal">
      <formula>"Yes"</formula>
    </cfRule>
  </conditionalFormatting>
  <conditionalFormatting sqref="N28">
    <cfRule type="cellIs" dxfId="890" priority="889" operator="equal">
      <formula>"No"</formula>
    </cfRule>
    <cfRule type="cellIs" dxfId="889" priority="890" operator="equal">
      <formula>"NA"</formula>
    </cfRule>
    <cfRule type="cellIs" dxfId="888" priority="891" operator="equal">
      <formula>"Yes"</formula>
    </cfRule>
  </conditionalFormatting>
  <conditionalFormatting sqref="N30">
    <cfRule type="cellIs" dxfId="887" priority="886" operator="equal">
      <formula>"No"</formula>
    </cfRule>
    <cfRule type="cellIs" dxfId="886" priority="887" operator="equal">
      <formula>"NA"</formula>
    </cfRule>
    <cfRule type="cellIs" dxfId="885" priority="888" operator="equal">
      <formula>"Yes"</formula>
    </cfRule>
  </conditionalFormatting>
  <conditionalFormatting sqref="N31">
    <cfRule type="cellIs" dxfId="884" priority="883" operator="equal">
      <formula>"No"</formula>
    </cfRule>
    <cfRule type="cellIs" dxfId="883" priority="884" operator="equal">
      <formula>"NA"</formula>
    </cfRule>
    <cfRule type="cellIs" dxfId="882" priority="885" operator="equal">
      <formula>"Yes"</formula>
    </cfRule>
  </conditionalFormatting>
  <conditionalFormatting sqref="N33">
    <cfRule type="cellIs" dxfId="881" priority="880" operator="equal">
      <formula>"No"</formula>
    </cfRule>
    <cfRule type="cellIs" dxfId="880" priority="881" operator="equal">
      <formula>"NA"</formula>
    </cfRule>
    <cfRule type="cellIs" dxfId="879" priority="882" operator="equal">
      <formula>"Yes"</formula>
    </cfRule>
  </conditionalFormatting>
  <conditionalFormatting sqref="N9">
    <cfRule type="cellIs" dxfId="878" priority="877" operator="equal">
      <formula>"No"</formula>
    </cfRule>
    <cfRule type="cellIs" dxfId="877" priority="878" operator="equal">
      <formula>"NA"</formula>
    </cfRule>
    <cfRule type="cellIs" dxfId="876" priority="879" operator="equal">
      <formula>"Yes"</formula>
    </cfRule>
  </conditionalFormatting>
  <conditionalFormatting sqref="N11">
    <cfRule type="cellIs" dxfId="875" priority="874" operator="equal">
      <formula>"No"</formula>
    </cfRule>
    <cfRule type="cellIs" dxfId="874" priority="875" operator="equal">
      <formula>"NA"</formula>
    </cfRule>
    <cfRule type="cellIs" dxfId="873" priority="876" operator="equal">
      <formula>"Yes"</formula>
    </cfRule>
  </conditionalFormatting>
  <conditionalFormatting sqref="N12 N14:N15">
    <cfRule type="cellIs" dxfId="872" priority="871" operator="equal">
      <formula>"No"</formula>
    </cfRule>
    <cfRule type="cellIs" dxfId="871" priority="872" operator="equal">
      <formula>"NA"</formula>
    </cfRule>
    <cfRule type="cellIs" dxfId="870" priority="873" operator="equal">
      <formula>"Yes"</formula>
    </cfRule>
  </conditionalFormatting>
  <conditionalFormatting sqref="N17:N23">
    <cfRule type="cellIs" dxfId="869" priority="868" operator="equal">
      <formula>"No"</formula>
    </cfRule>
    <cfRule type="cellIs" dxfId="868" priority="869" operator="equal">
      <formula>"NA"</formula>
    </cfRule>
    <cfRule type="cellIs" dxfId="867" priority="870" operator="equal">
      <formula>"Yes"</formula>
    </cfRule>
  </conditionalFormatting>
  <conditionalFormatting sqref="N13">
    <cfRule type="cellIs" dxfId="866" priority="865" operator="equal">
      <formula>"No"</formula>
    </cfRule>
    <cfRule type="cellIs" dxfId="865" priority="866" operator="equal">
      <formula>"NA"</formula>
    </cfRule>
    <cfRule type="cellIs" dxfId="864" priority="867" operator="equal">
      <formula>"Yes"</formula>
    </cfRule>
  </conditionalFormatting>
  <conditionalFormatting sqref="O6">
    <cfRule type="cellIs" dxfId="863" priority="862" operator="equal">
      <formula>"No"</formula>
    </cfRule>
    <cfRule type="cellIs" dxfId="862" priority="863" operator="equal">
      <formula>"NA"</formula>
    </cfRule>
    <cfRule type="cellIs" dxfId="861" priority="864" operator="equal">
      <formula>"Yes"</formula>
    </cfRule>
  </conditionalFormatting>
  <conditionalFormatting sqref="O7">
    <cfRule type="cellIs" dxfId="860" priority="859" operator="equal">
      <formula>"No"</formula>
    </cfRule>
    <cfRule type="cellIs" dxfId="859" priority="860" operator="equal">
      <formula>"NA"</formula>
    </cfRule>
    <cfRule type="cellIs" dxfId="858" priority="861" operator="equal">
      <formula>"Yes"</formula>
    </cfRule>
  </conditionalFormatting>
  <conditionalFormatting sqref="O10">
    <cfRule type="cellIs" dxfId="857" priority="856" operator="equal">
      <formula>"No"</formula>
    </cfRule>
    <cfRule type="cellIs" dxfId="856" priority="857" operator="equal">
      <formula>"NA"</formula>
    </cfRule>
    <cfRule type="cellIs" dxfId="855" priority="858" operator="equal">
      <formula>"Yes"</formula>
    </cfRule>
  </conditionalFormatting>
  <conditionalFormatting sqref="O16">
    <cfRule type="cellIs" dxfId="854" priority="853" operator="equal">
      <formula>"No"</formula>
    </cfRule>
    <cfRule type="cellIs" dxfId="853" priority="854" operator="equal">
      <formula>"NA"</formula>
    </cfRule>
    <cfRule type="cellIs" dxfId="852" priority="855" operator="equal">
      <formula>"Yes"</formula>
    </cfRule>
  </conditionalFormatting>
  <conditionalFormatting sqref="O25">
    <cfRule type="cellIs" dxfId="851" priority="850" operator="equal">
      <formula>"No"</formula>
    </cfRule>
    <cfRule type="cellIs" dxfId="850" priority="851" operator="equal">
      <formula>"NA"</formula>
    </cfRule>
    <cfRule type="cellIs" dxfId="849" priority="852" operator="equal">
      <formula>"Yes"</formula>
    </cfRule>
  </conditionalFormatting>
  <conditionalFormatting sqref="O26">
    <cfRule type="cellIs" dxfId="848" priority="847" operator="equal">
      <formula>"No"</formula>
    </cfRule>
    <cfRule type="cellIs" dxfId="847" priority="848" operator="equal">
      <formula>"NA"</formula>
    </cfRule>
    <cfRule type="cellIs" dxfId="846" priority="849" operator="equal">
      <formula>"Yes"</formula>
    </cfRule>
  </conditionalFormatting>
  <conditionalFormatting sqref="O27">
    <cfRule type="cellIs" dxfId="845" priority="844" operator="equal">
      <formula>"No"</formula>
    </cfRule>
    <cfRule type="cellIs" dxfId="844" priority="845" operator="equal">
      <formula>"NA"</formula>
    </cfRule>
    <cfRule type="cellIs" dxfId="843" priority="846" operator="equal">
      <formula>"Yes"</formula>
    </cfRule>
  </conditionalFormatting>
  <conditionalFormatting sqref="O28">
    <cfRule type="cellIs" dxfId="842" priority="841" operator="equal">
      <formula>"No"</formula>
    </cfRule>
    <cfRule type="cellIs" dxfId="841" priority="842" operator="equal">
      <formula>"NA"</formula>
    </cfRule>
    <cfRule type="cellIs" dxfId="840" priority="843" operator="equal">
      <formula>"Yes"</formula>
    </cfRule>
  </conditionalFormatting>
  <conditionalFormatting sqref="O30">
    <cfRule type="cellIs" dxfId="839" priority="838" operator="equal">
      <formula>"No"</formula>
    </cfRule>
    <cfRule type="cellIs" dxfId="838" priority="839" operator="equal">
      <formula>"NA"</formula>
    </cfRule>
    <cfRule type="cellIs" dxfId="837" priority="840" operator="equal">
      <formula>"Yes"</formula>
    </cfRule>
  </conditionalFormatting>
  <conditionalFormatting sqref="O31">
    <cfRule type="cellIs" dxfId="836" priority="835" operator="equal">
      <formula>"No"</formula>
    </cfRule>
    <cfRule type="cellIs" dxfId="835" priority="836" operator="equal">
      <formula>"NA"</formula>
    </cfRule>
    <cfRule type="cellIs" dxfId="834" priority="837" operator="equal">
      <formula>"Yes"</formula>
    </cfRule>
  </conditionalFormatting>
  <conditionalFormatting sqref="O33">
    <cfRule type="cellIs" dxfId="833" priority="832" operator="equal">
      <formula>"No"</formula>
    </cfRule>
    <cfRule type="cellIs" dxfId="832" priority="833" operator="equal">
      <formula>"NA"</formula>
    </cfRule>
    <cfRule type="cellIs" dxfId="831" priority="834" operator="equal">
      <formula>"Yes"</formula>
    </cfRule>
  </conditionalFormatting>
  <conditionalFormatting sqref="O9">
    <cfRule type="cellIs" dxfId="830" priority="829" operator="equal">
      <formula>"No"</formula>
    </cfRule>
    <cfRule type="cellIs" dxfId="829" priority="830" operator="equal">
      <formula>"NA"</formula>
    </cfRule>
    <cfRule type="cellIs" dxfId="828" priority="831" operator="equal">
      <formula>"Yes"</formula>
    </cfRule>
  </conditionalFormatting>
  <conditionalFormatting sqref="O11">
    <cfRule type="cellIs" dxfId="827" priority="826" operator="equal">
      <formula>"No"</formula>
    </cfRule>
    <cfRule type="cellIs" dxfId="826" priority="827" operator="equal">
      <formula>"NA"</formula>
    </cfRule>
    <cfRule type="cellIs" dxfId="825" priority="828" operator="equal">
      <formula>"Yes"</formula>
    </cfRule>
  </conditionalFormatting>
  <conditionalFormatting sqref="O12 O14:O15">
    <cfRule type="cellIs" dxfId="824" priority="823" operator="equal">
      <formula>"No"</formula>
    </cfRule>
    <cfRule type="cellIs" dxfId="823" priority="824" operator="equal">
      <formula>"NA"</formula>
    </cfRule>
    <cfRule type="cellIs" dxfId="822" priority="825" operator="equal">
      <formula>"Yes"</formula>
    </cfRule>
  </conditionalFormatting>
  <conditionalFormatting sqref="O17:O23">
    <cfRule type="cellIs" dxfId="821" priority="820" operator="equal">
      <formula>"No"</formula>
    </cfRule>
    <cfRule type="cellIs" dxfId="820" priority="821" operator="equal">
      <formula>"NA"</formula>
    </cfRule>
    <cfRule type="cellIs" dxfId="819" priority="822" operator="equal">
      <formula>"Yes"</formula>
    </cfRule>
  </conditionalFormatting>
  <conditionalFormatting sqref="O13">
    <cfRule type="cellIs" dxfId="818" priority="817" operator="equal">
      <formula>"No"</formula>
    </cfRule>
    <cfRule type="cellIs" dxfId="817" priority="818" operator="equal">
      <formula>"NA"</formula>
    </cfRule>
    <cfRule type="cellIs" dxfId="816" priority="819" operator="equal">
      <formula>"Yes"</formula>
    </cfRule>
  </conditionalFormatting>
  <conditionalFormatting sqref="P6">
    <cfRule type="cellIs" dxfId="815" priority="814" operator="equal">
      <formula>"No"</formula>
    </cfRule>
    <cfRule type="cellIs" dxfId="814" priority="815" operator="equal">
      <formula>"NA"</formula>
    </cfRule>
    <cfRule type="cellIs" dxfId="813" priority="816" operator="equal">
      <formula>"Yes"</formula>
    </cfRule>
  </conditionalFormatting>
  <conditionalFormatting sqref="P7">
    <cfRule type="cellIs" dxfId="812" priority="811" operator="equal">
      <formula>"No"</formula>
    </cfRule>
    <cfRule type="cellIs" dxfId="811" priority="812" operator="equal">
      <formula>"NA"</formula>
    </cfRule>
    <cfRule type="cellIs" dxfId="810" priority="813" operator="equal">
      <formula>"Yes"</formula>
    </cfRule>
  </conditionalFormatting>
  <conditionalFormatting sqref="P10">
    <cfRule type="cellIs" dxfId="809" priority="808" operator="equal">
      <formula>"No"</formula>
    </cfRule>
    <cfRule type="cellIs" dxfId="808" priority="809" operator="equal">
      <formula>"NA"</formula>
    </cfRule>
    <cfRule type="cellIs" dxfId="807" priority="810" operator="equal">
      <formula>"Yes"</formula>
    </cfRule>
  </conditionalFormatting>
  <conditionalFormatting sqref="P16">
    <cfRule type="cellIs" dxfId="806" priority="805" operator="equal">
      <formula>"No"</formula>
    </cfRule>
    <cfRule type="cellIs" dxfId="805" priority="806" operator="equal">
      <formula>"NA"</formula>
    </cfRule>
    <cfRule type="cellIs" dxfId="804" priority="807" operator="equal">
      <formula>"Yes"</formula>
    </cfRule>
  </conditionalFormatting>
  <conditionalFormatting sqref="P25">
    <cfRule type="cellIs" dxfId="803" priority="802" operator="equal">
      <formula>"No"</formula>
    </cfRule>
    <cfRule type="cellIs" dxfId="802" priority="803" operator="equal">
      <formula>"NA"</formula>
    </cfRule>
    <cfRule type="cellIs" dxfId="801" priority="804" operator="equal">
      <formula>"Yes"</formula>
    </cfRule>
  </conditionalFormatting>
  <conditionalFormatting sqref="P26">
    <cfRule type="cellIs" dxfId="800" priority="799" operator="equal">
      <formula>"No"</formula>
    </cfRule>
    <cfRule type="cellIs" dxfId="799" priority="800" operator="equal">
      <formula>"NA"</formula>
    </cfRule>
    <cfRule type="cellIs" dxfId="798" priority="801" operator="equal">
      <formula>"Yes"</formula>
    </cfRule>
  </conditionalFormatting>
  <conditionalFormatting sqref="P27">
    <cfRule type="cellIs" dxfId="797" priority="796" operator="equal">
      <formula>"No"</formula>
    </cfRule>
    <cfRule type="cellIs" dxfId="796" priority="797" operator="equal">
      <formula>"NA"</formula>
    </cfRule>
    <cfRule type="cellIs" dxfId="795" priority="798" operator="equal">
      <formula>"Yes"</formula>
    </cfRule>
  </conditionalFormatting>
  <conditionalFormatting sqref="P28">
    <cfRule type="cellIs" dxfId="794" priority="793" operator="equal">
      <formula>"No"</formula>
    </cfRule>
    <cfRule type="cellIs" dxfId="793" priority="794" operator="equal">
      <formula>"NA"</formula>
    </cfRule>
    <cfRule type="cellIs" dxfId="792" priority="795" operator="equal">
      <formula>"Yes"</formula>
    </cfRule>
  </conditionalFormatting>
  <conditionalFormatting sqref="P30">
    <cfRule type="cellIs" dxfId="791" priority="790" operator="equal">
      <formula>"No"</formula>
    </cfRule>
    <cfRule type="cellIs" dxfId="790" priority="791" operator="equal">
      <formula>"NA"</formula>
    </cfRule>
    <cfRule type="cellIs" dxfId="789" priority="792" operator="equal">
      <formula>"Yes"</formula>
    </cfRule>
  </conditionalFormatting>
  <conditionalFormatting sqref="P31">
    <cfRule type="cellIs" dxfId="788" priority="787" operator="equal">
      <formula>"No"</formula>
    </cfRule>
    <cfRule type="cellIs" dxfId="787" priority="788" operator="equal">
      <formula>"NA"</formula>
    </cfRule>
    <cfRule type="cellIs" dxfId="786" priority="789" operator="equal">
      <formula>"Yes"</formula>
    </cfRule>
  </conditionalFormatting>
  <conditionalFormatting sqref="P33">
    <cfRule type="cellIs" dxfId="785" priority="784" operator="equal">
      <formula>"No"</formula>
    </cfRule>
    <cfRule type="cellIs" dxfId="784" priority="785" operator="equal">
      <formula>"NA"</formula>
    </cfRule>
    <cfRule type="cellIs" dxfId="783" priority="786" operator="equal">
      <formula>"Yes"</formula>
    </cfRule>
  </conditionalFormatting>
  <conditionalFormatting sqref="P9">
    <cfRule type="cellIs" dxfId="782" priority="781" operator="equal">
      <formula>"No"</formula>
    </cfRule>
    <cfRule type="cellIs" dxfId="781" priority="782" operator="equal">
      <formula>"NA"</formula>
    </cfRule>
    <cfRule type="cellIs" dxfId="780" priority="783" operator="equal">
      <formula>"Yes"</formula>
    </cfRule>
  </conditionalFormatting>
  <conditionalFormatting sqref="P11">
    <cfRule type="cellIs" dxfId="779" priority="778" operator="equal">
      <formula>"No"</formula>
    </cfRule>
    <cfRule type="cellIs" dxfId="778" priority="779" operator="equal">
      <formula>"NA"</formula>
    </cfRule>
    <cfRule type="cellIs" dxfId="777" priority="780" operator="equal">
      <formula>"Yes"</formula>
    </cfRule>
  </conditionalFormatting>
  <conditionalFormatting sqref="P12 P14:P15">
    <cfRule type="cellIs" dxfId="776" priority="775" operator="equal">
      <formula>"No"</formula>
    </cfRule>
    <cfRule type="cellIs" dxfId="775" priority="776" operator="equal">
      <formula>"NA"</formula>
    </cfRule>
    <cfRule type="cellIs" dxfId="774" priority="777" operator="equal">
      <formula>"Yes"</formula>
    </cfRule>
  </conditionalFormatting>
  <conditionalFormatting sqref="P17:P23">
    <cfRule type="cellIs" dxfId="773" priority="772" operator="equal">
      <formula>"No"</formula>
    </cfRule>
    <cfRule type="cellIs" dxfId="772" priority="773" operator="equal">
      <formula>"NA"</formula>
    </cfRule>
    <cfRule type="cellIs" dxfId="771" priority="774" operator="equal">
      <formula>"Yes"</formula>
    </cfRule>
  </conditionalFormatting>
  <conditionalFormatting sqref="P13">
    <cfRule type="cellIs" dxfId="770" priority="769" operator="equal">
      <formula>"No"</formula>
    </cfRule>
    <cfRule type="cellIs" dxfId="769" priority="770" operator="equal">
      <formula>"NA"</formula>
    </cfRule>
    <cfRule type="cellIs" dxfId="768" priority="771" operator="equal">
      <formula>"Yes"</formula>
    </cfRule>
  </conditionalFormatting>
  <conditionalFormatting sqref="Q6">
    <cfRule type="cellIs" dxfId="767" priority="766" operator="equal">
      <formula>"No"</formula>
    </cfRule>
    <cfRule type="cellIs" dxfId="766" priority="767" operator="equal">
      <formula>"NA"</formula>
    </cfRule>
    <cfRule type="cellIs" dxfId="765" priority="768" operator="equal">
      <formula>"Yes"</formula>
    </cfRule>
  </conditionalFormatting>
  <conditionalFormatting sqref="Q7">
    <cfRule type="cellIs" dxfId="764" priority="763" operator="equal">
      <formula>"No"</formula>
    </cfRule>
    <cfRule type="cellIs" dxfId="763" priority="764" operator="equal">
      <formula>"NA"</formula>
    </cfRule>
    <cfRule type="cellIs" dxfId="762" priority="765" operator="equal">
      <formula>"Yes"</formula>
    </cfRule>
  </conditionalFormatting>
  <conditionalFormatting sqref="Q10">
    <cfRule type="cellIs" dxfId="761" priority="760" operator="equal">
      <formula>"No"</formula>
    </cfRule>
    <cfRule type="cellIs" dxfId="760" priority="761" operator="equal">
      <formula>"NA"</formula>
    </cfRule>
    <cfRule type="cellIs" dxfId="759" priority="762" operator="equal">
      <formula>"Yes"</formula>
    </cfRule>
  </conditionalFormatting>
  <conditionalFormatting sqref="Q16">
    <cfRule type="cellIs" dxfId="758" priority="757" operator="equal">
      <formula>"No"</formula>
    </cfRule>
    <cfRule type="cellIs" dxfId="757" priority="758" operator="equal">
      <formula>"NA"</formula>
    </cfRule>
    <cfRule type="cellIs" dxfId="756" priority="759" operator="equal">
      <formula>"Yes"</formula>
    </cfRule>
  </conditionalFormatting>
  <conditionalFormatting sqref="Q25">
    <cfRule type="cellIs" dxfId="755" priority="754" operator="equal">
      <formula>"No"</formula>
    </cfRule>
    <cfRule type="cellIs" dxfId="754" priority="755" operator="equal">
      <formula>"NA"</formula>
    </cfRule>
    <cfRule type="cellIs" dxfId="753" priority="756" operator="equal">
      <formula>"Yes"</formula>
    </cfRule>
  </conditionalFormatting>
  <conditionalFormatting sqref="Q26">
    <cfRule type="cellIs" dxfId="752" priority="751" operator="equal">
      <formula>"No"</formula>
    </cfRule>
    <cfRule type="cellIs" dxfId="751" priority="752" operator="equal">
      <formula>"NA"</formula>
    </cfRule>
    <cfRule type="cellIs" dxfId="750" priority="753" operator="equal">
      <formula>"Yes"</formula>
    </cfRule>
  </conditionalFormatting>
  <conditionalFormatting sqref="Q27">
    <cfRule type="cellIs" dxfId="749" priority="748" operator="equal">
      <formula>"No"</formula>
    </cfRule>
    <cfRule type="cellIs" dxfId="748" priority="749" operator="equal">
      <formula>"NA"</formula>
    </cfRule>
    <cfRule type="cellIs" dxfId="747" priority="750" operator="equal">
      <formula>"Yes"</formula>
    </cfRule>
  </conditionalFormatting>
  <conditionalFormatting sqref="Q28">
    <cfRule type="cellIs" dxfId="746" priority="745" operator="equal">
      <formula>"No"</formula>
    </cfRule>
    <cfRule type="cellIs" dxfId="745" priority="746" operator="equal">
      <formula>"NA"</formula>
    </cfRule>
    <cfRule type="cellIs" dxfId="744" priority="747" operator="equal">
      <formula>"Yes"</formula>
    </cfRule>
  </conditionalFormatting>
  <conditionalFormatting sqref="Q30">
    <cfRule type="cellIs" dxfId="743" priority="742" operator="equal">
      <formula>"No"</formula>
    </cfRule>
    <cfRule type="cellIs" dxfId="742" priority="743" operator="equal">
      <formula>"NA"</formula>
    </cfRule>
    <cfRule type="cellIs" dxfId="741" priority="744" operator="equal">
      <formula>"Yes"</formula>
    </cfRule>
  </conditionalFormatting>
  <conditionalFormatting sqref="Q31">
    <cfRule type="cellIs" dxfId="740" priority="739" operator="equal">
      <formula>"No"</formula>
    </cfRule>
    <cfRule type="cellIs" dxfId="739" priority="740" operator="equal">
      <formula>"NA"</formula>
    </cfRule>
    <cfRule type="cellIs" dxfId="738" priority="741" operator="equal">
      <formula>"Yes"</formula>
    </cfRule>
  </conditionalFormatting>
  <conditionalFormatting sqref="Q33">
    <cfRule type="cellIs" dxfId="737" priority="736" operator="equal">
      <formula>"No"</formula>
    </cfRule>
    <cfRule type="cellIs" dxfId="736" priority="737" operator="equal">
      <formula>"NA"</formula>
    </cfRule>
    <cfRule type="cellIs" dxfId="735" priority="738" operator="equal">
      <formula>"Yes"</formula>
    </cfRule>
  </conditionalFormatting>
  <conditionalFormatting sqref="Q9">
    <cfRule type="cellIs" dxfId="734" priority="733" operator="equal">
      <formula>"No"</formula>
    </cfRule>
    <cfRule type="cellIs" dxfId="733" priority="734" operator="equal">
      <formula>"NA"</formula>
    </cfRule>
    <cfRule type="cellIs" dxfId="732" priority="735" operator="equal">
      <formula>"Yes"</formula>
    </cfRule>
  </conditionalFormatting>
  <conditionalFormatting sqref="Q11">
    <cfRule type="cellIs" dxfId="731" priority="730" operator="equal">
      <formula>"No"</formula>
    </cfRule>
    <cfRule type="cellIs" dxfId="730" priority="731" operator="equal">
      <formula>"NA"</formula>
    </cfRule>
    <cfRule type="cellIs" dxfId="729" priority="732" operator="equal">
      <formula>"Yes"</formula>
    </cfRule>
  </conditionalFormatting>
  <conditionalFormatting sqref="Q12 Q14:Q15">
    <cfRule type="cellIs" dxfId="728" priority="727" operator="equal">
      <formula>"No"</formula>
    </cfRule>
    <cfRule type="cellIs" dxfId="727" priority="728" operator="equal">
      <formula>"NA"</formula>
    </cfRule>
    <cfRule type="cellIs" dxfId="726" priority="729" operator="equal">
      <formula>"Yes"</formula>
    </cfRule>
  </conditionalFormatting>
  <conditionalFormatting sqref="Q17:Q23">
    <cfRule type="cellIs" dxfId="725" priority="724" operator="equal">
      <formula>"No"</formula>
    </cfRule>
    <cfRule type="cellIs" dxfId="724" priority="725" operator="equal">
      <formula>"NA"</formula>
    </cfRule>
    <cfRule type="cellIs" dxfId="723" priority="726" operator="equal">
      <formula>"Yes"</formula>
    </cfRule>
  </conditionalFormatting>
  <conditionalFormatting sqref="Q13">
    <cfRule type="cellIs" dxfId="722" priority="721" operator="equal">
      <formula>"No"</formula>
    </cfRule>
    <cfRule type="cellIs" dxfId="721" priority="722" operator="equal">
      <formula>"NA"</formula>
    </cfRule>
    <cfRule type="cellIs" dxfId="720" priority="723" operator="equal">
      <formula>"Yes"</formula>
    </cfRule>
  </conditionalFormatting>
  <conditionalFormatting sqref="R6">
    <cfRule type="cellIs" dxfId="719" priority="718" operator="equal">
      <formula>"No"</formula>
    </cfRule>
    <cfRule type="cellIs" dxfId="718" priority="719" operator="equal">
      <formula>"NA"</formula>
    </cfRule>
    <cfRule type="cellIs" dxfId="717" priority="720" operator="equal">
      <formula>"Yes"</formula>
    </cfRule>
  </conditionalFormatting>
  <conditionalFormatting sqref="R7">
    <cfRule type="cellIs" dxfId="716" priority="715" operator="equal">
      <formula>"No"</formula>
    </cfRule>
    <cfRule type="cellIs" dxfId="715" priority="716" operator="equal">
      <formula>"NA"</formula>
    </cfRule>
    <cfRule type="cellIs" dxfId="714" priority="717" operator="equal">
      <formula>"Yes"</formula>
    </cfRule>
  </conditionalFormatting>
  <conditionalFormatting sqref="R10">
    <cfRule type="cellIs" dxfId="713" priority="712" operator="equal">
      <formula>"No"</formula>
    </cfRule>
    <cfRule type="cellIs" dxfId="712" priority="713" operator="equal">
      <formula>"NA"</formula>
    </cfRule>
    <cfRule type="cellIs" dxfId="711" priority="714" operator="equal">
      <formula>"Yes"</formula>
    </cfRule>
  </conditionalFormatting>
  <conditionalFormatting sqref="R16">
    <cfRule type="cellIs" dxfId="710" priority="709" operator="equal">
      <formula>"No"</formula>
    </cfRule>
    <cfRule type="cellIs" dxfId="709" priority="710" operator="equal">
      <formula>"NA"</formula>
    </cfRule>
    <cfRule type="cellIs" dxfId="708" priority="711" operator="equal">
      <formula>"Yes"</formula>
    </cfRule>
  </conditionalFormatting>
  <conditionalFormatting sqref="R25">
    <cfRule type="cellIs" dxfId="707" priority="706" operator="equal">
      <formula>"No"</formula>
    </cfRule>
    <cfRule type="cellIs" dxfId="706" priority="707" operator="equal">
      <formula>"NA"</formula>
    </cfRule>
    <cfRule type="cellIs" dxfId="705" priority="708" operator="equal">
      <formula>"Yes"</formula>
    </cfRule>
  </conditionalFormatting>
  <conditionalFormatting sqref="R26">
    <cfRule type="cellIs" dxfId="704" priority="703" operator="equal">
      <formula>"No"</formula>
    </cfRule>
    <cfRule type="cellIs" dxfId="703" priority="704" operator="equal">
      <formula>"NA"</formula>
    </cfRule>
    <cfRule type="cellIs" dxfId="702" priority="705" operator="equal">
      <formula>"Yes"</formula>
    </cfRule>
  </conditionalFormatting>
  <conditionalFormatting sqref="R27">
    <cfRule type="cellIs" dxfId="701" priority="700" operator="equal">
      <formula>"No"</formula>
    </cfRule>
    <cfRule type="cellIs" dxfId="700" priority="701" operator="equal">
      <formula>"NA"</formula>
    </cfRule>
    <cfRule type="cellIs" dxfId="699" priority="702" operator="equal">
      <formula>"Yes"</formula>
    </cfRule>
  </conditionalFormatting>
  <conditionalFormatting sqref="R28">
    <cfRule type="cellIs" dxfId="698" priority="697" operator="equal">
      <formula>"No"</formula>
    </cfRule>
    <cfRule type="cellIs" dxfId="697" priority="698" operator="equal">
      <formula>"NA"</formula>
    </cfRule>
    <cfRule type="cellIs" dxfId="696" priority="699" operator="equal">
      <formula>"Yes"</formula>
    </cfRule>
  </conditionalFormatting>
  <conditionalFormatting sqref="R30">
    <cfRule type="cellIs" dxfId="695" priority="694" operator="equal">
      <formula>"No"</formula>
    </cfRule>
    <cfRule type="cellIs" dxfId="694" priority="695" operator="equal">
      <formula>"NA"</formula>
    </cfRule>
    <cfRule type="cellIs" dxfId="693" priority="696" operator="equal">
      <formula>"Yes"</formula>
    </cfRule>
  </conditionalFormatting>
  <conditionalFormatting sqref="R31">
    <cfRule type="cellIs" dxfId="692" priority="691" operator="equal">
      <formula>"No"</formula>
    </cfRule>
    <cfRule type="cellIs" dxfId="691" priority="692" operator="equal">
      <formula>"NA"</formula>
    </cfRule>
    <cfRule type="cellIs" dxfId="690" priority="693" operator="equal">
      <formula>"Yes"</formula>
    </cfRule>
  </conditionalFormatting>
  <conditionalFormatting sqref="R33">
    <cfRule type="cellIs" dxfId="689" priority="688" operator="equal">
      <formula>"No"</formula>
    </cfRule>
    <cfRule type="cellIs" dxfId="688" priority="689" operator="equal">
      <formula>"NA"</formula>
    </cfRule>
    <cfRule type="cellIs" dxfId="687" priority="690" operator="equal">
      <formula>"Yes"</formula>
    </cfRule>
  </conditionalFormatting>
  <conditionalFormatting sqref="R9">
    <cfRule type="cellIs" dxfId="686" priority="685" operator="equal">
      <formula>"No"</formula>
    </cfRule>
    <cfRule type="cellIs" dxfId="685" priority="686" operator="equal">
      <formula>"NA"</formula>
    </cfRule>
    <cfRule type="cellIs" dxfId="684" priority="687" operator="equal">
      <formula>"Yes"</formula>
    </cfRule>
  </conditionalFormatting>
  <conditionalFormatting sqref="R11">
    <cfRule type="cellIs" dxfId="683" priority="682" operator="equal">
      <formula>"No"</formula>
    </cfRule>
    <cfRule type="cellIs" dxfId="682" priority="683" operator="equal">
      <formula>"NA"</formula>
    </cfRule>
    <cfRule type="cellIs" dxfId="681" priority="684" operator="equal">
      <formula>"Yes"</formula>
    </cfRule>
  </conditionalFormatting>
  <conditionalFormatting sqref="R12 R14:R15">
    <cfRule type="cellIs" dxfId="680" priority="679" operator="equal">
      <formula>"No"</formula>
    </cfRule>
    <cfRule type="cellIs" dxfId="679" priority="680" operator="equal">
      <formula>"NA"</formula>
    </cfRule>
    <cfRule type="cellIs" dxfId="678" priority="681" operator="equal">
      <formula>"Yes"</formula>
    </cfRule>
  </conditionalFormatting>
  <conditionalFormatting sqref="R17:R23">
    <cfRule type="cellIs" dxfId="677" priority="676" operator="equal">
      <formula>"No"</formula>
    </cfRule>
    <cfRule type="cellIs" dxfId="676" priority="677" operator="equal">
      <formula>"NA"</formula>
    </cfRule>
    <cfRule type="cellIs" dxfId="675" priority="678" operator="equal">
      <formula>"Yes"</formula>
    </cfRule>
  </conditionalFormatting>
  <conditionalFormatting sqref="R13">
    <cfRule type="cellIs" dxfId="674" priority="673" operator="equal">
      <formula>"No"</formula>
    </cfRule>
    <cfRule type="cellIs" dxfId="673" priority="674" operator="equal">
      <formula>"NA"</formula>
    </cfRule>
    <cfRule type="cellIs" dxfId="672" priority="675" operator="equal">
      <formula>"Yes"</formula>
    </cfRule>
  </conditionalFormatting>
  <conditionalFormatting sqref="S6">
    <cfRule type="cellIs" dxfId="671" priority="670" operator="equal">
      <formula>"No"</formula>
    </cfRule>
    <cfRule type="cellIs" dxfId="670" priority="671" operator="equal">
      <formula>"NA"</formula>
    </cfRule>
    <cfRule type="cellIs" dxfId="669" priority="672" operator="equal">
      <formula>"Yes"</formula>
    </cfRule>
  </conditionalFormatting>
  <conditionalFormatting sqref="S7">
    <cfRule type="cellIs" dxfId="668" priority="667" operator="equal">
      <formula>"No"</formula>
    </cfRule>
    <cfRule type="cellIs" dxfId="667" priority="668" operator="equal">
      <formula>"NA"</formula>
    </cfRule>
    <cfRule type="cellIs" dxfId="666" priority="669" operator="equal">
      <formula>"Yes"</formula>
    </cfRule>
  </conditionalFormatting>
  <conditionalFormatting sqref="S10">
    <cfRule type="cellIs" dxfId="665" priority="664" operator="equal">
      <formula>"No"</formula>
    </cfRule>
    <cfRule type="cellIs" dxfId="664" priority="665" operator="equal">
      <formula>"NA"</formula>
    </cfRule>
    <cfRule type="cellIs" dxfId="663" priority="666" operator="equal">
      <formula>"Yes"</formula>
    </cfRule>
  </conditionalFormatting>
  <conditionalFormatting sqref="S16">
    <cfRule type="cellIs" dxfId="662" priority="661" operator="equal">
      <formula>"No"</formula>
    </cfRule>
    <cfRule type="cellIs" dxfId="661" priority="662" operator="equal">
      <formula>"NA"</formula>
    </cfRule>
    <cfRule type="cellIs" dxfId="660" priority="663" operator="equal">
      <formula>"Yes"</formula>
    </cfRule>
  </conditionalFormatting>
  <conditionalFormatting sqref="S25">
    <cfRule type="cellIs" dxfId="659" priority="658" operator="equal">
      <formula>"No"</formula>
    </cfRule>
    <cfRule type="cellIs" dxfId="658" priority="659" operator="equal">
      <formula>"NA"</formula>
    </cfRule>
    <cfRule type="cellIs" dxfId="657" priority="660" operator="equal">
      <formula>"Yes"</formula>
    </cfRule>
  </conditionalFormatting>
  <conditionalFormatting sqref="S26">
    <cfRule type="cellIs" dxfId="656" priority="655" operator="equal">
      <formula>"No"</formula>
    </cfRule>
    <cfRule type="cellIs" dxfId="655" priority="656" operator="equal">
      <formula>"NA"</formula>
    </cfRule>
    <cfRule type="cellIs" dxfId="654" priority="657" operator="equal">
      <formula>"Yes"</formula>
    </cfRule>
  </conditionalFormatting>
  <conditionalFormatting sqref="S27">
    <cfRule type="cellIs" dxfId="653" priority="652" operator="equal">
      <formula>"No"</formula>
    </cfRule>
    <cfRule type="cellIs" dxfId="652" priority="653" operator="equal">
      <formula>"NA"</formula>
    </cfRule>
    <cfRule type="cellIs" dxfId="651" priority="654" operator="equal">
      <formula>"Yes"</formula>
    </cfRule>
  </conditionalFormatting>
  <conditionalFormatting sqref="S28">
    <cfRule type="cellIs" dxfId="650" priority="649" operator="equal">
      <formula>"No"</formula>
    </cfRule>
    <cfRule type="cellIs" dxfId="649" priority="650" operator="equal">
      <formula>"NA"</formula>
    </cfRule>
    <cfRule type="cellIs" dxfId="648" priority="651" operator="equal">
      <formula>"Yes"</formula>
    </cfRule>
  </conditionalFormatting>
  <conditionalFormatting sqref="S30">
    <cfRule type="cellIs" dxfId="647" priority="646" operator="equal">
      <formula>"No"</formula>
    </cfRule>
    <cfRule type="cellIs" dxfId="646" priority="647" operator="equal">
      <formula>"NA"</formula>
    </cfRule>
    <cfRule type="cellIs" dxfId="645" priority="648" operator="equal">
      <formula>"Yes"</formula>
    </cfRule>
  </conditionalFormatting>
  <conditionalFormatting sqref="S31">
    <cfRule type="cellIs" dxfId="644" priority="643" operator="equal">
      <formula>"No"</formula>
    </cfRule>
    <cfRule type="cellIs" dxfId="643" priority="644" operator="equal">
      <formula>"NA"</formula>
    </cfRule>
    <cfRule type="cellIs" dxfId="642" priority="645" operator="equal">
      <formula>"Yes"</formula>
    </cfRule>
  </conditionalFormatting>
  <conditionalFormatting sqref="S33">
    <cfRule type="cellIs" dxfId="641" priority="640" operator="equal">
      <formula>"No"</formula>
    </cfRule>
    <cfRule type="cellIs" dxfId="640" priority="641" operator="equal">
      <formula>"NA"</formula>
    </cfRule>
    <cfRule type="cellIs" dxfId="639" priority="642" operator="equal">
      <formula>"Yes"</formula>
    </cfRule>
  </conditionalFormatting>
  <conditionalFormatting sqref="S9">
    <cfRule type="cellIs" dxfId="638" priority="637" operator="equal">
      <formula>"No"</formula>
    </cfRule>
    <cfRule type="cellIs" dxfId="637" priority="638" operator="equal">
      <formula>"NA"</formula>
    </cfRule>
    <cfRule type="cellIs" dxfId="636" priority="639" operator="equal">
      <formula>"Yes"</formula>
    </cfRule>
  </conditionalFormatting>
  <conditionalFormatting sqref="S11">
    <cfRule type="cellIs" dxfId="635" priority="634" operator="equal">
      <formula>"No"</formula>
    </cfRule>
    <cfRule type="cellIs" dxfId="634" priority="635" operator="equal">
      <formula>"NA"</formula>
    </cfRule>
    <cfRule type="cellIs" dxfId="633" priority="636" operator="equal">
      <formula>"Yes"</formula>
    </cfRule>
  </conditionalFormatting>
  <conditionalFormatting sqref="S12 S14:S15">
    <cfRule type="cellIs" dxfId="632" priority="631" operator="equal">
      <formula>"No"</formula>
    </cfRule>
    <cfRule type="cellIs" dxfId="631" priority="632" operator="equal">
      <formula>"NA"</formula>
    </cfRule>
    <cfRule type="cellIs" dxfId="630" priority="633" operator="equal">
      <formula>"Yes"</formula>
    </cfRule>
  </conditionalFormatting>
  <conditionalFormatting sqref="S17:S23">
    <cfRule type="cellIs" dxfId="629" priority="628" operator="equal">
      <formula>"No"</formula>
    </cfRule>
    <cfRule type="cellIs" dxfId="628" priority="629" operator="equal">
      <formula>"NA"</formula>
    </cfRule>
    <cfRule type="cellIs" dxfId="627" priority="630" operator="equal">
      <formula>"Yes"</formula>
    </cfRule>
  </conditionalFormatting>
  <conditionalFormatting sqref="S13">
    <cfRule type="cellIs" dxfId="626" priority="625" operator="equal">
      <formula>"No"</formula>
    </cfRule>
    <cfRule type="cellIs" dxfId="625" priority="626" operator="equal">
      <formula>"NA"</formula>
    </cfRule>
    <cfRule type="cellIs" dxfId="624" priority="627" operator="equal">
      <formula>"Yes"</formula>
    </cfRule>
  </conditionalFormatting>
  <conditionalFormatting sqref="T6">
    <cfRule type="cellIs" dxfId="623" priority="622" operator="equal">
      <formula>"No"</formula>
    </cfRule>
    <cfRule type="cellIs" dxfId="622" priority="623" operator="equal">
      <formula>"NA"</formula>
    </cfRule>
    <cfRule type="cellIs" dxfId="621" priority="624" operator="equal">
      <formula>"Yes"</formula>
    </cfRule>
  </conditionalFormatting>
  <conditionalFormatting sqref="T7">
    <cfRule type="cellIs" dxfId="620" priority="619" operator="equal">
      <formula>"No"</formula>
    </cfRule>
    <cfRule type="cellIs" dxfId="619" priority="620" operator="equal">
      <formula>"NA"</formula>
    </cfRule>
    <cfRule type="cellIs" dxfId="618" priority="621" operator="equal">
      <formula>"Yes"</formula>
    </cfRule>
  </conditionalFormatting>
  <conditionalFormatting sqref="T10">
    <cfRule type="cellIs" dxfId="617" priority="616" operator="equal">
      <formula>"No"</formula>
    </cfRule>
    <cfRule type="cellIs" dxfId="616" priority="617" operator="equal">
      <formula>"NA"</formula>
    </cfRule>
    <cfRule type="cellIs" dxfId="615" priority="618" operator="equal">
      <formula>"Yes"</formula>
    </cfRule>
  </conditionalFormatting>
  <conditionalFormatting sqref="T16">
    <cfRule type="cellIs" dxfId="614" priority="613" operator="equal">
      <formula>"No"</formula>
    </cfRule>
    <cfRule type="cellIs" dxfId="613" priority="614" operator="equal">
      <formula>"NA"</formula>
    </cfRule>
    <cfRule type="cellIs" dxfId="612" priority="615" operator="equal">
      <formula>"Yes"</formula>
    </cfRule>
  </conditionalFormatting>
  <conditionalFormatting sqref="T25">
    <cfRule type="cellIs" dxfId="611" priority="610" operator="equal">
      <formula>"No"</formula>
    </cfRule>
    <cfRule type="cellIs" dxfId="610" priority="611" operator="equal">
      <formula>"NA"</formula>
    </cfRule>
    <cfRule type="cellIs" dxfId="609" priority="612" operator="equal">
      <formula>"Yes"</formula>
    </cfRule>
  </conditionalFormatting>
  <conditionalFormatting sqref="T26">
    <cfRule type="cellIs" dxfId="608" priority="607" operator="equal">
      <formula>"No"</formula>
    </cfRule>
    <cfRule type="cellIs" dxfId="607" priority="608" operator="equal">
      <formula>"NA"</formula>
    </cfRule>
    <cfRule type="cellIs" dxfId="606" priority="609" operator="equal">
      <formula>"Yes"</formula>
    </cfRule>
  </conditionalFormatting>
  <conditionalFormatting sqref="T27">
    <cfRule type="cellIs" dxfId="605" priority="604" operator="equal">
      <formula>"No"</formula>
    </cfRule>
    <cfRule type="cellIs" dxfId="604" priority="605" operator="equal">
      <formula>"NA"</formula>
    </cfRule>
    <cfRule type="cellIs" dxfId="603" priority="606" operator="equal">
      <formula>"Yes"</formula>
    </cfRule>
  </conditionalFormatting>
  <conditionalFormatting sqref="T28">
    <cfRule type="cellIs" dxfId="602" priority="601" operator="equal">
      <formula>"No"</formula>
    </cfRule>
    <cfRule type="cellIs" dxfId="601" priority="602" operator="equal">
      <formula>"NA"</formula>
    </cfRule>
    <cfRule type="cellIs" dxfId="600" priority="603" operator="equal">
      <formula>"Yes"</formula>
    </cfRule>
  </conditionalFormatting>
  <conditionalFormatting sqref="T30">
    <cfRule type="cellIs" dxfId="599" priority="598" operator="equal">
      <formula>"No"</formula>
    </cfRule>
    <cfRule type="cellIs" dxfId="598" priority="599" operator="equal">
      <formula>"NA"</formula>
    </cfRule>
    <cfRule type="cellIs" dxfId="597" priority="600" operator="equal">
      <formula>"Yes"</formula>
    </cfRule>
  </conditionalFormatting>
  <conditionalFormatting sqref="T31">
    <cfRule type="cellIs" dxfId="596" priority="595" operator="equal">
      <formula>"No"</formula>
    </cfRule>
    <cfRule type="cellIs" dxfId="595" priority="596" operator="equal">
      <formula>"NA"</formula>
    </cfRule>
    <cfRule type="cellIs" dxfId="594" priority="597" operator="equal">
      <formula>"Yes"</formula>
    </cfRule>
  </conditionalFormatting>
  <conditionalFormatting sqref="T33">
    <cfRule type="cellIs" dxfId="593" priority="592" operator="equal">
      <formula>"No"</formula>
    </cfRule>
    <cfRule type="cellIs" dxfId="592" priority="593" operator="equal">
      <formula>"NA"</formula>
    </cfRule>
    <cfRule type="cellIs" dxfId="591" priority="594" operator="equal">
      <formula>"Yes"</formula>
    </cfRule>
  </conditionalFormatting>
  <conditionalFormatting sqref="T9">
    <cfRule type="cellIs" dxfId="590" priority="589" operator="equal">
      <formula>"No"</formula>
    </cfRule>
    <cfRule type="cellIs" dxfId="589" priority="590" operator="equal">
      <formula>"NA"</formula>
    </cfRule>
    <cfRule type="cellIs" dxfId="588" priority="591" operator="equal">
      <formula>"Yes"</formula>
    </cfRule>
  </conditionalFormatting>
  <conditionalFormatting sqref="T11">
    <cfRule type="cellIs" dxfId="587" priority="586" operator="equal">
      <formula>"No"</formula>
    </cfRule>
    <cfRule type="cellIs" dxfId="586" priority="587" operator="equal">
      <formula>"NA"</formula>
    </cfRule>
    <cfRule type="cellIs" dxfId="585" priority="588" operator="equal">
      <formula>"Yes"</formula>
    </cfRule>
  </conditionalFormatting>
  <conditionalFormatting sqref="T12 T14:T15">
    <cfRule type="cellIs" dxfId="584" priority="583" operator="equal">
      <formula>"No"</formula>
    </cfRule>
    <cfRule type="cellIs" dxfId="583" priority="584" operator="equal">
      <formula>"NA"</formula>
    </cfRule>
    <cfRule type="cellIs" dxfId="582" priority="585" operator="equal">
      <formula>"Yes"</formula>
    </cfRule>
  </conditionalFormatting>
  <conditionalFormatting sqref="T17:T23">
    <cfRule type="cellIs" dxfId="581" priority="580" operator="equal">
      <formula>"No"</formula>
    </cfRule>
    <cfRule type="cellIs" dxfId="580" priority="581" operator="equal">
      <formula>"NA"</formula>
    </cfRule>
    <cfRule type="cellIs" dxfId="579" priority="582" operator="equal">
      <formula>"Yes"</formula>
    </cfRule>
  </conditionalFormatting>
  <conditionalFormatting sqref="T13">
    <cfRule type="cellIs" dxfId="578" priority="577" operator="equal">
      <formula>"No"</formula>
    </cfRule>
    <cfRule type="cellIs" dxfId="577" priority="578" operator="equal">
      <formula>"NA"</formula>
    </cfRule>
    <cfRule type="cellIs" dxfId="576" priority="579" operator="equal">
      <formula>"Yes"</formula>
    </cfRule>
  </conditionalFormatting>
  <conditionalFormatting sqref="U6">
    <cfRule type="cellIs" dxfId="575" priority="574" operator="equal">
      <formula>"No"</formula>
    </cfRule>
    <cfRule type="cellIs" dxfId="574" priority="575" operator="equal">
      <formula>"NA"</formula>
    </cfRule>
    <cfRule type="cellIs" dxfId="573" priority="576" operator="equal">
      <formula>"Yes"</formula>
    </cfRule>
  </conditionalFormatting>
  <conditionalFormatting sqref="U7">
    <cfRule type="cellIs" dxfId="572" priority="571" operator="equal">
      <formula>"No"</formula>
    </cfRule>
    <cfRule type="cellIs" dxfId="571" priority="572" operator="equal">
      <formula>"NA"</formula>
    </cfRule>
    <cfRule type="cellIs" dxfId="570" priority="573" operator="equal">
      <formula>"Yes"</formula>
    </cfRule>
  </conditionalFormatting>
  <conditionalFormatting sqref="U10">
    <cfRule type="cellIs" dxfId="569" priority="568" operator="equal">
      <formula>"No"</formula>
    </cfRule>
    <cfRule type="cellIs" dxfId="568" priority="569" operator="equal">
      <formula>"NA"</formula>
    </cfRule>
    <cfRule type="cellIs" dxfId="567" priority="570" operator="equal">
      <formula>"Yes"</formula>
    </cfRule>
  </conditionalFormatting>
  <conditionalFormatting sqref="U16">
    <cfRule type="cellIs" dxfId="566" priority="565" operator="equal">
      <formula>"No"</formula>
    </cfRule>
    <cfRule type="cellIs" dxfId="565" priority="566" operator="equal">
      <formula>"NA"</formula>
    </cfRule>
    <cfRule type="cellIs" dxfId="564" priority="567" operator="equal">
      <formula>"Yes"</formula>
    </cfRule>
  </conditionalFormatting>
  <conditionalFormatting sqref="U25">
    <cfRule type="cellIs" dxfId="563" priority="562" operator="equal">
      <formula>"No"</formula>
    </cfRule>
    <cfRule type="cellIs" dxfId="562" priority="563" operator="equal">
      <formula>"NA"</formula>
    </cfRule>
    <cfRule type="cellIs" dxfId="561" priority="564" operator="equal">
      <formula>"Yes"</formula>
    </cfRule>
  </conditionalFormatting>
  <conditionalFormatting sqref="U26">
    <cfRule type="cellIs" dxfId="560" priority="559" operator="equal">
      <formula>"No"</formula>
    </cfRule>
    <cfRule type="cellIs" dxfId="559" priority="560" operator="equal">
      <formula>"NA"</formula>
    </cfRule>
    <cfRule type="cellIs" dxfId="558" priority="561" operator="equal">
      <formula>"Yes"</formula>
    </cfRule>
  </conditionalFormatting>
  <conditionalFormatting sqref="U27">
    <cfRule type="cellIs" dxfId="557" priority="556" operator="equal">
      <formula>"No"</formula>
    </cfRule>
    <cfRule type="cellIs" dxfId="556" priority="557" operator="equal">
      <formula>"NA"</formula>
    </cfRule>
    <cfRule type="cellIs" dxfId="555" priority="558" operator="equal">
      <formula>"Yes"</formula>
    </cfRule>
  </conditionalFormatting>
  <conditionalFormatting sqref="U28">
    <cfRule type="cellIs" dxfId="554" priority="553" operator="equal">
      <formula>"No"</formula>
    </cfRule>
    <cfRule type="cellIs" dxfId="553" priority="554" operator="equal">
      <formula>"NA"</formula>
    </cfRule>
    <cfRule type="cellIs" dxfId="552" priority="555" operator="equal">
      <formula>"Yes"</formula>
    </cfRule>
  </conditionalFormatting>
  <conditionalFormatting sqref="U30">
    <cfRule type="cellIs" dxfId="551" priority="550" operator="equal">
      <formula>"No"</formula>
    </cfRule>
    <cfRule type="cellIs" dxfId="550" priority="551" operator="equal">
      <formula>"NA"</formula>
    </cfRule>
    <cfRule type="cellIs" dxfId="549" priority="552" operator="equal">
      <formula>"Yes"</formula>
    </cfRule>
  </conditionalFormatting>
  <conditionalFormatting sqref="U31">
    <cfRule type="cellIs" dxfId="548" priority="547" operator="equal">
      <formula>"No"</formula>
    </cfRule>
    <cfRule type="cellIs" dxfId="547" priority="548" operator="equal">
      <formula>"NA"</formula>
    </cfRule>
    <cfRule type="cellIs" dxfId="546" priority="549" operator="equal">
      <formula>"Yes"</formula>
    </cfRule>
  </conditionalFormatting>
  <conditionalFormatting sqref="U33">
    <cfRule type="cellIs" dxfId="545" priority="544" operator="equal">
      <formula>"No"</formula>
    </cfRule>
    <cfRule type="cellIs" dxfId="544" priority="545" operator="equal">
      <formula>"NA"</formula>
    </cfRule>
    <cfRule type="cellIs" dxfId="543" priority="546" operator="equal">
      <formula>"Yes"</formula>
    </cfRule>
  </conditionalFormatting>
  <conditionalFormatting sqref="U9">
    <cfRule type="cellIs" dxfId="542" priority="541" operator="equal">
      <formula>"No"</formula>
    </cfRule>
    <cfRule type="cellIs" dxfId="541" priority="542" operator="equal">
      <formula>"NA"</formula>
    </cfRule>
    <cfRule type="cellIs" dxfId="540" priority="543" operator="equal">
      <formula>"Yes"</formula>
    </cfRule>
  </conditionalFormatting>
  <conditionalFormatting sqref="U11">
    <cfRule type="cellIs" dxfId="539" priority="538" operator="equal">
      <formula>"No"</formula>
    </cfRule>
    <cfRule type="cellIs" dxfId="538" priority="539" operator="equal">
      <formula>"NA"</formula>
    </cfRule>
    <cfRule type="cellIs" dxfId="537" priority="540" operator="equal">
      <formula>"Yes"</formula>
    </cfRule>
  </conditionalFormatting>
  <conditionalFormatting sqref="U12 U14:U15">
    <cfRule type="cellIs" dxfId="536" priority="535" operator="equal">
      <formula>"No"</formula>
    </cfRule>
    <cfRule type="cellIs" dxfId="535" priority="536" operator="equal">
      <formula>"NA"</formula>
    </cfRule>
    <cfRule type="cellIs" dxfId="534" priority="537" operator="equal">
      <formula>"Yes"</formula>
    </cfRule>
  </conditionalFormatting>
  <conditionalFormatting sqref="U17:U23">
    <cfRule type="cellIs" dxfId="533" priority="532" operator="equal">
      <formula>"No"</formula>
    </cfRule>
    <cfRule type="cellIs" dxfId="532" priority="533" operator="equal">
      <formula>"NA"</formula>
    </cfRule>
    <cfRule type="cellIs" dxfId="531" priority="534" operator="equal">
      <formula>"Yes"</formula>
    </cfRule>
  </conditionalFormatting>
  <conditionalFormatting sqref="U13">
    <cfRule type="cellIs" dxfId="530" priority="529" operator="equal">
      <formula>"No"</formula>
    </cfRule>
    <cfRule type="cellIs" dxfId="529" priority="530" operator="equal">
      <formula>"NA"</formula>
    </cfRule>
    <cfRule type="cellIs" dxfId="528" priority="531" operator="equal">
      <formula>"Yes"</formula>
    </cfRule>
  </conditionalFormatting>
  <conditionalFormatting sqref="V6">
    <cfRule type="cellIs" dxfId="527" priority="526" operator="equal">
      <formula>"No"</formula>
    </cfRule>
    <cfRule type="cellIs" dxfId="526" priority="527" operator="equal">
      <formula>"NA"</formula>
    </cfRule>
    <cfRule type="cellIs" dxfId="525" priority="528" operator="equal">
      <formula>"Yes"</formula>
    </cfRule>
  </conditionalFormatting>
  <conditionalFormatting sqref="V7">
    <cfRule type="cellIs" dxfId="524" priority="523" operator="equal">
      <formula>"No"</formula>
    </cfRule>
    <cfRule type="cellIs" dxfId="523" priority="524" operator="equal">
      <formula>"NA"</formula>
    </cfRule>
    <cfRule type="cellIs" dxfId="522" priority="525" operator="equal">
      <formula>"Yes"</formula>
    </cfRule>
  </conditionalFormatting>
  <conditionalFormatting sqref="V10">
    <cfRule type="cellIs" dxfId="521" priority="520" operator="equal">
      <formula>"No"</formula>
    </cfRule>
    <cfRule type="cellIs" dxfId="520" priority="521" operator="equal">
      <formula>"NA"</formula>
    </cfRule>
    <cfRule type="cellIs" dxfId="519" priority="522" operator="equal">
      <formula>"Yes"</formula>
    </cfRule>
  </conditionalFormatting>
  <conditionalFormatting sqref="V16">
    <cfRule type="cellIs" dxfId="518" priority="517" operator="equal">
      <formula>"No"</formula>
    </cfRule>
    <cfRule type="cellIs" dxfId="517" priority="518" operator="equal">
      <formula>"NA"</formula>
    </cfRule>
    <cfRule type="cellIs" dxfId="516" priority="519" operator="equal">
      <formula>"Yes"</formula>
    </cfRule>
  </conditionalFormatting>
  <conditionalFormatting sqref="V25">
    <cfRule type="cellIs" dxfId="515" priority="514" operator="equal">
      <formula>"No"</formula>
    </cfRule>
    <cfRule type="cellIs" dxfId="514" priority="515" operator="equal">
      <formula>"NA"</formula>
    </cfRule>
    <cfRule type="cellIs" dxfId="513" priority="516" operator="equal">
      <formula>"Yes"</formula>
    </cfRule>
  </conditionalFormatting>
  <conditionalFormatting sqref="V26">
    <cfRule type="cellIs" dxfId="512" priority="511" operator="equal">
      <formula>"No"</formula>
    </cfRule>
    <cfRule type="cellIs" dxfId="511" priority="512" operator="equal">
      <formula>"NA"</formula>
    </cfRule>
    <cfRule type="cellIs" dxfId="510" priority="513" operator="equal">
      <formula>"Yes"</formula>
    </cfRule>
  </conditionalFormatting>
  <conditionalFormatting sqref="V27">
    <cfRule type="cellIs" dxfId="509" priority="508" operator="equal">
      <formula>"No"</formula>
    </cfRule>
    <cfRule type="cellIs" dxfId="508" priority="509" operator="equal">
      <formula>"NA"</formula>
    </cfRule>
    <cfRule type="cellIs" dxfId="507" priority="510" operator="equal">
      <formula>"Yes"</formula>
    </cfRule>
  </conditionalFormatting>
  <conditionalFormatting sqref="V28">
    <cfRule type="cellIs" dxfId="506" priority="505" operator="equal">
      <formula>"No"</formula>
    </cfRule>
    <cfRule type="cellIs" dxfId="505" priority="506" operator="equal">
      <formula>"NA"</formula>
    </cfRule>
    <cfRule type="cellIs" dxfId="504" priority="507" operator="equal">
      <formula>"Yes"</formula>
    </cfRule>
  </conditionalFormatting>
  <conditionalFormatting sqref="V30">
    <cfRule type="cellIs" dxfId="503" priority="502" operator="equal">
      <formula>"No"</formula>
    </cfRule>
    <cfRule type="cellIs" dxfId="502" priority="503" operator="equal">
      <formula>"NA"</formula>
    </cfRule>
    <cfRule type="cellIs" dxfId="501" priority="504" operator="equal">
      <formula>"Yes"</formula>
    </cfRule>
  </conditionalFormatting>
  <conditionalFormatting sqref="V31">
    <cfRule type="cellIs" dxfId="500" priority="499" operator="equal">
      <formula>"No"</formula>
    </cfRule>
    <cfRule type="cellIs" dxfId="499" priority="500" operator="equal">
      <formula>"NA"</formula>
    </cfRule>
    <cfRule type="cellIs" dxfId="498" priority="501" operator="equal">
      <formula>"Yes"</formula>
    </cfRule>
  </conditionalFormatting>
  <conditionalFormatting sqref="V33">
    <cfRule type="cellIs" dxfId="497" priority="496" operator="equal">
      <formula>"No"</formula>
    </cfRule>
    <cfRule type="cellIs" dxfId="496" priority="497" operator="equal">
      <formula>"NA"</formula>
    </cfRule>
    <cfRule type="cellIs" dxfId="495" priority="498" operator="equal">
      <formula>"Yes"</formula>
    </cfRule>
  </conditionalFormatting>
  <conditionalFormatting sqref="V9">
    <cfRule type="cellIs" dxfId="494" priority="493" operator="equal">
      <formula>"No"</formula>
    </cfRule>
    <cfRule type="cellIs" dxfId="493" priority="494" operator="equal">
      <formula>"NA"</formula>
    </cfRule>
    <cfRule type="cellIs" dxfId="492" priority="495" operator="equal">
      <formula>"Yes"</formula>
    </cfRule>
  </conditionalFormatting>
  <conditionalFormatting sqref="V11">
    <cfRule type="cellIs" dxfId="491" priority="490" operator="equal">
      <formula>"No"</formula>
    </cfRule>
    <cfRule type="cellIs" dxfId="490" priority="491" operator="equal">
      <formula>"NA"</formula>
    </cfRule>
    <cfRule type="cellIs" dxfId="489" priority="492" operator="equal">
      <formula>"Yes"</formula>
    </cfRule>
  </conditionalFormatting>
  <conditionalFormatting sqref="V12 V14:V15">
    <cfRule type="cellIs" dxfId="488" priority="487" operator="equal">
      <formula>"No"</formula>
    </cfRule>
    <cfRule type="cellIs" dxfId="487" priority="488" operator="equal">
      <formula>"NA"</formula>
    </cfRule>
    <cfRule type="cellIs" dxfId="486" priority="489" operator="equal">
      <formula>"Yes"</formula>
    </cfRule>
  </conditionalFormatting>
  <conditionalFormatting sqref="V17:V23">
    <cfRule type="cellIs" dxfId="485" priority="484" operator="equal">
      <formula>"No"</formula>
    </cfRule>
    <cfRule type="cellIs" dxfId="484" priority="485" operator="equal">
      <formula>"NA"</formula>
    </cfRule>
    <cfRule type="cellIs" dxfId="483" priority="486" operator="equal">
      <formula>"Yes"</formula>
    </cfRule>
  </conditionalFormatting>
  <conditionalFormatting sqref="V13">
    <cfRule type="cellIs" dxfId="482" priority="481" operator="equal">
      <formula>"No"</formula>
    </cfRule>
    <cfRule type="cellIs" dxfId="481" priority="482" operator="equal">
      <formula>"NA"</formula>
    </cfRule>
    <cfRule type="cellIs" dxfId="480" priority="483" operator="equal">
      <formula>"Yes"</formula>
    </cfRule>
  </conditionalFormatting>
  <conditionalFormatting sqref="W6">
    <cfRule type="cellIs" dxfId="479" priority="478" operator="equal">
      <formula>"No"</formula>
    </cfRule>
    <cfRule type="cellIs" dxfId="478" priority="479" operator="equal">
      <formula>"NA"</formula>
    </cfRule>
    <cfRule type="cellIs" dxfId="477" priority="480" operator="equal">
      <formula>"Yes"</formula>
    </cfRule>
  </conditionalFormatting>
  <conditionalFormatting sqref="W7">
    <cfRule type="cellIs" dxfId="476" priority="475" operator="equal">
      <formula>"No"</formula>
    </cfRule>
    <cfRule type="cellIs" dxfId="475" priority="476" operator="equal">
      <formula>"NA"</formula>
    </cfRule>
    <cfRule type="cellIs" dxfId="474" priority="477" operator="equal">
      <formula>"Yes"</formula>
    </cfRule>
  </conditionalFormatting>
  <conditionalFormatting sqref="W10">
    <cfRule type="cellIs" dxfId="473" priority="472" operator="equal">
      <formula>"No"</formula>
    </cfRule>
    <cfRule type="cellIs" dxfId="472" priority="473" operator="equal">
      <formula>"NA"</formula>
    </cfRule>
    <cfRule type="cellIs" dxfId="471" priority="474" operator="equal">
      <formula>"Yes"</formula>
    </cfRule>
  </conditionalFormatting>
  <conditionalFormatting sqref="W16">
    <cfRule type="cellIs" dxfId="470" priority="469" operator="equal">
      <formula>"No"</formula>
    </cfRule>
    <cfRule type="cellIs" dxfId="469" priority="470" operator="equal">
      <formula>"NA"</formula>
    </cfRule>
    <cfRule type="cellIs" dxfId="468" priority="471" operator="equal">
      <formula>"Yes"</formula>
    </cfRule>
  </conditionalFormatting>
  <conditionalFormatting sqref="W25">
    <cfRule type="cellIs" dxfId="467" priority="466" operator="equal">
      <formula>"No"</formula>
    </cfRule>
    <cfRule type="cellIs" dxfId="466" priority="467" operator="equal">
      <formula>"NA"</formula>
    </cfRule>
    <cfRule type="cellIs" dxfId="465" priority="468" operator="equal">
      <formula>"Yes"</formula>
    </cfRule>
  </conditionalFormatting>
  <conditionalFormatting sqref="W26">
    <cfRule type="cellIs" dxfId="464" priority="463" operator="equal">
      <formula>"No"</formula>
    </cfRule>
    <cfRule type="cellIs" dxfId="463" priority="464" operator="equal">
      <formula>"NA"</formula>
    </cfRule>
    <cfRule type="cellIs" dxfId="462" priority="465" operator="equal">
      <formula>"Yes"</formula>
    </cfRule>
  </conditionalFormatting>
  <conditionalFormatting sqref="W27">
    <cfRule type="cellIs" dxfId="461" priority="460" operator="equal">
      <formula>"No"</formula>
    </cfRule>
    <cfRule type="cellIs" dxfId="460" priority="461" operator="equal">
      <formula>"NA"</formula>
    </cfRule>
    <cfRule type="cellIs" dxfId="459" priority="462" operator="equal">
      <formula>"Yes"</formula>
    </cfRule>
  </conditionalFormatting>
  <conditionalFormatting sqref="W28">
    <cfRule type="cellIs" dxfId="458" priority="457" operator="equal">
      <formula>"No"</formula>
    </cfRule>
    <cfRule type="cellIs" dxfId="457" priority="458" operator="equal">
      <formula>"NA"</formula>
    </cfRule>
    <cfRule type="cellIs" dxfId="456" priority="459" operator="equal">
      <formula>"Yes"</formula>
    </cfRule>
  </conditionalFormatting>
  <conditionalFormatting sqref="W30">
    <cfRule type="cellIs" dxfId="455" priority="454" operator="equal">
      <formula>"No"</formula>
    </cfRule>
    <cfRule type="cellIs" dxfId="454" priority="455" operator="equal">
      <formula>"NA"</formula>
    </cfRule>
    <cfRule type="cellIs" dxfId="453" priority="456" operator="equal">
      <formula>"Yes"</formula>
    </cfRule>
  </conditionalFormatting>
  <conditionalFormatting sqref="W31">
    <cfRule type="cellIs" dxfId="452" priority="451" operator="equal">
      <formula>"No"</formula>
    </cfRule>
    <cfRule type="cellIs" dxfId="451" priority="452" operator="equal">
      <formula>"NA"</formula>
    </cfRule>
    <cfRule type="cellIs" dxfId="450" priority="453" operator="equal">
      <formula>"Yes"</formula>
    </cfRule>
  </conditionalFormatting>
  <conditionalFormatting sqref="W33">
    <cfRule type="cellIs" dxfId="449" priority="448" operator="equal">
      <formula>"No"</formula>
    </cfRule>
    <cfRule type="cellIs" dxfId="448" priority="449" operator="equal">
      <formula>"NA"</formula>
    </cfRule>
    <cfRule type="cellIs" dxfId="447" priority="450" operator="equal">
      <formula>"Yes"</formula>
    </cfRule>
  </conditionalFormatting>
  <conditionalFormatting sqref="W9">
    <cfRule type="cellIs" dxfId="446" priority="445" operator="equal">
      <formula>"No"</formula>
    </cfRule>
    <cfRule type="cellIs" dxfId="445" priority="446" operator="equal">
      <formula>"NA"</formula>
    </cfRule>
    <cfRule type="cellIs" dxfId="444" priority="447" operator="equal">
      <formula>"Yes"</formula>
    </cfRule>
  </conditionalFormatting>
  <conditionalFormatting sqref="W11">
    <cfRule type="cellIs" dxfId="443" priority="442" operator="equal">
      <formula>"No"</formula>
    </cfRule>
    <cfRule type="cellIs" dxfId="442" priority="443" operator="equal">
      <formula>"NA"</formula>
    </cfRule>
    <cfRule type="cellIs" dxfId="441" priority="444" operator="equal">
      <formula>"Yes"</formula>
    </cfRule>
  </conditionalFormatting>
  <conditionalFormatting sqref="W12 W14:W15">
    <cfRule type="cellIs" dxfId="440" priority="439" operator="equal">
      <formula>"No"</formula>
    </cfRule>
    <cfRule type="cellIs" dxfId="439" priority="440" operator="equal">
      <formula>"NA"</formula>
    </cfRule>
    <cfRule type="cellIs" dxfId="438" priority="441" operator="equal">
      <formula>"Yes"</formula>
    </cfRule>
  </conditionalFormatting>
  <conditionalFormatting sqref="W17:W23">
    <cfRule type="cellIs" dxfId="437" priority="436" operator="equal">
      <formula>"No"</formula>
    </cfRule>
    <cfRule type="cellIs" dxfId="436" priority="437" operator="equal">
      <formula>"NA"</formula>
    </cfRule>
    <cfRule type="cellIs" dxfId="435" priority="438" operator="equal">
      <formula>"Yes"</formula>
    </cfRule>
  </conditionalFormatting>
  <conditionalFormatting sqref="W13">
    <cfRule type="cellIs" dxfId="434" priority="433" operator="equal">
      <formula>"No"</formula>
    </cfRule>
    <cfRule type="cellIs" dxfId="433" priority="434" operator="equal">
      <formula>"NA"</formula>
    </cfRule>
    <cfRule type="cellIs" dxfId="432" priority="435" operator="equal">
      <formula>"Yes"</formula>
    </cfRule>
  </conditionalFormatting>
  <conditionalFormatting sqref="X6">
    <cfRule type="cellIs" dxfId="431" priority="430" operator="equal">
      <formula>"No"</formula>
    </cfRule>
    <cfRule type="cellIs" dxfId="430" priority="431" operator="equal">
      <formula>"NA"</formula>
    </cfRule>
    <cfRule type="cellIs" dxfId="429" priority="432" operator="equal">
      <formula>"Yes"</formula>
    </cfRule>
  </conditionalFormatting>
  <conditionalFormatting sqref="X7">
    <cfRule type="cellIs" dxfId="428" priority="427" operator="equal">
      <formula>"No"</formula>
    </cfRule>
    <cfRule type="cellIs" dxfId="427" priority="428" operator="equal">
      <formula>"NA"</formula>
    </cfRule>
    <cfRule type="cellIs" dxfId="426" priority="429" operator="equal">
      <formula>"Yes"</formula>
    </cfRule>
  </conditionalFormatting>
  <conditionalFormatting sqref="X10">
    <cfRule type="cellIs" dxfId="425" priority="424" operator="equal">
      <formula>"No"</formula>
    </cfRule>
    <cfRule type="cellIs" dxfId="424" priority="425" operator="equal">
      <formula>"NA"</formula>
    </cfRule>
    <cfRule type="cellIs" dxfId="423" priority="426" operator="equal">
      <formula>"Yes"</formula>
    </cfRule>
  </conditionalFormatting>
  <conditionalFormatting sqref="X16">
    <cfRule type="cellIs" dxfId="422" priority="421" operator="equal">
      <formula>"No"</formula>
    </cfRule>
    <cfRule type="cellIs" dxfId="421" priority="422" operator="equal">
      <formula>"NA"</formula>
    </cfRule>
    <cfRule type="cellIs" dxfId="420" priority="423" operator="equal">
      <formula>"Yes"</formula>
    </cfRule>
  </conditionalFormatting>
  <conditionalFormatting sqref="X25">
    <cfRule type="cellIs" dxfId="419" priority="418" operator="equal">
      <formula>"No"</formula>
    </cfRule>
    <cfRule type="cellIs" dxfId="418" priority="419" operator="equal">
      <formula>"NA"</formula>
    </cfRule>
    <cfRule type="cellIs" dxfId="417" priority="420" operator="equal">
      <formula>"Yes"</formula>
    </cfRule>
  </conditionalFormatting>
  <conditionalFormatting sqref="X26">
    <cfRule type="cellIs" dxfId="416" priority="415" operator="equal">
      <formula>"No"</formula>
    </cfRule>
    <cfRule type="cellIs" dxfId="415" priority="416" operator="equal">
      <formula>"NA"</formula>
    </cfRule>
    <cfRule type="cellIs" dxfId="414" priority="417" operator="equal">
      <formula>"Yes"</formula>
    </cfRule>
  </conditionalFormatting>
  <conditionalFormatting sqref="X27">
    <cfRule type="cellIs" dxfId="413" priority="412" operator="equal">
      <formula>"No"</formula>
    </cfRule>
    <cfRule type="cellIs" dxfId="412" priority="413" operator="equal">
      <formula>"NA"</formula>
    </cfRule>
    <cfRule type="cellIs" dxfId="411" priority="414" operator="equal">
      <formula>"Yes"</formula>
    </cfRule>
  </conditionalFormatting>
  <conditionalFormatting sqref="X28">
    <cfRule type="cellIs" dxfId="410" priority="409" operator="equal">
      <formula>"No"</formula>
    </cfRule>
    <cfRule type="cellIs" dxfId="409" priority="410" operator="equal">
      <formula>"NA"</formula>
    </cfRule>
    <cfRule type="cellIs" dxfId="408" priority="411" operator="equal">
      <formula>"Yes"</formula>
    </cfRule>
  </conditionalFormatting>
  <conditionalFormatting sqref="X30">
    <cfRule type="cellIs" dxfId="407" priority="406" operator="equal">
      <formula>"No"</formula>
    </cfRule>
    <cfRule type="cellIs" dxfId="406" priority="407" operator="equal">
      <formula>"NA"</formula>
    </cfRule>
    <cfRule type="cellIs" dxfId="405" priority="408" operator="equal">
      <formula>"Yes"</formula>
    </cfRule>
  </conditionalFormatting>
  <conditionalFormatting sqref="X31">
    <cfRule type="cellIs" dxfId="404" priority="403" operator="equal">
      <formula>"No"</formula>
    </cfRule>
    <cfRule type="cellIs" dxfId="403" priority="404" operator="equal">
      <formula>"NA"</formula>
    </cfRule>
    <cfRule type="cellIs" dxfId="402" priority="405" operator="equal">
      <formula>"Yes"</formula>
    </cfRule>
  </conditionalFormatting>
  <conditionalFormatting sqref="X33">
    <cfRule type="cellIs" dxfId="401" priority="400" operator="equal">
      <formula>"No"</formula>
    </cfRule>
    <cfRule type="cellIs" dxfId="400" priority="401" operator="equal">
      <formula>"NA"</formula>
    </cfRule>
    <cfRule type="cellIs" dxfId="399" priority="402" operator="equal">
      <formula>"Yes"</formula>
    </cfRule>
  </conditionalFormatting>
  <conditionalFormatting sqref="X9">
    <cfRule type="cellIs" dxfId="398" priority="397" operator="equal">
      <formula>"No"</formula>
    </cfRule>
    <cfRule type="cellIs" dxfId="397" priority="398" operator="equal">
      <formula>"NA"</formula>
    </cfRule>
    <cfRule type="cellIs" dxfId="396" priority="399" operator="equal">
      <formula>"Yes"</formula>
    </cfRule>
  </conditionalFormatting>
  <conditionalFormatting sqref="X11">
    <cfRule type="cellIs" dxfId="395" priority="394" operator="equal">
      <formula>"No"</formula>
    </cfRule>
    <cfRule type="cellIs" dxfId="394" priority="395" operator="equal">
      <formula>"NA"</formula>
    </cfRule>
    <cfRule type="cellIs" dxfId="393" priority="396" operator="equal">
      <formula>"Yes"</formula>
    </cfRule>
  </conditionalFormatting>
  <conditionalFormatting sqref="X12 X14:X15">
    <cfRule type="cellIs" dxfId="392" priority="391" operator="equal">
      <formula>"No"</formula>
    </cfRule>
    <cfRule type="cellIs" dxfId="391" priority="392" operator="equal">
      <formula>"NA"</formula>
    </cfRule>
    <cfRule type="cellIs" dxfId="390" priority="393" operator="equal">
      <formula>"Yes"</formula>
    </cfRule>
  </conditionalFormatting>
  <conditionalFormatting sqref="X17:X23">
    <cfRule type="cellIs" dxfId="389" priority="388" operator="equal">
      <formula>"No"</formula>
    </cfRule>
    <cfRule type="cellIs" dxfId="388" priority="389" operator="equal">
      <formula>"NA"</formula>
    </cfRule>
    <cfRule type="cellIs" dxfId="387" priority="390" operator="equal">
      <formula>"Yes"</formula>
    </cfRule>
  </conditionalFormatting>
  <conditionalFormatting sqref="X13">
    <cfRule type="cellIs" dxfId="386" priority="385" operator="equal">
      <formula>"No"</formula>
    </cfRule>
    <cfRule type="cellIs" dxfId="385" priority="386" operator="equal">
      <formula>"NA"</formula>
    </cfRule>
    <cfRule type="cellIs" dxfId="384" priority="387" operator="equal">
      <formula>"Yes"</formula>
    </cfRule>
  </conditionalFormatting>
  <conditionalFormatting sqref="Y6">
    <cfRule type="cellIs" dxfId="383" priority="382" operator="equal">
      <formula>"No"</formula>
    </cfRule>
    <cfRule type="cellIs" dxfId="382" priority="383" operator="equal">
      <formula>"NA"</formula>
    </cfRule>
    <cfRule type="cellIs" dxfId="381" priority="384" operator="equal">
      <formula>"Yes"</formula>
    </cfRule>
  </conditionalFormatting>
  <conditionalFormatting sqref="Y7">
    <cfRule type="cellIs" dxfId="380" priority="379" operator="equal">
      <formula>"No"</formula>
    </cfRule>
    <cfRule type="cellIs" dxfId="379" priority="380" operator="equal">
      <formula>"NA"</formula>
    </cfRule>
    <cfRule type="cellIs" dxfId="378" priority="381" operator="equal">
      <formula>"Yes"</formula>
    </cfRule>
  </conditionalFormatting>
  <conditionalFormatting sqref="Y10">
    <cfRule type="cellIs" dxfId="377" priority="376" operator="equal">
      <formula>"No"</formula>
    </cfRule>
    <cfRule type="cellIs" dxfId="376" priority="377" operator="equal">
      <formula>"NA"</formula>
    </cfRule>
    <cfRule type="cellIs" dxfId="375" priority="378" operator="equal">
      <formula>"Yes"</formula>
    </cfRule>
  </conditionalFormatting>
  <conditionalFormatting sqref="Y16">
    <cfRule type="cellIs" dxfId="374" priority="373" operator="equal">
      <formula>"No"</formula>
    </cfRule>
    <cfRule type="cellIs" dxfId="373" priority="374" operator="equal">
      <formula>"NA"</formula>
    </cfRule>
    <cfRule type="cellIs" dxfId="372" priority="375" operator="equal">
      <formula>"Yes"</formula>
    </cfRule>
  </conditionalFormatting>
  <conditionalFormatting sqref="Y25">
    <cfRule type="cellIs" dxfId="371" priority="370" operator="equal">
      <formula>"No"</formula>
    </cfRule>
    <cfRule type="cellIs" dxfId="370" priority="371" operator="equal">
      <formula>"NA"</formula>
    </cfRule>
    <cfRule type="cellIs" dxfId="369" priority="372" operator="equal">
      <formula>"Yes"</formula>
    </cfRule>
  </conditionalFormatting>
  <conditionalFormatting sqref="Y26">
    <cfRule type="cellIs" dxfId="368" priority="367" operator="equal">
      <formula>"No"</formula>
    </cfRule>
    <cfRule type="cellIs" dxfId="367" priority="368" operator="equal">
      <formula>"NA"</formula>
    </cfRule>
    <cfRule type="cellIs" dxfId="366" priority="369" operator="equal">
      <formula>"Yes"</formula>
    </cfRule>
  </conditionalFormatting>
  <conditionalFormatting sqref="Y27">
    <cfRule type="cellIs" dxfId="365" priority="364" operator="equal">
      <formula>"No"</formula>
    </cfRule>
    <cfRule type="cellIs" dxfId="364" priority="365" operator="equal">
      <formula>"NA"</formula>
    </cfRule>
    <cfRule type="cellIs" dxfId="363" priority="366" operator="equal">
      <formula>"Yes"</formula>
    </cfRule>
  </conditionalFormatting>
  <conditionalFormatting sqref="Y28">
    <cfRule type="cellIs" dxfId="362" priority="361" operator="equal">
      <formula>"No"</formula>
    </cfRule>
    <cfRule type="cellIs" dxfId="361" priority="362" operator="equal">
      <formula>"NA"</formula>
    </cfRule>
    <cfRule type="cellIs" dxfId="360" priority="363" operator="equal">
      <formula>"Yes"</formula>
    </cfRule>
  </conditionalFormatting>
  <conditionalFormatting sqref="Y30">
    <cfRule type="cellIs" dxfId="359" priority="358" operator="equal">
      <formula>"No"</formula>
    </cfRule>
    <cfRule type="cellIs" dxfId="358" priority="359" operator="equal">
      <formula>"NA"</formula>
    </cfRule>
    <cfRule type="cellIs" dxfId="357" priority="360" operator="equal">
      <formula>"Yes"</formula>
    </cfRule>
  </conditionalFormatting>
  <conditionalFormatting sqref="Y31">
    <cfRule type="cellIs" dxfId="356" priority="355" operator="equal">
      <formula>"No"</formula>
    </cfRule>
    <cfRule type="cellIs" dxfId="355" priority="356" operator="equal">
      <formula>"NA"</formula>
    </cfRule>
    <cfRule type="cellIs" dxfId="354" priority="357" operator="equal">
      <formula>"Yes"</formula>
    </cfRule>
  </conditionalFormatting>
  <conditionalFormatting sqref="Y33">
    <cfRule type="cellIs" dxfId="353" priority="352" operator="equal">
      <formula>"No"</formula>
    </cfRule>
    <cfRule type="cellIs" dxfId="352" priority="353" operator="equal">
      <formula>"NA"</formula>
    </cfRule>
    <cfRule type="cellIs" dxfId="351" priority="354" operator="equal">
      <formula>"Yes"</formula>
    </cfRule>
  </conditionalFormatting>
  <conditionalFormatting sqref="Y9">
    <cfRule type="cellIs" dxfId="350" priority="349" operator="equal">
      <formula>"No"</formula>
    </cfRule>
    <cfRule type="cellIs" dxfId="349" priority="350" operator="equal">
      <formula>"NA"</formula>
    </cfRule>
    <cfRule type="cellIs" dxfId="348" priority="351" operator="equal">
      <formula>"Yes"</formula>
    </cfRule>
  </conditionalFormatting>
  <conditionalFormatting sqref="Y11">
    <cfRule type="cellIs" dxfId="347" priority="346" operator="equal">
      <formula>"No"</formula>
    </cfRule>
    <cfRule type="cellIs" dxfId="346" priority="347" operator="equal">
      <formula>"NA"</formula>
    </cfRule>
    <cfRule type="cellIs" dxfId="345" priority="348" operator="equal">
      <formula>"Yes"</formula>
    </cfRule>
  </conditionalFormatting>
  <conditionalFormatting sqref="Y12 Y14:Y15">
    <cfRule type="cellIs" dxfId="344" priority="343" operator="equal">
      <formula>"No"</formula>
    </cfRule>
    <cfRule type="cellIs" dxfId="343" priority="344" operator="equal">
      <formula>"NA"</formula>
    </cfRule>
    <cfRule type="cellIs" dxfId="342" priority="345" operator="equal">
      <formula>"Yes"</formula>
    </cfRule>
  </conditionalFormatting>
  <conditionalFormatting sqref="Y17:Y23">
    <cfRule type="cellIs" dxfId="341" priority="340" operator="equal">
      <formula>"No"</formula>
    </cfRule>
    <cfRule type="cellIs" dxfId="340" priority="341" operator="equal">
      <formula>"NA"</formula>
    </cfRule>
    <cfRule type="cellIs" dxfId="339" priority="342" operator="equal">
      <formula>"Yes"</formula>
    </cfRule>
  </conditionalFormatting>
  <conditionalFormatting sqref="Y13">
    <cfRule type="cellIs" dxfId="338" priority="337" operator="equal">
      <formula>"No"</formula>
    </cfRule>
    <cfRule type="cellIs" dxfId="337" priority="338" operator="equal">
      <formula>"NA"</formula>
    </cfRule>
    <cfRule type="cellIs" dxfId="336" priority="339" operator="equal">
      <formula>"Yes"</formula>
    </cfRule>
  </conditionalFormatting>
  <conditionalFormatting sqref="Z6">
    <cfRule type="cellIs" dxfId="335" priority="334" operator="equal">
      <formula>"No"</formula>
    </cfRule>
    <cfRule type="cellIs" dxfId="334" priority="335" operator="equal">
      <formula>"NA"</formula>
    </cfRule>
    <cfRule type="cellIs" dxfId="333" priority="336" operator="equal">
      <formula>"Yes"</formula>
    </cfRule>
  </conditionalFormatting>
  <conditionalFormatting sqref="Z7">
    <cfRule type="cellIs" dxfId="332" priority="331" operator="equal">
      <formula>"No"</formula>
    </cfRule>
    <cfRule type="cellIs" dxfId="331" priority="332" operator="equal">
      <formula>"NA"</formula>
    </cfRule>
    <cfRule type="cellIs" dxfId="330" priority="333" operator="equal">
      <formula>"Yes"</formula>
    </cfRule>
  </conditionalFormatting>
  <conditionalFormatting sqref="Z10">
    <cfRule type="cellIs" dxfId="329" priority="328" operator="equal">
      <formula>"No"</formula>
    </cfRule>
    <cfRule type="cellIs" dxfId="328" priority="329" operator="equal">
      <formula>"NA"</formula>
    </cfRule>
    <cfRule type="cellIs" dxfId="327" priority="330" operator="equal">
      <formula>"Yes"</formula>
    </cfRule>
  </conditionalFormatting>
  <conditionalFormatting sqref="Z16">
    <cfRule type="cellIs" dxfId="326" priority="325" operator="equal">
      <formula>"No"</formula>
    </cfRule>
    <cfRule type="cellIs" dxfId="325" priority="326" operator="equal">
      <formula>"NA"</formula>
    </cfRule>
    <cfRule type="cellIs" dxfId="324" priority="327" operator="equal">
      <formula>"Yes"</formula>
    </cfRule>
  </conditionalFormatting>
  <conditionalFormatting sqref="Z25">
    <cfRule type="cellIs" dxfId="323" priority="322" operator="equal">
      <formula>"No"</formula>
    </cfRule>
    <cfRule type="cellIs" dxfId="322" priority="323" operator="equal">
      <formula>"NA"</formula>
    </cfRule>
    <cfRule type="cellIs" dxfId="321" priority="324" operator="equal">
      <formula>"Yes"</formula>
    </cfRule>
  </conditionalFormatting>
  <conditionalFormatting sqref="Z26">
    <cfRule type="cellIs" dxfId="320" priority="319" operator="equal">
      <formula>"No"</formula>
    </cfRule>
    <cfRule type="cellIs" dxfId="319" priority="320" operator="equal">
      <formula>"NA"</formula>
    </cfRule>
    <cfRule type="cellIs" dxfId="318" priority="321" operator="equal">
      <formula>"Yes"</formula>
    </cfRule>
  </conditionalFormatting>
  <conditionalFormatting sqref="Z27">
    <cfRule type="cellIs" dxfId="317" priority="316" operator="equal">
      <formula>"No"</formula>
    </cfRule>
    <cfRule type="cellIs" dxfId="316" priority="317" operator="equal">
      <formula>"NA"</formula>
    </cfRule>
    <cfRule type="cellIs" dxfId="315" priority="318" operator="equal">
      <formula>"Yes"</formula>
    </cfRule>
  </conditionalFormatting>
  <conditionalFormatting sqref="Z28">
    <cfRule type="cellIs" dxfId="314" priority="313" operator="equal">
      <formula>"No"</formula>
    </cfRule>
    <cfRule type="cellIs" dxfId="313" priority="314" operator="equal">
      <formula>"NA"</formula>
    </cfRule>
    <cfRule type="cellIs" dxfId="312" priority="315" operator="equal">
      <formula>"Yes"</formula>
    </cfRule>
  </conditionalFormatting>
  <conditionalFormatting sqref="Z30">
    <cfRule type="cellIs" dxfId="311" priority="310" operator="equal">
      <formula>"No"</formula>
    </cfRule>
    <cfRule type="cellIs" dxfId="310" priority="311" operator="equal">
      <formula>"NA"</formula>
    </cfRule>
    <cfRule type="cellIs" dxfId="309" priority="312" operator="equal">
      <formula>"Yes"</formula>
    </cfRule>
  </conditionalFormatting>
  <conditionalFormatting sqref="Z31">
    <cfRule type="cellIs" dxfId="308" priority="307" operator="equal">
      <formula>"No"</formula>
    </cfRule>
    <cfRule type="cellIs" dxfId="307" priority="308" operator="equal">
      <formula>"NA"</formula>
    </cfRule>
    <cfRule type="cellIs" dxfId="306" priority="309" operator="equal">
      <formula>"Yes"</formula>
    </cfRule>
  </conditionalFormatting>
  <conditionalFormatting sqref="Z33">
    <cfRule type="cellIs" dxfId="305" priority="304" operator="equal">
      <formula>"No"</formula>
    </cfRule>
    <cfRule type="cellIs" dxfId="304" priority="305" operator="equal">
      <formula>"NA"</formula>
    </cfRule>
    <cfRule type="cellIs" dxfId="303" priority="306" operator="equal">
      <formula>"Yes"</formula>
    </cfRule>
  </conditionalFormatting>
  <conditionalFormatting sqref="Z9">
    <cfRule type="cellIs" dxfId="302" priority="301" operator="equal">
      <formula>"No"</formula>
    </cfRule>
    <cfRule type="cellIs" dxfId="301" priority="302" operator="equal">
      <formula>"NA"</formula>
    </cfRule>
    <cfRule type="cellIs" dxfId="300" priority="303" operator="equal">
      <formula>"Yes"</formula>
    </cfRule>
  </conditionalFormatting>
  <conditionalFormatting sqref="Z11">
    <cfRule type="cellIs" dxfId="299" priority="298" operator="equal">
      <formula>"No"</formula>
    </cfRule>
    <cfRule type="cellIs" dxfId="298" priority="299" operator="equal">
      <formula>"NA"</formula>
    </cfRule>
    <cfRule type="cellIs" dxfId="297" priority="300" operator="equal">
      <formula>"Yes"</formula>
    </cfRule>
  </conditionalFormatting>
  <conditionalFormatting sqref="Z12 Z14:Z15">
    <cfRule type="cellIs" dxfId="296" priority="295" operator="equal">
      <formula>"No"</formula>
    </cfRule>
    <cfRule type="cellIs" dxfId="295" priority="296" operator="equal">
      <formula>"NA"</formula>
    </cfRule>
    <cfRule type="cellIs" dxfId="294" priority="297" operator="equal">
      <formula>"Yes"</formula>
    </cfRule>
  </conditionalFormatting>
  <conditionalFormatting sqref="Z17:Z23">
    <cfRule type="cellIs" dxfId="293" priority="292" operator="equal">
      <formula>"No"</formula>
    </cfRule>
    <cfRule type="cellIs" dxfId="292" priority="293" operator="equal">
      <formula>"NA"</formula>
    </cfRule>
    <cfRule type="cellIs" dxfId="291" priority="294" operator="equal">
      <formula>"Yes"</formula>
    </cfRule>
  </conditionalFormatting>
  <conditionalFormatting sqref="Z13">
    <cfRule type="cellIs" dxfId="290" priority="289" operator="equal">
      <formula>"No"</formula>
    </cfRule>
    <cfRule type="cellIs" dxfId="289" priority="290" operator="equal">
      <formula>"NA"</formula>
    </cfRule>
    <cfRule type="cellIs" dxfId="288" priority="291" operator="equal">
      <formula>"Yes"</formula>
    </cfRule>
  </conditionalFormatting>
  <conditionalFormatting sqref="AA6">
    <cfRule type="cellIs" dxfId="287" priority="286" operator="equal">
      <formula>"No"</formula>
    </cfRule>
    <cfRule type="cellIs" dxfId="286" priority="287" operator="equal">
      <formula>"NA"</formula>
    </cfRule>
    <cfRule type="cellIs" dxfId="285" priority="288" operator="equal">
      <formula>"Yes"</formula>
    </cfRule>
  </conditionalFormatting>
  <conditionalFormatting sqref="AA7">
    <cfRule type="cellIs" dxfId="284" priority="283" operator="equal">
      <formula>"No"</formula>
    </cfRule>
    <cfRule type="cellIs" dxfId="283" priority="284" operator="equal">
      <formula>"NA"</formula>
    </cfRule>
    <cfRule type="cellIs" dxfId="282" priority="285" operator="equal">
      <formula>"Yes"</formula>
    </cfRule>
  </conditionalFormatting>
  <conditionalFormatting sqref="AA10">
    <cfRule type="cellIs" dxfId="281" priority="280" operator="equal">
      <formula>"No"</formula>
    </cfRule>
    <cfRule type="cellIs" dxfId="280" priority="281" operator="equal">
      <formula>"NA"</formula>
    </cfRule>
    <cfRule type="cellIs" dxfId="279" priority="282" operator="equal">
      <formula>"Yes"</formula>
    </cfRule>
  </conditionalFormatting>
  <conditionalFormatting sqref="AA16">
    <cfRule type="cellIs" dxfId="278" priority="277" operator="equal">
      <formula>"No"</formula>
    </cfRule>
    <cfRule type="cellIs" dxfId="277" priority="278" operator="equal">
      <formula>"NA"</formula>
    </cfRule>
    <cfRule type="cellIs" dxfId="276" priority="279" operator="equal">
      <formula>"Yes"</formula>
    </cfRule>
  </conditionalFormatting>
  <conditionalFormatting sqref="AA25">
    <cfRule type="cellIs" dxfId="275" priority="274" operator="equal">
      <formula>"No"</formula>
    </cfRule>
    <cfRule type="cellIs" dxfId="274" priority="275" operator="equal">
      <formula>"NA"</formula>
    </cfRule>
    <cfRule type="cellIs" dxfId="273" priority="276" operator="equal">
      <formula>"Yes"</formula>
    </cfRule>
  </conditionalFormatting>
  <conditionalFormatting sqref="AA26">
    <cfRule type="cellIs" dxfId="272" priority="271" operator="equal">
      <formula>"No"</formula>
    </cfRule>
    <cfRule type="cellIs" dxfId="271" priority="272" operator="equal">
      <formula>"NA"</formula>
    </cfRule>
    <cfRule type="cellIs" dxfId="270" priority="273" operator="equal">
      <formula>"Yes"</formula>
    </cfRule>
  </conditionalFormatting>
  <conditionalFormatting sqref="AA27">
    <cfRule type="cellIs" dxfId="269" priority="268" operator="equal">
      <formula>"No"</formula>
    </cfRule>
    <cfRule type="cellIs" dxfId="268" priority="269" operator="equal">
      <formula>"NA"</formula>
    </cfRule>
    <cfRule type="cellIs" dxfId="267" priority="270" operator="equal">
      <formula>"Yes"</formula>
    </cfRule>
  </conditionalFormatting>
  <conditionalFormatting sqref="AA28">
    <cfRule type="cellIs" dxfId="266" priority="265" operator="equal">
      <formula>"No"</formula>
    </cfRule>
    <cfRule type="cellIs" dxfId="265" priority="266" operator="equal">
      <formula>"NA"</formula>
    </cfRule>
    <cfRule type="cellIs" dxfId="264" priority="267" operator="equal">
      <formula>"Yes"</formula>
    </cfRule>
  </conditionalFormatting>
  <conditionalFormatting sqref="AA30">
    <cfRule type="cellIs" dxfId="263" priority="262" operator="equal">
      <formula>"No"</formula>
    </cfRule>
    <cfRule type="cellIs" dxfId="262" priority="263" operator="equal">
      <formula>"NA"</formula>
    </cfRule>
    <cfRule type="cellIs" dxfId="261" priority="264" operator="equal">
      <formula>"Yes"</formula>
    </cfRule>
  </conditionalFormatting>
  <conditionalFormatting sqref="AA31">
    <cfRule type="cellIs" dxfId="260" priority="259" operator="equal">
      <formula>"No"</formula>
    </cfRule>
    <cfRule type="cellIs" dxfId="259" priority="260" operator="equal">
      <formula>"NA"</formula>
    </cfRule>
    <cfRule type="cellIs" dxfId="258" priority="261" operator="equal">
      <formula>"Yes"</formula>
    </cfRule>
  </conditionalFormatting>
  <conditionalFormatting sqref="AA33">
    <cfRule type="cellIs" dxfId="257" priority="256" operator="equal">
      <formula>"No"</formula>
    </cfRule>
    <cfRule type="cellIs" dxfId="256" priority="257" operator="equal">
      <formula>"NA"</formula>
    </cfRule>
    <cfRule type="cellIs" dxfId="255" priority="258" operator="equal">
      <formula>"Yes"</formula>
    </cfRule>
  </conditionalFormatting>
  <conditionalFormatting sqref="AA9">
    <cfRule type="cellIs" dxfId="254" priority="253" operator="equal">
      <formula>"No"</formula>
    </cfRule>
    <cfRule type="cellIs" dxfId="253" priority="254" operator="equal">
      <formula>"NA"</formula>
    </cfRule>
    <cfRule type="cellIs" dxfId="252" priority="255" operator="equal">
      <formula>"Yes"</formula>
    </cfRule>
  </conditionalFormatting>
  <conditionalFormatting sqref="AA11">
    <cfRule type="cellIs" dxfId="251" priority="250" operator="equal">
      <formula>"No"</formula>
    </cfRule>
    <cfRule type="cellIs" dxfId="250" priority="251" operator="equal">
      <formula>"NA"</formula>
    </cfRule>
    <cfRule type="cellIs" dxfId="249" priority="252" operator="equal">
      <formula>"Yes"</formula>
    </cfRule>
  </conditionalFormatting>
  <conditionalFormatting sqref="AA12 AA14:AA15">
    <cfRule type="cellIs" dxfId="248" priority="247" operator="equal">
      <formula>"No"</formula>
    </cfRule>
    <cfRule type="cellIs" dxfId="247" priority="248" operator="equal">
      <formula>"NA"</formula>
    </cfRule>
    <cfRule type="cellIs" dxfId="246" priority="249" operator="equal">
      <formula>"Yes"</formula>
    </cfRule>
  </conditionalFormatting>
  <conditionalFormatting sqref="AA17:AA23">
    <cfRule type="cellIs" dxfId="245" priority="244" operator="equal">
      <formula>"No"</formula>
    </cfRule>
    <cfRule type="cellIs" dxfId="244" priority="245" operator="equal">
      <formula>"NA"</formula>
    </cfRule>
    <cfRule type="cellIs" dxfId="243" priority="246" operator="equal">
      <formula>"Yes"</formula>
    </cfRule>
  </conditionalFormatting>
  <conditionalFormatting sqref="AA13">
    <cfRule type="cellIs" dxfId="242" priority="241" operator="equal">
      <formula>"No"</formula>
    </cfRule>
    <cfRule type="cellIs" dxfId="241" priority="242" operator="equal">
      <formula>"NA"</formula>
    </cfRule>
    <cfRule type="cellIs" dxfId="240" priority="243" operator="equal">
      <formula>"Yes"</formula>
    </cfRule>
  </conditionalFormatting>
  <conditionalFormatting sqref="AB6">
    <cfRule type="cellIs" dxfId="239" priority="238" operator="equal">
      <formula>"No"</formula>
    </cfRule>
    <cfRule type="cellIs" dxfId="238" priority="239" operator="equal">
      <formula>"NA"</formula>
    </cfRule>
    <cfRule type="cellIs" dxfId="237" priority="240" operator="equal">
      <formula>"Yes"</formula>
    </cfRule>
  </conditionalFormatting>
  <conditionalFormatting sqref="AB7">
    <cfRule type="cellIs" dxfId="236" priority="235" operator="equal">
      <formula>"No"</formula>
    </cfRule>
    <cfRule type="cellIs" dxfId="235" priority="236" operator="equal">
      <formula>"NA"</formula>
    </cfRule>
    <cfRule type="cellIs" dxfId="234" priority="237" operator="equal">
      <formula>"Yes"</formula>
    </cfRule>
  </conditionalFormatting>
  <conditionalFormatting sqref="AB10">
    <cfRule type="cellIs" dxfId="233" priority="232" operator="equal">
      <formula>"No"</formula>
    </cfRule>
    <cfRule type="cellIs" dxfId="232" priority="233" operator="equal">
      <formula>"NA"</formula>
    </cfRule>
    <cfRule type="cellIs" dxfId="231" priority="234" operator="equal">
      <formula>"Yes"</formula>
    </cfRule>
  </conditionalFormatting>
  <conditionalFormatting sqref="AB16">
    <cfRule type="cellIs" dxfId="230" priority="229" operator="equal">
      <formula>"No"</formula>
    </cfRule>
    <cfRule type="cellIs" dxfId="229" priority="230" operator="equal">
      <formula>"NA"</formula>
    </cfRule>
    <cfRule type="cellIs" dxfId="228" priority="231" operator="equal">
      <formula>"Yes"</formula>
    </cfRule>
  </conditionalFormatting>
  <conditionalFormatting sqref="AB25">
    <cfRule type="cellIs" dxfId="227" priority="226" operator="equal">
      <formula>"No"</formula>
    </cfRule>
    <cfRule type="cellIs" dxfId="226" priority="227" operator="equal">
      <formula>"NA"</formula>
    </cfRule>
    <cfRule type="cellIs" dxfId="225" priority="228" operator="equal">
      <formula>"Yes"</formula>
    </cfRule>
  </conditionalFormatting>
  <conditionalFormatting sqref="AB26">
    <cfRule type="cellIs" dxfId="224" priority="223" operator="equal">
      <formula>"No"</formula>
    </cfRule>
    <cfRule type="cellIs" dxfId="223" priority="224" operator="equal">
      <formula>"NA"</formula>
    </cfRule>
    <cfRule type="cellIs" dxfId="222" priority="225" operator="equal">
      <formula>"Yes"</formula>
    </cfRule>
  </conditionalFormatting>
  <conditionalFormatting sqref="AB27">
    <cfRule type="cellIs" dxfId="221" priority="220" operator="equal">
      <formula>"No"</formula>
    </cfRule>
    <cfRule type="cellIs" dxfId="220" priority="221" operator="equal">
      <formula>"NA"</formula>
    </cfRule>
    <cfRule type="cellIs" dxfId="219" priority="222" operator="equal">
      <formula>"Yes"</formula>
    </cfRule>
  </conditionalFormatting>
  <conditionalFormatting sqref="AB28">
    <cfRule type="cellIs" dxfId="218" priority="217" operator="equal">
      <formula>"No"</formula>
    </cfRule>
    <cfRule type="cellIs" dxfId="217" priority="218" operator="equal">
      <formula>"NA"</formula>
    </cfRule>
    <cfRule type="cellIs" dxfId="216" priority="219" operator="equal">
      <formula>"Yes"</formula>
    </cfRule>
  </conditionalFormatting>
  <conditionalFormatting sqref="AB30">
    <cfRule type="cellIs" dxfId="215" priority="214" operator="equal">
      <formula>"No"</formula>
    </cfRule>
    <cfRule type="cellIs" dxfId="214" priority="215" operator="equal">
      <formula>"NA"</formula>
    </cfRule>
    <cfRule type="cellIs" dxfId="213" priority="216" operator="equal">
      <formula>"Yes"</formula>
    </cfRule>
  </conditionalFormatting>
  <conditionalFormatting sqref="AB31">
    <cfRule type="cellIs" dxfId="212" priority="211" operator="equal">
      <formula>"No"</formula>
    </cfRule>
    <cfRule type="cellIs" dxfId="211" priority="212" operator="equal">
      <formula>"NA"</formula>
    </cfRule>
    <cfRule type="cellIs" dxfId="210" priority="213" operator="equal">
      <formula>"Yes"</formula>
    </cfRule>
  </conditionalFormatting>
  <conditionalFormatting sqref="AB33">
    <cfRule type="cellIs" dxfId="209" priority="208" operator="equal">
      <formula>"No"</formula>
    </cfRule>
    <cfRule type="cellIs" dxfId="208" priority="209" operator="equal">
      <formula>"NA"</formula>
    </cfRule>
    <cfRule type="cellIs" dxfId="207" priority="210" operator="equal">
      <formula>"Yes"</formula>
    </cfRule>
  </conditionalFormatting>
  <conditionalFormatting sqref="AB9">
    <cfRule type="cellIs" dxfId="206" priority="205" operator="equal">
      <formula>"No"</formula>
    </cfRule>
    <cfRule type="cellIs" dxfId="205" priority="206" operator="equal">
      <formula>"NA"</formula>
    </cfRule>
    <cfRule type="cellIs" dxfId="204" priority="207" operator="equal">
      <formula>"Yes"</formula>
    </cfRule>
  </conditionalFormatting>
  <conditionalFormatting sqref="AB11">
    <cfRule type="cellIs" dxfId="203" priority="202" operator="equal">
      <formula>"No"</formula>
    </cfRule>
    <cfRule type="cellIs" dxfId="202" priority="203" operator="equal">
      <formula>"NA"</formula>
    </cfRule>
    <cfRule type="cellIs" dxfId="201" priority="204" operator="equal">
      <formula>"Yes"</formula>
    </cfRule>
  </conditionalFormatting>
  <conditionalFormatting sqref="AB12 AB14:AB15">
    <cfRule type="cellIs" dxfId="200" priority="199" operator="equal">
      <formula>"No"</formula>
    </cfRule>
    <cfRule type="cellIs" dxfId="199" priority="200" operator="equal">
      <formula>"NA"</formula>
    </cfRule>
    <cfRule type="cellIs" dxfId="198" priority="201" operator="equal">
      <formula>"Yes"</formula>
    </cfRule>
  </conditionalFormatting>
  <conditionalFormatting sqref="AB17:AB23">
    <cfRule type="cellIs" dxfId="197" priority="196" operator="equal">
      <formula>"No"</formula>
    </cfRule>
    <cfRule type="cellIs" dxfId="196" priority="197" operator="equal">
      <formula>"NA"</formula>
    </cfRule>
    <cfRule type="cellIs" dxfId="195" priority="198" operator="equal">
      <formula>"Yes"</formula>
    </cfRule>
  </conditionalFormatting>
  <conditionalFormatting sqref="AB13">
    <cfRule type="cellIs" dxfId="194" priority="193" operator="equal">
      <formula>"No"</formula>
    </cfRule>
    <cfRule type="cellIs" dxfId="193" priority="194" operator="equal">
      <formula>"NA"</formula>
    </cfRule>
    <cfRule type="cellIs" dxfId="192" priority="195" operator="equal">
      <formula>"Yes"</formula>
    </cfRule>
  </conditionalFormatting>
  <conditionalFormatting sqref="AC6">
    <cfRule type="cellIs" dxfId="191" priority="190" operator="equal">
      <formula>"No"</formula>
    </cfRule>
    <cfRule type="cellIs" dxfId="190" priority="191" operator="equal">
      <formula>"NA"</formula>
    </cfRule>
    <cfRule type="cellIs" dxfId="189" priority="192" operator="equal">
      <formula>"Yes"</formula>
    </cfRule>
  </conditionalFormatting>
  <conditionalFormatting sqref="AC7">
    <cfRule type="cellIs" dxfId="188" priority="187" operator="equal">
      <formula>"No"</formula>
    </cfRule>
    <cfRule type="cellIs" dxfId="187" priority="188" operator="equal">
      <formula>"NA"</formula>
    </cfRule>
    <cfRule type="cellIs" dxfId="186" priority="189" operator="equal">
      <formula>"Yes"</formula>
    </cfRule>
  </conditionalFormatting>
  <conditionalFormatting sqref="AC10">
    <cfRule type="cellIs" dxfId="185" priority="184" operator="equal">
      <formula>"No"</formula>
    </cfRule>
    <cfRule type="cellIs" dxfId="184" priority="185" operator="equal">
      <formula>"NA"</formula>
    </cfRule>
    <cfRule type="cellIs" dxfId="183" priority="186" operator="equal">
      <formula>"Yes"</formula>
    </cfRule>
  </conditionalFormatting>
  <conditionalFormatting sqref="AC16">
    <cfRule type="cellIs" dxfId="182" priority="181" operator="equal">
      <formula>"No"</formula>
    </cfRule>
    <cfRule type="cellIs" dxfId="181" priority="182" operator="equal">
      <formula>"NA"</formula>
    </cfRule>
    <cfRule type="cellIs" dxfId="180" priority="183" operator="equal">
      <formula>"Yes"</formula>
    </cfRule>
  </conditionalFormatting>
  <conditionalFormatting sqref="AC25">
    <cfRule type="cellIs" dxfId="179" priority="178" operator="equal">
      <formula>"No"</formula>
    </cfRule>
    <cfRule type="cellIs" dxfId="178" priority="179" operator="equal">
      <formula>"NA"</formula>
    </cfRule>
    <cfRule type="cellIs" dxfId="177" priority="180" operator="equal">
      <formula>"Yes"</formula>
    </cfRule>
  </conditionalFormatting>
  <conditionalFormatting sqref="AC26">
    <cfRule type="cellIs" dxfId="176" priority="175" operator="equal">
      <formula>"No"</formula>
    </cfRule>
    <cfRule type="cellIs" dxfId="175" priority="176" operator="equal">
      <formula>"NA"</formula>
    </cfRule>
    <cfRule type="cellIs" dxfId="174" priority="177" operator="equal">
      <formula>"Yes"</formula>
    </cfRule>
  </conditionalFormatting>
  <conditionalFormatting sqref="AC27">
    <cfRule type="cellIs" dxfId="173" priority="172" operator="equal">
      <formula>"No"</formula>
    </cfRule>
    <cfRule type="cellIs" dxfId="172" priority="173" operator="equal">
      <formula>"NA"</formula>
    </cfRule>
    <cfRule type="cellIs" dxfId="171" priority="174" operator="equal">
      <formula>"Yes"</formula>
    </cfRule>
  </conditionalFormatting>
  <conditionalFormatting sqref="AC28">
    <cfRule type="cellIs" dxfId="170" priority="169" operator="equal">
      <formula>"No"</formula>
    </cfRule>
    <cfRule type="cellIs" dxfId="169" priority="170" operator="equal">
      <formula>"NA"</formula>
    </cfRule>
    <cfRule type="cellIs" dxfId="168" priority="171" operator="equal">
      <formula>"Yes"</formula>
    </cfRule>
  </conditionalFormatting>
  <conditionalFormatting sqref="AC30">
    <cfRule type="cellIs" dxfId="167" priority="166" operator="equal">
      <formula>"No"</formula>
    </cfRule>
    <cfRule type="cellIs" dxfId="166" priority="167" operator="equal">
      <formula>"NA"</formula>
    </cfRule>
    <cfRule type="cellIs" dxfId="165" priority="168" operator="equal">
      <formula>"Yes"</formula>
    </cfRule>
  </conditionalFormatting>
  <conditionalFormatting sqref="AC31">
    <cfRule type="cellIs" dxfId="164" priority="163" operator="equal">
      <formula>"No"</formula>
    </cfRule>
    <cfRule type="cellIs" dxfId="163" priority="164" operator="equal">
      <formula>"NA"</formula>
    </cfRule>
    <cfRule type="cellIs" dxfId="162" priority="165" operator="equal">
      <formula>"Yes"</formula>
    </cfRule>
  </conditionalFormatting>
  <conditionalFormatting sqref="AC33">
    <cfRule type="cellIs" dxfId="161" priority="160" operator="equal">
      <formula>"No"</formula>
    </cfRule>
    <cfRule type="cellIs" dxfId="160" priority="161" operator="equal">
      <formula>"NA"</formula>
    </cfRule>
    <cfRule type="cellIs" dxfId="159" priority="162" operator="equal">
      <formula>"Yes"</formula>
    </cfRule>
  </conditionalFormatting>
  <conditionalFormatting sqref="AC9">
    <cfRule type="cellIs" dxfId="158" priority="157" operator="equal">
      <formula>"No"</formula>
    </cfRule>
    <cfRule type="cellIs" dxfId="157" priority="158" operator="equal">
      <formula>"NA"</formula>
    </cfRule>
    <cfRule type="cellIs" dxfId="156" priority="159" operator="equal">
      <formula>"Yes"</formula>
    </cfRule>
  </conditionalFormatting>
  <conditionalFormatting sqref="AC11">
    <cfRule type="cellIs" dxfId="155" priority="154" operator="equal">
      <formula>"No"</formula>
    </cfRule>
    <cfRule type="cellIs" dxfId="154" priority="155" operator="equal">
      <formula>"NA"</formula>
    </cfRule>
    <cfRule type="cellIs" dxfId="153" priority="156" operator="equal">
      <formula>"Yes"</formula>
    </cfRule>
  </conditionalFormatting>
  <conditionalFormatting sqref="AC12 AC14:AC15">
    <cfRule type="cellIs" dxfId="152" priority="151" operator="equal">
      <formula>"No"</formula>
    </cfRule>
    <cfRule type="cellIs" dxfId="151" priority="152" operator="equal">
      <formula>"NA"</formula>
    </cfRule>
    <cfRule type="cellIs" dxfId="150" priority="153" operator="equal">
      <formula>"Yes"</formula>
    </cfRule>
  </conditionalFormatting>
  <conditionalFormatting sqref="AC17:AC23">
    <cfRule type="cellIs" dxfId="149" priority="148" operator="equal">
      <formula>"No"</formula>
    </cfRule>
    <cfRule type="cellIs" dxfId="148" priority="149" operator="equal">
      <formula>"NA"</formula>
    </cfRule>
    <cfRule type="cellIs" dxfId="147" priority="150" operator="equal">
      <formula>"Yes"</formula>
    </cfRule>
  </conditionalFormatting>
  <conditionalFormatting sqref="AC13">
    <cfRule type="cellIs" dxfId="146" priority="145" operator="equal">
      <formula>"No"</formula>
    </cfRule>
    <cfRule type="cellIs" dxfId="145" priority="146" operator="equal">
      <formula>"NA"</formula>
    </cfRule>
    <cfRule type="cellIs" dxfId="144" priority="147" operator="equal">
      <formula>"Yes"</formula>
    </cfRule>
  </conditionalFormatting>
  <conditionalFormatting sqref="AD6">
    <cfRule type="cellIs" dxfId="143" priority="142" operator="equal">
      <formula>"No"</formula>
    </cfRule>
    <cfRule type="cellIs" dxfId="142" priority="143" operator="equal">
      <formula>"NA"</formula>
    </cfRule>
    <cfRule type="cellIs" dxfId="141" priority="144" operator="equal">
      <formula>"Yes"</formula>
    </cfRule>
  </conditionalFormatting>
  <conditionalFormatting sqref="AD7">
    <cfRule type="cellIs" dxfId="140" priority="139" operator="equal">
      <formula>"No"</formula>
    </cfRule>
    <cfRule type="cellIs" dxfId="139" priority="140" operator="equal">
      <formula>"NA"</formula>
    </cfRule>
    <cfRule type="cellIs" dxfId="138" priority="141" operator="equal">
      <formula>"Yes"</formula>
    </cfRule>
  </conditionalFormatting>
  <conditionalFormatting sqref="AD10">
    <cfRule type="cellIs" dxfId="137" priority="136" operator="equal">
      <formula>"No"</formula>
    </cfRule>
    <cfRule type="cellIs" dxfId="136" priority="137" operator="equal">
      <formula>"NA"</formula>
    </cfRule>
    <cfRule type="cellIs" dxfId="135" priority="138" operator="equal">
      <formula>"Yes"</formula>
    </cfRule>
  </conditionalFormatting>
  <conditionalFormatting sqref="AD16">
    <cfRule type="cellIs" dxfId="134" priority="133" operator="equal">
      <formula>"No"</formula>
    </cfRule>
    <cfRule type="cellIs" dxfId="133" priority="134" operator="equal">
      <formula>"NA"</formula>
    </cfRule>
    <cfRule type="cellIs" dxfId="132" priority="135" operator="equal">
      <formula>"Yes"</formula>
    </cfRule>
  </conditionalFormatting>
  <conditionalFormatting sqref="AD25">
    <cfRule type="cellIs" dxfId="131" priority="130" operator="equal">
      <formula>"No"</formula>
    </cfRule>
    <cfRule type="cellIs" dxfId="130" priority="131" operator="equal">
      <formula>"NA"</formula>
    </cfRule>
    <cfRule type="cellIs" dxfId="129" priority="132" operator="equal">
      <formula>"Yes"</formula>
    </cfRule>
  </conditionalFormatting>
  <conditionalFormatting sqref="AD26">
    <cfRule type="cellIs" dxfId="128" priority="127" operator="equal">
      <formula>"No"</formula>
    </cfRule>
    <cfRule type="cellIs" dxfId="127" priority="128" operator="equal">
      <formula>"NA"</formula>
    </cfRule>
    <cfRule type="cellIs" dxfId="126" priority="129" operator="equal">
      <formula>"Yes"</formula>
    </cfRule>
  </conditionalFormatting>
  <conditionalFormatting sqref="AD27">
    <cfRule type="cellIs" dxfId="125" priority="124" operator="equal">
      <formula>"No"</formula>
    </cfRule>
    <cfRule type="cellIs" dxfId="124" priority="125" operator="equal">
      <formula>"NA"</formula>
    </cfRule>
    <cfRule type="cellIs" dxfId="123" priority="126" operator="equal">
      <formula>"Yes"</formula>
    </cfRule>
  </conditionalFormatting>
  <conditionalFormatting sqref="AD28">
    <cfRule type="cellIs" dxfId="122" priority="121" operator="equal">
      <formula>"No"</formula>
    </cfRule>
    <cfRule type="cellIs" dxfId="121" priority="122" operator="equal">
      <formula>"NA"</formula>
    </cfRule>
    <cfRule type="cellIs" dxfId="120" priority="123" operator="equal">
      <formula>"Yes"</formula>
    </cfRule>
  </conditionalFormatting>
  <conditionalFormatting sqref="AD30">
    <cfRule type="cellIs" dxfId="119" priority="118" operator="equal">
      <formula>"No"</formula>
    </cfRule>
    <cfRule type="cellIs" dxfId="118" priority="119" operator="equal">
      <formula>"NA"</formula>
    </cfRule>
    <cfRule type="cellIs" dxfId="117" priority="120" operator="equal">
      <formula>"Yes"</formula>
    </cfRule>
  </conditionalFormatting>
  <conditionalFormatting sqref="AD31">
    <cfRule type="cellIs" dxfId="116" priority="115" operator="equal">
      <formula>"No"</formula>
    </cfRule>
    <cfRule type="cellIs" dxfId="115" priority="116" operator="equal">
      <formula>"NA"</formula>
    </cfRule>
    <cfRule type="cellIs" dxfId="114" priority="117" operator="equal">
      <formula>"Yes"</formula>
    </cfRule>
  </conditionalFormatting>
  <conditionalFormatting sqref="AD33">
    <cfRule type="cellIs" dxfId="113" priority="112" operator="equal">
      <formula>"No"</formula>
    </cfRule>
    <cfRule type="cellIs" dxfId="112" priority="113" operator="equal">
      <formula>"NA"</formula>
    </cfRule>
    <cfRule type="cellIs" dxfId="111" priority="114" operator="equal">
      <formula>"Yes"</formula>
    </cfRule>
  </conditionalFormatting>
  <conditionalFormatting sqref="AD9">
    <cfRule type="cellIs" dxfId="110" priority="109" operator="equal">
      <formula>"No"</formula>
    </cfRule>
    <cfRule type="cellIs" dxfId="109" priority="110" operator="equal">
      <formula>"NA"</formula>
    </cfRule>
    <cfRule type="cellIs" dxfId="108" priority="111" operator="equal">
      <formula>"Yes"</formula>
    </cfRule>
  </conditionalFormatting>
  <conditionalFormatting sqref="AD11">
    <cfRule type="cellIs" dxfId="107" priority="106" operator="equal">
      <formula>"No"</formula>
    </cfRule>
    <cfRule type="cellIs" dxfId="106" priority="107" operator="equal">
      <formula>"NA"</formula>
    </cfRule>
    <cfRule type="cellIs" dxfId="105" priority="108" operator="equal">
      <formula>"Yes"</formula>
    </cfRule>
  </conditionalFormatting>
  <conditionalFormatting sqref="AD12 AD14:AD15">
    <cfRule type="cellIs" dxfId="104" priority="103" operator="equal">
      <formula>"No"</formula>
    </cfRule>
    <cfRule type="cellIs" dxfId="103" priority="104" operator="equal">
      <formula>"NA"</formula>
    </cfRule>
    <cfRule type="cellIs" dxfId="102" priority="105" operator="equal">
      <formula>"Yes"</formula>
    </cfRule>
  </conditionalFormatting>
  <conditionalFormatting sqref="AD17:AD23">
    <cfRule type="cellIs" dxfId="101" priority="100" operator="equal">
      <formula>"No"</formula>
    </cfRule>
    <cfRule type="cellIs" dxfId="100" priority="101" operator="equal">
      <formula>"NA"</formula>
    </cfRule>
    <cfRule type="cellIs" dxfId="99" priority="102" operator="equal">
      <formula>"Yes"</formula>
    </cfRule>
  </conditionalFormatting>
  <conditionalFormatting sqref="AD13">
    <cfRule type="cellIs" dxfId="98" priority="97" operator="equal">
      <formula>"No"</formula>
    </cfRule>
    <cfRule type="cellIs" dxfId="97" priority="98" operator="equal">
      <formula>"NA"</formula>
    </cfRule>
    <cfRule type="cellIs" dxfId="96" priority="99" operator="equal">
      <formula>"Yes"</formula>
    </cfRule>
  </conditionalFormatting>
  <conditionalFormatting sqref="AE6">
    <cfRule type="cellIs" dxfId="95" priority="94" operator="equal">
      <formula>"No"</formula>
    </cfRule>
    <cfRule type="cellIs" dxfId="94" priority="95" operator="equal">
      <formula>"NA"</formula>
    </cfRule>
    <cfRule type="cellIs" dxfId="93" priority="96" operator="equal">
      <formula>"Yes"</formula>
    </cfRule>
  </conditionalFormatting>
  <conditionalFormatting sqref="AE7">
    <cfRule type="cellIs" dxfId="92" priority="91" operator="equal">
      <formula>"No"</formula>
    </cfRule>
    <cfRule type="cellIs" dxfId="91" priority="92" operator="equal">
      <formula>"NA"</formula>
    </cfRule>
    <cfRule type="cellIs" dxfId="90" priority="93" operator="equal">
      <formula>"Yes"</formula>
    </cfRule>
  </conditionalFormatting>
  <conditionalFormatting sqref="AE10">
    <cfRule type="cellIs" dxfId="89" priority="88" operator="equal">
      <formula>"No"</formula>
    </cfRule>
    <cfRule type="cellIs" dxfId="88" priority="89" operator="equal">
      <formula>"NA"</formula>
    </cfRule>
    <cfRule type="cellIs" dxfId="87" priority="90" operator="equal">
      <formula>"Yes"</formula>
    </cfRule>
  </conditionalFormatting>
  <conditionalFormatting sqref="AE16">
    <cfRule type="cellIs" dxfId="86" priority="85" operator="equal">
      <formula>"No"</formula>
    </cfRule>
    <cfRule type="cellIs" dxfId="85" priority="86" operator="equal">
      <formula>"NA"</formula>
    </cfRule>
    <cfRule type="cellIs" dxfId="84" priority="87" operator="equal">
      <formula>"Yes"</formula>
    </cfRule>
  </conditionalFormatting>
  <conditionalFormatting sqref="AE25">
    <cfRule type="cellIs" dxfId="83" priority="82" operator="equal">
      <formula>"No"</formula>
    </cfRule>
    <cfRule type="cellIs" dxfId="82" priority="83" operator="equal">
      <formula>"NA"</formula>
    </cfRule>
    <cfRule type="cellIs" dxfId="81" priority="84" operator="equal">
      <formula>"Yes"</formula>
    </cfRule>
  </conditionalFormatting>
  <conditionalFormatting sqref="AE26">
    <cfRule type="cellIs" dxfId="80" priority="79" operator="equal">
      <formula>"No"</formula>
    </cfRule>
    <cfRule type="cellIs" dxfId="79" priority="80" operator="equal">
      <formula>"NA"</formula>
    </cfRule>
    <cfRule type="cellIs" dxfId="78" priority="81" operator="equal">
      <formula>"Yes"</formula>
    </cfRule>
  </conditionalFormatting>
  <conditionalFormatting sqref="AE27">
    <cfRule type="cellIs" dxfId="77" priority="76" operator="equal">
      <formula>"No"</formula>
    </cfRule>
    <cfRule type="cellIs" dxfId="76" priority="77" operator="equal">
      <formula>"NA"</formula>
    </cfRule>
    <cfRule type="cellIs" dxfId="75" priority="78" operator="equal">
      <formula>"Yes"</formula>
    </cfRule>
  </conditionalFormatting>
  <conditionalFormatting sqref="AE28">
    <cfRule type="cellIs" dxfId="74" priority="73" operator="equal">
      <formula>"No"</formula>
    </cfRule>
    <cfRule type="cellIs" dxfId="73" priority="74" operator="equal">
      <formula>"NA"</formula>
    </cfRule>
    <cfRule type="cellIs" dxfId="72" priority="75" operator="equal">
      <formula>"Yes"</formula>
    </cfRule>
  </conditionalFormatting>
  <conditionalFormatting sqref="AE30">
    <cfRule type="cellIs" dxfId="71" priority="70" operator="equal">
      <formula>"No"</formula>
    </cfRule>
    <cfRule type="cellIs" dxfId="70" priority="71" operator="equal">
      <formula>"NA"</formula>
    </cfRule>
    <cfRule type="cellIs" dxfId="69" priority="72" operator="equal">
      <formula>"Yes"</formula>
    </cfRule>
  </conditionalFormatting>
  <conditionalFormatting sqref="AE31">
    <cfRule type="cellIs" dxfId="68" priority="67" operator="equal">
      <formula>"No"</formula>
    </cfRule>
    <cfRule type="cellIs" dxfId="67" priority="68" operator="equal">
      <formula>"NA"</formula>
    </cfRule>
    <cfRule type="cellIs" dxfId="66" priority="69" operator="equal">
      <formula>"Yes"</formula>
    </cfRule>
  </conditionalFormatting>
  <conditionalFormatting sqref="AE33">
    <cfRule type="cellIs" dxfId="65" priority="64" operator="equal">
      <formula>"No"</formula>
    </cfRule>
    <cfRule type="cellIs" dxfId="64" priority="65" operator="equal">
      <formula>"NA"</formula>
    </cfRule>
    <cfRule type="cellIs" dxfId="63" priority="66" operator="equal">
      <formula>"Yes"</formula>
    </cfRule>
  </conditionalFormatting>
  <conditionalFormatting sqref="AE9">
    <cfRule type="cellIs" dxfId="62" priority="61" operator="equal">
      <formula>"No"</formula>
    </cfRule>
    <cfRule type="cellIs" dxfId="61" priority="62" operator="equal">
      <formula>"NA"</formula>
    </cfRule>
    <cfRule type="cellIs" dxfId="60" priority="63" operator="equal">
      <formula>"Yes"</formula>
    </cfRule>
  </conditionalFormatting>
  <conditionalFormatting sqref="AE11">
    <cfRule type="cellIs" dxfId="59" priority="58" operator="equal">
      <formula>"No"</formula>
    </cfRule>
    <cfRule type="cellIs" dxfId="58" priority="59" operator="equal">
      <formula>"NA"</formula>
    </cfRule>
    <cfRule type="cellIs" dxfId="57" priority="60" operator="equal">
      <formula>"Yes"</formula>
    </cfRule>
  </conditionalFormatting>
  <conditionalFormatting sqref="AE12 AE14:AE15">
    <cfRule type="cellIs" dxfId="56" priority="55" operator="equal">
      <formula>"No"</formula>
    </cfRule>
    <cfRule type="cellIs" dxfId="55" priority="56" operator="equal">
      <formula>"NA"</formula>
    </cfRule>
    <cfRule type="cellIs" dxfId="54" priority="57" operator="equal">
      <formula>"Yes"</formula>
    </cfRule>
  </conditionalFormatting>
  <conditionalFormatting sqref="AE17:AE23">
    <cfRule type="cellIs" dxfId="53" priority="52" operator="equal">
      <formula>"No"</formula>
    </cfRule>
    <cfRule type="cellIs" dxfId="52" priority="53" operator="equal">
      <formula>"NA"</formula>
    </cfRule>
    <cfRule type="cellIs" dxfId="51" priority="54" operator="equal">
      <formula>"Yes"</formula>
    </cfRule>
  </conditionalFormatting>
  <conditionalFormatting sqref="AE13">
    <cfRule type="cellIs" dxfId="50" priority="49" operator="equal">
      <formula>"No"</formula>
    </cfRule>
    <cfRule type="cellIs" dxfId="49" priority="50" operator="equal">
      <formula>"NA"</formula>
    </cfRule>
    <cfRule type="cellIs" dxfId="48" priority="51" operator="equal">
      <formula>"Yes"</formula>
    </cfRule>
  </conditionalFormatting>
  <conditionalFormatting sqref="AF6:AG6">
    <cfRule type="cellIs" dxfId="47" priority="46" operator="equal">
      <formula>"No"</formula>
    </cfRule>
    <cfRule type="cellIs" dxfId="46" priority="47" operator="equal">
      <formula>"NA"</formula>
    </cfRule>
    <cfRule type="cellIs" dxfId="45" priority="48" operator="equal">
      <formula>"Yes"</formula>
    </cfRule>
  </conditionalFormatting>
  <conditionalFormatting sqref="AF7:AG7">
    <cfRule type="cellIs" dxfId="44" priority="43" operator="equal">
      <formula>"No"</formula>
    </cfRule>
    <cfRule type="cellIs" dxfId="43" priority="44" operator="equal">
      <formula>"NA"</formula>
    </cfRule>
    <cfRule type="cellIs" dxfId="42" priority="45" operator="equal">
      <formula>"Yes"</formula>
    </cfRule>
  </conditionalFormatting>
  <conditionalFormatting sqref="AF10:AG10">
    <cfRule type="cellIs" dxfId="41" priority="40" operator="equal">
      <formula>"No"</formula>
    </cfRule>
    <cfRule type="cellIs" dxfId="40" priority="41" operator="equal">
      <formula>"NA"</formula>
    </cfRule>
    <cfRule type="cellIs" dxfId="39" priority="42" operator="equal">
      <formula>"Yes"</formula>
    </cfRule>
  </conditionalFormatting>
  <conditionalFormatting sqref="AF16:AG16">
    <cfRule type="cellIs" dxfId="38" priority="37" operator="equal">
      <formula>"No"</formula>
    </cfRule>
    <cfRule type="cellIs" dxfId="37" priority="38" operator="equal">
      <formula>"NA"</formula>
    </cfRule>
    <cfRule type="cellIs" dxfId="36" priority="39" operator="equal">
      <formula>"Yes"</formula>
    </cfRule>
  </conditionalFormatting>
  <conditionalFormatting sqref="AF25:AG25">
    <cfRule type="cellIs" dxfId="35" priority="34" operator="equal">
      <formula>"No"</formula>
    </cfRule>
    <cfRule type="cellIs" dxfId="34" priority="35" operator="equal">
      <formula>"NA"</formula>
    </cfRule>
    <cfRule type="cellIs" dxfId="33" priority="36" operator="equal">
      <formula>"Yes"</formula>
    </cfRule>
  </conditionalFormatting>
  <conditionalFormatting sqref="AF26:AG26">
    <cfRule type="cellIs" dxfId="32" priority="31" operator="equal">
      <formula>"No"</formula>
    </cfRule>
    <cfRule type="cellIs" dxfId="31" priority="32" operator="equal">
      <formula>"NA"</formula>
    </cfRule>
    <cfRule type="cellIs" dxfId="30" priority="33" operator="equal">
      <formula>"Yes"</formula>
    </cfRule>
  </conditionalFormatting>
  <conditionalFormatting sqref="AF27:AG27">
    <cfRule type="cellIs" dxfId="29" priority="28" operator="equal">
      <formula>"No"</formula>
    </cfRule>
    <cfRule type="cellIs" dxfId="28" priority="29" operator="equal">
      <formula>"NA"</formula>
    </cfRule>
    <cfRule type="cellIs" dxfId="27" priority="30" operator="equal">
      <formula>"Yes"</formula>
    </cfRule>
  </conditionalFormatting>
  <conditionalFormatting sqref="AF28:AG28">
    <cfRule type="cellIs" dxfId="26" priority="25" operator="equal">
      <formula>"No"</formula>
    </cfRule>
    <cfRule type="cellIs" dxfId="25" priority="26" operator="equal">
      <formula>"NA"</formula>
    </cfRule>
    <cfRule type="cellIs" dxfId="24" priority="27" operator="equal">
      <formula>"Yes"</formula>
    </cfRule>
  </conditionalFormatting>
  <conditionalFormatting sqref="AF30:AG30">
    <cfRule type="cellIs" dxfId="23" priority="22" operator="equal">
      <formula>"No"</formula>
    </cfRule>
    <cfRule type="cellIs" dxfId="22" priority="23" operator="equal">
      <formula>"NA"</formula>
    </cfRule>
    <cfRule type="cellIs" dxfId="21" priority="24" operator="equal">
      <formula>"Yes"</formula>
    </cfRule>
  </conditionalFormatting>
  <conditionalFormatting sqref="AF31:AG31">
    <cfRule type="cellIs" dxfId="20" priority="19" operator="equal">
      <formula>"No"</formula>
    </cfRule>
    <cfRule type="cellIs" dxfId="19" priority="20" operator="equal">
      <formula>"NA"</formula>
    </cfRule>
    <cfRule type="cellIs" dxfId="18" priority="21" operator="equal">
      <formula>"Yes"</formula>
    </cfRule>
  </conditionalFormatting>
  <conditionalFormatting sqref="AF33:AG33">
    <cfRule type="cellIs" dxfId="17" priority="16" operator="equal">
      <formula>"No"</formula>
    </cfRule>
    <cfRule type="cellIs" dxfId="16" priority="17" operator="equal">
      <formula>"NA"</formula>
    </cfRule>
    <cfRule type="cellIs" dxfId="15" priority="18" operator="equal">
      <formula>"Yes"</formula>
    </cfRule>
  </conditionalFormatting>
  <conditionalFormatting sqref="AF9:AG9">
    <cfRule type="cellIs" dxfId="14" priority="13" operator="equal">
      <formula>"No"</formula>
    </cfRule>
    <cfRule type="cellIs" dxfId="13" priority="14" operator="equal">
      <formula>"NA"</formula>
    </cfRule>
    <cfRule type="cellIs" dxfId="12" priority="15" operator="equal">
      <formula>"Yes"</formula>
    </cfRule>
  </conditionalFormatting>
  <conditionalFormatting sqref="AF11:AG11">
    <cfRule type="cellIs" dxfId="11" priority="10" operator="equal">
      <formula>"No"</formula>
    </cfRule>
    <cfRule type="cellIs" dxfId="10" priority="11" operator="equal">
      <formula>"NA"</formula>
    </cfRule>
    <cfRule type="cellIs" dxfId="9" priority="12" operator="equal">
      <formula>"Yes"</formula>
    </cfRule>
  </conditionalFormatting>
  <conditionalFormatting sqref="AF12:AG12 AF14:AG15">
    <cfRule type="cellIs" dxfId="8" priority="7" operator="equal">
      <formula>"No"</formula>
    </cfRule>
    <cfRule type="cellIs" dxfId="7" priority="8" operator="equal">
      <formula>"NA"</formula>
    </cfRule>
    <cfRule type="cellIs" dxfId="6" priority="9" operator="equal">
      <formula>"Yes"</formula>
    </cfRule>
  </conditionalFormatting>
  <conditionalFormatting sqref="AF17:AG23">
    <cfRule type="cellIs" dxfId="5" priority="4" operator="equal">
      <formula>"No"</formula>
    </cfRule>
    <cfRule type="cellIs" dxfId="4" priority="5" operator="equal">
      <formula>"NA"</formula>
    </cfRule>
    <cfRule type="cellIs" dxfId="3" priority="6" operator="equal">
      <formula>"Yes"</formula>
    </cfRule>
  </conditionalFormatting>
  <conditionalFormatting sqref="AF13:AG13">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5:AG28 C33:AG33 C9:AG23 C30:AG31 C6:AG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2965021-A51C-4AA2-B873-44DEF42FF54E}">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46fc4dd3-b727-4544-ab7c-0ad95d465289"/>
    <ds:schemaRef ds:uri="http://purl.org/dc/elements/1.1/"/>
    <ds:schemaRef ds:uri="http://schemas.microsoft.com/office/2006/metadata/properties"/>
    <ds:schemaRef ds:uri="34c9bd9a-5a71-426a-ab93-6fe2caeb5e9e"/>
    <ds:schemaRef ds:uri="http://www.w3.org/XML/1998/namespace"/>
    <ds:schemaRef ds:uri="http://purl.org/dc/dcmityp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67</vt:i4>
      </vt:variant>
    </vt:vector>
  </HeadingPairs>
  <TitlesOfParts>
    <vt:vector size="75" baseType="lpstr">
      <vt:lpstr>FrontPage</vt:lpstr>
      <vt:lpstr>General info</vt:lpstr>
      <vt:lpstr>Help</vt:lpstr>
      <vt:lpstr>Metrics</vt:lpstr>
      <vt:lpstr>Overview</vt:lpstr>
      <vt:lpstr>Review</vt:lpstr>
      <vt:lpstr>SDD checklist</vt:lpstr>
      <vt:lpstr>CODE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'CODE checklist'!Review.ratings</vt:lpstr>
      <vt:lpstr>'SDD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Gabriel Brasoveanu</cp:lastModifiedBy>
  <dcterms:created xsi:type="dcterms:W3CDTF">1996-10-21T11:03:58Z</dcterms:created>
  <dcterms:modified xsi:type="dcterms:W3CDTF">2023-07-20T13:37:03Z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TL_Lib - Peer Review Workbook</vt:lpwstr>
  </property>
</Properties>
</file>