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1F3963C1-F126-431D-805C-30A4A8D2885F}" xr6:coauthVersionLast="47" xr6:coauthVersionMax="47" xr10:uidLastSave="{00000000-0000-0000-0000-000000000000}"/>
  <bookViews>
    <workbookView xWindow="-120" yWindow="-120" windowWidth="29040" windowHeight="15840" tabRatio="750" activeTab="8"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42" l="1"/>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AB7" i="38"/>
  <c r="E7" i="38"/>
  <c r="AB5" i="38"/>
  <c r="A5" i="38"/>
  <c r="AE7" i="38"/>
  <c r="W7" i="38"/>
  <c r="F10" i="38"/>
  <c r="W5" i="38"/>
  <c r="A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<sst xmlns="http://schemas.openxmlformats.org/spreadsheetml/2006/main" count="2442" uniqueCount="992">
  <si>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</si>
  <si>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</si>
  <si>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</si>
  <si>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</si>
  <si>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</si>
  <si>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</si>
  <si>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</si>
  <si>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</si>
  <si>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</si>
  <si>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</si>
  <si>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</si>
  <si>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</si>
  <si>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</si>
  <si>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</si>
  <si>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</si>
  <si>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</si>
  <si>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</si>
  <si>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</si>
  <si>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</si>
  <si>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</si>
  <si>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</si>
  <si>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</si>
  <si>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</si>
  <si>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</si>
  <si>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</si>
  <si>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</si>
  <si>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</si>
  <si>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</si>
  <si>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</si>
  <si>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</si>
  <si>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</si>
  <si>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</si>
  <si>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</si>
  <si>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</si>
  <si>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</si>
  <si>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</si>
  <si>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</si>
  <si>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</si>
  <si>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</si>
  <si>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</si>
  <si>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</si>
  <si>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</si>
  <si>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</si>
  <si>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</si>
  <si>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</si>
  <si>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</si>
  <si>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</si>
  <si>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</si>
  <si>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</si>
  <si>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</si>
  <si>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</si>
  <si>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</si>
  <si>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</si>
  <si>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</si>
  <si>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</si>
  <si>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</si>
  <si>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</si>
  <si>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</si>
  <si>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</si>
  <si>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</si>
  <si>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</si>
  <si>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</si>
  <si>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</si>
  <si>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</si>
  <si>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</si>
  <si>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</si>
  <si>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</si>
  <si>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</si>
  <si>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</si>
  <si>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</si>
  <si>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</si>
  <si>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</si>
  <si>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</si>
  <si>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</si>
  <si>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</si>
  <si>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</si>
  <si>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</si>
  <si>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</si>
  <si>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</si>
  <si>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</si>
  <si>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</si>
  <si>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</si>
  <si>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</si>
  <si>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</si>
  <si>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</si>
  <si>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</si>
  <si>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</si>
  <si>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</si>
  <si>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</si>
  <si>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</si>
  <si>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</si>
  <si>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</si>
  <si>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</si>
  <si>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</si>
  <si>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</si>
  <si>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</si>
  <si>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</si>
  <si>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</si>
  <si>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</si>
  <si>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</si>
  <si>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</si>
  <si>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</si>
  <si>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</si>
  <si>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</si>
  <si>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</si>
  <si>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</si>
  <si>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</si>
  <si>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</si>
  <si>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</si>
  <si>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</si>
  <si>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</si>
  <si>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</si>
  <si>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</si>
  <si>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</si>
  <si>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</si>
  <si>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</si>
  <si>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</si>
  <si>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</si>
  <si>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</si>
  <si>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</si>
  <si>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</si>
  <si>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</si>
  <si>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</si>
  <si>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</si>
  <si>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</si>
  <si>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</si>
  <si>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</si>
  <si>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</si>
  <si>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</si>
  <si>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</si>
  <si>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</si>
  <si>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</si>
  <si>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</si>
  <si>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</si>
  <si>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</si>
  <si>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</si>
  <si>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</si>
  <si>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</si>
  <si>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</si>
  <si>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</si>
  <si>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</si>
  <si>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</si>
  <si>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</si>
  <si>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</si>
  <si>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</si>
  <si>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</si>
  <si>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</si>
  <si>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</si>
  <si>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</si>
  <si>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</si>
  <si>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</si>
  <si>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</si>
  <si>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</si>
  <si>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</si>
  <si>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</si>
  <si>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</si>
  <si>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</si>
  <si>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</si>
  <si>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</si>
  <si>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</si>
  <si>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</si>
  <si>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</si>
  <si>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</si>
  <si>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</si>
  <si>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</si>
  <si>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</si>
  <si>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</si>
  <si>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</si>
  <si>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</si>
  <si>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</si>
  <si>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</si>
  <si>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</si>
  <si>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</si>
  <si>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</si>
  <si>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</si>
  <si>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</si>
  <si>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</si>
  <si>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</si>
  <si>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</si>
  <si>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</si>
  <si>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</si>
  <si>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</si>
  <si>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</si>
  <si>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</si>
  <si>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</si>
  <si>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</si>
  <si>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</si>
  <si>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</si>
  <si>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</si>
  <si>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</si>
  <si>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</si>
  <si>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</si>
  <si>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</si>
  <si>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</si>
  <si>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</si>
  <si>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</si>
  <si>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</si>
  <si>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</si>
  <si>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</si>
  <si>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</si>
  <si>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</si>
  <si>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</si>
  <si>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</si>
  <si>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</si>
  <si>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</si>
  <si>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</si>
  <si>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</si>
  <si>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</si>
  <si>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</si>
  <si>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</si>
  <si>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</si>
  <si>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</si>
  <si>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</si>
  <si>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</si>
  <si>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</si>
  <si>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</si>
  <si>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</si>
  <si>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</si>
  <si>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</si>
  <si>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</si>
  <si>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</si>
  <si>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</si>
  <si>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</si>
  <si>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</si>
  <si>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</si>
  <si>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</si>
  <si>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</si>
  <si>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</si>
  <si>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</si>
  <si>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</si>
  <si>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</si>
  <si>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</si>
  <si>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</si>
  <si>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</si>
  <si>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</si>
  <si>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</si>
  <si>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</si>
  <si>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</si>
  <si>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</si>
  <si>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</si>
  <si>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</si>
  <si>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</si>
  <si>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</si>
  <si>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</si>
  <si>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</si>
  <si>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</si>
  <si>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</si>
  <si>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</si>
  <si>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</si>
  <si>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</si>
  <si>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</si>
  <si>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</si>
  <si>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</si>
  <si>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</si>
  <si>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</si>
  <si>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</si>
  <si>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</si>
  <si>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</si>
  <si>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</si>
  <si>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</si>
  <si>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</si>
  <si>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</si>
  <si>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</si>
  <si>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</si>
  <si>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</si>
  <si>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</si>
  <si>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</si>
  <si>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</si>
  <si>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</si>
  <si>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</si>
  <si>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</si>
  <si>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</si>
  <si>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</si>
  <si>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</si>
  <si>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</si>
  <si>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</si>
  <si>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</si>
  <si>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</si>
  <si>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</si>
  <si>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</si>
  <si>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</si>
  <si>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</si>
  <si>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</si>
  <si>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</si>
  <si>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</si>
  <si>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</si>
  <si>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</si>
  <si>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</si>
  <si>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</si>
  <si>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</si>
  <si>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</si>
  <si>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</si>
  <si>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</si>
  <si>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</si>
  <si>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</si>
  <si>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</si>
  <si>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</si>
  <si>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</si>
  <si>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</si>
  <si>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</si>
  <si>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</si>
  <si>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</si>
  <si>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</si>
  <si>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</si>
  <si>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</si>
  <si>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</si>
  <si>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</si>
  <si>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</si>
  <si>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</si>
  <si>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</si>
  <si>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</si>
  <si>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</si>
  <si>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</si>
  <si>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</si>
  <si>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</si>
  <si>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</si>
  <si>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</si>
  <si>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</si>
  <si>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</si>
  <si>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</si>
  <si>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</si>
  <si>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</si>
  <si>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</si>
  <si>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</si>
  <si>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</si>
  <si>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</si>
  <si>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</si>
  <si>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</si>
  <si>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</si>
  <si>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</si>
  <si>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</si>
  <si>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</si>
  <si>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</si>
  <si>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</si>
  <si>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</si>
  <si>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</si>
  <si>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</si>
  <si>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</si>
  <si>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</si>
  <si>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</si>
  <si>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</si>
  <si>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</si>
  <si>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</si>
  <si>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</si>
  <si>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</si>
  <si>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</si>
  <si>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</si>
  <si>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</si>
  <si>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</si>
  <si>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</si>
  <si>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</si>
  <si>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</si>
  <si>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</si>
  <si>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</si>
  <si>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</si>
  <si>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</si>
  <si>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</si>
  <si>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</si>
  <si>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</si>
  <si>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</si>
  <si>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</si>
  <si>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</si>
  <si>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</si>
  <si>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</si>
  <si>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</si>
  <si>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</si>
  <si>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</si>
  <si>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</si>
  <si>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</si>
  <si>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</si>
  <si>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</si>
  <si>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</si>
  <si>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</si>
  <si>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</si>
  <si>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</si>
  <si>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</si>
  <si>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</si>
  <si>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</si>
  <si>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</si>
  <si>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</si>
  <si>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</si>
  <si>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</si>
  <si>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</si>
  <si>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</si>
  <si>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</si>
  <si>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</si>
  <si>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</si>
  <si>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</si>
  <si>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</si>
  <si>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</si>
  <si>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</si>
  <si>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</si>
  <si>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</si>
  <si>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</si>
  <si>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</si>
  <si>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</si>
  <si>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</si>
  <si>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</si>
  <si>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</si>
  <si>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</si>
  <si>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</si>
  <si>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</si>
  <si>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</si>
  <si>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</si>
  <si>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</si>
  <si>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</si>
  <si>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</si>
  <si>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</si>
  <si>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</si>
  <si>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</si>
  <si>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</si>
  <si>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</si>
  <si>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</si>
  <si>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</si>
  <si>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</si>
  <si>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</si>
  <si>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</si>
  <si>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</si>
  <si>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</si>
  <si>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</si>
  <si>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</si>
  <si>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</si>
  <si>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</si>
  <si>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</si>
  <si>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</si>
  <si>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</si>
  <si>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</si>
  <si>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</si>
  <si>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</si>
  <si>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</si>
  <si>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</si>
  <si>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</si>
  <si>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</si>
  <si>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</si>
  <si>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</si>
  <si>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</si>
  <si>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</si>
  <si>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</si>
  <si>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</si>
  <si>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</si>
  <si>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</si>
  <si>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</si>
  <si>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</si>
  <si>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</si>
  <si>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</si>
  <si>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</si>
  <si>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</si>
  <si>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</si>
  <si>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</si>
  <si>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</si>
  <si>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</si>
  <si>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</si>
  <si>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</si>
  <si>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</si>
  <si>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</si>
  <si>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</si>
  <si>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</si>
  <si>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</si>
  <si>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</si>
  <si>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</si>
  <si>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</si>
  <si>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</si>
  <si>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</si>
  <si>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</si>
  <si>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</si>
  <si>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</si>
  <si>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</si>
  <si>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</si>
  <si>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</si>
  <si>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</si>
  <si>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</si>
  <si>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</si>
  <si>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</si>
  <si>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</si>
  <si>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</si>
  <si>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</si>
  <si>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</si>
  <si>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</si>
  <si>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</si>
  <si>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</si>
  <si>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</si>
  <si>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</si>
  <si>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</si>
  <si>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</si>
  <si>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</si>
  <si>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</si>
  <si>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</si>
  <si>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</si>
  <si>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</si>
  <si>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</si>
  <si>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</si>
  <si>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</si>
  <si>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</si>
  <si>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</si>
  <si>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</si>
  <si>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</si>
  <si>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</si>
  <si>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</si>
  <si>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</si>
  <si>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</si>
  <si>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</si>
  <si>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</si>
  <si>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</si>
  <si>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</si>
  <si>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</si>
  <si>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</si>
  <si>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</si>
  <si>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</si>
  <si>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</si>
  <si>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</si>
  <si>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</si>
  <si>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</si>
  <si>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</si>
  <si>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</si>
  <si>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</si>
  <si>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</si>
  <si>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</si>
  <si>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</si>
  <si>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</si>
  <si>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</si>
  <si>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</si>
  <si>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</si>
  <si>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</si>
  <si>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</si>
  <si>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</si>
  <si>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</si>
  <si>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</si>
  <si>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</si>
  <si>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</si>
  <si>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</si>
  <si>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</si>
  <si>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</si>
  <si>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</si>
  <si>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</si>
  <si>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</si>
  <si>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</si>
  <si>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</si>
  <si>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</si>
  <si>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</si>
  <si>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</si>
  <si>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</si>
  <si>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</si>
  <si>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</si>
  <si>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</si>
  <si>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</si>
  <si>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</si>
  <si>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</si>
  <si>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</si>
  <si>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</si>
  <si>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</si>
  <si>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</si>
  <si>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</si>
  <si>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</si>
  <si>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</si>
  <si>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</si>
  <si>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</si>
  <si>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</si>
  <si>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</si>
  <si>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</si>
  <si>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</si>
  <si>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</si>
  <si>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</si>
  <si>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</si>
  <si>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</si>
  <si>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</si>
  <si>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</si>
  <si>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</si>
  <si>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</si>
  <si>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</si>
  <si>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</si>
  <si>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</si>
  <si>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</si>
  <si>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</si>
  <si>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</si>
  <si>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</si>
  <si>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</si>
  <si>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</si>
  <si>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</si>
  <si>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</si>
  <si>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</si>
  <si>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</si>
  <si>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</si>
  <si>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</si>
  <si>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</si>
  <si>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</si>
  <si>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</si>
  <si>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</si>
  <si>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</si>
  <si>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</si>
  <si>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</si>
  <si>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</si>
  <si>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</si>
  <si>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</si>
  <si>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</si>
  <si>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</si>
  <si>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</si>
  <si>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</si>
  <si>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</si>
  <si>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</si>
  <si>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</si>
  <si>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</si>
  <si>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</si>
  <si>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</si>
  <si>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</si>
  <si>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</si>
  <si>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</si>
  <si>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</si>
  <si>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</si>
  <si>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</si>
  <si>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</si>
  <si>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</si>
  <si>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</si>
  <si>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</si>
  <si>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</si>
  <si>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</si>
  <si>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</si>
  <si>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</si>
  <si>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</si>
  <si>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</si>
  <si>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</si>
  <si>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</si>
  <si>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</si>
  <si>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</si>
  <si>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</si>
  <si>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</si>
  <si>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</si>
  <si>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</si>
  <si>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</si>
  <si>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</si>
  <si>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</si>
  <si>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</si>
  <si>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</si>
  <si>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</si>
  <si>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</si>
  <si>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</si>
  <si>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</si>
  <si>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</si>
  <si>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</si>
  <si>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</si>
  <si>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</si>
  <si>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</si>
  <si>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</si>
  <si>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</si>
  <si>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</si>
  <si>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</si>
  <si>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</si>
  <si>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</si>
  <si>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</si>
  <si>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</si>
  <si>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</si>
  <si>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</si>
  <si>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</si>
  <si>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</si>
  <si>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</si>
  <si>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</si>
  <si>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</si>
  <si>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</si>
  <si>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</si>
  <si>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</si>
  <si>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</si>
  <si>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</si>
  <si>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</si>
  <si>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</si>
  <si>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</si>
  <si>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</si>
  <si>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</si>
  <si>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</si>
  <si>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</si>
  <si>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</si>
  <si>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</si>
  <si>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</si>
  <si>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</si>
  <si>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</si>
  <si>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</si>
  <si>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</si>
  <si>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</si>
  <si>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</si>
  <si>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</si>
  <si>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</si>
  <si>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</si>
  <si>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</si>
  <si>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</si>
  <si>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</si>
  <si>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</si>
  <si>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</si>
  <si>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</si>
  <si>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</si>
  <si>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</si>
  <si>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</si>
  <si>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</si>
  <si>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</si>
  <si>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</si>
  <si>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</si>
  <si>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</si>
  <si>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</si>
  <si>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</si>
  <si>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</si>
  <si>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</si>
  <si>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</si>
  <si>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</si>
  <si>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</si>
  <si>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</si>
  <si>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</si>
  <si>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</si>
  <si>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</si>
  <si>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</si>
  <si>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</si>
  <si>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</si>
  <si>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</si>
  <si>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</si>
  <si>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</si>
  <si>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</si>
  <si>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</si>
  <si>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</si>
  <si>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</si>
  <si>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</si>
  <si>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</si>
  <si>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</si>
  <si>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</si>
  <si>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</si>
  <si>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</si>
  <si>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</si>
  <si>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</si>
  <si>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</si>
  <si>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</si>
  <si>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</si>
  <si>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</si>
  <si>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</si>
  <si>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</si>
  <si>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</si>
  <si>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</si>
  <si>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</si>
  <si>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</si>
  <si>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</si>
  <si>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</si>
  <si>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</si>
  <si>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</si>
  <si>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</si>
  <si>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</si>
  <si>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</si>
  <si>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</si>
  <si>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</si>
  <si>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</si>
  <si>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</si>
  <si>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</si>
  <si>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</si>
  <si>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</si>
  <si>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</si>
  <si>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</si>
  <si>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</si>
  <si>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</si>
  <si>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</si>
  <si>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</si>
  <si>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</si>
  <si>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</si>
  <si>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</si>
  <si>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</si>
  <si>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</si>
  <si>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</si>
  <si>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</si>
  <si>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</si>
  <si>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</si>
  <si>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</si>
  <si>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</si>
  <si>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</si>
  <si>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</si>
  <si>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</si>
  <si>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</si>
  <si>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</si>
  <si>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</si>
  <si>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</si>
  <si>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</si>
  <si>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</si>
  <si>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</si>
  <si>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</si>
  <si>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</si>
  <si>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</si>
  <si>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</si>
  <si>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</si>
  <si>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</si>
  <si>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</si>
  <si>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</si>
  <si>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</si>
  <si>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</si>
  <si>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</si>
  <si>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</si>
  <si>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</si>
  <si>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</si>
  <si>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</si>
  <si>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</si>
  <si>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</si>
  <si>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</si>
  <si>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</si>
  <si>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</si>
  <si>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</si>
  <si>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</si>
  <si>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</si>
  <si>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</si>
  <si>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</si>
  <si>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</si>
  <si>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</si>
  <si>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</si>
  <si>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</si>
  <si>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</si>
  <si>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</si>
  <si>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</si>
  <si>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</si>
  <si>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</si>
  <si>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</si>
  <si>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</si>
  <si>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</si>
  <si>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</si>
  <si>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</si>
  <si>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</si>
  <si>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</si>
  <si>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</si>
  <si>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</si>
  <si>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</si>
  <si>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</si>
  <si>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</si>
  <si>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</si>
  <si>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</si>
  <si>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</si>
  <si>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</si>
  <si>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</si>
  <si>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</si>
  <si>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</si>
  <si>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</si>
  <si>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</si>
  <si>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</si>
  <si>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</si>
  <si>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</si>
  <si>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</si>
  <si>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</si>
  <si>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</si>
  <si>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</si>
  <si>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</si>
  <si>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</si>
  <si>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</si>
  <si>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</si>
  <si>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</si>
  <si>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</si>
  <si>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</si>
  <si>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</si>
  <si>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</si>
  <si>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</si>
  <si>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</si>
  <si>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</si>
  <si>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</si>
  <si>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</si>
  <si>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</si>
  <si>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</si>
  <si>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</si>
  <si>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</si>
  <si>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</si>
  <si>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</si>
  <si>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</si>
  <si>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</si>
  <si>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</si>
  <si>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</si>
  <si>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</si>
  <si>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</si>
  <si>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</si>
  <si>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</si>
  <si>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</si>
  <si>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</si>
  <si>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</si>
  <si>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</si>
  <si>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</si>
  <si>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</si>
  <si>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</si>
  <si>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</si>
  <si>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</si>
  <si>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</si>
  <si>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</si>
  <si>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</si>
  <si>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</si>
  <si>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</si>
  <si>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</si>
  <si>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</si>
  <si>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</si>
  <si>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</si>
  <si>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</si>
  <si>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</si>
  <si>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</si>
  <si>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</si>
  <si>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</si>
  <si>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</si>
  <si>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</si>
  <si>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</si>
  <si>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</si>
  <si>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</si>
  <si>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</si>
  <si>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</si>
  <si>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</si>
  <si>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</si>
  <si>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</si>
  <si>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</si>
  <si>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</si>
  <si>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</si>
  <si>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</si>
  <si>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</si>
  <si>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</si>
  <si>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</si>
  <si>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</si>
  <si>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</si>
  <si>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</si>
  <si>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</si>
  <si>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</si>
  <si>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</si>
  <si>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</si>
  <si>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</si>
  <si>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</si>
  <si>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</si>
  <si>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</si>
  <si>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</si>
  <si>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</si>
  <si>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</si>
  <si>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</si>
  <si>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</si>
  <si>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</si>
  <si>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</si>
  <si>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</si>
  <si>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</si>
  <si>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</si>
  <si>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</si>
  <si>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</si>
  <si>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</si>
  <si>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</si>
  <si>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</si>
  <si>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</si>
  <si>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</si>
  <si>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</si>
  <si>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</si>
  <si>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</si>
  <si>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</si>
  <si>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</si>
  <si>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</si>
  <si>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</si>
  <si>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</si>
  <si>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</si>
  <si>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</si>
  <si>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</si>
  <si>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</si>
  <si>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</si>
  <si>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</si>
  <si>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</si>
  <si>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</si>
  <si>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</si>
  <si>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</si>
  <si>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</si>
  <si>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</si>
  <si>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</si>
  <si>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</si>
  <si>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</si>
  <si>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</si>
  <si>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</si>
  <si>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</si>
  <si>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</si>
  <si>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</si>
  <si>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</si>
  <si>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</si>
  <si>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</si>
  <si>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</si>
  <si>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</si>
  <si>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</si>
  <si>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Template IT- Peer Review Workbook (PRWB).xlsm</t>
  </si>
  <si>
    <t>Sw_Int_ATM_pclCheckAdcCalib_01.txt</t>
  </si>
  <si>
    <t>Sw_Int_ATM_pclCheckAdc_01.txt</t>
  </si>
  <si>
    <t>Sw_Int_ATM_pclCheckPowerSupplyOV_01.txt</t>
  </si>
  <si>
    <t>Sw_Int_ATM_pclCheckPowerSupplyUV_01.txt</t>
  </si>
  <si>
    <t>Sw_Int_ATM_pclEcuOverTemperature_01.txt</t>
  </si>
  <si>
    <t>Sw_Int_ATM_pclEvtAdcCalibration_01.txt</t>
  </si>
  <si>
    <t>Sw_Int_ATM_pclEvtAdcOutOfOrder_01.txt</t>
  </si>
  <si>
    <t>Sw_Int_ATM_pclEvtEcuoverTemperature_01.txt</t>
  </si>
  <si>
    <t>Sw_Int_ATM_pclEvtExtWdgOutOfOrder_01.txt</t>
  </si>
  <si>
    <t>Sw_Int_ATM_pclRunEepromMemoryCorruption_01.txt</t>
  </si>
  <si>
    <t>Sw_Int_ATM_pclRunEepromMemoryNotProgrammed_01.txt</t>
  </si>
  <si>
    <t>Sw_Int_ATM_pclRunExtWDTest_01.txt</t>
  </si>
  <si>
    <t>Sw_Int_ATM_pclRunPFlashMemoryCorruption_01.txt</t>
  </si>
  <si>
    <t>Sw_Int_ATM_pclRunRamMemoryCorruption_01.txt</t>
  </si>
  <si>
    <t>Sw_Int_ATM_pclRunResetCause_01.txt</t>
  </si>
  <si>
    <t>Sw_Int_ATM_pseAutotestServices_01.txt</t>
  </si>
  <si>
    <t>Sw_Int_ATM_pseAutotestServices_02.txt</t>
  </si>
  <si>
    <t>eCS_MCC</t>
  </si>
  <si>
    <t>Minor</t>
  </si>
  <si>
    <t>See Overview Tab</t>
  </si>
  <si>
    <t>No findigs</t>
  </si>
  <si>
    <t>Victor Popina</t>
  </si>
  <si>
    <t>VCH</t>
  </si>
  <si>
    <t>CGA</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</si>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</sst>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5" fillId="6" borderId="14" applyNumberFormat="0" applyAlignment="0" applyProtection="0"/>
    <xf numFmtId="0" fontId="56" fillId="0" borderId="0" applyNumberFormat="0" applyFill="0" applyBorder="0" applyAlignment="0" applyProtection="0"/>
    <xf numFmtId="0" fontId="24" fillId="0" borderId="0"/>
    <xf numFmtId="0" fontId="50" fillId="0" borderId="0"/>
    <xf numFmtId="0" fontId="54" fillId="0" borderId="0"/>
    <xf numFmtId="0" fontId="24" fillId="0" borderId="0"/>
    <xf numFmtId="0" fontId="30" fillId="0" borderId="0"/>
    <xf numFmtId="0" fontId="57" fillId="6" borderId="15" applyNumberFormat="0" applyAlignment="0" applyProtection="0"/>
    <xf numFmtId="0" fontId="23" fillId="0" borderId="0"/>
    <xf numFmtId="0" fontId="22" fillId="0" borderId="0"/>
    <xf numFmtId="0" fontId="21" fillId="0" borderId="0"/>
    <xf numFmtId="0" fontId="84" fillId="25" borderId="14" applyNumberFormat="0" applyAlignment="0" applyProtection="0"/>
    <xf numFmtId="0" fontId="85"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85" fillId="33"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105" fillId="0" borderId="0" applyNumberFormat="0" applyFill="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xf numFmtId="0" fontId="1" fillId="27" borderId="0" applyNumberFormat="0" applyBorder="0" applyAlignment="0" applyProtection="0"/>
  </cellStyleXfs>
  <cellXfs count="329">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Alignment="1">
      <alignment wrapText="1"/>
    </xf>
    <xf numFmtId="0" fontId="58" fillId="7" borderId="0" xfId="0" applyFont="1" applyFill="1" applyAlignment="1">
      <alignment horizontal="center" vertical="center" wrapText="1"/>
    </xf>
    <xf numFmtId="0" fontId="58" fillId="0" borderId="0" xfId="0" applyFont="1" applyAlignment="1">
      <alignment horizontal="center" vertical="center" wrapText="1"/>
    </xf>
    <xf numFmtId="0" fontId="58" fillId="0" borderId="0" xfId="0" applyFont="1" applyAlignment="1">
      <alignment vertical="center"/>
    </xf>
    <xf numFmtId="0" fontId="58" fillId="0" borderId="0" xfId="0" applyFont="1" applyAlignment="1">
      <alignment vertical="center" wrapText="1"/>
    </xf>
    <xf numFmtId="0" fontId="45"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Border="1" applyAlignment="1">
      <alignment horizontal="center" vertical="center" wrapText="1"/>
    </xf>
    <xf numFmtId="0" fontId="0" fillId="2" borderId="5" xfId="0" applyFill="1" applyBorder="1" applyAlignment="1">
      <alignment wrapText="1"/>
    </xf>
    <xf numFmtId="0" fontId="24" fillId="2" borderId="0" xfId="0" applyFont="1" applyFill="1"/>
    <xf numFmtId="0" fontId="25" fillId="9" borderId="1" xfId="0" applyFont="1" applyFill="1" applyBorder="1" applyAlignment="1">
      <alignment horizontal="center" vertical="center" wrapText="1"/>
    </xf>
    <xf numFmtId="0" fontId="24" fillId="2" borderId="10" xfId="0" applyFont="1" applyFill="1" applyBorder="1"/>
    <xf numFmtId="0" fontId="58"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4" fillId="8" borderId="0" xfId="0" applyFont="1" applyFill="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8" fillId="8" borderId="0" xfId="0" applyFont="1" applyFill="1" applyAlignment="1">
      <alignment horizontal="center" vertical="center" wrapText="1"/>
    </xf>
    <xf numFmtId="0" fontId="58" fillId="8" borderId="0" xfId="0" applyFont="1" applyFill="1" applyAlignment="1">
      <alignment vertical="center"/>
    </xf>
    <xf numFmtId="0" fontId="0" fillId="8" borderId="0" xfId="0" applyFill="1" applyAlignment="1">
      <alignment vertical="center"/>
    </xf>
    <xf numFmtId="0" fontId="0" fillId="8" borderId="0" xfId="0" applyFill="1"/>
    <xf numFmtId="0" fontId="27" fillId="14" borderId="1" xfId="0" applyFont="1" applyFill="1" applyBorder="1" applyAlignment="1">
      <alignment horizontal="center" vertical="center" wrapText="1"/>
    </xf>
    <xf numFmtId="0" fontId="58" fillId="0" borderId="0" xfId="0" applyFont="1" applyAlignment="1">
      <alignment horizontal="center" vertical="center"/>
    </xf>
    <xf numFmtId="14" fontId="0" fillId="13" borderId="1" xfId="0" applyNumberFormat="1" applyFill="1" applyBorder="1" applyAlignment="1">
      <alignment horizontal="center" vertical="center" wrapText="1"/>
    </xf>
    <xf numFmtId="0" fontId="24" fillId="13" borderId="1" xfId="0" applyFont="1" applyFill="1" applyBorder="1" applyAlignment="1">
      <alignment horizontal="center" vertic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Alignment="1">
      <alignment horizontal="left" vertical="center"/>
    </xf>
    <xf numFmtId="0" fontId="24" fillId="12" borderId="0" xfId="0" applyFont="1" applyFill="1" applyAlignment="1">
      <alignment horizontal="left" vertical="center"/>
    </xf>
    <xf numFmtId="0" fontId="24" fillId="15" borderId="0" xfId="0" applyFont="1" applyFill="1" applyAlignment="1">
      <alignment horizontal="left" vertical="center"/>
    </xf>
    <xf numFmtId="0" fontId="24" fillId="13" borderId="0" xfId="0" applyFont="1" applyFill="1" applyAlignment="1">
      <alignment horizontal="left" vertical="center"/>
    </xf>
    <xf numFmtId="0" fontId="24" fillId="2" borderId="1" xfId="0" applyFont="1" applyFill="1" applyBorder="1"/>
    <xf numFmtId="0" fontId="24" fillId="0" borderId="1" xfId="0" applyFont="1" applyBorder="1" applyAlignment="1">
      <alignment horizontal="center" vertical="center"/>
    </xf>
    <xf numFmtId="14" fontId="24" fillId="0" borderId="1" xfId="0" applyNumberFormat="1" applyFont="1" applyBorder="1" applyAlignment="1">
      <alignment horizontal="center" vertical="center" wrapText="1"/>
    </xf>
    <xf numFmtId="0" fontId="0" fillId="2" borderId="0" xfId="0" applyFill="1" applyAlignment="1">
      <alignment horizontal="center" wrapText="1"/>
    </xf>
    <xf numFmtId="0" fontId="24" fillId="3" borderId="12" xfId="0" applyFont="1" applyFill="1" applyBorder="1" applyAlignment="1">
      <alignment horizontal="center" vertical="center" wrapText="1"/>
    </xf>
    <xf numFmtId="0" fontId="55" fillId="6" borderId="1" xfId="1" applyBorder="1" applyAlignment="1">
      <alignment horizontal="center"/>
    </xf>
    <xf numFmtId="0" fontId="59" fillId="6" borderId="15" xfId="8" applyFont="1" applyAlignment="1">
      <alignment horizontal="center"/>
    </xf>
    <xf numFmtId="0" fontId="59" fillId="6" borderId="17" xfId="8" applyFont="1" applyBorder="1" applyAlignment="1">
      <alignment horizontal="center"/>
    </xf>
    <xf numFmtId="0" fontId="55" fillId="6" borderId="1" xfId="1" applyBorder="1" applyAlignment="1">
      <alignment horizontal="center" vertical="center"/>
    </xf>
    <xf numFmtId="0" fontId="2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0"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2"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7" fillId="0" borderId="2" xfId="3" applyFont="1" applyBorder="1" applyAlignment="1" applyProtection="1">
      <alignment horizontal="left" vertical="center" wrapText="1" shrinkToFit="1"/>
      <protection locked="0"/>
    </xf>
    <xf numFmtId="0" fontId="68" fillId="0" borderId="0" xfId="3" applyFont="1" applyAlignment="1" applyProtection="1">
      <alignment horizontal="left" vertical="center" shrinkToFit="1"/>
      <protection locked="0"/>
    </xf>
    <xf numFmtId="0" fontId="67" fillId="0" borderId="0" xfId="3" applyFont="1" applyAlignment="1" applyProtection="1">
      <alignment horizontal="left" vertical="center" wrapText="1" shrinkToFit="1"/>
      <protection locked="0"/>
    </xf>
    <xf numFmtId="0" fontId="68" fillId="0" borderId="3" xfId="3" applyFont="1" applyBorder="1" applyAlignment="1" applyProtection="1">
      <alignment horizontal="left" vertical="center" shrinkToFit="1"/>
      <protection locked="0"/>
    </xf>
    <xf numFmtId="0" fontId="71" fillId="0" borderId="0" xfId="3" applyFont="1" applyAlignment="1" applyProtection="1">
      <alignment vertical="center"/>
      <protection locked="0"/>
    </xf>
    <xf numFmtId="0" fontId="72" fillId="0" borderId="0" xfId="3" applyFont="1" applyAlignment="1" applyProtection="1">
      <alignment horizontal="center" vertical="center"/>
      <protection locked="0"/>
    </xf>
    <xf numFmtId="0" fontId="23" fillId="8" borderId="0" xfId="9" applyFill="1"/>
    <xf numFmtId="0" fontId="73" fillId="0" borderId="0" xfId="3" applyFont="1" applyAlignment="1">
      <alignment horizontal="right" vertical="center"/>
    </xf>
    <xf numFmtId="0" fontId="74"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5" fillId="0" borderId="0" xfId="3" applyFont="1" applyAlignment="1" applyProtection="1">
      <alignment horizontal="left" vertical="center"/>
      <protection locked="0"/>
    </xf>
    <xf numFmtId="0" fontId="32"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5" fillId="0" borderId="0" xfId="3" applyFont="1" applyAlignment="1" applyProtection="1">
      <alignment vertical="center"/>
      <protection locked="0"/>
    </xf>
    <xf numFmtId="49" fontId="76"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7" fillId="0" borderId="0" xfId="3" applyFont="1" applyAlignment="1" applyProtection="1">
      <alignment horizontal="left" vertical="center"/>
      <protection locked="0"/>
    </xf>
    <xf numFmtId="0" fontId="24" fillId="0" borderId="0" xfId="3" applyAlignment="1">
      <alignment horizontal="left" vertical="center" wrapText="1"/>
    </xf>
    <xf numFmtId="0" fontId="74"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4"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Font="1" applyFill="1" applyBorder="1" applyAlignment="1">
      <alignment horizontal="center" vertical="center"/>
    </xf>
    <xf numFmtId="0" fontId="24" fillId="21" borderId="0" xfId="0" applyFont="1" applyFill="1" applyAlignment="1">
      <alignment horizontal="left" vertical="top" wrapText="1"/>
    </xf>
    <xf numFmtId="0" fontId="24" fillId="21" borderId="0" xfId="0" applyFont="1" applyFill="1" applyAlignment="1">
      <alignment wrapText="1"/>
    </xf>
    <xf numFmtId="0" fontId="0" fillId="21" borderId="0" xfId="0" applyFill="1" applyAlignment="1">
      <alignment wrapText="1"/>
    </xf>
    <xf numFmtId="0" fontId="24" fillId="9" borderId="0" xfId="0" applyFont="1" applyFill="1" applyAlignment="1">
      <alignment wrapText="1"/>
    </xf>
    <xf numFmtId="0" fontId="0" fillId="9" borderId="0" xfId="0" applyFill="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6"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7" fillId="8" borderId="0" xfId="0" applyFont="1" applyFill="1" applyAlignment="1">
      <alignment horizontal="center" vertical="center"/>
    </xf>
    <xf numFmtId="0" fontId="47" fillId="8" borderId="0" xfId="0" applyFont="1" applyFill="1" applyAlignment="1">
      <alignment vertical="center"/>
    </xf>
    <xf numFmtId="0" fontId="47" fillId="0" borderId="0" xfId="0" applyFont="1" applyAlignment="1">
      <alignment vertical="center"/>
    </xf>
    <xf numFmtId="0" fontId="27" fillId="0" borderId="0" xfId="0" applyFont="1" applyAlignment="1">
      <alignment vertical="center"/>
    </xf>
    <xf numFmtId="0" fontId="55" fillId="6" borderId="14" xfId="1"/>
    <xf numFmtId="0" fontId="88" fillId="29" borderId="20" xfId="14" applyFont="1" applyFill="1" applyBorder="1" applyAlignment="1" applyProtection="1">
      <alignment horizontal="center" vertical="center" wrapText="1"/>
      <protection locked="0"/>
    </xf>
    <xf numFmtId="0" fontId="89" fillId="13" borderId="20" xfId="14" applyFont="1" applyFill="1" applyBorder="1" applyAlignment="1" applyProtection="1">
      <alignment horizontal="center" vertical="center" wrapText="1"/>
    </xf>
    <xf numFmtId="0" fontId="88" fillId="7" borderId="1" xfId="14" applyFont="1" applyFill="1" applyBorder="1" applyAlignment="1">
      <alignment horizontal="left" vertical="center"/>
    </xf>
    <xf numFmtId="0" fontId="84" fillId="25" borderId="14" xfId="12" applyAlignment="1">
      <alignment horizontal="center" vertical="center"/>
    </xf>
    <xf numFmtId="0" fontId="88"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3" fillId="30" borderId="10" xfId="15" applyFont="1" applyFill="1" applyBorder="1" applyAlignment="1">
      <alignment vertical="center"/>
    </xf>
    <xf numFmtId="0" fontId="94" fillId="30" borderId="19" xfId="15" applyFont="1" applyFill="1" applyBorder="1" applyAlignment="1">
      <alignment vertical="center" wrapText="1"/>
    </xf>
    <xf numFmtId="0" fontId="24" fillId="5" borderId="1" xfId="15" applyFill="1" applyBorder="1" applyAlignment="1">
      <alignment vertical="center"/>
    </xf>
    <xf numFmtId="0" fontId="95" fillId="5" borderId="1" xfId="15" applyFont="1" applyFill="1" applyBorder="1" applyAlignment="1">
      <alignment horizontal="center" vertical="center"/>
    </xf>
    <xf numFmtId="0" fontId="24" fillId="5" borderId="1" xfId="15" applyFill="1" applyBorder="1" applyAlignment="1">
      <alignment vertical="center" wrapText="1"/>
    </xf>
    <xf numFmtId="0" fontId="63" fillId="31" borderId="10" xfId="15" applyFont="1" applyFill="1" applyBorder="1" applyAlignment="1">
      <alignment vertical="center"/>
    </xf>
    <xf numFmtId="0" fontId="33" fillId="31" borderId="8" xfId="15" applyFont="1" applyFill="1" applyBorder="1" applyAlignment="1">
      <alignment horizontal="center" vertical="center" wrapText="1"/>
    </xf>
    <xf numFmtId="0" fontId="94" fillId="31" borderId="19" xfId="15" applyFont="1" applyFill="1" applyBorder="1" applyAlignment="1">
      <alignment vertical="center" wrapText="1"/>
    </xf>
    <xf numFmtId="0" fontId="94" fillId="31" borderId="11" xfId="15" applyFont="1" applyFill="1" applyBorder="1" applyAlignment="1">
      <alignment vertical="center" wrapText="1"/>
    </xf>
    <xf numFmtId="0" fontId="33" fillId="30" borderId="19" xfId="15" applyFont="1" applyFill="1" applyBorder="1" applyAlignment="1">
      <alignment vertical="center" wrapText="1"/>
    </xf>
    <xf numFmtId="0" fontId="0" fillId="0" borderId="0" xfId="0" applyAlignment="1" applyProtection="1">
      <alignment vertical="center"/>
      <protection locked="0"/>
    </xf>
    <xf numFmtId="0" fontId="75" fillId="0" borderId="0" xfId="0" applyFont="1" applyAlignment="1" applyProtection="1">
      <alignment horizontal="left" vertical="center"/>
      <protection locked="0"/>
    </xf>
    <xf numFmtId="0" fontId="24" fillId="0" borderId="1" xfId="15" applyBorder="1" applyAlignment="1">
      <alignment vertical="center" wrapText="1"/>
    </xf>
    <xf numFmtId="0" fontId="101" fillId="32" borderId="21" xfId="3" applyFont="1" applyFill="1" applyBorder="1" applyAlignment="1" applyProtection="1">
      <alignment horizontal="center" vertical="center" textRotation="45" wrapText="1"/>
      <protection locked="0"/>
    </xf>
    <xf numFmtId="0" fontId="24" fillId="0" borderId="0" xfId="3"/>
    <xf numFmtId="0" fontId="24" fillId="0" borderId="1" xfId="3" applyBorder="1" applyAlignment="1" applyProtection="1">
      <alignment horizontal="center" vertical="center"/>
      <protection locked="0"/>
    </xf>
    <xf numFmtId="0" fontId="24" fillId="0" borderId="1" xfId="3" applyBorder="1" applyAlignment="1">
      <alignment vertical="center" wrapText="1"/>
    </xf>
    <xf numFmtId="0" fontId="24" fillId="0" borderId="20" xfId="3" applyBorder="1" applyAlignment="1" applyProtection="1">
      <alignment horizontal="center" vertical="center"/>
      <protection locked="0"/>
    </xf>
    <xf numFmtId="0" fontId="24" fillId="0" borderId="1" xfId="3" applyBorder="1" applyAlignment="1" applyProtection="1">
      <alignment wrapText="1"/>
      <protection locked="0"/>
    </xf>
    <xf numFmtId="0" fontId="24" fillId="0" borderId="1" xfId="3" applyBorder="1" applyAlignment="1" applyProtection="1">
      <alignment horizontal="center" vertical="center" wrapText="1"/>
      <protection locked="0"/>
    </xf>
    <xf numFmtId="0" fontId="24" fillId="0" borderId="0" xfId="3" applyAlignment="1" applyProtection="1">
      <alignment horizontal="center" vertical="center"/>
      <protection locked="0"/>
    </xf>
    <xf numFmtId="0" fontId="24" fillId="0" borderId="0" xfId="3" applyAlignment="1" applyProtection="1">
      <alignment wrapText="1"/>
      <protection locked="0"/>
    </xf>
    <xf numFmtId="0" fontId="24" fillId="0" borderId="0" xfId="3" applyAlignment="1" applyProtection="1">
      <alignment horizontal="center" vertical="center" wrapText="1"/>
      <protection locked="0"/>
    </xf>
    <xf numFmtId="0" fontId="100" fillId="0" borderId="0" xfId="3" applyFont="1" applyAlignment="1">
      <alignment textRotation="45"/>
    </xf>
    <xf numFmtId="0" fontId="24" fillId="0" borderId="28" xfId="3" applyBorder="1" applyAlignment="1">
      <alignment horizontal="center"/>
    </xf>
    <xf numFmtId="0" fontId="24" fillId="0" borderId="29" xfId="3" applyBorder="1"/>
    <xf numFmtId="0" fontId="24" fillId="0" borderId="29" xfId="3" applyBorder="1" applyAlignment="1">
      <alignment horizontal="center"/>
    </xf>
    <xf numFmtId="0" fontId="24" fillId="0" borderId="28" xfId="3" applyBorder="1"/>
    <xf numFmtId="0" fontId="24" fillId="0" borderId="0" xfId="3" applyAlignment="1">
      <alignment horizontal="center"/>
    </xf>
    <xf numFmtId="0" fontId="24" fillId="0" borderId="30" xfId="3" applyBorder="1"/>
    <xf numFmtId="0" fontId="85" fillId="33" borderId="26" xfId="28" applyBorder="1" applyAlignment="1">
      <alignment horizontal="center" vertical="center" textRotation="45" wrapText="1"/>
    </xf>
    <xf numFmtId="0" fontId="85" fillId="33" borderId="27" xfId="28" applyBorder="1" applyAlignment="1">
      <alignment horizontal="center" vertical="center" textRotation="45" wrapText="1"/>
    </xf>
    <xf numFmtId="0" fontId="85" fillId="33" borderId="21" xfId="28" applyBorder="1" applyAlignment="1" applyProtection="1">
      <alignment horizontal="center" vertical="center" textRotation="45" wrapText="1"/>
      <protection locked="0"/>
    </xf>
    <xf numFmtId="0" fontId="85" fillId="33" borderId="22" xfId="28" applyBorder="1" applyAlignment="1" applyProtection="1">
      <alignment horizontal="center" vertical="center" textRotation="45" wrapText="1"/>
      <protection locked="0"/>
    </xf>
    <xf numFmtId="0" fontId="85" fillId="33" borderId="1" xfId="28" applyBorder="1" applyAlignment="1" applyProtection="1">
      <alignment horizontal="center" vertical="center" textRotation="45" wrapText="1"/>
      <protection locked="0"/>
    </xf>
    <xf numFmtId="0" fontId="85" fillId="33" borderId="23" xfId="28" applyBorder="1" applyAlignment="1" applyProtection="1">
      <alignment horizontal="center" vertical="center" textRotation="45" wrapText="1"/>
      <protection locked="0"/>
    </xf>
    <xf numFmtId="0" fontId="85" fillId="33" borderId="24" xfId="28" applyBorder="1" applyAlignment="1" applyProtection="1">
      <alignment horizontal="center" vertical="center" textRotation="45" wrapText="1"/>
      <protection locked="0"/>
    </xf>
    <xf numFmtId="0" fontId="85" fillId="33" borderId="25" xfId="28" applyBorder="1" applyAlignment="1" applyProtection="1">
      <alignment horizontal="center" vertical="center" textRotation="45" wrapText="1"/>
      <protection locked="0"/>
    </xf>
    <xf numFmtId="0" fontId="85" fillId="33" borderId="1" xfId="28" applyBorder="1" applyAlignment="1">
      <alignment horizontal="center" vertical="center"/>
    </xf>
    <xf numFmtId="0" fontId="102" fillId="0" borderId="2" xfId="0" applyFont="1" applyBorder="1" applyAlignment="1">
      <alignment horizontal="right" vertical="center"/>
    </xf>
    <xf numFmtId="0" fontId="104" fillId="0" borderId="0" xfId="0" applyFont="1" applyAlignment="1">
      <alignment wrapText="1"/>
    </xf>
    <xf numFmtId="0" fontId="85" fillId="7" borderId="1" xfId="14" applyFont="1" applyFill="1" applyBorder="1" applyAlignment="1">
      <alignment horizontal="center" vertical="center"/>
    </xf>
    <xf numFmtId="0" fontId="105" fillId="8" borderId="0" xfId="31" applyFill="1" applyAlignment="1">
      <alignment horizontal="center" wrapText="1"/>
    </xf>
    <xf numFmtId="0" fontId="27" fillId="3" borderId="12"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55" fillId="6" borderId="16" xfId="1" applyBorder="1" applyAlignment="1">
      <alignment horizontal="center" vertical="center"/>
    </xf>
    <xf numFmtId="0" fontId="25" fillId="2" borderId="1" xfId="0" applyFont="1" applyFill="1" applyBorder="1" applyAlignment="1">
      <alignment horizontal="center"/>
    </xf>
    <xf numFmtId="0" fontId="63" fillId="35" borderId="12" xfId="15" applyFont="1" applyFill="1" applyBorder="1" applyAlignment="1">
      <alignment horizontal="center" vertical="center" textRotation="45" wrapText="1"/>
    </xf>
    <xf numFmtId="0" fontId="92" fillId="35" borderId="12" xfId="15" applyFont="1" applyFill="1" applyBorder="1" applyAlignment="1">
      <alignment horizontal="center" vertical="center" wrapText="1"/>
    </xf>
    <xf numFmtId="0" fontId="78" fillId="35" borderId="1" xfId="15" applyFont="1" applyFill="1" applyBorder="1" applyAlignment="1">
      <alignment horizontal="center" vertical="center" textRotation="45" wrapText="1"/>
    </xf>
    <xf numFmtId="0" fontId="78" fillId="35" borderId="1" xfId="15" applyFont="1" applyFill="1" applyBorder="1" applyAlignment="1">
      <alignment horizontal="center" vertical="center" wrapText="1"/>
    </xf>
    <xf numFmtId="0" fontId="63" fillId="35" borderId="13" xfId="15" applyFont="1" applyFill="1" applyBorder="1" applyAlignment="1">
      <alignment horizontal="center" vertical="center"/>
    </xf>
    <xf numFmtId="0" fontId="93" fillId="35"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3" fillId="35" borderId="7" xfId="15" applyFont="1" applyFill="1" applyBorder="1" applyAlignment="1">
      <alignment horizontal="center" vertical="center"/>
    </xf>
    <xf numFmtId="0" fontId="96" fillId="35" borderId="8" xfId="15" applyFont="1" applyFill="1" applyBorder="1" applyAlignment="1">
      <alignment horizontal="center" vertical="center" wrapText="1"/>
    </xf>
    <xf numFmtId="0" fontId="93" fillId="35" borderId="8" xfId="15" applyFont="1" applyFill="1" applyBorder="1" applyAlignment="1">
      <alignment horizontal="center" vertical="center" wrapText="1"/>
    </xf>
    <xf numFmtId="0" fontId="93"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3" fillId="15" borderId="0" xfId="0" applyFont="1" applyFill="1" applyAlignment="1">
      <alignment horizontal="center" wrapText="1"/>
    </xf>
    <xf numFmtId="0" fontId="45" fillId="15" borderId="0" xfId="0" applyFont="1" applyFill="1" applyAlignment="1">
      <alignment horizontal="center" wrapText="1"/>
    </xf>
    <xf numFmtId="0" fontId="33" fillId="7" borderId="0" xfId="0" applyFont="1" applyFill="1" applyAlignment="1">
      <alignment horizontal="center" wrapText="1"/>
    </xf>
    <xf numFmtId="0" fontId="107" fillId="7" borderId="0" xfId="0" applyFont="1" applyFill="1" applyAlignment="1">
      <alignment horizontal="center" vertical="center" wrapText="1"/>
    </xf>
    <xf numFmtId="0" fontId="88" fillId="29" borderId="12" xfId="35" applyFont="1" applyFill="1" applyBorder="1" applyAlignment="1">
      <alignment horizontal="center" vertical="center" wrapText="1"/>
    </xf>
    <xf numFmtId="0" fontId="33" fillId="7" borderId="0" xfId="3" applyFont="1" applyFill="1" applyAlignment="1">
      <alignment horizontal="center" wrapText="1"/>
    </xf>
    <xf numFmtId="0" fontId="107" fillId="7" borderId="0" xfId="3" applyFont="1" applyFill="1" applyAlignment="1">
      <alignment horizontal="center" vertical="center" wrapText="1"/>
    </xf>
    <xf numFmtId="0" fontId="0" fillId="0" borderId="12" xfId="0" applyBorder="1" applyAlignment="1">
      <alignment vertical="center" wrapText="1"/>
    </xf>
    <xf numFmtId="0" fontId="88" fillId="29" borderId="12" xfId="36" applyFont="1" applyFill="1" applyBorder="1" applyAlignment="1">
      <alignment horizontal="center" vertical="center" wrapText="1"/>
    </xf>
    <xf numFmtId="0" fontId="109" fillId="7" borderId="0" xfId="0" applyFont="1" applyFill="1" applyAlignment="1">
      <alignment horizontal="center" vertical="center" wrapText="1"/>
    </xf>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61" fillId="0" borderId="4" xfId="0" applyFont="1" applyBorder="1" applyAlignment="1">
      <alignment horizontal="left" vertical="center" shrinkToFit="1"/>
    </xf>
    <xf numFmtId="0" fontId="61" fillId="0" borderId="5" xfId="0" applyFont="1" applyBorder="1" applyAlignment="1">
      <alignment horizontal="left" vertical="center" shrinkToFit="1"/>
    </xf>
    <xf numFmtId="0" fontId="61" fillId="0" borderId="6" xfId="0" applyFont="1" applyBorder="1" applyAlignment="1">
      <alignment horizontal="left" vertical="center" shrinkToFit="1"/>
    </xf>
    <xf numFmtId="0" fontId="61" fillId="0" borderId="4" xfId="3" applyFont="1" applyBorder="1" applyAlignment="1">
      <alignment horizontal="left" vertical="center" shrinkToFit="1"/>
    </xf>
    <xf numFmtId="0" fontId="61" fillId="0" borderId="5" xfId="3" applyFont="1" applyBorder="1" applyAlignment="1">
      <alignment horizontal="left" vertical="center" shrinkToFit="1"/>
    </xf>
    <xf numFmtId="0" fontId="61" fillId="0" borderId="6" xfId="3" applyFont="1" applyBorder="1" applyAlignment="1">
      <alignment horizontal="left" vertical="center" shrinkToFit="1"/>
    </xf>
    <xf numFmtId="0" fontId="72" fillId="0" borderId="0" xfId="3" applyFont="1" applyAlignment="1" applyProtection="1">
      <alignment horizontal="center" vertical="center" wrapText="1"/>
      <protection locked="0"/>
    </xf>
    <xf numFmtId="0" fontId="24" fillId="0" borderId="0" xfId="3" applyAlignment="1">
      <alignment vertical="center" wrapText="1"/>
    </xf>
    <xf numFmtId="0" fontId="63" fillId="16" borderId="2" xfId="3" applyFont="1" applyFill="1" applyBorder="1" applyAlignment="1" applyProtection="1">
      <alignment horizontal="center" vertical="center" shrinkToFit="1"/>
      <protection locked="0"/>
    </xf>
    <xf numFmtId="0" fontId="63" fillId="16" borderId="0" xfId="3" applyFont="1" applyFill="1" applyAlignment="1" applyProtection="1">
      <alignment horizontal="center" vertical="center" shrinkToFit="1"/>
      <protection locked="0"/>
    </xf>
    <xf numFmtId="0" fontId="63"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4" fillId="0" borderId="5" xfId="0" applyFont="1" applyBorder="1" applyAlignment="1" applyProtection="1">
      <alignment horizontal="left" vertical="top" wrapText="1" shrinkToFit="1"/>
      <protection locked="0"/>
    </xf>
    <xf numFmtId="0" fontId="64"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6" fillId="0" borderId="5" xfId="3" applyFont="1" applyBorder="1" applyAlignment="1" applyProtection="1">
      <alignment horizontal="left" vertical="top" shrinkToFit="1"/>
      <protection locked="0"/>
    </xf>
    <xf numFmtId="0" fontId="66" fillId="0" borderId="6" xfId="3" applyFont="1" applyBorder="1" applyAlignment="1" applyProtection="1">
      <alignment horizontal="left" vertical="top" shrinkToFit="1"/>
      <protection locked="0"/>
    </xf>
    <xf numFmtId="0" fontId="63" fillId="16" borderId="7" xfId="3" applyFont="1" applyFill="1" applyBorder="1" applyAlignment="1" applyProtection="1">
      <alignment horizontal="center" vertical="center" shrinkToFit="1"/>
      <protection locked="0"/>
    </xf>
    <xf numFmtId="0" fontId="63" fillId="16" borderId="8" xfId="3" applyFont="1" applyFill="1" applyBorder="1" applyAlignment="1" applyProtection="1">
      <alignment horizontal="center" vertical="center" shrinkToFit="1"/>
      <protection locked="0"/>
    </xf>
    <xf numFmtId="0" fontId="63"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3" fillId="16" borderId="8" xfId="3" applyFont="1" applyFill="1" applyBorder="1" applyAlignment="1" applyProtection="1">
      <alignment horizontal="center" vertical="center" wrapText="1"/>
      <protection locked="0"/>
    </xf>
    <xf numFmtId="0" fontId="63"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wrapText="1"/>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3" fillId="16" borderId="2" xfId="3" applyFont="1" applyFill="1" applyBorder="1" applyAlignment="1" applyProtection="1">
      <alignment horizontal="center" vertical="center" wrapText="1" shrinkToFit="1"/>
      <protection locked="0"/>
    </xf>
    <xf numFmtId="0" fontId="63" fillId="16" borderId="0" xfId="3" applyFont="1" applyFill="1" applyAlignment="1" applyProtection="1">
      <alignment horizontal="center" vertical="center" wrapText="1" shrinkToFit="1"/>
      <protection locked="0"/>
    </xf>
    <xf numFmtId="0" fontId="84" fillId="25" borderId="14" xfId="12" applyAlignment="1" applyProtection="1">
      <alignment horizontal="center" vertical="center"/>
      <protection locked="0"/>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49" fontId="26" fillId="0" borderId="1" xfId="3" applyNumberFormat="1" applyFont="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0" fillId="2" borderId="10" xfId="7" applyFill="1" applyBorder="1" applyAlignment="1">
      <alignment horizontal="justify" vertical="center" wrapText="1"/>
    </xf>
    <xf numFmtId="0" fontId="30" fillId="2" borderId="19" xfId="7" applyFill="1" applyBorder="1" applyAlignment="1">
      <alignment horizontal="justify" vertical="center" wrapText="1"/>
    </xf>
    <xf numFmtId="0" fontId="30" fillId="2" borderId="11" xfId="7" applyFill="1" applyBorder="1" applyAlignment="1">
      <alignment horizontal="justify"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42" fillId="18" borderId="1" xfId="3" applyFont="1" applyFill="1" applyBorder="1" applyAlignment="1" applyProtection="1">
      <alignment horizontal="center" vertical="center" wrapText="1"/>
      <protection locked="0"/>
    </xf>
    <xf numFmtId="0" fontId="24" fillId="18" borderId="1" xfId="3" applyFill="1" applyBorder="1" applyAlignment="1" applyProtection="1">
      <alignment horizontal="center" vertical="center" wrapText="1"/>
      <protection locked="0"/>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24" fillId="34" borderId="1" xfId="3" applyNumberFormat="1" applyFill="1" applyBorder="1" applyAlignment="1" applyProtection="1">
      <alignment horizontal="center" vertical="center" wrapText="1"/>
      <protection locked="0"/>
    </xf>
    <xf numFmtId="49" fontId="58" fillId="24" borderId="1" xfId="3" applyNumberFormat="1" applyFont="1" applyFill="1" applyBorder="1" applyAlignment="1" applyProtection="1">
      <alignment horizontal="center" vertical="center" wrapText="1"/>
      <protection locked="0"/>
    </xf>
    <xf numFmtId="49" fontId="24" fillId="23" borderId="1" xfId="3" applyNumberFormat="1" applyFill="1" applyBorder="1" applyAlignment="1" applyProtection="1">
      <alignment horizontal="center" vertical="center" wrapText="1"/>
      <protection locked="0"/>
    </xf>
    <xf numFmtId="0" fontId="24" fillId="0" borderId="1" xfId="3" applyBorder="1" applyAlignment="1">
      <alignment horizontal="left" vertical="center" wrapText="1"/>
    </xf>
    <xf numFmtId="49" fontId="24" fillId="0" borderId="1" xfId="3" applyNumberFormat="1" applyBorder="1" applyAlignment="1" applyProtection="1">
      <alignment vertical="center" wrapText="1"/>
      <protection locked="0"/>
    </xf>
    <xf numFmtId="0" fontId="78" fillId="20" borderId="1" xfId="3" applyFont="1" applyFill="1" applyBorder="1" applyAlignment="1">
      <alignment horizontal="center" vertical="center" wrapText="1"/>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6" fillId="0" borderId="10" xfId="2" applyBorder="1" applyAlignment="1">
      <alignment horizontal="left" vertical="center" wrapText="1"/>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1" fillId="3" borderId="7" xfId="7" applyFont="1" applyFill="1" applyBorder="1" applyAlignment="1">
      <alignment horizontal="center" vertical="distributed"/>
    </xf>
    <xf numFmtId="0" fontId="31" fillId="3" borderId="8" xfId="7" applyFont="1" applyFill="1" applyBorder="1" applyAlignment="1">
      <alignment horizontal="center" vertical="distributed"/>
    </xf>
    <xf numFmtId="0" fontId="31"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7" fillId="28" borderId="4" xfId="13" applyFont="1" applyFill="1" applyBorder="1" applyAlignment="1" applyProtection="1">
      <alignment horizontal="center" vertical="center" wrapText="1"/>
      <protection locked="0"/>
    </xf>
    <xf numFmtId="0" fontId="87" fillId="28" borderId="5" xfId="13" applyFont="1" applyFill="1" applyBorder="1" applyAlignment="1" applyProtection="1">
      <alignment horizontal="center" vertical="center" wrapText="1"/>
      <protection locked="0"/>
    </xf>
    <xf numFmtId="0" fontId="87" fillId="28" borderId="6" xfId="13" applyFont="1" applyFill="1" applyBorder="1" applyAlignment="1" applyProtection="1">
      <alignment horizontal="center" vertical="center" wrapText="1"/>
      <protection locked="0"/>
    </xf>
    <xf numFmtId="0" fontId="87" fillId="16" borderId="4" xfId="13" applyFont="1" applyFill="1" applyBorder="1" applyAlignment="1" applyProtection="1">
      <alignment horizontal="center" vertical="center" wrapText="1"/>
    </xf>
    <xf numFmtId="0" fontId="87" fillId="16" borderId="5" xfId="13" applyFont="1" applyFill="1" applyBorder="1" applyAlignment="1" applyProtection="1">
      <alignment horizontal="center" vertical="center" wrapText="1"/>
    </xf>
    <xf numFmtId="0" fontId="84" fillId="25" borderId="14" xfId="12" applyAlignment="1">
      <alignment horizontal="left" vertical="center"/>
    </xf>
    <xf numFmtId="0" fontId="33" fillId="8" borderId="5" xfId="0" applyFont="1" applyFill="1" applyBorder="1" applyAlignment="1">
      <alignment horizontal="center" vertical="center"/>
    </xf>
    <xf numFmtId="0" fontId="33" fillId="8" borderId="6" xfId="0" applyFont="1" applyFill="1" applyBorder="1" applyAlignment="1">
      <alignment horizontal="center" vertical="center"/>
    </xf>
    <xf numFmtId="0" fontId="92" fillId="28" borderId="10" xfId="2" applyFont="1" applyFill="1" applyBorder="1" applyAlignment="1" applyProtection="1">
      <alignment horizontal="center" vertical="center" wrapText="1"/>
      <protection locked="0"/>
    </xf>
    <xf numFmtId="0" fontId="92" fillId="28" borderId="11" xfId="2" applyFont="1" applyFill="1" applyBorder="1" applyAlignment="1" applyProtection="1">
      <alignment horizontal="center" vertical="center" wrapText="1"/>
      <protection locked="0"/>
    </xf>
    <xf numFmtId="0" fontId="0" fillId="6" borderId="14" xfId="1" applyFont="1"/>
    <xf numFmtId="0" fontId="21" fillId="0" borderId="0" xfId="11" applyFill="1"/>
    <xf numFmtId="0" fontId="0" fillId="0" borderId="1" xfId="0" applyBorder="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44" headerRowBorderDxfId="1543" tableBorderDxfId="1542"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8" sqref="E8"/>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966</v>
      </c>
    </row>
    <row r="4" spans="1:37" s="82" customFormat="1" ht="11.1" customHeight="1">
      <c r="A4" s="221" t="s">
        <v>0</v>
      </c>
      <c r="B4" s="222"/>
      <c r="C4" s="222"/>
      <c r="D4" s="222"/>
      <c r="E4" s="222"/>
      <c r="F4" s="222"/>
      <c r="G4" s="222"/>
      <c r="H4" s="222"/>
      <c r="I4" s="222"/>
      <c r="J4" s="222"/>
      <c r="K4" s="222"/>
      <c r="L4" s="222"/>
      <c r="M4" s="222"/>
      <c r="N4" s="222"/>
      <c r="O4" s="222"/>
      <c r="P4" s="222"/>
      <c r="Q4" s="223"/>
      <c r="R4" s="224" t="s">
        <v>1</v>
      </c>
      <c r="S4" s="225"/>
      <c r="T4" s="225"/>
      <c r="U4" s="225"/>
      <c r="V4" s="226"/>
      <c r="W4" s="224" t="s">
        <v>2</v>
      </c>
      <c r="X4" s="225"/>
      <c r="Y4" s="225"/>
      <c r="Z4" s="225"/>
      <c r="AA4" s="226"/>
      <c r="AB4" s="221" t="s">
        <v>3</v>
      </c>
      <c r="AC4" s="222"/>
      <c r="AD4" s="222"/>
      <c r="AE4" s="222"/>
      <c r="AF4" s="222"/>
      <c r="AG4" s="223"/>
      <c r="AH4" s="88"/>
      <c r="AI4" s="88"/>
      <c r="AJ4" s="88"/>
    </row>
    <row r="5" spans="1:37" s="89" customFormat="1" ht="12.75" customHeight="1">
      <c r="A5" s="227" t="str">
        <f ca="1" xml:space="preserve"> IFERROR(IF([1]!alvDocProperty("MXAuthority")="","272502 VW VWA VN 41S1_NAR EL SB",[1]!alvDocProperty("MXAuthority")),"272502 VW VWA VN 41S1_NAR EL SB")</f>
        <v>272502 VW VWA VN 41S1_NAR EL SB</v>
      </c>
      <c r="B5" s="228"/>
      <c r="C5" s="228"/>
      <c r="D5" s="228"/>
      <c r="E5" s="228"/>
      <c r="F5" s="228"/>
      <c r="G5" s="228"/>
      <c r="H5" s="228"/>
      <c r="I5" s="228"/>
      <c r="J5" s="228"/>
      <c r="K5" s="228"/>
      <c r="L5" s="228"/>
      <c r="M5" s="228"/>
      <c r="N5" s="228"/>
      <c r="O5" s="228"/>
      <c r="P5" s="228"/>
      <c r="Q5" s="229"/>
      <c r="R5" s="227" t="s">
        <v>4</v>
      </c>
      <c r="S5" s="228"/>
      <c r="T5" s="228"/>
      <c r="U5" s="228"/>
      <c r="V5" s="229"/>
      <c r="W5" s="227" t="str">
        <f ca="1" xml:space="preserve"> IFERROR(IF([1]!alvDocProperty("MXCurrent.Localized")="","Template released",[1]!alvDocProperty("MXCurrent.Localized")),"Template released")</f>
        <v>Template released</v>
      </c>
      <c r="X5" s="228"/>
      <c r="Y5" s="228"/>
      <c r="Z5" s="228"/>
      <c r="AA5" s="229"/>
      <c r="AB5" s="227" t="str">
        <f ca="1" xml:space="preserve"> IFERROR(IF([1]!alvDocProperty("MXActual_state_Released")="","TBD",[1]!alvDocProperty("MXActual_state_Released")),"TBD")</f>
        <v>TBD</v>
      </c>
      <c r="AC5" s="228"/>
      <c r="AD5" s="228"/>
      <c r="AE5" s="228"/>
      <c r="AF5" s="228"/>
      <c r="AG5" s="229"/>
    </row>
    <row r="6" spans="1:37" s="82" customFormat="1" ht="11.1" customHeight="1">
      <c r="A6" s="224" t="s">
        <v>5</v>
      </c>
      <c r="B6" s="225"/>
      <c r="C6" s="225"/>
      <c r="D6" s="226"/>
      <c r="E6" s="224" t="s">
        <v>6</v>
      </c>
      <c r="F6" s="225"/>
      <c r="G6" s="225"/>
      <c r="H6" s="225"/>
      <c r="I6" s="225"/>
      <c r="J6" s="225"/>
      <c r="K6" s="225"/>
      <c r="L6" s="225"/>
      <c r="M6" s="225"/>
      <c r="N6" s="225"/>
      <c r="O6" s="225"/>
      <c r="P6" s="225"/>
      <c r="Q6" s="225"/>
      <c r="R6" s="225"/>
      <c r="S6" s="225"/>
      <c r="T6" s="225"/>
      <c r="U6" s="225"/>
      <c r="V6" s="226"/>
      <c r="W6" s="221" t="s">
        <v>7</v>
      </c>
      <c r="X6" s="222"/>
      <c r="Y6" s="222"/>
      <c r="Z6" s="222"/>
      <c r="AA6" s="223"/>
      <c r="AB6" s="224" t="s">
        <v>8</v>
      </c>
      <c r="AC6" s="225"/>
      <c r="AD6" s="226"/>
      <c r="AE6" s="224" t="s">
        <v>9</v>
      </c>
      <c r="AF6" s="225"/>
      <c r="AG6" s="226"/>
    </row>
    <row r="7" spans="1:37" s="89" customFormat="1" ht="12.75" customHeight="1">
      <c r="A7" s="227" t="str">
        <f ca="1" xml:space="preserve"> IFERROR(IF([1]!alvDocProperty("MXName")="","TBD",[1]!alvDocProperty("MXName")),"TBD")</f>
        <v>TBD</v>
      </c>
      <c r="B7" s="228"/>
      <c r="C7" s="228"/>
      <c r="D7" s="229"/>
      <c r="E7" s="227" t="str">
        <f ca="1" xml:space="preserve"> IFERROR(IF([1]!alvDocProperty("MXTitle")="","ATM Test Specification - Peer Review Workbook (PRWB)",[1]!alvDocProperty("MXTitle")),"ATM Test Specification - Peer Review Workbook (PRWB)")</f>
        <v>ATM Test Specification - Peer Review Workbook (PRWB)</v>
      </c>
      <c r="F7" s="228"/>
      <c r="G7" s="228"/>
      <c r="H7" s="228"/>
      <c r="I7" s="228"/>
      <c r="J7" s="228"/>
      <c r="K7" s="228"/>
      <c r="L7" s="228"/>
      <c r="M7" s="228"/>
      <c r="N7" s="228"/>
      <c r="O7" s="228"/>
      <c r="P7" s="228"/>
      <c r="Q7" s="228"/>
      <c r="R7" s="228"/>
      <c r="S7" s="228"/>
      <c r="T7" s="228"/>
      <c r="U7" s="228"/>
      <c r="V7" s="229"/>
      <c r="W7" s="230" t="str">
        <f ca="1" xml:space="preserve"> IFERROR(IF([1]!alvDocProperty("MXDocTemplate_Name")="","TEM107",[1]!alvDocProperty("MXDocTemplate_Name")),"TEM107")</f>
        <v>TEM107</v>
      </c>
      <c r="X7" s="231"/>
      <c r="Y7" s="231"/>
      <c r="Z7" s="231"/>
      <c r="AA7" s="232"/>
      <c r="AB7" s="227" t="str">
        <f ca="1" xml:space="preserve"> IFERROR(IF([1]!alvDocProperty("MXRevision")="","TBD",[1]!alvDocProperty("MXRevision")),"TBD")</f>
        <v>TBD</v>
      </c>
      <c r="AC7" s="228"/>
      <c r="AD7" s="229"/>
      <c r="AE7" s="227" t="str">
        <f ca="1" xml:space="preserve"> IFERROR(IF([1]!alvDocProperty("MXVersion")="","TBD",[1]!alvDocProperty("MXVersion")),"TBD")</f>
        <v>TBD</v>
      </c>
      <c r="AF7" s="228"/>
      <c r="AG7" s="229"/>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35" t="s">
        <v>10</v>
      </c>
      <c r="B9" s="236"/>
      <c r="C9" s="236"/>
      <c r="D9" s="236"/>
      <c r="E9" s="236"/>
      <c r="F9" s="236"/>
      <c r="G9" s="236"/>
      <c r="H9" s="236"/>
      <c r="I9" s="236"/>
      <c r="J9" s="236"/>
      <c r="K9" s="237"/>
      <c r="L9" s="235" t="s">
        <v>1</v>
      </c>
      <c r="M9" s="236"/>
      <c r="N9" s="236"/>
      <c r="O9" s="236"/>
      <c r="P9" s="236"/>
      <c r="Q9" s="236"/>
      <c r="R9" s="236"/>
      <c r="S9" s="236"/>
      <c r="T9" s="236"/>
      <c r="U9" s="236"/>
      <c r="V9" s="237"/>
      <c r="W9" s="235" t="s">
        <v>11</v>
      </c>
      <c r="X9" s="236"/>
      <c r="Y9" s="236"/>
      <c r="Z9" s="236"/>
      <c r="AA9" s="236"/>
      <c r="AB9" s="236"/>
      <c r="AC9" s="236"/>
      <c r="AD9" s="236"/>
      <c r="AE9" s="236"/>
      <c r="AF9" s="236"/>
      <c r="AG9" s="237"/>
    </row>
    <row r="10" spans="1:37" s="93" customFormat="1" ht="39" customHeight="1">
      <c r="A10" s="238" t="s">
        <v>12</v>
      </c>
      <c r="B10" s="239"/>
      <c r="C10" s="239"/>
      <c r="D10" s="239"/>
      <c r="E10" s="239"/>
      <c r="F10" s="240" t="str">
        <f ca="1" xml:space="preserve"> IFERROR(IF([1]!alvDocProperty("MXUser")="","Vlad Chioveanu",[1]!alvDocProperty("MXUser")),"Vlad Chioveanu")</f>
        <v>Vlad Chioveanu</v>
      </c>
      <c r="G10" s="240"/>
      <c r="H10" s="240"/>
      <c r="I10" s="240"/>
      <c r="J10" s="240"/>
      <c r="K10" s="241"/>
      <c r="L10" s="242" t="s">
        <v>13</v>
      </c>
      <c r="M10" s="243"/>
      <c r="N10" s="243"/>
      <c r="O10" s="243"/>
      <c r="P10" s="243"/>
      <c r="Q10" s="243"/>
      <c r="R10" s="243"/>
      <c r="S10" s="243"/>
      <c r="T10" s="243"/>
      <c r="U10" s="243"/>
      <c r="V10" s="244"/>
      <c r="W10" s="242" t="s">
        <v>13</v>
      </c>
      <c r="X10" s="243"/>
      <c r="Y10" s="243"/>
      <c r="Z10" s="243"/>
      <c r="AA10" s="243"/>
      <c r="AB10" s="243"/>
      <c r="AC10" s="243"/>
      <c r="AD10" s="243"/>
      <c r="AE10" s="243"/>
      <c r="AF10" s="243"/>
      <c r="AG10" s="244"/>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45" t="s">
        <v>14</v>
      </c>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7"/>
    </row>
    <row r="13" spans="1:37" s="93" customFormat="1" ht="28.5" customHeight="1">
      <c r="A13" s="248" t="s">
        <v>15</v>
      </c>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50"/>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51" t="s">
        <v>16</v>
      </c>
      <c r="B15" s="251"/>
      <c r="C15" s="251"/>
      <c r="D15" s="251"/>
      <c r="E15" s="253" t="s">
        <v>964</v>
      </c>
      <c r="F15" s="254"/>
      <c r="G15" s="254"/>
      <c r="H15" s="254"/>
      <c r="I15" s="254"/>
      <c r="J15" s="254"/>
      <c r="K15" s="254"/>
      <c r="L15" s="254"/>
      <c r="M15" s="254"/>
      <c r="N15" s="254"/>
      <c r="O15" s="254"/>
      <c r="P15" s="254"/>
      <c r="Q15" s="254"/>
      <c r="R15" s="254"/>
      <c r="S15" s="254"/>
      <c r="T15" s="254"/>
      <c r="U15" s="254"/>
      <c r="V15" s="254"/>
      <c r="W15" s="254"/>
      <c r="X15" s="254"/>
      <c r="Y15" s="254"/>
      <c r="Z15" s="254"/>
      <c r="AA15" s="254"/>
      <c r="AB15" s="254"/>
      <c r="AC15" s="254"/>
      <c r="AD15" s="254"/>
      <c r="AE15" s="254"/>
      <c r="AF15" s="254"/>
      <c r="AG15" s="255"/>
    </row>
    <row r="16" spans="1:37" ht="37.5" customHeight="1">
      <c r="A16" s="252"/>
      <c r="B16" s="252"/>
      <c r="C16" s="252"/>
      <c r="D16" s="252"/>
      <c r="E16" s="256"/>
      <c r="F16" s="257"/>
      <c r="G16" s="257"/>
      <c r="H16" s="257"/>
      <c r="I16" s="257"/>
      <c r="J16" s="257"/>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258"/>
    </row>
    <row r="17" spans="1:33">
      <c r="A17" s="98"/>
    </row>
    <row r="18" spans="1:33" ht="26.25" customHeight="1">
      <c r="A18" s="259" t="s">
        <v>17</v>
      </c>
      <c r="B18" s="260"/>
      <c r="C18" s="260"/>
      <c r="D18" s="260"/>
      <c r="E18" s="261" t="s">
        <v>18</v>
      </c>
      <c r="F18" s="261"/>
      <c r="G18" s="261"/>
      <c r="H18" s="261"/>
      <c r="I18" s="261"/>
      <c r="J18" s="261"/>
      <c r="K18" s="261"/>
      <c r="L18" s="261"/>
      <c r="M18" s="261"/>
      <c r="N18" s="261"/>
      <c r="O18" s="261"/>
      <c r="P18" s="261"/>
    </row>
    <row r="19" spans="1:33"/>
    <row r="20" spans="1:33"/>
    <row r="21" spans="1:33" ht="15.75" customHeight="1">
      <c r="Q21" s="99"/>
    </row>
    <row r="22" spans="1:33" ht="12" customHeight="1">
      <c r="Q22" s="99"/>
    </row>
    <row r="23" spans="1:33" ht="60" customHeight="1">
      <c r="A23" s="233" t="str">
        <f ca="1">MXTitle</f>
        <v>ATM Test Specification - Peer Review Workbook (PRWB)</v>
      </c>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79" type="noConversion"/>
  <conditionalFormatting sqref="W5">
    <cfRule type="cellIs" dxfId="1565" priority="21" operator="equal">
      <formula>"draft"</formula>
    </cfRule>
  </conditionalFormatting>
  <conditionalFormatting sqref="W5:AA5">
    <cfRule type="cellIs" dxfId="1564" priority="1" operator="equal">
      <formula>"In-Work"</formula>
    </cfRule>
    <cfRule type="cellIs" dxfId="1563" priority="2" stopIfTrue="1" operator="equal">
      <formula>"draft"</formula>
    </cfRule>
    <cfRule type="cellIs" dxfId="1562" priority="3" operator="equal">
      <formula>"In-Work"</formula>
    </cfRule>
    <cfRule type="cellIs" dxfId="1561" priority="4" stopIfTrue="1" operator="equal">
      <formula>"draft"</formula>
    </cfRule>
    <cfRule type="cellIs" dxfId="1560" priority="5" operator="equal">
      <formula>"In-Work"</formula>
    </cfRule>
    <cfRule type="cellIs" dxfId="1559" priority="6" stopIfTrue="1" operator="equal">
      <formula>"draft"</formula>
    </cfRule>
    <cfRule type="cellIs" dxfId="1558" priority="7" operator="equal">
      <formula>"In-Work"</formula>
    </cfRule>
    <cfRule type="cellIs" dxfId="1557" priority="8" stopIfTrue="1" operator="equal">
      <formula>"draft"</formula>
    </cfRule>
    <cfRule type="cellIs" dxfId="1556" priority="9" operator="equal">
      <formula>"In-Work"</formula>
    </cfRule>
    <cfRule type="cellIs" dxfId="1555" priority="10" stopIfTrue="1" operator="equal">
      <formula>"draft"</formula>
    </cfRule>
    <cfRule type="cellIs" dxfId="1554" priority="11" operator="equal">
      <formula>"In-Work"</formula>
    </cfRule>
    <cfRule type="cellIs" dxfId="1553" priority="12" stopIfTrue="1" operator="equal">
      <formula>"draft"</formula>
    </cfRule>
    <cfRule type="cellIs" dxfId="1552" priority="13" operator="equal">
      <formula>"In-Work"</formula>
    </cfRule>
    <cfRule type="cellIs" dxfId="1551" priority="14" stopIfTrue="1" operator="equal">
      <formula>"draft"</formula>
    </cfRule>
    <cfRule type="cellIs" dxfId="1550" priority="15" operator="equal">
      <formula>"In-Work"</formula>
    </cfRule>
    <cfRule type="cellIs" dxfId="1549" priority="16" stopIfTrue="1" operator="equal">
      <formula>"draft"</formula>
    </cfRule>
    <cfRule type="cellIs" dxfId="1548" priority="17" operator="equal">
      <formula>"In-Work"</formula>
    </cfRule>
    <cfRule type="cellIs" dxfId="1547" priority="18" stopIfTrue="1" operator="equal">
      <formula>"draft"</formula>
    </cfRule>
    <cfRule type="cellIs" dxfId="1546" priority="19" operator="equal">
      <formula>"In-Work"</formula>
    </cfRule>
    <cfRule type="cellIs" dxfId="1545"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Template IT- Peer Review Workbook (PRWB).xlsm</v>
      </c>
      <c r="AE3" s="82"/>
      <c r="AF3" s="82"/>
      <c r="AG3" s="82"/>
      <c r="AH3" s="82"/>
    </row>
    <row r="4" spans="1:34">
      <c r="A4" s="221" t="s">
        <v>0</v>
      </c>
      <c r="B4" s="222"/>
      <c r="C4" s="222"/>
      <c r="D4" s="222"/>
      <c r="E4" s="222"/>
      <c r="F4" s="222"/>
      <c r="G4" s="222"/>
      <c r="H4" s="222"/>
      <c r="I4" s="222"/>
      <c r="J4" s="222"/>
      <c r="K4" s="222"/>
      <c r="L4" s="222"/>
      <c r="M4" s="222"/>
      <c r="N4" s="222"/>
      <c r="O4" s="222"/>
      <c r="P4" s="222"/>
      <c r="Q4" s="222"/>
      <c r="R4" s="222"/>
      <c r="S4" s="222"/>
      <c r="T4" s="222"/>
      <c r="U4" s="222"/>
      <c r="V4" s="223"/>
      <c r="W4" s="279" t="s">
        <v>2</v>
      </c>
      <c r="X4" s="280"/>
      <c r="Y4" s="280"/>
      <c r="Z4" s="280"/>
      <c r="AA4" s="281"/>
      <c r="AB4" s="221" t="s">
        <v>3</v>
      </c>
      <c r="AC4" s="222"/>
      <c r="AD4" s="222"/>
      <c r="AE4" s="222"/>
      <c r="AF4" s="222"/>
      <c r="AG4" s="223"/>
      <c r="AH4" s="88"/>
    </row>
    <row r="5" spans="1:34">
      <c r="A5" s="230" t="s">
        <v>965</v>
      </c>
      <c r="B5" s="231"/>
      <c r="C5" s="231"/>
      <c r="D5" s="231"/>
      <c r="E5" s="231"/>
      <c r="F5" s="231"/>
      <c r="G5" s="231"/>
      <c r="H5" s="231"/>
      <c r="I5" s="231"/>
      <c r="J5" s="231"/>
      <c r="K5" s="231"/>
      <c r="L5" s="231"/>
      <c r="M5" s="231"/>
      <c r="N5" s="231"/>
      <c r="O5" s="231"/>
      <c r="P5" s="231"/>
      <c r="Q5" s="231"/>
      <c r="R5" s="231"/>
      <c r="S5" s="231"/>
      <c r="T5" s="231"/>
      <c r="U5" s="231"/>
      <c r="V5" s="232"/>
      <c r="W5" s="282" t="s">
        <v>19</v>
      </c>
      <c r="X5" s="283"/>
      <c r="Y5" s="283"/>
      <c r="Z5" s="283"/>
      <c r="AA5" s="284"/>
      <c r="AB5" s="230" t="s">
        <v>20</v>
      </c>
      <c r="AC5" s="231"/>
      <c r="AD5" s="231"/>
      <c r="AE5" s="231"/>
      <c r="AF5" s="231"/>
      <c r="AG5" s="232"/>
      <c r="AH5" s="89"/>
    </row>
    <row r="6" spans="1:34">
      <c r="A6" s="285" t="s">
        <v>5</v>
      </c>
      <c r="B6" s="286"/>
      <c r="C6" s="286"/>
      <c r="D6" s="287"/>
      <c r="E6" s="285" t="s">
        <v>6</v>
      </c>
      <c r="F6" s="286"/>
      <c r="G6" s="286"/>
      <c r="H6" s="286"/>
      <c r="I6" s="286"/>
      <c r="J6" s="286"/>
      <c r="K6" s="286"/>
      <c r="L6" s="286"/>
      <c r="M6" s="286"/>
      <c r="N6" s="286"/>
      <c r="O6" s="286"/>
      <c r="P6" s="286"/>
      <c r="Q6" s="286"/>
      <c r="R6" s="286"/>
      <c r="S6" s="286"/>
      <c r="T6" s="286"/>
      <c r="U6" s="286"/>
      <c r="V6" s="287"/>
      <c r="W6" s="221" t="s">
        <v>7</v>
      </c>
      <c r="X6" s="222"/>
      <c r="Y6" s="222"/>
      <c r="Z6" s="222"/>
      <c r="AA6" s="223"/>
      <c r="AB6" s="279" t="s">
        <v>8</v>
      </c>
      <c r="AC6" s="280"/>
      <c r="AD6" s="281"/>
      <c r="AE6" s="279" t="s">
        <v>9</v>
      </c>
      <c r="AF6" s="280"/>
      <c r="AG6" s="281"/>
      <c r="AH6" s="82"/>
    </row>
    <row r="7" spans="1:34">
      <c r="A7" s="282" t="s">
        <v>21</v>
      </c>
      <c r="B7" s="283"/>
      <c r="C7" s="283"/>
      <c r="D7" s="284"/>
      <c r="E7" s="282" t="s">
        <v>22</v>
      </c>
      <c r="F7" s="283"/>
      <c r="G7" s="283"/>
      <c r="H7" s="283"/>
      <c r="I7" s="283"/>
      <c r="J7" s="283"/>
      <c r="K7" s="283"/>
      <c r="L7" s="283"/>
      <c r="M7" s="283"/>
      <c r="N7" s="283"/>
      <c r="O7" s="283"/>
      <c r="P7" s="283"/>
      <c r="Q7" s="283"/>
      <c r="R7" s="283"/>
      <c r="S7" s="283"/>
      <c r="T7" s="283"/>
      <c r="U7" s="283"/>
      <c r="V7" s="284"/>
      <c r="W7" s="282" t="str">
        <f ca="1">TemplateRef</f>
        <v>TEM107</v>
      </c>
      <c r="X7" s="283"/>
      <c r="Y7" s="283"/>
      <c r="Z7" s="283"/>
      <c r="AA7" s="284"/>
      <c r="AB7" s="282" t="s">
        <v>23</v>
      </c>
      <c r="AC7" s="283"/>
      <c r="AD7" s="284"/>
      <c r="AE7" s="282" t="s">
        <v>23</v>
      </c>
      <c r="AF7" s="283"/>
      <c r="AG7" s="284"/>
      <c r="AH7" s="89"/>
    </row>
    <row r="8" spans="1:34">
      <c r="A8" s="285" t="s">
        <v>24</v>
      </c>
      <c r="B8" s="286"/>
      <c r="C8" s="286"/>
      <c r="D8" s="286"/>
      <c r="E8" s="286"/>
      <c r="F8" s="286"/>
      <c r="G8" s="286"/>
      <c r="H8" s="286"/>
      <c r="I8" s="286"/>
      <c r="J8" s="286"/>
      <c r="K8" s="286"/>
      <c r="L8" s="286"/>
      <c r="M8" s="286"/>
      <c r="N8" s="286"/>
      <c r="O8" s="286"/>
      <c r="P8" s="286"/>
      <c r="Q8" s="286"/>
      <c r="R8" s="286"/>
      <c r="S8" s="286"/>
      <c r="T8" s="286"/>
      <c r="U8" s="286"/>
      <c r="V8" s="286"/>
      <c r="W8" s="286"/>
      <c r="X8" s="286"/>
      <c r="Y8" s="286"/>
      <c r="Z8" s="286"/>
      <c r="AA8" s="286"/>
      <c r="AB8" s="286"/>
      <c r="AC8" s="286"/>
      <c r="AD8" s="286"/>
      <c r="AE8" s="286"/>
      <c r="AF8" s="286"/>
      <c r="AG8" s="287"/>
      <c r="AH8" s="92"/>
    </row>
    <row r="9" spans="1:34">
      <c r="A9" s="288" t="s">
        <v>25</v>
      </c>
      <c r="B9" s="289"/>
      <c r="C9" s="289"/>
      <c r="D9" s="289"/>
      <c r="E9" s="289"/>
      <c r="F9" s="289"/>
      <c r="G9" s="289"/>
      <c r="H9" s="289"/>
      <c r="I9" s="289"/>
      <c r="J9" s="289"/>
      <c r="K9" s="289"/>
      <c r="L9" s="289"/>
      <c r="M9" s="289"/>
      <c r="N9" s="289"/>
      <c r="O9" s="289"/>
      <c r="P9" s="289"/>
      <c r="Q9" s="289"/>
      <c r="R9" s="289"/>
      <c r="S9" s="289"/>
      <c r="T9" s="289"/>
      <c r="U9" s="289"/>
      <c r="V9" s="289"/>
      <c r="W9" s="289"/>
      <c r="X9" s="289"/>
      <c r="Y9" s="289"/>
      <c r="Z9" s="289"/>
      <c r="AA9" s="289"/>
      <c r="AB9" s="289"/>
      <c r="AC9" s="289"/>
      <c r="AD9" s="289"/>
      <c r="AE9" s="289"/>
      <c r="AF9" s="289"/>
      <c r="AG9" s="29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91" t="s">
        <v>28</v>
      </c>
      <c r="C15" s="292"/>
      <c r="D15" s="292"/>
      <c r="E15" s="292"/>
      <c r="F15" s="292"/>
      <c r="G15" s="291" t="s">
        <v>29</v>
      </c>
      <c r="H15" s="291"/>
      <c r="I15" s="291"/>
      <c r="J15" s="291"/>
      <c r="K15" s="291"/>
      <c r="L15" s="291"/>
      <c r="M15" s="291"/>
      <c r="N15" s="291"/>
      <c r="O15" s="291"/>
      <c r="P15" s="291"/>
      <c r="Q15" s="291"/>
      <c r="R15" s="291"/>
      <c r="S15" s="291"/>
      <c r="T15" s="291"/>
      <c r="U15" s="291"/>
      <c r="V15" s="291"/>
      <c r="W15" s="291"/>
      <c r="X15" s="291"/>
      <c r="Y15" s="291"/>
      <c r="Z15" s="291"/>
      <c r="AA15" s="291"/>
      <c r="AB15" s="291"/>
      <c r="AC15" s="291"/>
      <c r="AD15" s="291"/>
      <c r="AE15" s="291"/>
      <c r="AF15" s="291"/>
      <c r="AG15" s="92"/>
      <c r="AH15" s="92"/>
    </row>
    <row r="16" spans="1:34" ht="55.5" customHeight="1">
      <c r="A16" s="92"/>
      <c r="B16" s="293" t="s">
        <v>30</v>
      </c>
      <c r="C16" s="293"/>
      <c r="D16" s="293"/>
      <c r="E16" s="293"/>
      <c r="F16" s="293"/>
      <c r="G16" s="267" t="s">
        <v>31</v>
      </c>
      <c r="H16" s="267"/>
      <c r="I16" s="267"/>
      <c r="J16" s="267"/>
      <c r="K16" s="267"/>
      <c r="L16" s="267"/>
      <c r="M16" s="267"/>
      <c r="N16" s="267"/>
      <c r="O16" s="267"/>
      <c r="P16" s="267"/>
      <c r="Q16" s="267"/>
      <c r="R16" s="267"/>
      <c r="S16" s="267"/>
      <c r="T16" s="267"/>
      <c r="U16" s="267"/>
      <c r="V16" s="267"/>
      <c r="W16" s="267"/>
      <c r="X16" s="267"/>
      <c r="Y16" s="267"/>
      <c r="Z16" s="267"/>
      <c r="AA16" s="267"/>
      <c r="AB16" s="267"/>
      <c r="AC16" s="267"/>
      <c r="AD16" s="267"/>
      <c r="AE16" s="267"/>
      <c r="AF16" s="267"/>
      <c r="AG16" s="92"/>
      <c r="AH16" s="92"/>
    </row>
    <row r="17" spans="1:34">
      <c r="A17" s="92"/>
      <c r="B17" s="293" t="s">
        <v>32</v>
      </c>
      <c r="C17" s="293"/>
      <c r="D17" s="293"/>
      <c r="E17" s="293"/>
      <c r="F17" s="293"/>
      <c r="G17" s="267" t="s">
        <v>33</v>
      </c>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92"/>
      <c r="AH17" s="92"/>
    </row>
    <row r="18" spans="1:34" ht="15" customHeight="1">
      <c r="A18" s="92"/>
      <c r="B18" s="293" t="s">
        <v>34</v>
      </c>
      <c r="C18" s="293"/>
      <c r="D18" s="293"/>
      <c r="E18" s="293"/>
      <c r="F18" s="293"/>
      <c r="G18" s="267" t="s">
        <v>35</v>
      </c>
      <c r="H18" s="267"/>
      <c r="I18" s="267"/>
      <c r="J18" s="267"/>
      <c r="K18" s="267"/>
      <c r="L18" s="267"/>
      <c r="M18" s="267"/>
      <c r="N18" s="267"/>
      <c r="O18" s="267"/>
      <c r="P18" s="267"/>
      <c r="Q18" s="267"/>
      <c r="R18" s="267"/>
      <c r="S18" s="267"/>
      <c r="T18" s="267"/>
      <c r="U18" s="267"/>
      <c r="V18" s="267"/>
      <c r="W18" s="267"/>
      <c r="X18" s="267"/>
      <c r="Y18" s="267"/>
      <c r="Z18" s="267"/>
      <c r="AA18" s="267"/>
      <c r="AB18" s="267"/>
      <c r="AC18" s="267"/>
      <c r="AD18" s="267"/>
      <c r="AE18" s="267"/>
      <c r="AF18" s="267"/>
      <c r="AG18" s="92"/>
      <c r="AH18" s="92"/>
    </row>
    <row r="19" spans="1:34" ht="24" customHeight="1">
      <c r="A19" s="92"/>
      <c r="B19" s="294" t="s">
        <v>36</v>
      </c>
      <c r="C19" s="294"/>
      <c r="D19" s="294"/>
      <c r="E19" s="294"/>
      <c r="F19" s="294"/>
      <c r="G19" s="267" t="s">
        <v>35</v>
      </c>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c r="AG19" s="92"/>
      <c r="AH19" s="92"/>
    </row>
    <row r="20" spans="1:34">
      <c r="A20" s="92"/>
      <c r="B20" s="298" t="s">
        <v>37</v>
      </c>
      <c r="C20" s="298"/>
      <c r="D20" s="298"/>
      <c r="E20" s="298"/>
      <c r="F20" s="298"/>
      <c r="G20" s="267" t="s">
        <v>35</v>
      </c>
      <c r="H20" s="267"/>
      <c r="I20" s="267"/>
      <c r="J20" s="267"/>
      <c r="K20" s="267"/>
      <c r="L20" s="267"/>
      <c r="M20" s="267"/>
      <c r="N20" s="267"/>
      <c r="O20" s="267"/>
      <c r="P20" s="267"/>
      <c r="Q20" s="267"/>
      <c r="R20" s="267"/>
      <c r="S20" s="267"/>
      <c r="T20" s="267"/>
      <c r="U20" s="267"/>
      <c r="V20" s="267"/>
      <c r="W20" s="267"/>
      <c r="X20" s="267"/>
      <c r="Y20" s="267"/>
      <c r="Z20" s="267"/>
      <c r="AA20" s="267"/>
      <c r="AB20" s="267"/>
      <c r="AC20" s="267"/>
      <c r="AD20" s="267"/>
      <c r="AE20" s="267"/>
      <c r="AF20" s="267"/>
      <c r="AG20" s="92"/>
      <c r="AH20" s="92"/>
    </row>
    <row r="21" spans="1:34" ht="35.25" customHeight="1">
      <c r="A21" s="92"/>
      <c r="B21" s="296" t="s">
        <v>38</v>
      </c>
      <c r="C21" s="296"/>
      <c r="D21" s="296"/>
      <c r="E21" s="296"/>
      <c r="F21" s="296"/>
      <c r="G21" s="267" t="s">
        <v>39</v>
      </c>
      <c r="H21" s="267"/>
      <c r="I21" s="267"/>
      <c r="J21" s="267"/>
      <c r="K21" s="267"/>
      <c r="L21" s="267"/>
      <c r="M21" s="267"/>
      <c r="N21" s="267"/>
      <c r="O21" s="267"/>
      <c r="P21" s="267"/>
      <c r="Q21" s="267"/>
      <c r="R21" s="267"/>
      <c r="S21" s="267"/>
      <c r="T21" s="267"/>
      <c r="U21" s="267"/>
      <c r="V21" s="267"/>
      <c r="W21" s="267"/>
      <c r="X21" s="267"/>
      <c r="Y21" s="267"/>
      <c r="Z21" s="267"/>
      <c r="AA21" s="267"/>
      <c r="AB21" s="267"/>
      <c r="AC21" s="267"/>
      <c r="AD21" s="267"/>
      <c r="AE21" s="267"/>
      <c r="AF21" s="267"/>
      <c r="AG21" s="92"/>
      <c r="AH21" s="92"/>
    </row>
    <row r="22" spans="1:34" ht="28.5" customHeight="1">
      <c r="A22" s="92"/>
      <c r="B22" s="296" t="s">
        <v>40</v>
      </c>
      <c r="C22" s="296"/>
      <c r="D22" s="296"/>
      <c r="E22" s="296"/>
      <c r="F22" s="296"/>
      <c r="G22" s="267" t="s">
        <v>41</v>
      </c>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92"/>
      <c r="AH22" s="92"/>
    </row>
    <row r="23" spans="1:34" ht="22.5" customHeight="1">
      <c r="A23" s="92"/>
      <c r="B23" s="296" t="s">
        <v>42</v>
      </c>
      <c r="C23" s="296"/>
      <c r="D23" s="296"/>
      <c r="E23" s="296"/>
      <c r="F23" s="296"/>
      <c r="G23" s="267" t="s">
        <v>43</v>
      </c>
      <c r="H23" s="267"/>
      <c r="I23" s="267"/>
      <c r="J23" s="267"/>
      <c r="K23" s="267"/>
      <c r="L23" s="267"/>
      <c r="M23" s="267"/>
      <c r="N23" s="267"/>
      <c r="O23" s="267"/>
      <c r="P23" s="267"/>
      <c r="Q23" s="267"/>
      <c r="R23" s="267"/>
      <c r="S23" s="267"/>
      <c r="T23" s="267"/>
      <c r="U23" s="267"/>
      <c r="V23" s="267"/>
      <c r="W23" s="267"/>
      <c r="X23" s="267"/>
      <c r="Y23" s="267"/>
      <c r="Z23" s="267"/>
      <c r="AA23" s="267"/>
      <c r="AB23" s="267"/>
      <c r="AC23" s="267"/>
      <c r="AD23" s="267"/>
      <c r="AE23" s="267"/>
      <c r="AF23" s="267"/>
      <c r="AG23" s="92"/>
      <c r="AH23" s="92"/>
    </row>
    <row r="24" spans="1:34" ht="45" customHeight="1">
      <c r="A24" s="92"/>
      <c r="B24" s="297" t="s">
        <v>44</v>
      </c>
      <c r="C24" s="297"/>
      <c r="D24" s="297"/>
      <c r="E24" s="297"/>
      <c r="F24" s="297"/>
      <c r="G24" s="267" t="s">
        <v>45</v>
      </c>
      <c r="H24" s="267"/>
      <c r="I24" s="267"/>
      <c r="J24" s="267"/>
      <c r="K24" s="267"/>
      <c r="L24" s="267"/>
      <c r="M24" s="267"/>
      <c r="N24" s="267"/>
      <c r="O24" s="267"/>
      <c r="P24" s="267"/>
      <c r="Q24" s="267"/>
      <c r="R24" s="267"/>
      <c r="S24" s="267"/>
      <c r="T24" s="267"/>
      <c r="U24" s="267"/>
      <c r="V24" s="267"/>
      <c r="W24" s="267"/>
      <c r="X24" s="267"/>
      <c r="Y24" s="267"/>
      <c r="Z24" s="267"/>
      <c r="AA24" s="267"/>
      <c r="AB24" s="267"/>
      <c r="AC24" s="267"/>
      <c r="AD24" s="267"/>
      <c r="AE24" s="267"/>
      <c r="AF24" s="267"/>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91" t="s">
        <v>8</v>
      </c>
      <c r="C27" s="295"/>
      <c r="D27" s="295"/>
      <c r="E27" s="291" t="s">
        <v>47</v>
      </c>
      <c r="F27" s="291"/>
      <c r="G27" s="291"/>
      <c r="H27" s="291"/>
      <c r="I27" s="291" t="s">
        <v>48</v>
      </c>
      <c r="J27" s="295"/>
      <c r="K27" s="295"/>
      <c r="L27" s="295"/>
      <c r="M27" s="295"/>
      <c r="N27" s="295"/>
      <c r="O27" s="295"/>
      <c r="P27" s="295"/>
      <c r="Q27" s="295"/>
      <c r="R27" s="291" t="s">
        <v>49</v>
      </c>
      <c r="S27" s="291"/>
      <c r="T27" s="291"/>
      <c r="U27" s="291"/>
      <c r="V27" s="291"/>
      <c r="W27" s="291"/>
      <c r="X27" s="291"/>
      <c r="Y27" s="291"/>
      <c r="Z27" s="291"/>
      <c r="AA27" s="291"/>
      <c r="AB27" s="291"/>
      <c r="AC27" s="291"/>
      <c r="AD27" s="291"/>
      <c r="AE27" s="291"/>
      <c r="AF27" s="291"/>
      <c r="AG27" s="92"/>
      <c r="AH27" s="92"/>
    </row>
    <row r="28" spans="1:34" ht="40.5" customHeight="1">
      <c r="A28" s="92"/>
      <c r="B28" s="276" t="s">
        <v>50</v>
      </c>
      <c r="C28" s="277" t="s">
        <v>51</v>
      </c>
      <c r="D28" s="278" t="s">
        <v>51</v>
      </c>
      <c r="E28" s="264"/>
      <c r="F28" s="265"/>
      <c r="G28" s="265"/>
      <c r="H28" s="266"/>
      <c r="I28" s="267"/>
      <c r="J28" s="268"/>
      <c r="K28" s="268"/>
      <c r="L28" s="268"/>
      <c r="M28" s="268"/>
      <c r="N28" s="268"/>
      <c r="O28" s="268"/>
      <c r="P28" s="268"/>
      <c r="Q28" s="268"/>
      <c r="R28" s="267" t="s">
        <v>52</v>
      </c>
      <c r="S28" s="267" t="s">
        <v>52</v>
      </c>
      <c r="T28" s="267" t="s">
        <v>52</v>
      </c>
      <c r="U28" s="267" t="s">
        <v>52</v>
      </c>
      <c r="V28" s="267" t="s">
        <v>52</v>
      </c>
      <c r="W28" s="267" t="s">
        <v>52</v>
      </c>
      <c r="X28" s="267" t="s">
        <v>52</v>
      </c>
      <c r="Y28" s="267" t="s">
        <v>52</v>
      </c>
      <c r="Z28" s="267" t="s">
        <v>52</v>
      </c>
      <c r="AA28" s="267" t="s">
        <v>52</v>
      </c>
      <c r="AB28" s="267" t="s">
        <v>52</v>
      </c>
      <c r="AC28" s="267" t="s">
        <v>52</v>
      </c>
      <c r="AD28" s="267" t="s">
        <v>52</v>
      </c>
      <c r="AE28" s="267" t="s">
        <v>52</v>
      </c>
      <c r="AF28" s="267" t="s">
        <v>52</v>
      </c>
      <c r="AG28" s="92"/>
      <c r="AH28" s="92"/>
    </row>
    <row r="29" spans="1:34" ht="60" customHeight="1">
      <c r="A29" s="92"/>
      <c r="B29" s="276" t="s">
        <v>53</v>
      </c>
      <c r="C29" s="277" t="s">
        <v>53</v>
      </c>
      <c r="D29" s="278" t="s">
        <v>53</v>
      </c>
      <c r="E29" s="264">
        <v>40591.490486111114</v>
      </c>
      <c r="F29" s="265">
        <v>40591.490486111114</v>
      </c>
      <c r="G29" s="265">
        <v>40591.490486111114</v>
      </c>
      <c r="H29" s="266">
        <v>40591.490486111114</v>
      </c>
      <c r="I29" s="267" t="s">
        <v>54</v>
      </c>
      <c r="J29" s="268" t="s">
        <v>54</v>
      </c>
      <c r="K29" s="268" t="s">
        <v>54</v>
      </c>
      <c r="L29" s="268" t="s">
        <v>54</v>
      </c>
      <c r="M29" s="268" t="s">
        <v>54</v>
      </c>
      <c r="N29" s="268" t="s">
        <v>54</v>
      </c>
      <c r="O29" s="268" t="s">
        <v>54</v>
      </c>
      <c r="P29" s="268" t="s">
        <v>54</v>
      </c>
      <c r="Q29" s="268" t="s">
        <v>54</v>
      </c>
      <c r="R29" s="267" t="s">
        <v>55</v>
      </c>
      <c r="S29" s="267" t="s">
        <v>55</v>
      </c>
      <c r="T29" s="267" t="s">
        <v>55</v>
      </c>
      <c r="U29" s="267" t="s">
        <v>55</v>
      </c>
      <c r="V29" s="267" t="s">
        <v>55</v>
      </c>
      <c r="W29" s="267" t="s">
        <v>55</v>
      </c>
      <c r="X29" s="267" t="s">
        <v>55</v>
      </c>
      <c r="Y29" s="267" t="s">
        <v>55</v>
      </c>
      <c r="Z29" s="267" t="s">
        <v>55</v>
      </c>
      <c r="AA29" s="267" t="s">
        <v>55</v>
      </c>
      <c r="AB29" s="267" t="s">
        <v>55</v>
      </c>
      <c r="AC29" s="267" t="s">
        <v>55</v>
      </c>
      <c r="AD29" s="267" t="s">
        <v>55</v>
      </c>
      <c r="AE29" s="267" t="s">
        <v>55</v>
      </c>
      <c r="AF29" s="267" t="s">
        <v>55</v>
      </c>
      <c r="AG29" s="92"/>
      <c r="AH29" s="92"/>
    </row>
    <row r="30" spans="1:34" ht="291" customHeight="1">
      <c r="A30" s="92"/>
      <c r="B30" s="276" t="s">
        <v>56</v>
      </c>
      <c r="C30" s="277" t="s">
        <v>56</v>
      </c>
      <c r="D30" s="278" t="s">
        <v>56</v>
      </c>
      <c r="E30" s="264">
        <v>41071.656145833331</v>
      </c>
      <c r="F30" s="265">
        <v>41071.656145833331</v>
      </c>
      <c r="G30" s="265">
        <v>41071.656145833331</v>
      </c>
      <c r="H30" s="266">
        <v>41071.656145833331</v>
      </c>
      <c r="I30" s="267" t="s">
        <v>54</v>
      </c>
      <c r="J30" s="268" t="s">
        <v>54</v>
      </c>
      <c r="K30" s="268" t="s">
        <v>54</v>
      </c>
      <c r="L30" s="268" t="s">
        <v>54</v>
      </c>
      <c r="M30" s="268" t="s">
        <v>54</v>
      </c>
      <c r="N30" s="268" t="s">
        <v>54</v>
      </c>
      <c r="O30" s="268" t="s">
        <v>54</v>
      </c>
      <c r="P30" s="268" t="s">
        <v>54</v>
      </c>
      <c r="Q30" s="268" t="s">
        <v>54</v>
      </c>
      <c r="R30" s="267" t="s">
        <v>57</v>
      </c>
      <c r="S30" s="267" t="s">
        <v>57</v>
      </c>
      <c r="T30" s="267" t="s">
        <v>57</v>
      </c>
      <c r="U30" s="267" t="s">
        <v>57</v>
      </c>
      <c r="V30" s="267" t="s">
        <v>57</v>
      </c>
      <c r="W30" s="267" t="s">
        <v>57</v>
      </c>
      <c r="X30" s="267" t="s">
        <v>57</v>
      </c>
      <c r="Y30" s="267" t="s">
        <v>57</v>
      </c>
      <c r="Z30" s="267" t="s">
        <v>57</v>
      </c>
      <c r="AA30" s="267" t="s">
        <v>57</v>
      </c>
      <c r="AB30" s="267" t="s">
        <v>57</v>
      </c>
      <c r="AC30" s="267" t="s">
        <v>57</v>
      </c>
      <c r="AD30" s="267" t="s">
        <v>57</v>
      </c>
      <c r="AE30" s="267" t="s">
        <v>57</v>
      </c>
      <c r="AF30" s="267" t="s">
        <v>57</v>
      </c>
      <c r="AG30" s="92"/>
      <c r="AH30" s="92"/>
    </row>
    <row r="31" spans="1:34" ht="40.5" customHeight="1">
      <c r="A31" s="92"/>
      <c r="B31" s="276" t="s">
        <v>58</v>
      </c>
      <c r="C31" s="277" t="s">
        <v>58</v>
      </c>
      <c r="D31" s="278" t="s">
        <v>58</v>
      </c>
      <c r="E31" s="264">
        <v>41071.656145833331</v>
      </c>
      <c r="F31" s="265">
        <v>41071.656145833331</v>
      </c>
      <c r="G31" s="265">
        <v>41071.656145833331</v>
      </c>
      <c r="H31" s="266">
        <v>41071.656145833331</v>
      </c>
      <c r="I31" s="267" t="s">
        <v>59</v>
      </c>
      <c r="J31" s="268" t="s">
        <v>59</v>
      </c>
      <c r="K31" s="268" t="s">
        <v>59</v>
      </c>
      <c r="L31" s="268" t="s">
        <v>59</v>
      </c>
      <c r="M31" s="268" t="s">
        <v>59</v>
      </c>
      <c r="N31" s="268" t="s">
        <v>59</v>
      </c>
      <c r="O31" s="268" t="s">
        <v>59</v>
      </c>
      <c r="P31" s="268" t="s">
        <v>59</v>
      </c>
      <c r="Q31" s="268" t="s">
        <v>59</v>
      </c>
      <c r="R31" s="267" t="s">
        <v>60</v>
      </c>
      <c r="S31" s="267" t="s">
        <v>60</v>
      </c>
      <c r="T31" s="267" t="s">
        <v>60</v>
      </c>
      <c r="U31" s="267" t="s">
        <v>60</v>
      </c>
      <c r="V31" s="267" t="s">
        <v>60</v>
      </c>
      <c r="W31" s="267" t="s">
        <v>60</v>
      </c>
      <c r="X31" s="267" t="s">
        <v>60</v>
      </c>
      <c r="Y31" s="267" t="s">
        <v>60</v>
      </c>
      <c r="Z31" s="267" t="s">
        <v>60</v>
      </c>
      <c r="AA31" s="267" t="s">
        <v>60</v>
      </c>
      <c r="AB31" s="267" t="s">
        <v>60</v>
      </c>
      <c r="AC31" s="267" t="s">
        <v>60</v>
      </c>
      <c r="AD31" s="267" t="s">
        <v>60</v>
      </c>
      <c r="AE31" s="267" t="s">
        <v>60</v>
      </c>
      <c r="AF31" s="267" t="s">
        <v>60</v>
      </c>
      <c r="AG31" s="92"/>
      <c r="AH31" s="92"/>
    </row>
    <row r="32" spans="1:34" ht="121.5" customHeight="1">
      <c r="A32" s="92"/>
      <c r="B32" s="276"/>
      <c r="C32" s="277"/>
      <c r="D32" s="278"/>
      <c r="E32" s="264">
        <v>42195</v>
      </c>
      <c r="F32" s="265">
        <v>42195</v>
      </c>
      <c r="G32" s="265">
        <v>42195</v>
      </c>
      <c r="H32" s="266">
        <v>42195</v>
      </c>
      <c r="I32" s="267" t="s">
        <v>61</v>
      </c>
      <c r="J32" s="268" t="s">
        <v>61</v>
      </c>
      <c r="K32" s="268" t="s">
        <v>61</v>
      </c>
      <c r="L32" s="268" t="s">
        <v>61</v>
      </c>
      <c r="M32" s="268" t="s">
        <v>61</v>
      </c>
      <c r="N32" s="268" t="s">
        <v>61</v>
      </c>
      <c r="O32" s="268" t="s">
        <v>61</v>
      </c>
      <c r="P32" s="268" t="s">
        <v>61</v>
      </c>
      <c r="Q32" s="268" t="s">
        <v>61</v>
      </c>
      <c r="R32" s="267" t="s">
        <v>62</v>
      </c>
      <c r="S32" s="267" t="s">
        <v>62</v>
      </c>
      <c r="T32" s="267" t="s">
        <v>62</v>
      </c>
      <c r="U32" s="267" t="s">
        <v>62</v>
      </c>
      <c r="V32" s="267" t="s">
        <v>62</v>
      </c>
      <c r="W32" s="267" t="s">
        <v>62</v>
      </c>
      <c r="X32" s="267" t="s">
        <v>62</v>
      </c>
      <c r="Y32" s="267" t="s">
        <v>62</v>
      </c>
      <c r="Z32" s="267" t="s">
        <v>62</v>
      </c>
      <c r="AA32" s="267" t="s">
        <v>62</v>
      </c>
      <c r="AB32" s="267" t="s">
        <v>62</v>
      </c>
      <c r="AC32" s="267" t="s">
        <v>62</v>
      </c>
      <c r="AD32" s="267" t="s">
        <v>62</v>
      </c>
      <c r="AE32" s="267" t="s">
        <v>62</v>
      </c>
      <c r="AF32" s="267" t="s">
        <v>62</v>
      </c>
      <c r="AG32" s="92"/>
      <c r="AH32" s="92"/>
    </row>
    <row r="33" spans="1:34" ht="114" customHeight="1">
      <c r="A33" s="92"/>
      <c r="B33" s="276" t="s">
        <v>63</v>
      </c>
      <c r="C33" s="277" t="s">
        <v>63</v>
      </c>
      <c r="D33" s="278" t="s">
        <v>63</v>
      </c>
      <c r="E33" s="264">
        <v>42391.634837962964</v>
      </c>
      <c r="F33" s="265">
        <v>42391.634837962964</v>
      </c>
      <c r="G33" s="265">
        <v>42391.634837962964</v>
      </c>
      <c r="H33" s="266">
        <v>42391.634837962964</v>
      </c>
      <c r="I33" s="267" t="s">
        <v>64</v>
      </c>
      <c r="J33" s="268" t="s">
        <v>64</v>
      </c>
      <c r="K33" s="268" t="s">
        <v>64</v>
      </c>
      <c r="L33" s="268" t="s">
        <v>64</v>
      </c>
      <c r="M33" s="268" t="s">
        <v>64</v>
      </c>
      <c r="N33" s="268" t="s">
        <v>64</v>
      </c>
      <c r="O33" s="268" t="s">
        <v>64</v>
      </c>
      <c r="P33" s="268" t="s">
        <v>64</v>
      </c>
      <c r="Q33" s="268" t="s">
        <v>64</v>
      </c>
      <c r="R33" s="267" t="s">
        <v>65</v>
      </c>
      <c r="S33" s="267" t="s">
        <v>65</v>
      </c>
      <c r="T33" s="267" t="s">
        <v>65</v>
      </c>
      <c r="U33" s="267" t="s">
        <v>65</v>
      </c>
      <c r="V33" s="267" t="s">
        <v>65</v>
      </c>
      <c r="W33" s="267" t="s">
        <v>65</v>
      </c>
      <c r="X33" s="267" t="s">
        <v>65</v>
      </c>
      <c r="Y33" s="267" t="s">
        <v>65</v>
      </c>
      <c r="Z33" s="267" t="s">
        <v>65</v>
      </c>
      <c r="AA33" s="267" t="s">
        <v>65</v>
      </c>
      <c r="AB33" s="267" t="s">
        <v>65</v>
      </c>
      <c r="AC33" s="267" t="s">
        <v>65</v>
      </c>
      <c r="AD33" s="267" t="s">
        <v>65</v>
      </c>
      <c r="AE33" s="267" t="s">
        <v>65</v>
      </c>
      <c r="AF33" s="267" t="s">
        <v>65</v>
      </c>
      <c r="AG33" s="92"/>
      <c r="AH33" s="92"/>
    </row>
    <row r="34" spans="1:34" ht="40.5" customHeight="1">
      <c r="A34" s="92"/>
      <c r="B34" s="262" t="s">
        <v>66</v>
      </c>
      <c r="C34" s="263"/>
      <c r="D34" s="263"/>
      <c r="E34" s="264"/>
      <c r="F34" s="265"/>
      <c r="G34" s="265"/>
      <c r="H34" s="266"/>
      <c r="I34" s="267" t="s">
        <v>67</v>
      </c>
      <c r="J34" s="268"/>
      <c r="K34" s="268"/>
      <c r="L34" s="268"/>
      <c r="M34" s="268"/>
      <c r="N34" s="268"/>
      <c r="O34" s="268"/>
      <c r="P34" s="268"/>
      <c r="Q34" s="268"/>
      <c r="R34" s="267" t="s">
        <v>68</v>
      </c>
      <c r="S34" s="267"/>
      <c r="T34" s="267"/>
      <c r="U34" s="267"/>
      <c r="V34" s="267"/>
      <c r="W34" s="267"/>
      <c r="X34" s="267"/>
      <c r="Y34" s="267"/>
      <c r="Z34" s="267"/>
      <c r="AA34" s="267"/>
      <c r="AB34" s="267"/>
      <c r="AC34" s="267"/>
      <c r="AD34" s="267"/>
      <c r="AE34" s="267"/>
      <c r="AF34" s="267"/>
      <c r="AG34" s="92"/>
      <c r="AH34" s="92"/>
    </row>
    <row r="35" spans="1:34" ht="40.5" customHeight="1">
      <c r="A35" s="92"/>
      <c r="B35" s="262" t="s">
        <v>69</v>
      </c>
      <c r="C35" s="263"/>
      <c r="D35" s="263"/>
      <c r="E35" s="264"/>
      <c r="F35" s="265"/>
      <c r="G35" s="265"/>
      <c r="H35" s="266"/>
      <c r="I35" s="267" t="s">
        <v>67</v>
      </c>
      <c r="J35" s="268"/>
      <c r="K35" s="268"/>
      <c r="L35" s="268"/>
      <c r="M35" s="268"/>
      <c r="N35" s="268"/>
      <c r="O35" s="268"/>
      <c r="P35" s="268"/>
      <c r="Q35" s="268"/>
      <c r="R35" s="267" t="s">
        <v>70</v>
      </c>
      <c r="S35" s="267"/>
      <c r="T35" s="267"/>
      <c r="U35" s="267"/>
      <c r="V35" s="267"/>
      <c r="W35" s="267"/>
      <c r="X35" s="267"/>
      <c r="Y35" s="267"/>
      <c r="Z35" s="267"/>
      <c r="AA35" s="267"/>
      <c r="AB35" s="267"/>
      <c r="AC35" s="267"/>
      <c r="AD35" s="267"/>
      <c r="AE35" s="267"/>
      <c r="AF35" s="267"/>
      <c r="AG35" s="92"/>
      <c r="AH35" s="92"/>
    </row>
    <row r="36" spans="1:34" ht="40.5" customHeight="1">
      <c r="A36" s="92"/>
      <c r="B36" s="262" t="s">
        <v>71</v>
      </c>
      <c r="C36" s="263"/>
      <c r="D36" s="263"/>
      <c r="E36" s="264"/>
      <c r="F36" s="265"/>
      <c r="G36" s="265"/>
      <c r="H36" s="266"/>
      <c r="I36" s="267" t="s">
        <v>67</v>
      </c>
      <c r="J36" s="268"/>
      <c r="K36" s="268"/>
      <c r="L36" s="268"/>
      <c r="M36" s="268"/>
      <c r="N36" s="268"/>
      <c r="O36" s="268"/>
      <c r="P36" s="268"/>
      <c r="Q36" s="268"/>
      <c r="R36" s="267" t="s">
        <v>72</v>
      </c>
      <c r="S36" s="267"/>
      <c r="T36" s="267"/>
      <c r="U36" s="267"/>
      <c r="V36" s="267"/>
      <c r="W36" s="267"/>
      <c r="X36" s="267"/>
      <c r="Y36" s="267"/>
      <c r="Z36" s="267"/>
      <c r="AA36" s="267"/>
      <c r="AB36" s="267"/>
      <c r="AC36" s="267"/>
      <c r="AD36" s="267"/>
      <c r="AE36" s="267"/>
      <c r="AF36" s="267"/>
      <c r="AG36" s="92"/>
      <c r="AH36" s="92"/>
    </row>
    <row r="37" spans="1:34" ht="102" customHeight="1">
      <c r="A37" s="92"/>
      <c r="B37" s="262" t="s">
        <v>73</v>
      </c>
      <c r="C37" s="263"/>
      <c r="D37" s="263"/>
      <c r="E37" s="264"/>
      <c r="F37" s="265"/>
      <c r="G37" s="265"/>
      <c r="H37" s="266"/>
      <c r="I37" s="267" t="s">
        <v>67</v>
      </c>
      <c r="J37" s="268"/>
      <c r="K37" s="268"/>
      <c r="L37" s="268"/>
      <c r="M37" s="268"/>
      <c r="N37" s="268"/>
      <c r="O37" s="268"/>
      <c r="P37" s="268"/>
      <c r="Q37" s="268"/>
      <c r="R37" s="267" t="s">
        <v>74</v>
      </c>
      <c r="S37" s="267"/>
      <c r="T37" s="267"/>
      <c r="U37" s="267"/>
      <c r="V37" s="267"/>
      <c r="W37" s="267"/>
      <c r="X37" s="267"/>
      <c r="Y37" s="267"/>
      <c r="Z37" s="267"/>
      <c r="AA37" s="267"/>
      <c r="AB37" s="267"/>
      <c r="AC37" s="267"/>
      <c r="AD37" s="267"/>
      <c r="AE37" s="267"/>
      <c r="AF37" s="267"/>
      <c r="AG37" s="92"/>
      <c r="AH37" s="92"/>
    </row>
    <row r="38" spans="1:34" ht="217.5" customHeight="1">
      <c r="A38" s="92"/>
      <c r="B38" s="262" t="s">
        <v>75</v>
      </c>
      <c r="C38" s="263"/>
      <c r="D38" s="263"/>
      <c r="E38" s="264"/>
      <c r="F38" s="265"/>
      <c r="G38" s="265"/>
      <c r="H38" s="266"/>
      <c r="I38" s="267" t="s">
        <v>67</v>
      </c>
      <c r="J38" s="268"/>
      <c r="K38" s="268"/>
      <c r="L38" s="268"/>
      <c r="M38" s="268"/>
      <c r="N38" s="268"/>
      <c r="O38" s="268"/>
      <c r="P38" s="268"/>
      <c r="Q38" s="268"/>
      <c r="R38" s="267" t="s">
        <v>76</v>
      </c>
      <c r="S38" s="267"/>
      <c r="T38" s="267"/>
      <c r="U38" s="267"/>
      <c r="V38" s="267"/>
      <c r="W38" s="267"/>
      <c r="X38" s="267"/>
      <c r="Y38" s="267"/>
      <c r="Z38" s="267"/>
      <c r="AA38" s="267"/>
      <c r="AB38" s="267"/>
      <c r="AC38" s="267"/>
      <c r="AD38" s="267"/>
      <c r="AE38" s="267"/>
      <c r="AF38" s="267"/>
      <c r="AG38" s="92"/>
      <c r="AH38" s="92"/>
    </row>
    <row r="39" spans="1:34" ht="40.5" customHeight="1">
      <c r="A39" s="92"/>
      <c r="B39" s="262" t="s">
        <v>77</v>
      </c>
      <c r="C39" s="263"/>
      <c r="D39" s="263"/>
      <c r="E39" s="264"/>
      <c r="F39" s="265"/>
      <c r="G39" s="265"/>
      <c r="H39" s="266"/>
      <c r="I39" s="267" t="s">
        <v>67</v>
      </c>
      <c r="J39" s="268"/>
      <c r="K39" s="268"/>
      <c r="L39" s="268"/>
      <c r="M39" s="268"/>
      <c r="N39" s="268"/>
      <c r="O39" s="268"/>
      <c r="P39" s="268"/>
      <c r="Q39" s="268"/>
      <c r="R39" s="267" t="s">
        <v>78</v>
      </c>
      <c r="S39" s="267"/>
      <c r="T39" s="267"/>
      <c r="U39" s="267"/>
      <c r="V39" s="267"/>
      <c r="W39" s="267"/>
      <c r="X39" s="267"/>
      <c r="Y39" s="267"/>
      <c r="Z39" s="267"/>
      <c r="AA39" s="267"/>
      <c r="AB39" s="267"/>
      <c r="AC39" s="267"/>
      <c r="AD39" s="267"/>
      <c r="AE39" s="267"/>
      <c r="AF39" s="267"/>
      <c r="AG39" s="92"/>
      <c r="AH39" s="92"/>
    </row>
    <row r="40" spans="1:34" ht="69" customHeight="1">
      <c r="A40" s="92"/>
      <c r="B40" s="262" t="s">
        <v>79</v>
      </c>
      <c r="C40" s="263"/>
      <c r="D40" s="263"/>
      <c r="E40" s="264">
        <v>44562</v>
      </c>
      <c r="F40" s="265"/>
      <c r="G40" s="265"/>
      <c r="H40" s="266"/>
      <c r="I40" s="267" t="s">
        <v>67</v>
      </c>
      <c r="J40" s="268"/>
      <c r="K40" s="268"/>
      <c r="L40" s="268"/>
      <c r="M40" s="268"/>
      <c r="N40" s="268"/>
      <c r="O40" s="268"/>
      <c r="P40" s="268"/>
      <c r="Q40" s="268"/>
      <c r="R40" s="267" t="s">
        <v>80</v>
      </c>
      <c r="S40" s="267"/>
      <c r="T40" s="267"/>
      <c r="U40" s="267"/>
      <c r="V40" s="267"/>
      <c r="W40" s="267"/>
      <c r="X40" s="267"/>
      <c r="Y40" s="267"/>
      <c r="Z40" s="267"/>
      <c r="AA40" s="267"/>
      <c r="AB40" s="267"/>
      <c r="AC40" s="267"/>
      <c r="AD40" s="267"/>
      <c r="AE40" s="267"/>
      <c r="AF40" s="267"/>
      <c r="AG40" s="92"/>
      <c r="AH40" s="92"/>
    </row>
    <row r="41" spans="1:34" ht="30" customHeight="1">
      <c r="A41" s="92"/>
      <c r="B41" s="269" t="s">
        <v>952</v>
      </c>
      <c r="C41" s="263"/>
      <c r="D41" s="263"/>
      <c r="E41" s="264" t="s">
        <v>953</v>
      </c>
      <c r="F41" s="265"/>
      <c r="G41" s="265"/>
      <c r="H41" s="266"/>
      <c r="I41" s="267" t="s">
        <v>954</v>
      </c>
      <c r="J41" s="268"/>
      <c r="K41" s="268"/>
      <c r="L41" s="268"/>
      <c r="M41" s="268"/>
      <c r="N41" s="268"/>
      <c r="O41" s="268"/>
      <c r="P41" s="268"/>
      <c r="Q41" s="268"/>
      <c r="R41" s="267" t="s">
        <v>955</v>
      </c>
      <c r="S41" s="267"/>
      <c r="T41" s="267"/>
      <c r="U41" s="267"/>
      <c r="V41" s="267"/>
      <c r="W41" s="267"/>
      <c r="X41" s="267"/>
      <c r="Y41" s="267"/>
      <c r="Z41" s="267"/>
      <c r="AA41" s="267"/>
      <c r="AB41" s="267"/>
      <c r="AC41" s="267"/>
      <c r="AD41" s="267"/>
      <c r="AE41" s="267"/>
      <c r="AF41" s="267"/>
      <c r="AG41" s="92"/>
      <c r="AH41" s="92"/>
    </row>
    <row r="42" spans="1:34" ht="30" customHeight="1">
      <c r="A42" s="92"/>
      <c r="B42" s="269" t="s">
        <v>957</v>
      </c>
      <c r="C42" s="263"/>
      <c r="D42" s="263"/>
      <c r="E42" s="264" t="s">
        <v>958</v>
      </c>
      <c r="F42" s="265"/>
      <c r="G42" s="265"/>
      <c r="H42" s="266"/>
      <c r="I42" s="267" t="s">
        <v>954</v>
      </c>
      <c r="J42" s="268"/>
      <c r="K42" s="268"/>
      <c r="L42" s="268"/>
      <c r="M42" s="268"/>
      <c r="N42" s="268"/>
      <c r="O42" s="268"/>
      <c r="P42" s="268"/>
      <c r="Q42" s="268"/>
      <c r="R42" s="267" t="s">
        <v>959</v>
      </c>
      <c r="S42" s="267"/>
      <c r="T42" s="267"/>
      <c r="U42" s="267"/>
      <c r="V42" s="267"/>
      <c r="W42" s="267"/>
      <c r="X42" s="267"/>
      <c r="Y42" s="267"/>
      <c r="Z42" s="267"/>
      <c r="AA42" s="267"/>
      <c r="AB42" s="267"/>
      <c r="AC42" s="267"/>
      <c r="AD42" s="267"/>
      <c r="AE42" s="267"/>
      <c r="AF42" s="267"/>
      <c r="AG42" s="92"/>
      <c r="AH42" s="92"/>
    </row>
    <row r="43" spans="1:34" ht="69" customHeight="1">
      <c r="A43" s="92"/>
      <c r="B43" s="262"/>
      <c r="C43" s="263"/>
      <c r="D43" s="263"/>
      <c r="E43" s="264"/>
      <c r="F43" s="265"/>
      <c r="G43" s="265"/>
      <c r="H43" s="266"/>
      <c r="I43" s="267"/>
      <c r="J43" s="268"/>
      <c r="K43" s="268"/>
      <c r="L43" s="268"/>
      <c r="M43" s="268"/>
      <c r="N43" s="268"/>
      <c r="O43" s="268"/>
      <c r="P43" s="268"/>
      <c r="Q43" s="268"/>
      <c r="R43" s="267"/>
      <c r="S43" s="267"/>
      <c r="T43" s="267"/>
      <c r="U43" s="267"/>
      <c r="V43" s="267"/>
      <c r="W43" s="267"/>
      <c r="X43" s="267"/>
      <c r="Y43" s="267"/>
      <c r="Z43" s="267"/>
      <c r="AA43" s="267"/>
      <c r="AB43" s="267"/>
      <c r="AC43" s="267"/>
      <c r="AD43" s="267"/>
      <c r="AE43" s="267"/>
      <c r="AF43" s="267"/>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91" t="s">
        <v>84</v>
      </c>
      <c r="C49" s="291"/>
      <c r="D49" s="291"/>
      <c r="E49" s="291" t="s">
        <v>85</v>
      </c>
      <c r="F49" s="295"/>
      <c r="G49" s="295"/>
      <c r="H49" s="295"/>
      <c r="I49" s="295"/>
      <c r="J49" s="295"/>
      <c r="K49" s="295"/>
      <c r="L49" s="295"/>
      <c r="M49" s="295"/>
      <c r="N49" s="295"/>
      <c r="O49" s="295"/>
      <c r="P49" s="295"/>
      <c r="Q49" s="295"/>
      <c r="R49" s="295"/>
      <c r="S49" s="295"/>
      <c r="T49" s="295"/>
      <c r="U49" s="295"/>
      <c r="V49" s="295"/>
      <c r="W49" s="295"/>
      <c r="X49" s="295"/>
      <c r="Y49" s="291" t="s">
        <v>86</v>
      </c>
      <c r="Z49" s="291"/>
      <c r="AA49" s="291"/>
      <c r="AB49" s="291"/>
      <c r="AC49" s="291"/>
      <c r="AD49" s="291"/>
      <c r="AE49" s="291"/>
      <c r="AF49" s="291"/>
      <c r="AG49" s="92"/>
      <c r="AH49" s="92"/>
    </row>
    <row r="50" spans="1:34">
      <c r="A50" s="92"/>
      <c r="B50" s="300"/>
      <c r="C50" s="300"/>
      <c r="D50" s="300"/>
      <c r="E50" s="267"/>
      <c r="F50" s="299"/>
      <c r="G50" s="299"/>
      <c r="H50" s="299"/>
      <c r="I50" s="299"/>
      <c r="J50" s="299"/>
      <c r="K50" s="299"/>
      <c r="L50" s="299"/>
      <c r="M50" s="299"/>
      <c r="N50" s="299"/>
      <c r="O50" s="299"/>
      <c r="P50" s="299"/>
      <c r="Q50" s="299"/>
      <c r="R50" s="299"/>
      <c r="S50" s="299"/>
      <c r="T50" s="299"/>
      <c r="U50" s="299"/>
      <c r="V50" s="299"/>
      <c r="W50" s="299"/>
      <c r="X50" s="299"/>
      <c r="Y50" s="267"/>
      <c r="Z50" s="299"/>
      <c r="AA50" s="299"/>
      <c r="AB50" s="299"/>
      <c r="AC50" s="299"/>
      <c r="AD50" s="299"/>
      <c r="AE50" s="299"/>
      <c r="AF50" s="299"/>
      <c r="AG50" s="92"/>
      <c r="AH50" s="92"/>
    </row>
    <row r="51" spans="1:34">
      <c r="A51" s="92"/>
      <c r="B51" s="300"/>
      <c r="C51" s="300"/>
      <c r="D51" s="300"/>
      <c r="E51" s="267"/>
      <c r="F51" s="299"/>
      <c r="G51" s="299"/>
      <c r="H51" s="299"/>
      <c r="I51" s="299"/>
      <c r="J51" s="299"/>
      <c r="K51" s="299"/>
      <c r="L51" s="299"/>
      <c r="M51" s="299"/>
      <c r="N51" s="299"/>
      <c r="O51" s="299"/>
      <c r="P51" s="299"/>
      <c r="Q51" s="299"/>
      <c r="R51" s="299"/>
      <c r="S51" s="299"/>
      <c r="T51" s="299"/>
      <c r="U51" s="299"/>
      <c r="V51" s="299"/>
      <c r="W51" s="299"/>
      <c r="X51" s="299"/>
      <c r="Y51" s="267"/>
      <c r="Z51" s="299"/>
      <c r="AA51" s="299"/>
      <c r="AB51" s="299"/>
      <c r="AC51" s="299"/>
      <c r="AD51" s="299"/>
      <c r="AE51" s="299"/>
      <c r="AF51" s="299"/>
      <c r="AG51" s="92"/>
      <c r="AH51" s="92"/>
    </row>
    <row r="52" spans="1:34">
      <c r="A52" s="92"/>
      <c r="B52" s="300"/>
      <c r="C52" s="300"/>
      <c r="D52" s="300"/>
      <c r="E52" s="267"/>
      <c r="F52" s="299"/>
      <c r="G52" s="299"/>
      <c r="H52" s="299"/>
      <c r="I52" s="299"/>
      <c r="J52" s="299"/>
      <c r="K52" s="299"/>
      <c r="L52" s="299"/>
      <c r="M52" s="299"/>
      <c r="N52" s="299"/>
      <c r="O52" s="299"/>
      <c r="P52" s="299"/>
      <c r="Q52" s="299"/>
      <c r="R52" s="299"/>
      <c r="S52" s="299"/>
      <c r="T52" s="299"/>
      <c r="U52" s="299"/>
      <c r="V52" s="299"/>
      <c r="W52" s="299"/>
      <c r="X52" s="299"/>
      <c r="Y52" s="267"/>
      <c r="Z52" s="299"/>
      <c r="AA52" s="299"/>
      <c r="AB52" s="299"/>
      <c r="AC52" s="299"/>
      <c r="AD52" s="299"/>
      <c r="AE52" s="299"/>
      <c r="AF52" s="299"/>
      <c r="AG52" s="92"/>
      <c r="AH52" s="92"/>
    </row>
    <row r="53" spans="1:34">
      <c r="A53" s="92"/>
      <c r="B53" s="300"/>
      <c r="C53" s="300"/>
      <c r="D53" s="300"/>
      <c r="E53" s="267"/>
      <c r="F53" s="299"/>
      <c r="G53" s="299"/>
      <c r="H53" s="299"/>
      <c r="I53" s="299"/>
      <c r="J53" s="299"/>
      <c r="K53" s="299"/>
      <c r="L53" s="299"/>
      <c r="M53" s="299"/>
      <c r="N53" s="299"/>
      <c r="O53" s="299"/>
      <c r="P53" s="299"/>
      <c r="Q53" s="299"/>
      <c r="R53" s="299"/>
      <c r="S53" s="299"/>
      <c r="T53" s="299"/>
      <c r="U53" s="299"/>
      <c r="V53" s="299"/>
      <c r="W53" s="299"/>
      <c r="X53" s="299"/>
      <c r="Y53" s="267"/>
      <c r="Z53" s="299"/>
      <c r="AA53" s="299"/>
      <c r="AB53" s="299"/>
      <c r="AC53" s="299"/>
      <c r="AD53" s="299"/>
      <c r="AE53" s="299"/>
      <c r="AF53" s="29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91" t="s">
        <v>84</v>
      </c>
      <c r="C55" s="291"/>
      <c r="D55" s="291"/>
      <c r="E55" s="291" t="s">
        <v>85</v>
      </c>
      <c r="F55" s="295"/>
      <c r="G55" s="295"/>
      <c r="H55" s="295"/>
      <c r="I55" s="295"/>
      <c r="J55" s="295"/>
      <c r="K55" s="295"/>
      <c r="L55" s="295"/>
      <c r="M55" s="295"/>
      <c r="N55" s="295"/>
      <c r="O55" s="295"/>
      <c r="P55" s="295"/>
      <c r="Q55" s="295"/>
      <c r="R55" s="295"/>
      <c r="S55" s="295"/>
      <c r="T55" s="295"/>
      <c r="U55" s="295"/>
      <c r="V55" s="295"/>
      <c r="W55" s="295"/>
      <c r="X55" s="295"/>
      <c r="Y55" s="291" t="s">
        <v>86</v>
      </c>
      <c r="Z55" s="291"/>
      <c r="AA55" s="291"/>
      <c r="AB55" s="291"/>
      <c r="AC55" s="291"/>
      <c r="AD55" s="291"/>
      <c r="AE55" s="291"/>
      <c r="AF55" s="291"/>
      <c r="AG55" s="92"/>
      <c r="AH55" s="92"/>
    </row>
    <row r="56" spans="1:34">
      <c r="A56" s="92"/>
      <c r="B56" s="300"/>
      <c r="C56" s="300"/>
      <c r="D56" s="300"/>
      <c r="E56" s="267"/>
      <c r="F56" s="299"/>
      <c r="G56" s="299"/>
      <c r="H56" s="299"/>
      <c r="I56" s="299"/>
      <c r="J56" s="299"/>
      <c r="K56" s="299"/>
      <c r="L56" s="299"/>
      <c r="M56" s="299"/>
      <c r="N56" s="299"/>
      <c r="O56" s="299"/>
      <c r="P56" s="299"/>
      <c r="Q56" s="299"/>
      <c r="R56" s="299"/>
      <c r="S56" s="299"/>
      <c r="T56" s="299"/>
      <c r="U56" s="299"/>
      <c r="V56" s="299"/>
      <c r="W56" s="299"/>
      <c r="X56" s="299"/>
      <c r="Y56" s="267"/>
      <c r="Z56" s="299"/>
      <c r="AA56" s="299"/>
      <c r="AB56" s="299"/>
      <c r="AC56" s="299"/>
      <c r="AD56" s="299"/>
      <c r="AE56" s="299"/>
      <c r="AF56" s="299"/>
      <c r="AG56" s="92"/>
      <c r="AH56" s="92"/>
    </row>
    <row r="57" spans="1:34">
      <c r="A57" s="92"/>
      <c r="B57" s="300"/>
      <c r="C57" s="300"/>
      <c r="D57" s="300"/>
      <c r="E57" s="267"/>
      <c r="F57" s="299"/>
      <c r="G57" s="299"/>
      <c r="H57" s="299"/>
      <c r="I57" s="299"/>
      <c r="J57" s="299"/>
      <c r="K57" s="299"/>
      <c r="L57" s="299"/>
      <c r="M57" s="299"/>
      <c r="N57" s="299"/>
      <c r="O57" s="299"/>
      <c r="P57" s="299"/>
      <c r="Q57" s="299"/>
      <c r="R57" s="299"/>
      <c r="S57" s="299"/>
      <c r="T57" s="299"/>
      <c r="U57" s="299"/>
      <c r="V57" s="299"/>
      <c r="W57" s="299"/>
      <c r="X57" s="299"/>
      <c r="Y57" s="267"/>
      <c r="Z57" s="299"/>
      <c r="AA57" s="299"/>
      <c r="AB57" s="299"/>
      <c r="AC57" s="299"/>
      <c r="AD57" s="299"/>
      <c r="AE57" s="299"/>
      <c r="AF57" s="299"/>
      <c r="AG57" s="92"/>
      <c r="AH57" s="92"/>
    </row>
    <row r="58" spans="1:34">
      <c r="A58" s="92"/>
      <c r="B58" s="300"/>
      <c r="C58" s="300"/>
      <c r="D58" s="300"/>
      <c r="E58" s="267"/>
      <c r="F58" s="299"/>
      <c r="G58" s="299"/>
      <c r="H58" s="299"/>
      <c r="I58" s="299"/>
      <c r="J58" s="299"/>
      <c r="K58" s="299"/>
      <c r="L58" s="299"/>
      <c r="M58" s="299"/>
      <c r="N58" s="299"/>
      <c r="O58" s="299"/>
      <c r="P58" s="299"/>
      <c r="Q58" s="299"/>
      <c r="R58" s="299"/>
      <c r="S58" s="299"/>
      <c r="T58" s="299"/>
      <c r="U58" s="299"/>
      <c r="V58" s="299"/>
      <c r="W58" s="299"/>
      <c r="X58" s="299"/>
      <c r="Y58" s="267"/>
      <c r="Z58" s="299"/>
      <c r="AA58" s="299"/>
      <c r="AB58" s="299"/>
      <c r="AC58" s="299"/>
      <c r="AD58" s="299"/>
      <c r="AE58" s="299"/>
      <c r="AF58" s="299"/>
      <c r="AG58" s="92"/>
      <c r="AH58" s="92"/>
    </row>
    <row r="59" spans="1:34">
      <c r="A59" s="92"/>
      <c r="B59" s="300"/>
      <c r="C59" s="300"/>
      <c r="D59" s="300"/>
      <c r="E59" s="267"/>
      <c r="F59" s="299"/>
      <c r="G59" s="299"/>
      <c r="H59" s="299"/>
      <c r="I59" s="299"/>
      <c r="J59" s="299"/>
      <c r="K59" s="299"/>
      <c r="L59" s="299"/>
      <c r="M59" s="299"/>
      <c r="N59" s="299"/>
      <c r="O59" s="299"/>
      <c r="P59" s="299"/>
      <c r="Q59" s="299"/>
      <c r="R59" s="299"/>
      <c r="S59" s="299"/>
      <c r="T59" s="299"/>
      <c r="U59" s="299"/>
      <c r="V59" s="299"/>
      <c r="W59" s="299"/>
      <c r="X59" s="299"/>
      <c r="Y59" s="267"/>
      <c r="Z59" s="299"/>
      <c r="AA59" s="299"/>
      <c r="AB59" s="299"/>
      <c r="AC59" s="299"/>
      <c r="AD59" s="299"/>
      <c r="AE59" s="299"/>
      <c r="AF59" s="29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91" t="s">
        <v>89</v>
      </c>
      <c r="C62" s="291"/>
      <c r="D62" s="291"/>
      <c r="E62" s="291"/>
      <c r="F62" s="291"/>
      <c r="G62" s="291"/>
      <c r="H62" s="301"/>
      <c r="I62" s="301"/>
      <c r="J62" s="301"/>
      <c r="K62" s="301"/>
      <c r="L62" s="301"/>
      <c r="M62" s="301"/>
      <c r="N62" s="301"/>
      <c r="O62" s="301"/>
      <c r="P62" s="301"/>
      <c r="Q62" s="301"/>
      <c r="R62" s="301"/>
      <c r="S62" s="301"/>
      <c r="T62" s="301"/>
      <c r="U62" s="301"/>
      <c r="V62" s="301"/>
      <c r="W62" s="301"/>
      <c r="X62" s="301"/>
      <c r="Y62" s="301"/>
      <c r="Z62" s="301"/>
      <c r="AA62" s="301"/>
      <c r="AB62" s="301"/>
      <c r="AC62" s="301"/>
      <c r="AD62" s="301"/>
      <c r="AE62" s="301"/>
      <c r="AF62" s="301"/>
      <c r="AG62" s="92"/>
      <c r="AH62" s="92"/>
    </row>
    <row r="63" spans="1:34" ht="27.75" customHeight="1">
      <c r="A63" s="92"/>
      <c r="B63" s="276" t="s">
        <v>90</v>
      </c>
      <c r="C63" s="277"/>
      <c r="D63" s="277"/>
      <c r="E63" s="277"/>
      <c r="F63" s="277"/>
      <c r="G63" s="278"/>
      <c r="H63" s="305" t="s">
        <v>91</v>
      </c>
      <c r="I63" s="303"/>
      <c r="J63" s="303"/>
      <c r="K63" s="303"/>
      <c r="L63" s="303"/>
      <c r="M63" s="303"/>
      <c r="N63" s="303"/>
      <c r="O63" s="303"/>
      <c r="P63" s="303"/>
      <c r="Q63" s="303"/>
      <c r="R63" s="303"/>
      <c r="S63" s="303"/>
      <c r="T63" s="303"/>
      <c r="U63" s="303"/>
      <c r="V63" s="303"/>
      <c r="W63" s="303"/>
      <c r="X63" s="303"/>
      <c r="Y63" s="303"/>
      <c r="Z63" s="303"/>
      <c r="AA63" s="303"/>
      <c r="AB63" s="303"/>
      <c r="AC63" s="303"/>
      <c r="AD63" s="303"/>
      <c r="AE63" s="303"/>
      <c r="AF63" s="304"/>
      <c r="AG63" s="92"/>
      <c r="AH63" s="92"/>
    </row>
    <row r="64" spans="1:34">
      <c r="A64" s="92"/>
      <c r="B64" s="276"/>
      <c r="C64" s="277"/>
      <c r="D64" s="277"/>
      <c r="E64" s="277"/>
      <c r="F64" s="277"/>
      <c r="G64" s="278"/>
      <c r="H64" s="302"/>
      <c r="I64" s="303"/>
      <c r="J64" s="303"/>
      <c r="K64" s="303"/>
      <c r="L64" s="303"/>
      <c r="M64" s="303"/>
      <c r="N64" s="303"/>
      <c r="O64" s="303"/>
      <c r="P64" s="303"/>
      <c r="Q64" s="303"/>
      <c r="R64" s="303"/>
      <c r="S64" s="303"/>
      <c r="T64" s="303"/>
      <c r="U64" s="303"/>
      <c r="V64" s="303"/>
      <c r="W64" s="303"/>
      <c r="X64" s="303"/>
      <c r="Y64" s="303"/>
      <c r="Z64" s="303"/>
      <c r="AA64" s="303"/>
      <c r="AB64" s="303"/>
      <c r="AC64" s="303"/>
      <c r="AD64" s="303"/>
      <c r="AE64" s="303"/>
      <c r="AF64" s="304"/>
      <c r="AG64" s="92"/>
      <c r="AH64" s="92"/>
    </row>
    <row r="65" spans="1:34">
      <c r="A65" s="92"/>
      <c r="B65" s="276"/>
      <c r="C65" s="277"/>
      <c r="D65" s="277"/>
      <c r="E65" s="277"/>
      <c r="F65" s="277"/>
      <c r="G65" s="278"/>
      <c r="H65" s="302"/>
      <c r="I65" s="303"/>
      <c r="J65" s="303"/>
      <c r="K65" s="303"/>
      <c r="L65" s="303"/>
      <c r="M65" s="303"/>
      <c r="N65" s="303"/>
      <c r="O65" s="303"/>
      <c r="P65" s="303"/>
      <c r="Q65" s="303"/>
      <c r="R65" s="303"/>
      <c r="S65" s="303"/>
      <c r="T65" s="303"/>
      <c r="U65" s="303"/>
      <c r="V65" s="303"/>
      <c r="W65" s="303"/>
      <c r="X65" s="303"/>
      <c r="Y65" s="303"/>
      <c r="Z65" s="303"/>
      <c r="AA65" s="303"/>
      <c r="AB65" s="303"/>
      <c r="AC65" s="303"/>
      <c r="AD65" s="303"/>
      <c r="AE65" s="303"/>
      <c r="AF65" s="304"/>
      <c r="AG65" s="92"/>
      <c r="AH65" s="92"/>
    </row>
    <row r="66" spans="1:34">
      <c r="A66" s="92"/>
      <c r="B66" s="276"/>
      <c r="C66" s="277"/>
      <c r="D66" s="277"/>
      <c r="E66" s="277"/>
      <c r="F66" s="277"/>
      <c r="G66" s="278"/>
      <c r="H66" s="302"/>
      <c r="I66" s="303"/>
      <c r="J66" s="303"/>
      <c r="K66" s="303"/>
      <c r="L66" s="303"/>
      <c r="M66" s="303"/>
      <c r="N66" s="303"/>
      <c r="O66" s="303"/>
      <c r="P66" s="303"/>
      <c r="Q66" s="303"/>
      <c r="R66" s="303"/>
      <c r="S66" s="303"/>
      <c r="T66" s="303"/>
      <c r="U66" s="303"/>
      <c r="V66" s="303"/>
      <c r="W66" s="303"/>
      <c r="X66" s="303"/>
      <c r="Y66" s="303"/>
      <c r="Z66" s="303"/>
      <c r="AA66" s="303"/>
      <c r="AB66" s="303"/>
      <c r="AC66" s="303"/>
      <c r="AD66" s="303"/>
      <c r="AE66" s="303"/>
      <c r="AF66" s="304"/>
      <c r="AG66" s="92"/>
      <c r="AH66" s="92"/>
    </row>
    <row r="67" spans="1:34">
      <c r="A67" s="92"/>
      <c r="B67" s="276"/>
      <c r="C67" s="277"/>
      <c r="D67" s="277"/>
      <c r="E67" s="277"/>
      <c r="F67" s="277"/>
      <c r="G67" s="278"/>
      <c r="H67" s="302"/>
      <c r="I67" s="303"/>
      <c r="J67" s="303"/>
      <c r="K67" s="303"/>
      <c r="L67" s="303"/>
      <c r="M67" s="303"/>
      <c r="N67" s="303"/>
      <c r="O67" s="303"/>
      <c r="P67" s="303"/>
      <c r="Q67" s="303"/>
      <c r="R67" s="303"/>
      <c r="S67" s="303"/>
      <c r="T67" s="303"/>
      <c r="U67" s="303"/>
      <c r="V67" s="303"/>
      <c r="W67" s="303"/>
      <c r="X67" s="303"/>
      <c r="Y67" s="303"/>
      <c r="Z67" s="303"/>
      <c r="AA67" s="303"/>
      <c r="AB67" s="303"/>
      <c r="AC67" s="303"/>
      <c r="AD67" s="303"/>
      <c r="AE67" s="303"/>
      <c r="AF67" s="304"/>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270" t="s">
        <v>94</v>
      </c>
      <c r="C74" s="271"/>
      <c r="D74" s="271"/>
      <c r="E74" s="271"/>
      <c r="F74" s="271"/>
      <c r="G74" s="272"/>
      <c r="H74" s="273" t="s">
        <v>95</v>
      </c>
      <c r="I74" s="274"/>
      <c r="J74" s="274"/>
      <c r="K74" s="274"/>
      <c r="L74" s="274"/>
      <c r="M74" s="274"/>
      <c r="N74" s="274"/>
      <c r="O74" s="274"/>
      <c r="P74" s="274"/>
      <c r="Q74" s="274"/>
      <c r="R74" s="274"/>
      <c r="S74" s="274"/>
      <c r="T74" s="274"/>
      <c r="U74" s="274"/>
      <c r="V74" s="274"/>
      <c r="W74" s="274"/>
      <c r="X74" s="274"/>
      <c r="Y74" s="274"/>
      <c r="Z74" s="274"/>
      <c r="AA74" s="274"/>
      <c r="AB74" s="274"/>
      <c r="AC74" s="274"/>
      <c r="AD74" s="274"/>
      <c r="AE74" s="274"/>
      <c r="AF74" s="275"/>
      <c r="AG74" s="92"/>
      <c r="AH74" s="92"/>
    </row>
    <row r="75" spans="1:34" ht="111" customHeight="1">
      <c r="A75" s="92"/>
      <c r="B75" s="270" t="s">
        <v>96</v>
      </c>
      <c r="C75" s="271"/>
      <c r="D75" s="271"/>
      <c r="E75" s="271"/>
      <c r="F75" s="271"/>
      <c r="G75" s="272"/>
      <c r="H75" s="273" t="s">
        <v>97</v>
      </c>
      <c r="I75" s="274"/>
      <c r="J75" s="274"/>
      <c r="K75" s="274"/>
      <c r="L75" s="274"/>
      <c r="M75" s="274"/>
      <c r="N75" s="274"/>
      <c r="O75" s="274"/>
      <c r="P75" s="274"/>
      <c r="Q75" s="274"/>
      <c r="R75" s="274"/>
      <c r="S75" s="274"/>
      <c r="T75" s="274"/>
      <c r="U75" s="274"/>
      <c r="V75" s="274"/>
      <c r="W75" s="274"/>
      <c r="X75" s="274"/>
      <c r="Y75" s="274"/>
      <c r="Z75" s="274"/>
      <c r="AA75" s="274"/>
      <c r="AB75" s="274"/>
      <c r="AC75" s="274"/>
      <c r="AD75" s="274"/>
      <c r="AE75" s="274"/>
      <c r="AF75" s="275"/>
      <c r="AG75" s="92"/>
      <c r="AH75" s="92"/>
    </row>
    <row r="76" spans="1:34" ht="52.5" customHeight="1">
      <c r="A76" s="92"/>
      <c r="B76" s="270" t="s">
        <v>98</v>
      </c>
      <c r="C76" s="271"/>
      <c r="D76" s="271"/>
      <c r="E76" s="271"/>
      <c r="F76" s="271"/>
      <c r="G76" s="272"/>
      <c r="H76" s="273" t="s">
        <v>99</v>
      </c>
      <c r="I76" s="274"/>
      <c r="J76" s="274"/>
      <c r="K76" s="274"/>
      <c r="L76" s="274"/>
      <c r="M76" s="274"/>
      <c r="N76" s="274"/>
      <c r="O76" s="274"/>
      <c r="P76" s="274"/>
      <c r="Q76" s="274"/>
      <c r="R76" s="274"/>
      <c r="S76" s="274"/>
      <c r="T76" s="274"/>
      <c r="U76" s="274"/>
      <c r="V76" s="274"/>
      <c r="W76" s="274"/>
      <c r="X76" s="274"/>
      <c r="Y76" s="274"/>
      <c r="Z76" s="274"/>
      <c r="AA76" s="274"/>
      <c r="AB76" s="274"/>
      <c r="AC76" s="274"/>
      <c r="AD76" s="274"/>
      <c r="AE76" s="274"/>
      <c r="AF76" s="275"/>
      <c r="AG76" s="92"/>
      <c r="AH76" s="92"/>
    </row>
    <row r="77" spans="1:34" ht="52.5" customHeight="1">
      <c r="A77" s="92"/>
      <c r="B77" s="270" t="s">
        <v>100</v>
      </c>
      <c r="C77" s="271"/>
      <c r="D77" s="271"/>
      <c r="E77" s="271"/>
      <c r="F77" s="271"/>
      <c r="G77" s="272"/>
      <c r="H77" s="273" t="s">
        <v>101</v>
      </c>
      <c r="I77" s="274"/>
      <c r="J77" s="274"/>
      <c r="K77" s="274"/>
      <c r="L77" s="274"/>
      <c r="M77" s="274"/>
      <c r="N77" s="274"/>
      <c r="O77" s="274"/>
      <c r="P77" s="274"/>
      <c r="Q77" s="274"/>
      <c r="R77" s="274"/>
      <c r="S77" s="274"/>
      <c r="T77" s="274"/>
      <c r="U77" s="274"/>
      <c r="V77" s="274"/>
      <c r="W77" s="274"/>
      <c r="X77" s="274"/>
      <c r="Y77" s="274"/>
      <c r="Z77" s="274"/>
      <c r="AA77" s="274"/>
      <c r="AB77" s="274"/>
      <c r="AC77" s="274"/>
      <c r="AD77" s="274"/>
      <c r="AE77" s="274"/>
      <c r="AF77" s="275"/>
      <c r="AG77" s="92"/>
      <c r="AH77" s="92"/>
    </row>
    <row r="78" spans="1:34" ht="81" customHeight="1">
      <c r="A78" s="92"/>
      <c r="B78" s="270" t="s">
        <v>102</v>
      </c>
      <c r="C78" s="271"/>
      <c r="D78" s="271"/>
      <c r="E78" s="271"/>
      <c r="F78" s="271"/>
      <c r="G78" s="272"/>
      <c r="H78" s="273" t="s">
        <v>103</v>
      </c>
      <c r="I78" s="274"/>
      <c r="J78" s="274"/>
      <c r="K78" s="274"/>
      <c r="L78" s="274"/>
      <c r="M78" s="274"/>
      <c r="N78" s="274"/>
      <c r="O78" s="274"/>
      <c r="P78" s="274"/>
      <c r="Q78" s="274"/>
      <c r="R78" s="274"/>
      <c r="S78" s="274"/>
      <c r="T78" s="274"/>
      <c r="U78" s="274"/>
      <c r="V78" s="274"/>
      <c r="W78" s="274"/>
      <c r="X78" s="274"/>
      <c r="Y78" s="274"/>
      <c r="Z78" s="274"/>
      <c r="AA78" s="274"/>
      <c r="AB78" s="274"/>
      <c r="AC78" s="274"/>
      <c r="AD78" s="274"/>
      <c r="AE78" s="274"/>
      <c r="AF78" s="275"/>
      <c r="AG78" s="92"/>
      <c r="AH78" s="92"/>
    </row>
    <row r="79" spans="1:34" ht="97.5" customHeight="1">
      <c r="A79" s="92"/>
      <c r="B79" s="270" t="s">
        <v>104</v>
      </c>
      <c r="C79" s="271"/>
      <c r="D79" s="271"/>
      <c r="E79" s="271"/>
      <c r="F79" s="271"/>
      <c r="G79" s="272"/>
      <c r="H79" s="273" t="s">
        <v>105</v>
      </c>
      <c r="I79" s="274"/>
      <c r="J79" s="274"/>
      <c r="K79" s="274"/>
      <c r="L79" s="274"/>
      <c r="M79" s="274"/>
      <c r="N79" s="274"/>
      <c r="O79" s="274"/>
      <c r="P79" s="274"/>
      <c r="Q79" s="274"/>
      <c r="R79" s="274"/>
      <c r="S79" s="274"/>
      <c r="T79" s="274"/>
      <c r="U79" s="274"/>
      <c r="V79" s="274"/>
      <c r="W79" s="274"/>
      <c r="X79" s="274"/>
      <c r="Y79" s="274"/>
      <c r="Z79" s="274"/>
      <c r="AA79" s="274"/>
      <c r="AB79" s="274"/>
      <c r="AC79" s="274"/>
      <c r="AD79" s="274"/>
      <c r="AE79" s="274"/>
      <c r="AF79" s="275"/>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49:D49"/>
    <mergeCell ref="E49:X49"/>
    <mergeCell ref="Y49:AF49"/>
    <mergeCell ref="B50:D50"/>
    <mergeCell ref="E50:X50"/>
    <mergeCell ref="Y50:AF50"/>
    <mergeCell ref="Y58:AF58"/>
    <mergeCell ref="B59:D59"/>
    <mergeCell ref="E59:X59"/>
    <mergeCell ref="Y59:AF59"/>
    <mergeCell ref="B51:D51"/>
    <mergeCell ref="E51:X51"/>
    <mergeCell ref="B67:G67"/>
    <mergeCell ref="H67:AF67"/>
    <mergeCell ref="B64:G64"/>
    <mergeCell ref="H64:AF64"/>
    <mergeCell ref="B65:G65"/>
    <mergeCell ref="H65:AF65"/>
    <mergeCell ref="B66:G66"/>
    <mergeCell ref="H66:AF66"/>
    <mergeCell ref="B63:G63"/>
    <mergeCell ref="H63:AF63"/>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29:D29"/>
    <mergeCell ref="E29:H29"/>
    <mergeCell ref="I29:Q29"/>
    <mergeCell ref="R29:AF29"/>
    <mergeCell ref="B30:D30"/>
    <mergeCell ref="E30:H30"/>
    <mergeCell ref="I30:Q30"/>
    <mergeCell ref="R30:AF30"/>
    <mergeCell ref="B28:D28"/>
    <mergeCell ref="E28:H28"/>
    <mergeCell ref="I28:Q28"/>
    <mergeCell ref="R28:AF28"/>
    <mergeCell ref="B32:D32"/>
    <mergeCell ref="E32:H32"/>
    <mergeCell ref="I32:Q32"/>
    <mergeCell ref="R32:AF32"/>
    <mergeCell ref="B33:D33"/>
    <mergeCell ref="E33:H33"/>
    <mergeCell ref="I33:Q33"/>
    <mergeCell ref="R33:AF33"/>
    <mergeCell ref="B34:D34"/>
    <mergeCell ref="E34:H34"/>
    <mergeCell ref="I34:Q34"/>
    <mergeCell ref="R34:AF34"/>
    <mergeCell ref="B36:D36"/>
    <mergeCell ref="E36:H36"/>
    <mergeCell ref="I36:Q36"/>
    <mergeCell ref="R36:AF36"/>
    <mergeCell ref="B37:D37"/>
    <mergeCell ref="E37:H37"/>
    <mergeCell ref="I37:Q37"/>
    <mergeCell ref="R37:AF37"/>
    <mergeCell ref="B38:D38"/>
    <mergeCell ref="E38:H38"/>
    <mergeCell ref="I38:Q38"/>
    <mergeCell ref="R38:AF38"/>
    <mergeCell ref="B79:G79"/>
    <mergeCell ref="H79:AF79"/>
    <mergeCell ref="B74:G74"/>
    <mergeCell ref="H74:AF74"/>
    <mergeCell ref="B75:G75"/>
    <mergeCell ref="H75:AF75"/>
    <mergeCell ref="B76:G76"/>
    <mergeCell ref="H76:AF76"/>
    <mergeCell ref="B77:G77"/>
    <mergeCell ref="H77:AF77"/>
    <mergeCell ref="B78:G78"/>
    <mergeCell ref="H78:AF78"/>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s>
  <phoneticPr fontId="79"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08" t="s">
        <v>34</v>
      </c>
      <c r="B1" s="309"/>
      <c r="C1" s="309"/>
      <c r="D1" s="310"/>
    </row>
    <row r="3" spans="1:7">
      <c r="B3" s="311" t="s">
        <v>133</v>
      </c>
      <c r="C3" s="312"/>
      <c r="D3" s="313"/>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1" t="s">
        <v>956</v>
      </c>
      <c r="C12" s="312"/>
      <c r="D12" s="313"/>
    </row>
    <row r="13" spans="1:7" ht="24.75" customHeight="1">
      <c r="B13" s="121" t="s">
        <v>148</v>
      </c>
      <c r="C13" s="314" t="s">
        <v>149</v>
      </c>
      <c r="D13" s="315"/>
    </row>
    <row r="14" spans="1:7" ht="25.5" customHeight="1">
      <c r="B14" s="121" t="s">
        <v>150</v>
      </c>
      <c r="C14" s="314" t="s">
        <v>151</v>
      </c>
      <c r="D14" s="315"/>
      <c r="E14" s="78"/>
      <c r="F14" s="78"/>
      <c r="G14" s="78"/>
    </row>
    <row r="15" spans="1:7" ht="49.5" customHeight="1">
      <c r="B15" s="121" t="s">
        <v>152</v>
      </c>
      <c r="C15" s="314" t="s">
        <v>153</v>
      </c>
      <c r="D15" s="315"/>
    </row>
    <row r="17" spans="2:4">
      <c r="B17" s="311" t="s">
        <v>154</v>
      </c>
      <c r="C17" s="312"/>
      <c r="D17" s="313"/>
    </row>
    <row r="18" spans="2:4">
      <c r="B18" s="2"/>
      <c r="D18" s="3"/>
    </row>
    <row r="19" spans="2:4" s="79" customFormat="1" ht="38.25">
      <c r="B19" s="306" t="s">
        <v>155</v>
      </c>
      <c r="C19" s="122" t="s">
        <v>156</v>
      </c>
      <c r="D19" s="80"/>
    </row>
    <row r="20" spans="2:4">
      <c r="B20" s="306"/>
      <c r="C20" s="123"/>
      <c r="D20" s="3"/>
    </row>
    <row r="21" spans="2:4" ht="25.5">
      <c r="B21" s="306"/>
      <c r="C21" s="124" t="s">
        <v>157</v>
      </c>
      <c r="D21" s="3"/>
    </row>
    <row r="22" spans="2:4" ht="25.5">
      <c r="B22" s="306"/>
      <c r="C22" s="124" t="s">
        <v>158</v>
      </c>
      <c r="D22" s="3"/>
    </row>
    <row r="23" spans="2:4">
      <c r="B23" s="306"/>
      <c r="C23" s="124" t="s">
        <v>159</v>
      </c>
      <c r="D23" s="3"/>
    </row>
    <row r="24" spans="2:4">
      <c r="B24" s="2"/>
      <c r="C24" s="24"/>
      <c r="D24" s="3"/>
    </row>
    <row r="25" spans="2:4">
      <c r="B25" s="307" t="s">
        <v>160</v>
      </c>
      <c r="C25" s="125" t="s">
        <v>161</v>
      </c>
      <c r="D25" s="3"/>
    </row>
    <row r="26" spans="2:4" ht="25.5">
      <c r="B26" s="307"/>
      <c r="C26" s="126" t="s">
        <v>162</v>
      </c>
      <c r="D26" s="3"/>
    </row>
    <row r="27" spans="2:4">
      <c r="B27" s="307"/>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H32" sqref="H32"/>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6" t="s">
        <v>219</v>
      </c>
      <c r="B1" s="317"/>
      <c r="C1" s="317"/>
      <c r="D1" s="317"/>
      <c r="E1" s="318"/>
      <c r="F1" s="319" t="s">
        <v>220</v>
      </c>
      <c r="G1" s="320"/>
      <c r="H1" s="320"/>
      <c r="I1" s="320"/>
      <c r="J1" s="320"/>
      <c r="K1" s="320"/>
      <c r="L1" s="320"/>
      <c r="M1" s="320"/>
      <c r="N1" s="320"/>
      <c r="O1" s="320"/>
    </row>
    <row r="2" spans="1:15" ht="18.75">
      <c r="A2" s="139" t="s">
        <v>221</v>
      </c>
      <c r="B2" s="139" t="s">
        <v>222</v>
      </c>
      <c r="C2" s="139" t="s">
        <v>223</v>
      </c>
      <c r="D2" s="139" t="s">
        <v>224</v>
      </c>
      <c r="E2" s="139" t="s">
        <v>225</v>
      </c>
      <c r="F2" s="140" t="s">
        <v>989</v>
      </c>
      <c r="G2" s="140" t="s">
        <v>990</v>
      </c>
      <c r="H2" s="140" t="s">
        <v>226</v>
      </c>
      <c r="I2" s="140" t="s">
        <v>227</v>
      </c>
      <c r="J2" s="140" t="s">
        <v>228</v>
      </c>
      <c r="K2" s="140" t="s">
        <v>229</v>
      </c>
      <c r="L2" s="140" t="s">
        <v>230</v>
      </c>
      <c r="M2" s="140" t="s">
        <v>231</v>
      </c>
      <c r="N2" s="140" t="s">
        <v>232</v>
      </c>
      <c r="O2" s="140" t="s">
        <v>233</v>
      </c>
    </row>
    <row r="3" spans="1:15">
      <c r="A3" t="s">
        <v>967</v>
      </c>
      <c r="E3" s="326">
        <f>SUM(F3:O3)</f>
        <v>30</v>
      </c>
      <c r="F3" s="129">
        <v>15</v>
      </c>
      <c r="G3" s="129">
        <v>15</v>
      </c>
    </row>
    <row r="4" spans="1:15">
      <c r="A4" t="s">
        <v>968</v>
      </c>
      <c r="B4" s="327"/>
      <c r="C4" s="327"/>
      <c r="D4" s="327"/>
      <c r="E4" s="138">
        <f t="shared" ref="E4:E19" si="0">SUM(F4:O4)</f>
        <v>30</v>
      </c>
      <c r="F4" s="129">
        <v>15</v>
      </c>
      <c r="G4" s="129">
        <v>15</v>
      </c>
      <c r="H4" s="327"/>
      <c r="I4" s="327"/>
      <c r="J4" s="327"/>
      <c r="K4" s="327"/>
      <c r="L4" s="327"/>
      <c r="M4" s="327"/>
      <c r="N4" s="327"/>
      <c r="O4" s="327"/>
    </row>
    <row r="5" spans="1:15">
      <c r="A5" t="s">
        <v>969</v>
      </c>
      <c r="B5" s="327"/>
      <c r="C5" s="327"/>
      <c r="D5" s="327"/>
      <c r="E5" s="138">
        <f t="shared" si="0"/>
        <v>30</v>
      </c>
      <c r="F5" s="129">
        <v>15</v>
      </c>
      <c r="G5" s="129">
        <v>15</v>
      </c>
      <c r="H5" s="327"/>
      <c r="I5" s="327"/>
      <c r="J5" s="327"/>
      <c r="K5" s="327"/>
      <c r="L5" s="327"/>
      <c r="M5" s="327"/>
      <c r="N5" s="327"/>
      <c r="O5" s="327"/>
    </row>
    <row r="6" spans="1:15">
      <c r="A6" t="s">
        <v>970</v>
      </c>
      <c r="B6" s="327"/>
      <c r="C6" s="327"/>
      <c r="D6" s="327"/>
      <c r="E6" s="138">
        <f t="shared" si="0"/>
        <v>30</v>
      </c>
      <c r="F6" s="129">
        <v>15</v>
      </c>
      <c r="G6" s="129">
        <v>15</v>
      </c>
      <c r="H6" s="327"/>
      <c r="I6" s="327"/>
      <c r="J6" s="327"/>
      <c r="K6" s="327"/>
      <c r="L6" s="327"/>
      <c r="M6" s="327"/>
      <c r="N6" s="327"/>
      <c r="O6" s="327"/>
    </row>
    <row r="7" spans="1:15">
      <c r="A7" t="s">
        <v>971</v>
      </c>
      <c r="B7" s="327"/>
      <c r="C7" s="327"/>
      <c r="D7" s="327"/>
      <c r="E7" s="138">
        <f t="shared" si="0"/>
        <v>30</v>
      </c>
      <c r="F7" s="129">
        <v>15</v>
      </c>
      <c r="G7" s="129">
        <v>15</v>
      </c>
      <c r="H7" s="327"/>
      <c r="I7" s="327"/>
      <c r="J7" s="327"/>
      <c r="K7" s="327"/>
      <c r="L7" s="327"/>
      <c r="M7" s="327"/>
      <c r="N7" s="327"/>
      <c r="O7" s="327"/>
    </row>
    <row r="8" spans="1:15">
      <c r="A8" t="s">
        <v>972</v>
      </c>
      <c r="B8" s="327"/>
      <c r="C8" s="327"/>
      <c r="D8" s="327"/>
      <c r="E8" s="138">
        <f t="shared" si="0"/>
        <v>30</v>
      </c>
      <c r="F8" s="129">
        <v>15</v>
      </c>
      <c r="G8" s="129">
        <v>15</v>
      </c>
      <c r="H8" s="327"/>
      <c r="I8" s="327"/>
      <c r="J8" s="327"/>
      <c r="K8" s="327"/>
      <c r="L8" s="327"/>
      <c r="M8" s="327"/>
      <c r="N8" s="327"/>
      <c r="O8" s="327"/>
    </row>
    <row r="9" spans="1:15">
      <c r="A9" t="s">
        <v>973</v>
      </c>
      <c r="B9" s="327"/>
      <c r="C9" s="327"/>
      <c r="D9" s="327"/>
      <c r="E9" s="138">
        <f t="shared" si="0"/>
        <v>30</v>
      </c>
      <c r="F9" s="129">
        <v>15</v>
      </c>
      <c r="G9" s="129">
        <v>15</v>
      </c>
      <c r="H9" s="327"/>
      <c r="I9" s="327"/>
      <c r="J9" s="327"/>
      <c r="K9" s="327"/>
      <c r="L9" s="327"/>
      <c r="M9" s="327"/>
      <c r="N9" s="327"/>
      <c r="O9" s="327"/>
    </row>
    <row r="10" spans="1:15">
      <c r="A10" t="s">
        <v>974</v>
      </c>
      <c r="B10" s="327"/>
      <c r="C10" s="327"/>
      <c r="D10" s="327"/>
      <c r="E10" s="138">
        <f t="shared" si="0"/>
        <v>30</v>
      </c>
      <c r="F10" s="129">
        <v>15</v>
      </c>
      <c r="G10" s="129">
        <v>15</v>
      </c>
      <c r="H10" s="327"/>
      <c r="I10" s="327"/>
      <c r="J10" s="327"/>
      <c r="K10" s="327"/>
      <c r="L10" s="327"/>
      <c r="M10" s="327"/>
      <c r="N10" s="327"/>
      <c r="O10" s="327"/>
    </row>
    <row r="11" spans="1:15">
      <c r="A11" t="s">
        <v>975</v>
      </c>
      <c r="B11" s="327"/>
      <c r="C11" s="327"/>
      <c r="D11" s="327"/>
      <c r="E11" s="138">
        <f t="shared" si="0"/>
        <v>30</v>
      </c>
      <c r="F11" s="129">
        <v>15</v>
      </c>
      <c r="G11" s="129">
        <v>15</v>
      </c>
      <c r="H11" s="327"/>
      <c r="I11" s="327"/>
      <c r="J11" s="327"/>
      <c r="K11" s="327"/>
      <c r="L11" s="327"/>
      <c r="M11" s="327"/>
      <c r="N11" s="327"/>
      <c r="O11" s="327"/>
    </row>
    <row r="12" spans="1:15">
      <c r="A12" t="s">
        <v>976</v>
      </c>
      <c r="B12" s="327"/>
      <c r="C12" s="327"/>
      <c r="D12" s="327"/>
      <c r="E12" s="138">
        <f t="shared" si="0"/>
        <v>30</v>
      </c>
      <c r="F12" s="129">
        <v>15</v>
      </c>
      <c r="G12" s="129">
        <v>15</v>
      </c>
      <c r="H12" s="327"/>
      <c r="I12" s="327"/>
      <c r="J12" s="327"/>
      <c r="K12" s="327"/>
      <c r="L12" s="327"/>
      <c r="M12" s="327"/>
      <c r="N12" s="327"/>
      <c r="O12" s="327"/>
    </row>
    <row r="13" spans="1:15">
      <c r="A13" t="s">
        <v>977</v>
      </c>
      <c r="B13" s="327"/>
      <c r="C13" s="327"/>
      <c r="D13" s="327"/>
      <c r="E13" s="138">
        <f t="shared" si="0"/>
        <v>30</v>
      </c>
      <c r="F13" s="129">
        <v>15</v>
      </c>
      <c r="G13" s="129">
        <v>15</v>
      </c>
      <c r="H13" s="327"/>
      <c r="I13" s="327"/>
      <c r="J13" s="327"/>
      <c r="K13" s="327"/>
      <c r="L13" s="327"/>
      <c r="M13" s="327"/>
      <c r="N13" s="327"/>
      <c r="O13" s="327"/>
    </row>
    <row r="14" spans="1:15">
      <c r="A14" t="s">
        <v>978</v>
      </c>
      <c r="B14" s="327"/>
      <c r="C14" s="327"/>
      <c r="D14" s="327"/>
      <c r="E14" s="138">
        <f t="shared" si="0"/>
        <v>30</v>
      </c>
      <c r="F14" s="129">
        <v>15</v>
      </c>
      <c r="G14" s="129">
        <v>15</v>
      </c>
      <c r="H14" s="327"/>
      <c r="I14" s="327"/>
      <c r="J14" s="327"/>
      <c r="K14" s="327"/>
      <c r="L14" s="327"/>
      <c r="M14" s="327"/>
      <c r="N14" s="327"/>
      <c r="O14" s="327"/>
    </row>
    <row r="15" spans="1:15">
      <c r="A15" t="s">
        <v>979</v>
      </c>
      <c r="B15" s="327"/>
      <c r="C15" s="327"/>
      <c r="D15" s="327"/>
      <c r="E15" s="138">
        <f t="shared" si="0"/>
        <v>30</v>
      </c>
      <c r="F15" s="129">
        <v>15</v>
      </c>
      <c r="G15" s="129">
        <v>15</v>
      </c>
      <c r="H15" s="327"/>
      <c r="I15" s="327"/>
      <c r="J15" s="327"/>
      <c r="K15" s="327"/>
      <c r="L15" s="327"/>
      <c r="M15" s="327"/>
      <c r="N15" s="327"/>
      <c r="O15" s="327"/>
    </row>
    <row r="16" spans="1:15">
      <c r="A16" t="s">
        <v>980</v>
      </c>
      <c r="B16" s="327"/>
      <c r="C16" s="327"/>
      <c r="D16" s="327"/>
      <c r="E16" s="138">
        <f t="shared" si="0"/>
        <v>30</v>
      </c>
      <c r="F16" s="129">
        <v>15</v>
      </c>
      <c r="G16" s="129">
        <v>15</v>
      </c>
      <c r="H16" s="327"/>
      <c r="I16" s="327"/>
      <c r="J16" s="327"/>
      <c r="K16" s="327"/>
      <c r="L16" s="327"/>
      <c r="M16" s="327"/>
      <c r="N16" s="327"/>
      <c r="O16" s="327"/>
    </row>
    <row r="17" spans="1:15">
      <c r="A17" t="s">
        <v>981</v>
      </c>
      <c r="B17" s="327"/>
      <c r="C17" s="327"/>
      <c r="D17" s="327"/>
      <c r="E17" s="138">
        <f t="shared" si="0"/>
        <v>30</v>
      </c>
      <c r="F17" s="129">
        <v>15</v>
      </c>
      <c r="G17" s="129">
        <v>15</v>
      </c>
      <c r="H17" s="327"/>
      <c r="I17" s="327"/>
      <c r="J17" s="327"/>
      <c r="K17" s="327"/>
      <c r="L17" s="327"/>
      <c r="M17" s="327"/>
      <c r="N17" s="327"/>
      <c r="O17" s="327"/>
    </row>
    <row r="18" spans="1:15">
      <c r="A18" t="s">
        <v>982</v>
      </c>
      <c r="B18" s="327"/>
      <c r="C18" s="327"/>
      <c r="D18" s="327"/>
      <c r="E18" s="138">
        <f t="shared" si="0"/>
        <v>30</v>
      </c>
      <c r="F18" s="129">
        <v>15</v>
      </c>
      <c r="G18" s="129">
        <v>15</v>
      </c>
      <c r="H18" s="327"/>
      <c r="I18" s="327"/>
      <c r="J18" s="327"/>
      <c r="K18" s="327"/>
      <c r="L18" s="327"/>
      <c r="M18" s="327"/>
      <c r="N18" s="327"/>
      <c r="O18" s="327"/>
    </row>
    <row r="19" spans="1:15">
      <c r="A19" t="s">
        <v>983</v>
      </c>
      <c r="B19" s="327"/>
      <c r="C19" s="327"/>
      <c r="D19" s="327"/>
      <c r="E19" s="138">
        <f t="shared" si="0"/>
        <v>30</v>
      </c>
      <c r="F19" s="129">
        <v>15</v>
      </c>
      <c r="G19" s="129">
        <v>15</v>
      </c>
      <c r="H19" s="327"/>
      <c r="I19" s="327"/>
      <c r="J19" s="327"/>
      <c r="K19" s="327"/>
      <c r="L19" s="327"/>
      <c r="M19" s="327"/>
      <c r="N19" s="327"/>
      <c r="O19" s="327"/>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2" t="str">
        <f>IF(Issue_to_treat=1,NbOfNotTreatedIssues+NbOfRejectedIssues&amp;" issue(s) to treat",IF(Issues_to_approve=1,NbOfNotApprovedIssues&amp;" issue(s) to approve",IF(Issues_postponed=1,NbOfNotApprovedAndPostponedIssues&amp;" issue(s) postponed","Status OK")))</f>
        <v>Status OK</v>
      </c>
      <c r="B3" s="322"/>
      <c r="C3" s="323"/>
      <c r="D3" s="58" t="s">
        <v>251</v>
      </c>
      <c r="E3" s="321" t="s">
        <v>252</v>
      </c>
      <c r="F3" s="321"/>
      <c r="G3" s="321"/>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6"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tabSelected="1" zoomScaleNormal="100" workbookViewId="0">
      <selection activeCell="E21" sqref="E21"/>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17</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967</v>
      </c>
      <c r="B2" s="172" t="s">
        <v>991</v>
      </c>
      <c r="C2" s="172" t="s">
        <v>991</v>
      </c>
      <c r="D2" s="172" t="s">
        <v>991</v>
      </c>
      <c r="E2" s="172" t="s">
        <v>991</v>
      </c>
      <c r="F2" s="172" t="s">
        <v>991</v>
      </c>
      <c r="G2" s="172" t="s">
        <v>991</v>
      </c>
      <c r="H2" s="172" t="s">
        <v>991</v>
      </c>
      <c r="I2" s="172" t="s">
        <v>991</v>
      </c>
      <c r="J2" s="172" t="s">
        <v>991</v>
      </c>
      <c r="K2" s="172" t="s">
        <v>991</v>
      </c>
      <c r="L2" s="172" t="s">
        <v>991</v>
      </c>
      <c r="M2" s="172" t="s">
        <v>991</v>
      </c>
      <c r="N2" s="172" t="s">
        <v>991</v>
      </c>
      <c r="O2" s="172" t="s">
        <v>991</v>
      </c>
      <c r="P2" s="175" t="s">
        <v>988</v>
      </c>
    </row>
    <row r="3" spans="1:17">
      <c r="A3" t="s">
        <v>968</v>
      </c>
      <c r="B3" s="172" t="s">
        <v>991</v>
      </c>
      <c r="C3" s="172" t="s">
        <v>991</v>
      </c>
      <c r="D3" s="172" t="s">
        <v>991</v>
      </c>
      <c r="E3" s="172" t="s">
        <v>991</v>
      </c>
      <c r="F3" s="172" t="s">
        <v>991</v>
      </c>
      <c r="G3" s="172" t="s">
        <v>991</v>
      </c>
      <c r="H3" s="172" t="s">
        <v>991</v>
      </c>
      <c r="I3" s="172" t="s">
        <v>991</v>
      </c>
      <c r="J3" s="172" t="s">
        <v>991</v>
      </c>
      <c r="K3" s="172" t="s">
        <v>991</v>
      </c>
      <c r="L3" s="172" t="s">
        <v>991</v>
      </c>
      <c r="M3" s="172" t="s">
        <v>991</v>
      </c>
      <c r="N3" s="172" t="s">
        <v>991</v>
      </c>
      <c r="O3" s="172" t="s">
        <v>991</v>
      </c>
      <c r="P3" s="175" t="s">
        <v>988</v>
      </c>
    </row>
    <row r="4" spans="1:17">
      <c r="A4" t="s">
        <v>969</v>
      </c>
      <c r="B4" s="172" t="s">
        <v>991</v>
      </c>
      <c r="C4" s="172" t="s">
        <v>991</v>
      </c>
      <c r="D4" s="172" t="s">
        <v>991</v>
      </c>
      <c r="E4" s="172" t="s">
        <v>991</v>
      </c>
      <c r="F4" s="172" t="s">
        <v>991</v>
      </c>
      <c r="G4" s="172" t="s">
        <v>991</v>
      </c>
      <c r="H4" s="172" t="s">
        <v>991</v>
      </c>
      <c r="I4" s="172" t="s">
        <v>991</v>
      </c>
      <c r="J4" s="172" t="s">
        <v>991</v>
      </c>
      <c r="K4" s="172" t="s">
        <v>991</v>
      </c>
      <c r="L4" s="172" t="s">
        <v>991</v>
      </c>
      <c r="M4" s="172" t="s">
        <v>991</v>
      </c>
      <c r="N4" s="172" t="s">
        <v>991</v>
      </c>
      <c r="O4" s="172" t="s">
        <v>991</v>
      </c>
      <c r="P4" s="175" t="s">
        <v>988</v>
      </c>
    </row>
    <row r="5" spans="1:17">
      <c r="A5" t="s">
        <v>970</v>
      </c>
      <c r="B5" s="172" t="s">
        <v>991</v>
      </c>
      <c r="C5" s="172" t="s">
        <v>991</v>
      </c>
      <c r="D5" s="172" t="s">
        <v>991</v>
      </c>
      <c r="E5" s="172" t="s">
        <v>991</v>
      </c>
      <c r="F5" s="172" t="s">
        <v>991</v>
      </c>
      <c r="G5" s="172" t="s">
        <v>991</v>
      </c>
      <c r="H5" s="172" t="s">
        <v>991</v>
      </c>
      <c r="I5" s="172" t="s">
        <v>991</v>
      </c>
      <c r="J5" s="172" t="s">
        <v>991</v>
      </c>
      <c r="K5" s="172" t="s">
        <v>991</v>
      </c>
      <c r="L5" s="172" t="s">
        <v>991</v>
      </c>
      <c r="M5" s="172" t="s">
        <v>991</v>
      </c>
      <c r="N5" s="172" t="s">
        <v>991</v>
      </c>
      <c r="O5" s="172" t="s">
        <v>991</v>
      </c>
      <c r="P5" s="175" t="s">
        <v>988</v>
      </c>
    </row>
    <row r="6" spans="1:17">
      <c r="A6" t="s">
        <v>971</v>
      </c>
      <c r="B6" s="172" t="s">
        <v>991</v>
      </c>
      <c r="C6" s="172" t="s">
        <v>991</v>
      </c>
      <c r="D6" s="172" t="s">
        <v>991</v>
      </c>
      <c r="E6" s="172" t="s">
        <v>991</v>
      </c>
      <c r="F6" s="172" t="s">
        <v>991</v>
      </c>
      <c r="G6" s="172" t="s">
        <v>991</v>
      </c>
      <c r="H6" s="172" t="s">
        <v>991</v>
      </c>
      <c r="I6" s="172" t="s">
        <v>991</v>
      </c>
      <c r="J6" s="172" t="s">
        <v>991</v>
      </c>
      <c r="K6" s="172" t="s">
        <v>991</v>
      </c>
      <c r="L6" s="172" t="s">
        <v>991</v>
      </c>
      <c r="M6" s="172" t="s">
        <v>991</v>
      </c>
      <c r="N6" s="172" t="s">
        <v>991</v>
      </c>
      <c r="O6" s="172" t="s">
        <v>991</v>
      </c>
      <c r="P6" s="175" t="s">
        <v>988</v>
      </c>
    </row>
    <row r="7" spans="1:17">
      <c r="A7" t="s">
        <v>972</v>
      </c>
      <c r="B7" s="172" t="s">
        <v>991</v>
      </c>
      <c r="C7" s="172" t="s">
        <v>991</v>
      </c>
      <c r="D7" s="172" t="s">
        <v>991</v>
      </c>
      <c r="E7" s="172" t="s">
        <v>991</v>
      </c>
      <c r="F7" s="172" t="s">
        <v>991</v>
      </c>
      <c r="G7" s="172" t="s">
        <v>991</v>
      </c>
      <c r="H7" s="172" t="s">
        <v>991</v>
      </c>
      <c r="I7" s="172" t="s">
        <v>991</v>
      </c>
      <c r="J7" s="172" t="s">
        <v>991</v>
      </c>
      <c r="K7" s="172" t="s">
        <v>991</v>
      </c>
      <c r="L7" s="172" t="s">
        <v>991</v>
      </c>
      <c r="M7" s="172" t="s">
        <v>991</v>
      </c>
      <c r="N7" s="172" t="s">
        <v>991</v>
      </c>
      <c r="O7" s="172" t="s">
        <v>991</v>
      </c>
      <c r="P7" s="175" t="s">
        <v>988</v>
      </c>
    </row>
    <row r="8" spans="1:17">
      <c r="A8" t="s">
        <v>973</v>
      </c>
      <c r="B8" s="172" t="s">
        <v>991</v>
      </c>
      <c r="C8" s="172" t="s">
        <v>991</v>
      </c>
      <c r="D8" s="172" t="s">
        <v>991</v>
      </c>
      <c r="E8" s="172" t="s">
        <v>991</v>
      </c>
      <c r="F8" s="172" t="s">
        <v>991</v>
      </c>
      <c r="G8" s="172" t="s">
        <v>991</v>
      </c>
      <c r="H8" s="172" t="s">
        <v>991</v>
      </c>
      <c r="I8" s="172" t="s">
        <v>991</v>
      </c>
      <c r="J8" s="172" t="s">
        <v>991</v>
      </c>
      <c r="K8" s="172" t="s">
        <v>991</v>
      </c>
      <c r="L8" s="172" t="s">
        <v>991</v>
      </c>
      <c r="M8" s="172" t="s">
        <v>991</v>
      </c>
      <c r="N8" s="172" t="s">
        <v>991</v>
      </c>
      <c r="O8" s="172" t="s">
        <v>991</v>
      </c>
      <c r="P8" s="175" t="s">
        <v>988</v>
      </c>
    </row>
    <row r="9" spans="1:17">
      <c r="A9" t="s">
        <v>974</v>
      </c>
      <c r="B9" s="172" t="s">
        <v>991</v>
      </c>
      <c r="C9" s="172" t="s">
        <v>991</v>
      </c>
      <c r="D9" s="172" t="s">
        <v>991</v>
      </c>
      <c r="E9" s="172" t="s">
        <v>991</v>
      </c>
      <c r="F9" s="172" t="s">
        <v>991</v>
      </c>
      <c r="G9" s="172" t="s">
        <v>991</v>
      </c>
      <c r="H9" s="172" t="s">
        <v>991</v>
      </c>
      <c r="I9" s="172" t="s">
        <v>991</v>
      </c>
      <c r="J9" s="172" t="s">
        <v>991</v>
      </c>
      <c r="K9" s="172" t="s">
        <v>991</v>
      </c>
      <c r="L9" s="172" t="s">
        <v>991</v>
      </c>
      <c r="M9" s="172" t="s">
        <v>991</v>
      </c>
      <c r="N9" s="172" t="s">
        <v>991</v>
      </c>
      <c r="O9" s="172" t="s">
        <v>991</v>
      </c>
      <c r="P9" s="175" t="s">
        <v>988</v>
      </c>
    </row>
    <row r="10" spans="1:17">
      <c r="A10" t="s">
        <v>975</v>
      </c>
      <c r="B10" s="172" t="s">
        <v>991</v>
      </c>
      <c r="C10" s="172" t="s">
        <v>991</v>
      </c>
      <c r="D10" s="172" t="s">
        <v>991</v>
      </c>
      <c r="E10" s="172" t="s">
        <v>991</v>
      </c>
      <c r="F10" s="172" t="s">
        <v>991</v>
      </c>
      <c r="G10" s="172" t="s">
        <v>991</v>
      </c>
      <c r="H10" s="172" t="s">
        <v>991</v>
      </c>
      <c r="I10" s="172" t="s">
        <v>991</v>
      </c>
      <c r="J10" s="172" t="s">
        <v>991</v>
      </c>
      <c r="K10" s="172" t="s">
        <v>991</v>
      </c>
      <c r="L10" s="172" t="s">
        <v>991</v>
      </c>
      <c r="M10" s="172" t="s">
        <v>991</v>
      </c>
      <c r="N10" s="172" t="s">
        <v>991</v>
      </c>
      <c r="O10" s="172" t="s">
        <v>991</v>
      </c>
      <c r="P10" s="175" t="s">
        <v>988</v>
      </c>
    </row>
    <row r="11" spans="1:17">
      <c r="A11" t="s">
        <v>976</v>
      </c>
      <c r="B11" s="172" t="s">
        <v>991</v>
      </c>
      <c r="C11" s="172" t="s">
        <v>991</v>
      </c>
      <c r="D11" s="172" t="s">
        <v>991</v>
      </c>
      <c r="E11" s="172" t="s">
        <v>991</v>
      </c>
      <c r="F11" s="172" t="s">
        <v>991</v>
      </c>
      <c r="G11" s="172" t="s">
        <v>991</v>
      </c>
      <c r="H11" s="172" t="s">
        <v>991</v>
      </c>
      <c r="I11" s="172" t="s">
        <v>991</v>
      </c>
      <c r="J11" s="172" t="s">
        <v>991</v>
      </c>
      <c r="K11" s="172" t="s">
        <v>991</v>
      </c>
      <c r="L11" s="172" t="s">
        <v>991</v>
      </c>
      <c r="M11" s="172" t="s">
        <v>991</v>
      </c>
      <c r="N11" s="172" t="s">
        <v>991</v>
      </c>
      <c r="O11" s="172" t="s">
        <v>991</v>
      </c>
      <c r="P11" s="175" t="s">
        <v>988</v>
      </c>
    </row>
    <row r="12" spans="1:17">
      <c r="A12" t="s">
        <v>977</v>
      </c>
      <c r="B12" s="172" t="s">
        <v>991</v>
      </c>
      <c r="C12" s="172" t="s">
        <v>991</v>
      </c>
      <c r="D12" s="172" t="s">
        <v>991</v>
      </c>
      <c r="E12" s="172" t="s">
        <v>991</v>
      </c>
      <c r="F12" s="172" t="s">
        <v>991</v>
      </c>
      <c r="G12" s="172" t="s">
        <v>991</v>
      </c>
      <c r="H12" s="172" t="s">
        <v>991</v>
      </c>
      <c r="I12" s="172" t="s">
        <v>991</v>
      </c>
      <c r="J12" s="172" t="s">
        <v>991</v>
      </c>
      <c r="K12" s="172" t="s">
        <v>991</v>
      </c>
      <c r="L12" s="172" t="s">
        <v>991</v>
      </c>
      <c r="M12" s="172" t="s">
        <v>991</v>
      </c>
      <c r="N12" s="172" t="s">
        <v>991</v>
      </c>
      <c r="O12" s="172" t="s">
        <v>991</v>
      </c>
      <c r="P12" s="175" t="s">
        <v>988</v>
      </c>
    </row>
    <row r="13" spans="1:17">
      <c r="A13" t="s">
        <v>978</v>
      </c>
      <c r="B13" s="172" t="s">
        <v>991</v>
      </c>
      <c r="C13" s="172" t="s">
        <v>991</v>
      </c>
      <c r="D13" s="172" t="s">
        <v>991</v>
      </c>
      <c r="E13" s="172" t="s">
        <v>991</v>
      </c>
      <c r="F13" s="172" t="s">
        <v>991</v>
      </c>
      <c r="G13" s="172" t="s">
        <v>991</v>
      </c>
      <c r="H13" s="172" t="s">
        <v>991</v>
      </c>
      <c r="I13" s="172" t="s">
        <v>991</v>
      </c>
      <c r="J13" s="172" t="s">
        <v>991</v>
      </c>
      <c r="K13" s="172" t="s">
        <v>991</v>
      </c>
      <c r="L13" s="172" t="s">
        <v>991</v>
      </c>
      <c r="M13" s="172" t="s">
        <v>991</v>
      </c>
      <c r="N13" s="172" t="s">
        <v>991</v>
      </c>
      <c r="O13" s="172" t="s">
        <v>991</v>
      </c>
      <c r="P13" s="175" t="s">
        <v>988</v>
      </c>
    </row>
    <row r="14" spans="1:17">
      <c r="A14" t="s">
        <v>979</v>
      </c>
      <c r="B14" s="172" t="s">
        <v>991</v>
      </c>
      <c r="C14" s="172" t="s">
        <v>991</v>
      </c>
      <c r="D14" s="172" t="s">
        <v>991</v>
      </c>
      <c r="E14" s="172" t="s">
        <v>991</v>
      </c>
      <c r="F14" s="172" t="s">
        <v>991</v>
      </c>
      <c r="G14" s="172" t="s">
        <v>991</v>
      </c>
      <c r="H14" s="172" t="s">
        <v>991</v>
      </c>
      <c r="I14" s="172" t="s">
        <v>991</v>
      </c>
      <c r="J14" s="172" t="s">
        <v>991</v>
      </c>
      <c r="K14" s="172" t="s">
        <v>991</v>
      </c>
      <c r="L14" s="172" t="s">
        <v>991</v>
      </c>
      <c r="M14" s="172" t="s">
        <v>991</v>
      </c>
      <c r="N14" s="172" t="s">
        <v>991</v>
      </c>
      <c r="O14" s="172" t="s">
        <v>991</v>
      </c>
      <c r="P14" s="175" t="s">
        <v>988</v>
      </c>
    </row>
    <row r="15" spans="1:17">
      <c r="A15" t="s">
        <v>980</v>
      </c>
      <c r="B15" s="172" t="s">
        <v>991</v>
      </c>
      <c r="C15" s="172" t="s">
        <v>991</v>
      </c>
      <c r="D15" s="172" t="s">
        <v>991</v>
      </c>
      <c r="E15" s="172" t="s">
        <v>991</v>
      </c>
      <c r="F15" s="172" t="s">
        <v>991</v>
      </c>
      <c r="G15" s="172" t="s">
        <v>991</v>
      </c>
      <c r="H15" s="172" t="s">
        <v>991</v>
      </c>
      <c r="I15" s="172" t="s">
        <v>991</v>
      </c>
      <c r="J15" s="172" t="s">
        <v>991</v>
      </c>
      <c r="K15" s="172" t="s">
        <v>991</v>
      </c>
      <c r="L15" s="172" t="s">
        <v>991</v>
      </c>
      <c r="M15" s="172" t="s">
        <v>991</v>
      </c>
      <c r="N15" s="172" t="s">
        <v>991</v>
      </c>
      <c r="O15" s="172" t="s">
        <v>991</v>
      </c>
      <c r="P15" s="175" t="s">
        <v>988</v>
      </c>
    </row>
    <row r="16" spans="1:17">
      <c r="A16" t="s">
        <v>981</v>
      </c>
      <c r="B16" s="172" t="s">
        <v>991</v>
      </c>
      <c r="C16" s="172" t="s">
        <v>991</v>
      </c>
      <c r="D16" s="172" t="s">
        <v>991</v>
      </c>
      <c r="E16" s="172" t="s">
        <v>991</v>
      </c>
      <c r="F16" s="172" t="s">
        <v>991</v>
      </c>
      <c r="G16" s="172" t="s">
        <v>991</v>
      </c>
      <c r="H16" s="172" t="s">
        <v>991</v>
      </c>
      <c r="I16" s="172" t="s">
        <v>991</v>
      </c>
      <c r="J16" s="172" t="s">
        <v>991</v>
      </c>
      <c r="K16" s="172" t="s">
        <v>991</v>
      </c>
      <c r="L16" s="172" t="s">
        <v>991</v>
      </c>
      <c r="M16" s="172" t="s">
        <v>991</v>
      </c>
      <c r="N16" s="172" t="s">
        <v>991</v>
      </c>
      <c r="O16" s="172" t="s">
        <v>991</v>
      </c>
      <c r="P16" s="175" t="s">
        <v>988</v>
      </c>
    </row>
    <row r="17" spans="1:16">
      <c r="A17" t="s">
        <v>982</v>
      </c>
      <c r="B17" s="172" t="s">
        <v>991</v>
      </c>
      <c r="C17" s="172" t="s">
        <v>991</v>
      </c>
      <c r="D17" s="172" t="s">
        <v>991</v>
      </c>
      <c r="E17" s="172" t="s">
        <v>991</v>
      </c>
      <c r="F17" s="172" t="s">
        <v>991</v>
      </c>
      <c r="G17" s="172" t="s">
        <v>991</v>
      </c>
      <c r="H17" s="172" t="s">
        <v>991</v>
      </c>
      <c r="I17" s="172" t="s">
        <v>991</v>
      </c>
      <c r="J17" s="172" t="s">
        <v>991</v>
      </c>
      <c r="K17" s="172" t="s">
        <v>991</v>
      </c>
      <c r="L17" s="172" t="s">
        <v>991</v>
      </c>
      <c r="M17" s="172" t="s">
        <v>991</v>
      </c>
      <c r="N17" s="172" t="s">
        <v>991</v>
      </c>
      <c r="O17" s="172" t="s">
        <v>991</v>
      </c>
      <c r="P17" s="175" t="s">
        <v>988</v>
      </c>
    </row>
    <row r="18" spans="1:16">
      <c r="A18" t="s">
        <v>983</v>
      </c>
      <c r="B18" s="172" t="s">
        <v>991</v>
      </c>
      <c r="C18" s="172" t="s">
        <v>991</v>
      </c>
      <c r="D18" s="172" t="s">
        <v>991</v>
      </c>
      <c r="E18" s="172" t="s">
        <v>991</v>
      </c>
      <c r="F18" s="172" t="s">
        <v>991</v>
      </c>
      <c r="G18" s="172" t="s">
        <v>991</v>
      </c>
      <c r="H18" s="172" t="s">
        <v>991</v>
      </c>
      <c r="I18" s="172" t="s">
        <v>991</v>
      </c>
      <c r="J18" s="172" t="s">
        <v>991</v>
      </c>
      <c r="K18" s="172" t="s">
        <v>991</v>
      </c>
      <c r="L18" s="172" t="s">
        <v>991</v>
      </c>
      <c r="M18" s="172" t="s">
        <v>991</v>
      </c>
      <c r="N18" s="172" t="s">
        <v>991</v>
      </c>
      <c r="O18" s="172" t="s">
        <v>991</v>
      </c>
      <c r="P18" s="175" t="s">
        <v>988</v>
      </c>
    </row>
    <row r="19" spans="1:16">
      <c r="A19" s="162"/>
      <c r="B19" s="172"/>
      <c r="C19" s="172"/>
      <c r="D19" s="172"/>
      <c r="E19" s="172"/>
      <c r="F19" s="172"/>
      <c r="G19" s="175"/>
      <c r="I19" s="174"/>
      <c r="J19" s="172"/>
    </row>
    <row r="20" spans="1:16">
      <c r="A20" s="162"/>
      <c r="B20" s="172"/>
      <c r="C20" s="172"/>
      <c r="D20" s="172"/>
      <c r="E20" s="172"/>
      <c r="F20" s="172"/>
      <c r="G20" s="175"/>
      <c r="I20" s="174"/>
      <c r="J20" s="172"/>
    </row>
    <row r="21" spans="1:16">
      <c r="A21" s="162"/>
      <c r="B21" s="172"/>
      <c r="C21" s="172"/>
      <c r="D21" s="172"/>
      <c r="E21" s="172"/>
      <c r="F21" s="172"/>
      <c r="G21" s="175"/>
      <c r="I21" s="174"/>
      <c r="J21" s="172"/>
    </row>
    <row r="22" spans="1:16">
      <c r="A22" s="162"/>
      <c r="B22" s="172"/>
      <c r="C22" s="172"/>
      <c r="D22" s="172"/>
      <c r="E22" s="172"/>
      <c r="F22" s="172"/>
      <c r="G22" s="175"/>
      <c r="I22" s="174"/>
      <c r="J22" s="172"/>
    </row>
    <row r="23" spans="1:16">
      <c r="A23" s="162"/>
      <c r="B23" s="172"/>
      <c r="C23" s="172"/>
      <c r="D23" s="172"/>
      <c r="E23" s="172"/>
      <c r="F23" s="172"/>
      <c r="I23" s="174"/>
      <c r="J23" s="172"/>
    </row>
    <row r="24" spans="1:16">
      <c r="A24" s="162"/>
      <c r="B24" s="172"/>
      <c r="C24" s="172"/>
      <c r="D24" s="172"/>
      <c r="E24" s="172"/>
      <c r="F24" s="172"/>
      <c r="G24" s="175"/>
      <c r="I24" s="174"/>
      <c r="J24" s="172"/>
    </row>
    <row r="25" spans="1:16">
      <c r="A25" s="162"/>
      <c r="B25" s="172"/>
      <c r="C25" s="172"/>
      <c r="D25" s="172"/>
      <c r="E25" s="172"/>
      <c r="F25" s="172"/>
      <c r="G25" s="175"/>
      <c r="I25" s="174"/>
      <c r="J25" s="172"/>
    </row>
    <row r="26" spans="1:16">
      <c r="A26" s="162"/>
      <c r="B26" s="172"/>
      <c r="C26" s="172"/>
      <c r="D26" s="172"/>
      <c r="E26" s="172"/>
      <c r="F26" s="172"/>
      <c r="G26" s="175"/>
      <c r="I26" s="174"/>
      <c r="J26" s="172"/>
    </row>
    <row r="27" spans="1:16">
      <c r="A27" s="162"/>
      <c r="B27" s="172"/>
      <c r="C27" s="172"/>
      <c r="D27" s="172"/>
      <c r="E27" s="172"/>
      <c r="F27" s="172"/>
      <c r="G27" s="175"/>
      <c r="I27" s="174"/>
      <c r="J27" s="172"/>
    </row>
    <row r="28" spans="1:16">
      <c r="A28" s="162"/>
      <c r="B28" s="172"/>
      <c r="C28" s="172"/>
      <c r="D28" s="172"/>
      <c r="E28" s="172"/>
      <c r="F28" s="172"/>
      <c r="G28" s="175"/>
      <c r="I28" s="174"/>
      <c r="J28" s="172"/>
    </row>
    <row r="29" spans="1:16">
      <c r="A29" s="162"/>
      <c r="B29" s="172"/>
      <c r="C29" s="172"/>
      <c r="D29" s="172"/>
      <c r="E29" s="172"/>
      <c r="F29" s="172"/>
      <c r="G29" s="175"/>
      <c r="I29" s="174"/>
      <c r="J29" s="172"/>
    </row>
    <row r="30" spans="1:16">
      <c r="A30" s="162"/>
      <c r="B30" s="172"/>
      <c r="C30" s="172"/>
      <c r="D30" s="172"/>
      <c r="E30" s="172"/>
      <c r="F30" s="172"/>
      <c r="G30" s="175"/>
      <c r="I30" s="174"/>
      <c r="J30" s="172"/>
    </row>
    <row r="31" spans="1:16">
      <c r="A31" s="162"/>
      <c r="B31" s="172"/>
      <c r="C31" s="172"/>
      <c r="D31" s="172"/>
      <c r="E31" s="172"/>
      <c r="F31" s="172"/>
      <c r="G31" s="175"/>
      <c r="I31" s="174"/>
      <c r="J31" s="172"/>
    </row>
    <row r="32" spans="1:16">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O11" sqref="O11"/>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984</v>
      </c>
      <c r="C2" s="328" t="s">
        <v>967</v>
      </c>
      <c r="D2" s="163">
        <v>1.1000000000000001</v>
      </c>
      <c r="E2" s="163" t="s">
        <v>985</v>
      </c>
      <c r="F2" s="163" t="s">
        <v>986</v>
      </c>
      <c r="G2" s="165" t="s">
        <v>109</v>
      </c>
      <c r="H2" s="165" t="s">
        <v>109</v>
      </c>
      <c r="I2" s="165" t="s">
        <v>109</v>
      </c>
      <c r="J2" s="165" t="s">
        <v>109</v>
      </c>
      <c r="K2" s="165" t="s">
        <v>109</v>
      </c>
      <c r="L2" s="166" t="s">
        <v>987</v>
      </c>
      <c r="M2" s="163" t="s">
        <v>988</v>
      </c>
      <c r="N2" s="167"/>
      <c r="O2" s="165"/>
      <c r="P2" s="163"/>
      <c r="Q2" s="163">
        <v>1</v>
      </c>
    </row>
    <row r="3" spans="1:17">
      <c r="A3" s="163">
        <v>2</v>
      </c>
      <c r="B3" s="163" t="s">
        <v>984</v>
      </c>
      <c r="C3" s="328" t="s">
        <v>968</v>
      </c>
      <c r="D3" s="163">
        <v>1.1000000000000001</v>
      </c>
      <c r="E3" s="163" t="s">
        <v>985</v>
      </c>
      <c r="F3" s="163" t="s">
        <v>986</v>
      </c>
      <c r="G3" s="165" t="s">
        <v>109</v>
      </c>
      <c r="H3" s="165" t="s">
        <v>109</v>
      </c>
      <c r="I3" s="165" t="s">
        <v>109</v>
      </c>
      <c r="J3" s="165" t="s">
        <v>109</v>
      </c>
      <c r="K3" s="165" t="s">
        <v>109</v>
      </c>
      <c r="L3" s="166" t="s">
        <v>987</v>
      </c>
      <c r="M3" s="163" t="s">
        <v>988</v>
      </c>
      <c r="N3" s="167"/>
      <c r="O3" s="165"/>
      <c r="P3" s="163"/>
      <c r="Q3" s="163">
        <v>2</v>
      </c>
    </row>
    <row r="4" spans="1:17">
      <c r="A4" s="163">
        <v>3</v>
      </c>
      <c r="B4" s="163" t="s">
        <v>984</v>
      </c>
      <c r="C4" s="328" t="s">
        <v>969</v>
      </c>
      <c r="D4" s="163">
        <v>1.1000000000000001</v>
      </c>
      <c r="E4" s="163" t="s">
        <v>985</v>
      </c>
      <c r="F4" s="163" t="s">
        <v>986</v>
      </c>
      <c r="G4" s="165" t="s">
        <v>109</v>
      </c>
      <c r="H4" s="165" t="s">
        <v>109</v>
      </c>
      <c r="I4" s="165" t="s">
        <v>109</v>
      </c>
      <c r="J4" s="165" t="s">
        <v>109</v>
      </c>
      <c r="K4" s="165" t="s">
        <v>109</v>
      </c>
      <c r="L4" s="166" t="s">
        <v>987</v>
      </c>
      <c r="M4" s="163" t="s">
        <v>988</v>
      </c>
      <c r="N4" s="167"/>
      <c r="O4" s="165"/>
      <c r="P4" s="163"/>
      <c r="Q4" s="163">
        <v>3</v>
      </c>
    </row>
    <row r="5" spans="1:17">
      <c r="A5" s="163">
        <v>4</v>
      </c>
      <c r="B5" s="163" t="s">
        <v>984</v>
      </c>
      <c r="C5" s="328" t="s">
        <v>970</v>
      </c>
      <c r="D5" s="163">
        <v>1.1000000000000001</v>
      </c>
      <c r="E5" s="163" t="s">
        <v>985</v>
      </c>
      <c r="F5" s="163" t="s">
        <v>986</v>
      </c>
      <c r="G5" s="165" t="s">
        <v>109</v>
      </c>
      <c r="H5" s="165" t="s">
        <v>109</v>
      </c>
      <c r="I5" s="165" t="s">
        <v>109</v>
      </c>
      <c r="J5" s="165" t="s">
        <v>109</v>
      </c>
      <c r="K5" s="165" t="s">
        <v>109</v>
      </c>
      <c r="L5" s="166" t="s">
        <v>987</v>
      </c>
      <c r="M5" s="163" t="s">
        <v>988</v>
      </c>
      <c r="N5" s="167"/>
      <c r="O5" s="165"/>
      <c r="P5" s="163"/>
      <c r="Q5" s="163">
        <v>4</v>
      </c>
    </row>
    <row r="6" spans="1:17">
      <c r="A6" s="163">
        <v>5</v>
      </c>
      <c r="B6" s="163" t="s">
        <v>984</v>
      </c>
      <c r="C6" s="328" t="s">
        <v>971</v>
      </c>
      <c r="D6" s="163">
        <v>1.1000000000000001</v>
      </c>
      <c r="E6" s="163" t="s">
        <v>985</v>
      </c>
      <c r="F6" s="163" t="s">
        <v>986</v>
      </c>
      <c r="G6" s="165" t="s">
        <v>109</v>
      </c>
      <c r="H6" s="165" t="s">
        <v>109</v>
      </c>
      <c r="I6" s="165" t="s">
        <v>109</v>
      </c>
      <c r="J6" s="165" t="s">
        <v>109</v>
      </c>
      <c r="K6" s="165" t="s">
        <v>109</v>
      </c>
      <c r="L6" s="166" t="s">
        <v>987</v>
      </c>
      <c r="M6" s="163" t="s">
        <v>988</v>
      </c>
      <c r="N6" s="167"/>
      <c r="O6" s="165"/>
      <c r="P6" s="163"/>
      <c r="Q6" s="163">
        <v>5</v>
      </c>
    </row>
    <row r="7" spans="1:17">
      <c r="A7" s="163">
        <v>6</v>
      </c>
      <c r="B7" s="163" t="s">
        <v>984</v>
      </c>
      <c r="C7" s="328" t="s">
        <v>972</v>
      </c>
      <c r="D7" s="163">
        <v>1.1000000000000001</v>
      </c>
      <c r="E7" s="163" t="s">
        <v>985</v>
      </c>
      <c r="F7" s="163" t="s">
        <v>986</v>
      </c>
      <c r="G7" s="165" t="s">
        <v>109</v>
      </c>
      <c r="H7" s="165" t="s">
        <v>109</v>
      </c>
      <c r="I7" s="165" t="s">
        <v>109</v>
      </c>
      <c r="J7" s="165" t="s">
        <v>109</v>
      </c>
      <c r="K7" s="165" t="s">
        <v>109</v>
      </c>
      <c r="L7" s="166" t="s">
        <v>987</v>
      </c>
      <c r="M7" s="163" t="s">
        <v>988</v>
      </c>
      <c r="N7" s="167"/>
      <c r="O7" s="165"/>
      <c r="P7" s="163"/>
      <c r="Q7" s="163">
        <v>6</v>
      </c>
    </row>
    <row r="8" spans="1:17">
      <c r="A8" s="163">
        <v>7</v>
      </c>
      <c r="B8" s="163" t="s">
        <v>984</v>
      </c>
      <c r="C8" s="328" t="s">
        <v>973</v>
      </c>
      <c r="D8" s="163">
        <v>1.1000000000000001</v>
      </c>
      <c r="E8" s="163" t="s">
        <v>985</v>
      </c>
      <c r="F8" s="163" t="s">
        <v>986</v>
      </c>
      <c r="G8" s="165" t="s">
        <v>109</v>
      </c>
      <c r="H8" s="165" t="s">
        <v>109</v>
      </c>
      <c r="I8" s="165" t="s">
        <v>109</v>
      </c>
      <c r="J8" s="165" t="s">
        <v>109</v>
      </c>
      <c r="K8" s="165" t="s">
        <v>109</v>
      </c>
      <c r="L8" s="166" t="s">
        <v>987</v>
      </c>
      <c r="M8" s="163" t="s">
        <v>988</v>
      </c>
      <c r="N8" s="167"/>
      <c r="O8" s="165"/>
      <c r="P8" s="163"/>
      <c r="Q8" s="163">
        <v>7</v>
      </c>
    </row>
    <row r="9" spans="1:17">
      <c r="A9" s="163">
        <v>8</v>
      </c>
      <c r="B9" s="163" t="s">
        <v>984</v>
      </c>
      <c r="C9" s="328" t="s">
        <v>974</v>
      </c>
      <c r="D9" s="163">
        <v>1.1000000000000001</v>
      </c>
      <c r="E9" s="163" t="s">
        <v>985</v>
      </c>
      <c r="F9" s="163" t="s">
        <v>986</v>
      </c>
      <c r="G9" s="165" t="s">
        <v>109</v>
      </c>
      <c r="H9" s="165" t="s">
        <v>109</v>
      </c>
      <c r="I9" s="165" t="s">
        <v>109</v>
      </c>
      <c r="J9" s="165" t="s">
        <v>109</v>
      </c>
      <c r="K9" s="165" t="s">
        <v>109</v>
      </c>
      <c r="L9" s="166" t="s">
        <v>987</v>
      </c>
      <c r="M9" s="163" t="s">
        <v>988</v>
      </c>
      <c r="N9" s="167"/>
      <c r="O9" s="165"/>
      <c r="P9" s="163"/>
      <c r="Q9" s="163">
        <v>8</v>
      </c>
    </row>
    <row r="10" spans="1:17">
      <c r="A10" s="163">
        <v>9</v>
      </c>
      <c r="B10" s="163" t="s">
        <v>984</v>
      </c>
      <c r="C10" s="328" t="s">
        <v>975</v>
      </c>
      <c r="D10" s="163">
        <v>1.1000000000000001</v>
      </c>
      <c r="E10" s="163" t="s">
        <v>985</v>
      </c>
      <c r="F10" s="163" t="s">
        <v>986</v>
      </c>
      <c r="G10" s="165" t="s">
        <v>109</v>
      </c>
      <c r="H10" s="165" t="s">
        <v>109</v>
      </c>
      <c r="I10" s="165" t="s">
        <v>109</v>
      </c>
      <c r="J10" s="165" t="s">
        <v>109</v>
      </c>
      <c r="K10" s="165" t="s">
        <v>109</v>
      </c>
      <c r="L10" s="166" t="s">
        <v>987</v>
      </c>
      <c r="M10" s="163" t="s">
        <v>988</v>
      </c>
      <c r="N10" s="167"/>
      <c r="O10" s="165"/>
      <c r="P10" s="163"/>
      <c r="Q10" s="163">
        <v>9</v>
      </c>
    </row>
    <row r="11" spans="1:17">
      <c r="A11" s="163">
        <v>10</v>
      </c>
      <c r="B11" s="163" t="s">
        <v>984</v>
      </c>
      <c r="C11" s="328" t="s">
        <v>976</v>
      </c>
      <c r="D11" s="163">
        <v>1.1000000000000001</v>
      </c>
      <c r="E11" s="163" t="s">
        <v>985</v>
      </c>
      <c r="F11" s="163" t="s">
        <v>986</v>
      </c>
      <c r="G11" s="165" t="s">
        <v>109</v>
      </c>
      <c r="H11" s="165" t="s">
        <v>109</v>
      </c>
      <c r="I11" s="165" t="s">
        <v>109</v>
      </c>
      <c r="J11" s="165" t="s">
        <v>109</v>
      </c>
      <c r="K11" s="165" t="s">
        <v>109</v>
      </c>
      <c r="L11" s="166" t="s">
        <v>987</v>
      </c>
      <c r="M11" s="163" t="s">
        <v>988</v>
      </c>
      <c r="N11" s="167"/>
      <c r="O11" s="165"/>
      <c r="P11" s="163"/>
      <c r="Q11" s="163">
        <v>10</v>
      </c>
    </row>
    <row r="12" spans="1:17">
      <c r="A12" s="163">
        <v>11</v>
      </c>
      <c r="B12" s="163" t="s">
        <v>984</v>
      </c>
      <c r="C12" s="328" t="s">
        <v>977</v>
      </c>
      <c r="D12" s="163">
        <v>1.1000000000000001</v>
      </c>
      <c r="E12" s="163" t="s">
        <v>985</v>
      </c>
      <c r="F12" s="163" t="s">
        <v>986</v>
      </c>
      <c r="G12" s="165" t="s">
        <v>109</v>
      </c>
      <c r="H12" s="165" t="s">
        <v>109</v>
      </c>
      <c r="I12" s="165" t="s">
        <v>109</v>
      </c>
      <c r="J12" s="165" t="s">
        <v>109</v>
      </c>
      <c r="K12" s="165" t="s">
        <v>109</v>
      </c>
      <c r="L12" s="166" t="s">
        <v>987</v>
      </c>
      <c r="M12" s="163" t="s">
        <v>988</v>
      </c>
      <c r="N12" s="167"/>
      <c r="O12" s="165"/>
      <c r="P12" s="163"/>
      <c r="Q12" s="163">
        <v>11</v>
      </c>
    </row>
    <row r="13" spans="1:17">
      <c r="A13" s="163">
        <v>12</v>
      </c>
      <c r="B13" s="163" t="s">
        <v>984</v>
      </c>
      <c r="C13" s="328" t="s">
        <v>978</v>
      </c>
      <c r="D13" s="163">
        <v>1.1000000000000001</v>
      </c>
      <c r="E13" s="163" t="s">
        <v>985</v>
      </c>
      <c r="F13" s="163" t="s">
        <v>986</v>
      </c>
      <c r="G13" s="165" t="s">
        <v>109</v>
      </c>
      <c r="H13" s="165" t="s">
        <v>109</v>
      </c>
      <c r="I13" s="165" t="s">
        <v>109</v>
      </c>
      <c r="J13" s="165" t="s">
        <v>109</v>
      </c>
      <c r="K13" s="165" t="s">
        <v>109</v>
      </c>
      <c r="L13" s="166" t="s">
        <v>987</v>
      </c>
      <c r="M13" s="163" t="s">
        <v>988</v>
      </c>
      <c r="N13" s="167"/>
      <c r="O13" s="165"/>
      <c r="P13" s="163"/>
      <c r="Q13" s="163">
        <v>12</v>
      </c>
    </row>
    <row r="14" spans="1:17">
      <c r="A14" s="163">
        <v>13</v>
      </c>
      <c r="B14" s="163" t="s">
        <v>984</v>
      </c>
      <c r="C14" s="328" t="s">
        <v>979</v>
      </c>
      <c r="D14" s="163">
        <v>1.1000000000000001</v>
      </c>
      <c r="E14" s="163" t="s">
        <v>985</v>
      </c>
      <c r="F14" s="163" t="s">
        <v>986</v>
      </c>
      <c r="G14" s="165" t="s">
        <v>109</v>
      </c>
      <c r="H14" s="165" t="s">
        <v>109</v>
      </c>
      <c r="I14" s="165" t="s">
        <v>109</v>
      </c>
      <c r="J14" s="165" t="s">
        <v>109</v>
      </c>
      <c r="K14" s="165" t="s">
        <v>109</v>
      </c>
      <c r="L14" s="166" t="s">
        <v>987</v>
      </c>
      <c r="M14" s="163" t="s">
        <v>988</v>
      </c>
      <c r="N14" s="167"/>
      <c r="O14" s="165"/>
      <c r="P14" s="163"/>
      <c r="Q14" s="163">
        <v>13</v>
      </c>
    </row>
    <row r="15" spans="1:17">
      <c r="A15" s="163">
        <v>14</v>
      </c>
      <c r="B15" s="163" t="s">
        <v>984</v>
      </c>
      <c r="C15" s="328" t="s">
        <v>980</v>
      </c>
      <c r="D15" s="163">
        <v>1.1000000000000001</v>
      </c>
      <c r="E15" s="163" t="s">
        <v>985</v>
      </c>
      <c r="F15" s="163" t="s">
        <v>986</v>
      </c>
      <c r="G15" s="165" t="s">
        <v>109</v>
      </c>
      <c r="H15" s="165" t="s">
        <v>109</v>
      </c>
      <c r="I15" s="165" t="s">
        <v>109</v>
      </c>
      <c r="J15" s="165" t="s">
        <v>109</v>
      </c>
      <c r="K15" s="165" t="s">
        <v>109</v>
      </c>
      <c r="L15" s="166" t="s">
        <v>987</v>
      </c>
      <c r="M15" s="163" t="s">
        <v>988</v>
      </c>
      <c r="N15" s="167"/>
      <c r="O15" s="165"/>
      <c r="P15" s="163"/>
      <c r="Q15" s="163">
        <v>14</v>
      </c>
    </row>
    <row r="16" spans="1:17">
      <c r="A16" s="163">
        <v>15</v>
      </c>
      <c r="B16" s="163" t="s">
        <v>984</v>
      </c>
      <c r="C16" s="328" t="s">
        <v>981</v>
      </c>
      <c r="D16" s="163">
        <v>1.1000000000000001</v>
      </c>
      <c r="E16" s="163" t="s">
        <v>985</v>
      </c>
      <c r="F16" s="163" t="s">
        <v>986</v>
      </c>
      <c r="G16" s="165" t="s">
        <v>109</v>
      </c>
      <c r="H16" s="165" t="s">
        <v>109</v>
      </c>
      <c r="I16" s="165" t="s">
        <v>109</v>
      </c>
      <c r="J16" s="165" t="s">
        <v>109</v>
      </c>
      <c r="K16" s="165" t="s">
        <v>109</v>
      </c>
      <c r="L16" s="166" t="s">
        <v>987</v>
      </c>
      <c r="M16" s="163" t="s">
        <v>988</v>
      </c>
      <c r="N16" s="167"/>
      <c r="O16" s="165"/>
      <c r="P16" s="163"/>
      <c r="Q16" s="163">
        <v>15</v>
      </c>
    </row>
    <row r="17" spans="1:17">
      <c r="A17" s="163">
        <v>16</v>
      </c>
      <c r="B17" s="163" t="s">
        <v>984</v>
      </c>
      <c r="C17" s="328" t="s">
        <v>982</v>
      </c>
      <c r="D17" s="163">
        <v>1.1000000000000001</v>
      </c>
      <c r="E17" s="163" t="s">
        <v>985</v>
      </c>
      <c r="F17" s="163" t="s">
        <v>986</v>
      </c>
      <c r="G17" s="165" t="s">
        <v>109</v>
      </c>
      <c r="H17" s="165" t="s">
        <v>109</v>
      </c>
      <c r="I17" s="165" t="s">
        <v>109</v>
      </c>
      <c r="J17" s="165" t="s">
        <v>109</v>
      </c>
      <c r="K17" s="165" t="s">
        <v>109</v>
      </c>
      <c r="L17" s="166" t="s">
        <v>987</v>
      </c>
      <c r="M17" s="163" t="s">
        <v>988</v>
      </c>
      <c r="N17" s="167"/>
      <c r="O17" s="165"/>
      <c r="P17" s="163"/>
      <c r="Q17" s="163">
        <v>16</v>
      </c>
    </row>
    <row r="18" spans="1:17">
      <c r="A18" s="163">
        <v>17</v>
      </c>
      <c r="B18" s="163" t="s">
        <v>984</v>
      </c>
      <c r="C18" s="328" t="s">
        <v>983</v>
      </c>
      <c r="D18" s="163">
        <v>1.1000000000000001</v>
      </c>
      <c r="E18" s="163" t="s">
        <v>985</v>
      </c>
      <c r="F18" s="163" t="s">
        <v>986</v>
      </c>
      <c r="G18" s="165" t="s">
        <v>109</v>
      </c>
      <c r="H18" s="165" t="s">
        <v>109</v>
      </c>
      <c r="I18" s="165" t="s">
        <v>109</v>
      </c>
      <c r="J18" s="165" t="s">
        <v>109</v>
      </c>
      <c r="K18" s="165" t="s">
        <v>109</v>
      </c>
      <c r="L18" s="166" t="s">
        <v>987</v>
      </c>
      <c r="M18" s="163" t="s">
        <v>988</v>
      </c>
      <c r="N18" s="167"/>
      <c r="O18" s="165"/>
      <c r="P18" s="163"/>
      <c r="Q18" s="163">
        <v>17</v>
      </c>
    </row>
    <row r="19" spans="1:17">
      <c r="A19" s="163">
        <v>18</v>
      </c>
      <c r="B19" s="163" t="str">
        <f t="shared" ref="B3:B66" si="0">IF(ISNA(D19),"NotApplicable","Applicable")</f>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0"/>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0"/>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0"/>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0"/>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0"/>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0"/>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0"/>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0"/>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0"/>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0"/>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0"/>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0"/>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0"/>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0"/>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0"/>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0"/>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0"/>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0"/>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0"/>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0"/>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0"/>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0"/>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0"/>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0"/>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0"/>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0"/>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0"/>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0"/>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0"/>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0"/>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0"/>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0"/>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0"/>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0"/>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0"/>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0"/>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0"/>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0"/>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0"/>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0"/>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0"/>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0"/>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0"/>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0"/>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0"/>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0"/>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0"/>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1">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1"/>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1"/>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1"/>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1"/>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1"/>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1"/>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1"/>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1"/>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1"/>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1"/>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1"/>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1"/>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1"/>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1"/>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1"/>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1"/>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1"/>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1"/>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1"/>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1"/>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1"/>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1"/>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1"/>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1"/>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1"/>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1"/>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1"/>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1"/>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1"/>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1"/>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1"/>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1"/>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1"/>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1"/>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1"/>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1"/>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1"/>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1"/>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1"/>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1"/>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1"/>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1"/>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1"/>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1"/>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1"/>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1"/>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1"/>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1"/>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1"/>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1"/>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1"/>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1"/>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1"/>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1"/>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1"/>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1"/>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1"/>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1"/>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1"/>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1"/>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1"/>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1"/>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1"/>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2">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2"/>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2"/>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2"/>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2"/>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2"/>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2"/>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2"/>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2"/>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2"/>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2"/>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2"/>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2"/>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2"/>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2"/>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2"/>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2"/>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2"/>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2"/>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2"/>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2"/>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2"/>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2"/>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2"/>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2"/>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2"/>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2"/>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2"/>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2"/>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2"/>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2"/>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2"/>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2"/>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2"/>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2"/>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2"/>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2"/>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2"/>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2"/>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2"/>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2"/>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2"/>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2"/>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2"/>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2"/>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2"/>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2"/>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2"/>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2"/>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2"/>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2"/>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2"/>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2"/>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2"/>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2"/>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2"/>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2"/>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2"/>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2"/>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2"/>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2"/>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2"/>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2"/>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2"/>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3">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3"/>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3"/>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3"/>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3"/>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3"/>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3"/>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3"/>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3"/>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3"/>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3"/>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3"/>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3"/>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3"/>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3"/>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3"/>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3"/>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3"/>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3"/>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3"/>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3"/>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3"/>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3"/>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3"/>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3"/>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3"/>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3"/>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3"/>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3"/>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3"/>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3"/>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3"/>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3"/>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3"/>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3"/>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3"/>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3"/>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3"/>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3"/>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3"/>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3"/>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3"/>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3"/>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3"/>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3"/>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3"/>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3"/>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3"/>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3"/>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3"/>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3"/>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3"/>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3"/>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3"/>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3"/>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3"/>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3"/>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3"/>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3"/>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3"/>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3"/>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3"/>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3"/>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3"/>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4">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4"/>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4"/>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4"/>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4"/>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4"/>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4"/>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4"/>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4"/>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4"/>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4"/>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4"/>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4"/>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4"/>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4"/>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4"/>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4"/>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4"/>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4"/>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4"/>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4"/>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4"/>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4"/>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4"/>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4"/>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4"/>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4"/>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4"/>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4"/>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4"/>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4"/>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4"/>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4"/>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4"/>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4"/>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4"/>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4"/>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4"/>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4"/>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4"/>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4"/>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4"/>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4"/>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4"/>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4"/>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4"/>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4"/>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4"/>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4"/>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4"/>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4"/>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4"/>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4"/>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4"/>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4"/>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4"/>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4"/>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4"/>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4"/>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4"/>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4"/>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4"/>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4"/>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4"/>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5">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5"/>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5"/>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5"/>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5"/>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5"/>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5"/>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5"/>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5"/>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5"/>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5"/>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5"/>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5"/>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5"/>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5"/>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5"/>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5"/>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5"/>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5"/>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5"/>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5"/>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5"/>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4" priority="7">
      <formula>AND($O2="Fixed",$P2="Approved")</formula>
    </cfRule>
  </conditionalFormatting>
  <conditionalFormatting sqref="P2:P344">
    <cfRule type="expression" dxfId="1505" priority="6">
      <formula>$P2="Approved"</formula>
    </cfRule>
    <cfRule type="expression" dxfId="1504" priority="11">
      <formula>$P2="Rejected"</formula>
    </cfRule>
  </conditionalFormatting>
  <conditionalFormatting sqref="Q2:Q3 Q5:Q344 A2:O344">
    <cfRule type="expression" dxfId="3" priority="8">
      <formula>$O2="Open"</formula>
    </cfRule>
    <cfRule type="expression" dxfId="2" priority="9">
      <formula>$O2="Fixed"</formula>
    </cfRule>
    <cfRule type="expression" dxfId="1" priority="10">
      <formula>$O2="Postponed"</formula>
    </cfRule>
    <cfRule type="expression" dxfId="0" priority="12">
      <formula>$O2="Will not fix"</formula>
    </cfRule>
  </conditionalFormatting>
  <conditionalFormatting sqref="Q4">
    <cfRule type="expression" dxfId="1503" priority="1">
      <formula>AND($O4="Fixed",$P4="Approved")</formula>
    </cfRule>
  </conditionalFormatting>
  <conditionalFormatting sqref="Q4">
    <cfRule type="expression" dxfId="1502" priority="2">
      <formula>$O4="Open"</formula>
    </cfRule>
    <cfRule type="expression" dxfId="1501" priority="3">
      <formula>$O4="Fixed"</formula>
    </cfRule>
    <cfRule type="expression" dxfId="1500" priority="4">
      <formula>$O4="Postponed"</formula>
    </cfRule>
    <cfRule type="expression" dxfId="1499"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8" priority="1378" operator="equal">
      <formula>"No"</formula>
    </cfRule>
    <cfRule type="cellIs" dxfId="1497" priority="1379" operator="equal">
      <formula>"NA"</formula>
    </cfRule>
    <cfRule type="cellIs" dxfId="1496" priority="1380" operator="equal">
      <formula>"Yes"</formula>
    </cfRule>
  </conditionalFormatting>
  <conditionalFormatting sqref="C7">
    <cfRule type="cellIs" dxfId="1495" priority="1332" operator="equal">
      <formula>"No"</formula>
    </cfRule>
    <cfRule type="cellIs" dxfId="1494" priority="1333" operator="equal">
      <formula>"NA"</formula>
    </cfRule>
    <cfRule type="cellIs" dxfId="1493" priority="1334" operator="equal">
      <formula>"Yes"</formula>
    </cfRule>
  </conditionalFormatting>
  <conditionalFormatting sqref="C8">
    <cfRule type="cellIs" dxfId="1492" priority="1286" operator="equal">
      <formula>"No"</formula>
    </cfRule>
    <cfRule type="cellIs" dxfId="1491" priority="1287" operator="equal">
      <formula>"NA"</formula>
    </cfRule>
    <cfRule type="cellIs" dxfId="1490" priority="1288" operator="equal">
      <formula>"Yes"</formula>
    </cfRule>
  </conditionalFormatting>
  <conditionalFormatting sqref="C10">
    <cfRule type="cellIs" dxfId="1489" priority="1240" operator="equal">
      <formula>"No"</formula>
    </cfRule>
    <cfRule type="cellIs" dxfId="1488" priority="1241" operator="equal">
      <formula>"NA"</formula>
    </cfRule>
    <cfRule type="cellIs" dxfId="1487" priority="1242" operator="equal">
      <formula>"Yes"</formula>
    </cfRule>
  </conditionalFormatting>
  <conditionalFormatting sqref="C11">
    <cfRule type="cellIs" dxfId="1486" priority="1194" operator="equal">
      <formula>"No"</formula>
    </cfRule>
    <cfRule type="cellIs" dxfId="1485" priority="1195" operator="equal">
      <formula>"NA"</formula>
    </cfRule>
    <cfRule type="cellIs" dxfId="1484" priority="1196" operator="equal">
      <formula>"Yes"</formula>
    </cfRule>
  </conditionalFormatting>
  <conditionalFormatting sqref="C12">
    <cfRule type="cellIs" dxfId="1483" priority="1148" operator="equal">
      <formula>"No"</formula>
    </cfRule>
    <cfRule type="cellIs" dxfId="1482" priority="1149" operator="equal">
      <formula>"NA"</formula>
    </cfRule>
    <cfRule type="cellIs" dxfId="1481" priority="1150" operator="equal">
      <formula>"Yes"</formula>
    </cfRule>
  </conditionalFormatting>
  <conditionalFormatting sqref="C13">
    <cfRule type="cellIs" dxfId="1480" priority="1102" operator="equal">
      <formula>"No"</formula>
    </cfRule>
    <cfRule type="cellIs" dxfId="1479" priority="1103" operator="equal">
      <formula>"NA"</formula>
    </cfRule>
    <cfRule type="cellIs" dxfId="1478" priority="1104" operator="equal">
      <formula>"Yes"</formula>
    </cfRule>
  </conditionalFormatting>
  <conditionalFormatting sqref="C14">
    <cfRule type="cellIs" dxfId="1477" priority="1056" operator="equal">
      <formula>"No"</formula>
    </cfRule>
    <cfRule type="cellIs" dxfId="1476" priority="1057" operator="equal">
      <formula>"NA"</formula>
    </cfRule>
    <cfRule type="cellIs" dxfId="1475" priority="1058" operator="equal">
      <formula>"Yes"</formula>
    </cfRule>
  </conditionalFormatting>
  <conditionalFormatting sqref="C15">
    <cfRule type="cellIs" dxfId="1474" priority="1010" operator="equal">
      <formula>"No"</formula>
    </cfRule>
    <cfRule type="cellIs" dxfId="1473" priority="1011" operator="equal">
      <formula>"NA"</formula>
    </cfRule>
    <cfRule type="cellIs" dxfId="1472" priority="1012" operator="equal">
      <formula>"Yes"</formula>
    </cfRule>
  </conditionalFormatting>
  <conditionalFormatting sqref="C16">
    <cfRule type="cellIs" dxfId="1471" priority="964" operator="equal">
      <formula>"No"</formula>
    </cfRule>
    <cfRule type="cellIs" dxfId="1470" priority="965" operator="equal">
      <formula>"NA"</formula>
    </cfRule>
    <cfRule type="cellIs" dxfId="1469" priority="966" operator="equal">
      <formula>"Yes"</formula>
    </cfRule>
  </conditionalFormatting>
  <conditionalFormatting sqref="C17">
    <cfRule type="cellIs" dxfId="1468" priority="918" operator="equal">
      <formula>"No"</formula>
    </cfRule>
    <cfRule type="cellIs" dxfId="1467" priority="919" operator="equal">
      <formula>"NA"</formula>
    </cfRule>
    <cfRule type="cellIs" dxfId="1466" priority="920" operator="equal">
      <formula>"Yes"</formula>
    </cfRule>
  </conditionalFormatting>
  <conditionalFormatting sqref="C18">
    <cfRule type="cellIs" dxfId="1465" priority="872" operator="equal">
      <formula>"No"</formula>
    </cfRule>
    <cfRule type="cellIs" dxfId="1464" priority="873" operator="equal">
      <formula>"NA"</formula>
    </cfRule>
    <cfRule type="cellIs" dxfId="1463" priority="874" operator="equal">
      <formula>"Yes"</formula>
    </cfRule>
  </conditionalFormatting>
  <conditionalFormatting sqref="C19">
    <cfRule type="cellIs" dxfId="1462" priority="826" operator="equal">
      <formula>"No"</formula>
    </cfRule>
    <cfRule type="cellIs" dxfId="1461" priority="827" operator="equal">
      <formula>"NA"</formula>
    </cfRule>
    <cfRule type="cellIs" dxfId="1460" priority="828" operator="equal">
      <formula>"Yes"</formula>
    </cfRule>
  </conditionalFormatting>
  <conditionalFormatting sqref="C20">
    <cfRule type="cellIs" dxfId="1459" priority="780" operator="equal">
      <formula>"No"</formula>
    </cfRule>
    <cfRule type="cellIs" dxfId="1458" priority="781" operator="equal">
      <formula>"NA"</formula>
    </cfRule>
    <cfRule type="cellIs" dxfId="1457" priority="782" operator="equal">
      <formula>"Yes"</formula>
    </cfRule>
  </conditionalFormatting>
  <conditionalFormatting sqref="C21">
    <cfRule type="cellIs" dxfId="1456" priority="734" operator="equal">
      <formula>"No"</formula>
    </cfRule>
    <cfRule type="cellIs" dxfId="1455" priority="735" operator="equal">
      <formula>"NA"</formula>
    </cfRule>
    <cfRule type="cellIs" dxfId="1454" priority="736" operator="equal">
      <formula>"Yes"</formula>
    </cfRule>
  </conditionalFormatting>
  <conditionalFormatting sqref="C23">
    <cfRule type="cellIs" dxfId="1453" priority="688" operator="equal">
      <formula>"No"</formula>
    </cfRule>
    <cfRule type="cellIs" dxfId="1452" priority="689" operator="equal">
      <formula>"NA"</formula>
    </cfRule>
    <cfRule type="cellIs" dxfId="1451" priority="690" operator="equal">
      <formula>"Yes"</formula>
    </cfRule>
  </conditionalFormatting>
  <conditionalFormatting sqref="C25">
    <cfRule type="cellIs" dxfId="1450" priority="642" operator="equal">
      <formula>"No"</formula>
    </cfRule>
    <cfRule type="cellIs" dxfId="1449" priority="643" operator="equal">
      <formula>"NA"</formula>
    </cfRule>
    <cfRule type="cellIs" dxfId="1448" priority="644" operator="equal">
      <formula>"Yes"</formula>
    </cfRule>
  </conditionalFormatting>
  <conditionalFormatting sqref="C27">
    <cfRule type="cellIs" dxfId="1447" priority="596" operator="equal">
      <formula>"No"</formula>
    </cfRule>
    <cfRule type="cellIs" dxfId="1446" priority="597" operator="equal">
      <formula>"NA"</formula>
    </cfRule>
    <cfRule type="cellIs" dxfId="1445" priority="598" operator="equal">
      <formula>"Yes"</formula>
    </cfRule>
  </conditionalFormatting>
  <conditionalFormatting sqref="C28">
    <cfRule type="cellIs" dxfId="1444" priority="550" operator="equal">
      <formula>"No"</formula>
    </cfRule>
    <cfRule type="cellIs" dxfId="1443" priority="551" operator="equal">
      <formula>"NA"</formula>
    </cfRule>
    <cfRule type="cellIs" dxfId="1442" priority="552" operator="equal">
      <formula>"Yes"</formula>
    </cfRule>
  </conditionalFormatting>
  <conditionalFormatting sqref="C29">
    <cfRule type="cellIs" dxfId="1441" priority="504" operator="equal">
      <formula>"No"</formula>
    </cfRule>
    <cfRule type="cellIs" dxfId="1440" priority="505" operator="equal">
      <formula>"NA"</formula>
    </cfRule>
    <cfRule type="cellIs" dxfId="1439" priority="506" operator="equal">
      <formula>"Yes"</formula>
    </cfRule>
  </conditionalFormatting>
  <conditionalFormatting sqref="C31">
    <cfRule type="cellIs" dxfId="1438" priority="458" operator="equal">
      <formula>"No"</formula>
    </cfRule>
    <cfRule type="cellIs" dxfId="1437" priority="459" operator="equal">
      <formula>"NA"</formula>
    </cfRule>
    <cfRule type="cellIs" dxfId="1436" priority="460" operator="equal">
      <formula>"Yes"</formula>
    </cfRule>
  </conditionalFormatting>
  <conditionalFormatting sqref="C32">
    <cfRule type="cellIs" dxfId="1435" priority="412" operator="equal">
      <formula>"No"</formula>
    </cfRule>
    <cfRule type="cellIs" dxfId="1434" priority="413" operator="equal">
      <formula>"NA"</formula>
    </cfRule>
    <cfRule type="cellIs" dxfId="1433" priority="414" operator="equal">
      <formula>"Yes"</formula>
    </cfRule>
  </conditionalFormatting>
  <conditionalFormatting sqref="C34">
    <cfRule type="cellIs" dxfId="1432" priority="366" operator="equal">
      <formula>"No"</formula>
    </cfRule>
    <cfRule type="cellIs" dxfId="1431" priority="367" operator="equal">
      <formula>"NA"</formula>
    </cfRule>
    <cfRule type="cellIs" dxfId="1430" priority="368" operator="equal">
      <formula>"Yes"</formula>
    </cfRule>
  </conditionalFormatting>
  <conditionalFormatting sqref="C36">
    <cfRule type="cellIs" dxfId="1429" priority="320" operator="equal">
      <formula>"No"</formula>
    </cfRule>
    <cfRule type="cellIs" dxfId="1428" priority="321" operator="equal">
      <formula>"NA"</formula>
    </cfRule>
    <cfRule type="cellIs" dxfId="1427" priority="322" operator="equal">
      <formula>"Yes"</formula>
    </cfRule>
  </conditionalFormatting>
  <conditionalFormatting sqref="C37">
    <cfRule type="cellIs" dxfId="1426" priority="274" operator="equal">
      <formula>"No"</formula>
    </cfRule>
    <cfRule type="cellIs" dxfId="1425" priority="275" operator="equal">
      <formula>"NA"</formula>
    </cfRule>
    <cfRule type="cellIs" dxfId="1424" priority="276" operator="equal">
      <formula>"Yes"</formula>
    </cfRule>
  </conditionalFormatting>
  <conditionalFormatting sqref="C38">
    <cfRule type="cellIs" dxfId="1423" priority="228" operator="equal">
      <formula>"No"</formula>
    </cfRule>
    <cfRule type="cellIs" dxfId="1422" priority="229" operator="equal">
      <formula>"NA"</formula>
    </cfRule>
    <cfRule type="cellIs" dxfId="1421" priority="230" operator="equal">
      <formula>"Yes"</formula>
    </cfRule>
  </conditionalFormatting>
  <conditionalFormatting sqref="C39">
    <cfRule type="cellIs" dxfId="1420" priority="182" operator="equal">
      <formula>"No"</formula>
    </cfRule>
    <cfRule type="cellIs" dxfId="1419" priority="183" operator="equal">
      <formula>"NA"</formula>
    </cfRule>
    <cfRule type="cellIs" dxfId="1418" priority="184" operator="equal">
      <formula>"Yes"</formula>
    </cfRule>
  </conditionalFormatting>
  <conditionalFormatting sqref="C41">
    <cfRule type="cellIs" dxfId="1417" priority="136" operator="equal">
      <formula>"No"</formula>
    </cfRule>
    <cfRule type="cellIs" dxfId="1416" priority="137" operator="equal">
      <formula>"NA"</formula>
    </cfRule>
    <cfRule type="cellIs" dxfId="1415" priority="138" operator="equal">
      <formula>"Yes"</formula>
    </cfRule>
  </conditionalFormatting>
  <conditionalFormatting sqref="C42">
    <cfRule type="cellIs" dxfId="1414" priority="90" operator="equal">
      <formula>"No"</formula>
    </cfRule>
    <cfRule type="cellIs" dxfId="1413" priority="91" operator="equal">
      <formula>"NA"</formula>
    </cfRule>
    <cfRule type="cellIs" dxfId="1412" priority="92" operator="equal">
      <formula>"Yes"</formula>
    </cfRule>
  </conditionalFormatting>
  <conditionalFormatting sqref="C44">
    <cfRule type="cellIs" dxfId="1411" priority="44" operator="equal">
      <formula>"No"</formula>
    </cfRule>
    <cfRule type="cellIs" dxfId="1410" priority="45" operator="equal">
      <formula>"NA"</formula>
    </cfRule>
    <cfRule type="cellIs" dxfId="1409"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8" priority="1194" operator="equal">
      <formula>"No"</formula>
    </cfRule>
    <cfRule type="cellIs" dxfId="1407" priority="1195" operator="equal">
      <formula>"NA"</formula>
    </cfRule>
    <cfRule type="cellIs" dxfId="1406" priority="1196" operator="equal">
      <formula>"Yes"</formula>
    </cfRule>
  </conditionalFormatting>
  <conditionalFormatting sqref="C7">
    <cfRule type="cellIs" dxfId="1405" priority="1148" operator="equal">
      <formula>"No"</formula>
    </cfRule>
    <cfRule type="cellIs" dxfId="1404" priority="1149" operator="equal">
      <formula>"NA"</formula>
    </cfRule>
    <cfRule type="cellIs" dxfId="1403" priority="1150" operator="equal">
      <formula>"Yes"</formula>
    </cfRule>
  </conditionalFormatting>
  <conditionalFormatting sqref="C8">
    <cfRule type="cellIs" dxfId="1402" priority="1102" operator="equal">
      <formula>"No"</formula>
    </cfRule>
    <cfRule type="cellIs" dxfId="1401" priority="1103" operator="equal">
      <formula>"NA"</formula>
    </cfRule>
    <cfRule type="cellIs" dxfId="1400" priority="1104" operator="equal">
      <formula>"Yes"</formula>
    </cfRule>
  </conditionalFormatting>
  <conditionalFormatting sqref="C10">
    <cfRule type="cellIs" dxfId="1399" priority="1056" operator="equal">
      <formula>"No"</formula>
    </cfRule>
    <cfRule type="cellIs" dxfId="1398" priority="1057" operator="equal">
      <formula>"NA"</formula>
    </cfRule>
    <cfRule type="cellIs" dxfId="1397" priority="1058" operator="equal">
      <formula>"Yes"</formula>
    </cfRule>
  </conditionalFormatting>
  <conditionalFormatting sqref="C11">
    <cfRule type="cellIs" dxfId="1396" priority="1010" operator="equal">
      <formula>"No"</formula>
    </cfRule>
    <cfRule type="cellIs" dxfId="1395" priority="1011" operator="equal">
      <formula>"NA"</formula>
    </cfRule>
    <cfRule type="cellIs" dxfId="1394" priority="1012" operator="equal">
      <formula>"Yes"</formula>
    </cfRule>
  </conditionalFormatting>
  <conditionalFormatting sqref="C12">
    <cfRule type="cellIs" dxfId="1393" priority="964" operator="equal">
      <formula>"No"</formula>
    </cfRule>
    <cfRule type="cellIs" dxfId="1392" priority="965" operator="equal">
      <formula>"NA"</formula>
    </cfRule>
    <cfRule type="cellIs" dxfId="1391" priority="966" operator="equal">
      <formula>"Yes"</formula>
    </cfRule>
  </conditionalFormatting>
  <conditionalFormatting sqref="C13">
    <cfRule type="cellIs" dxfId="1390" priority="918" operator="equal">
      <formula>"No"</formula>
    </cfRule>
    <cfRule type="cellIs" dxfId="1389" priority="919" operator="equal">
      <formula>"NA"</formula>
    </cfRule>
    <cfRule type="cellIs" dxfId="1388" priority="920" operator="equal">
      <formula>"Yes"</formula>
    </cfRule>
  </conditionalFormatting>
  <conditionalFormatting sqref="C14">
    <cfRule type="cellIs" dxfId="1387" priority="872" operator="equal">
      <formula>"No"</formula>
    </cfRule>
    <cfRule type="cellIs" dxfId="1386" priority="873" operator="equal">
      <formula>"NA"</formula>
    </cfRule>
    <cfRule type="cellIs" dxfId="1385" priority="874" operator="equal">
      <formula>"Yes"</formula>
    </cfRule>
  </conditionalFormatting>
  <conditionalFormatting sqref="C15">
    <cfRule type="cellIs" dxfId="1384" priority="826" operator="equal">
      <formula>"No"</formula>
    </cfRule>
    <cfRule type="cellIs" dxfId="1383" priority="827" operator="equal">
      <formula>"NA"</formula>
    </cfRule>
    <cfRule type="cellIs" dxfId="1382" priority="828" operator="equal">
      <formula>"Yes"</formula>
    </cfRule>
  </conditionalFormatting>
  <conditionalFormatting sqref="C16">
    <cfRule type="cellIs" dxfId="1381" priority="780" operator="equal">
      <formula>"No"</formula>
    </cfRule>
    <cfRule type="cellIs" dxfId="1380" priority="781" operator="equal">
      <formula>"NA"</formula>
    </cfRule>
    <cfRule type="cellIs" dxfId="1379" priority="782" operator="equal">
      <formula>"Yes"</formula>
    </cfRule>
  </conditionalFormatting>
  <conditionalFormatting sqref="C17">
    <cfRule type="cellIs" dxfId="1378" priority="734" operator="equal">
      <formula>"No"</formula>
    </cfRule>
    <cfRule type="cellIs" dxfId="1377" priority="735" operator="equal">
      <formula>"NA"</formula>
    </cfRule>
    <cfRule type="cellIs" dxfId="1376" priority="736" operator="equal">
      <formula>"Yes"</formula>
    </cfRule>
  </conditionalFormatting>
  <conditionalFormatting sqref="C18">
    <cfRule type="cellIs" dxfId="1375" priority="688" operator="equal">
      <formula>"No"</formula>
    </cfRule>
    <cfRule type="cellIs" dxfId="1374" priority="689" operator="equal">
      <formula>"NA"</formula>
    </cfRule>
    <cfRule type="cellIs" dxfId="1373" priority="690" operator="equal">
      <formula>"Yes"</formula>
    </cfRule>
  </conditionalFormatting>
  <conditionalFormatting sqref="C19">
    <cfRule type="cellIs" dxfId="1372" priority="642" operator="equal">
      <formula>"No"</formula>
    </cfRule>
    <cfRule type="cellIs" dxfId="1371" priority="643" operator="equal">
      <formula>"NA"</formula>
    </cfRule>
    <cfRule type="cellIs" dxfId="1370" priority="644" operator="equal">
      <formula>"Yes"</formula>
    </cfRule>
  </conditionalFormatting>
  <conditionalFormatting sqref="C21">
    <cfRule type="cellIs" dxfId="1369" priority="596" operator="equal">
      <formula>"No"</formula>
    </cfRule>
    <cfRule type="cellIs" dxfId="1368" priority="597" operator="equal">
      <formula>"NA"</formula>
    </cfRule>
    <cfRule type="cellIs" dxfId="1367" priority="598" operator="equal">
      <formula>"Yes"</formula>
    </cfRule>
  </conditionalFormatting>
  <conditionalFormatting sqref="C22">
    <cfRule type="cellIs" dxfId="1366" priority="550" operator="equal">
      <formula>"No"</formula>
    </cfRule>
    <cfRule type="cellIs" dxfId="1365" priority="551" operator="equal">
      <formula>"NA"</formula>
    </cfRule>
    <cfRule type="cellIs" dxfId="1364" priority="552" operator="equal">
      <formula>"Yes"</formula>
    </cfRule>
  </conditionalFormatting>
  <conditionalFormatting sqref="C24">
    <cfRule type="cellIs" dxfId="1363" priority="504" operator="equal">
      <formula>"No"</formula>
    </cfRule>
    <cfRule type="cellIs" dxfId="1362" priority="505" operator="equal">
      <formula>"NA"</formula>
    </cfRule>
    <cfRule type="cellIs" dxfId="1361" priority="506" operator="equal">
      <formula>"Yes"</formula>
    </cfRule>
  </conditionalFormatting>
  <conditionalFormatting sqref="C25">
    <cfRule type="cellIs" dxfId="1360" priority="458" operator="equal">
      <formula>"No"</formula>
    </cfRule>
    <cfRule type="cellIs" dxfId="1359" priority="459" operator="equal">
      <formula>"NA"</formula>
    </cfRule>
    <cfRule type="cellIs" dxfId="1358" priority="460" operator="equal">
      <formula>"Yes"</formula>
    </cfRule>
  </conditionalFormatting>
  <conditionalFormatting sqref="C26">
    <cfRule type="cellIs" dxfId="1357" priority="412" operator="equal">
      <formula>"No"</formula>
    </cfRule>
    <cfRule type="cellIs" dxfId="1356" priority="413" operator="equal">
      <formula>"NA"</formula>
    </cfRule>
    <cfRule type="cellIs" dxfId="1355" priority="414" operator="equal">
      <formula>"Yes"</formula>
    </cfRule>
  </conditionalFormatting>
  <conditionalFormatting sqref="C27">
    <cfRule type="cellIs" dxfId="1354" priority="366" operator="equal">
      <formula>"No"</formula>
    </cfRule>
    <cfRule type="cellIs" dxfId="1353" priority="367" operator="equal">
      <formula>"NA"</formula>
    </cfRule>
    <cfRule type="cellIs" dxfId="1352" priority="368" operator="equal">
      <formula>"Yes"</formula>
    </cfRule>
  </conditionalFormatting>
  <conditionalFormatting sqref="C29">
    <cfRule type="cellIs" dxfId="1351" priority="320" operator="equal">
      <formula>"No"</formula>
    </cfRule>
    <cfRule type="cellIs" dxfId="1350" priority="321" operator="equal">
      <formula>"NA"</formula>
    </cfRule>
    <cfRule type="cellIs" dxfId="1349" priority="322" operator="equal">
      <formula>"Yes"</formula>
    </cfRule>
  </conditionalFormatting>
  <conditionalFormatting sqref="C30">
    <cfRule type="cellIs" dxfId="1348" priority="274" operator="equal">
      <formula>"No"</formula>
    </cfRule>
    <cfRule type="cellIs" dxfId="1347" priority="275" operator="equal">
      <formula>"NA"</formula>
    </cfRule>
    <cfRule type="cellIs" dxfId="1346" priority="276" operator="equal">
      <formula>"Yes"</formula>
    </cfRule>
  </conditionalFormatting>
  <conditionalFormatting sqref="C31">
    <cfRule type="cellIs" dxfId="1345" priority="228" operator="equal">
      <formula>"No"</formula>
    </cfRule>
    <cfRule type="cellIs" dxfId="1344" priority="229" operator="equal">
      <formula>"NA"</formula>
    </cfRule>
    <cfRule type="cellIs" dxfId="1343" priority="230" operator="equal">
      <formula>"Yes"</formula>
    </cfRule>
  </conditionalFormatting>
  <conditionalFormatting sqref="C32">
    <cfRule type="cellIs" dxfId="1342" priority="182" operator="equal">
      <formula>"No"</formula>
    </cfRule>
    <cfRule type="cellIs" dxfId="1341" priority="183" operator="equal">
      <formula>"NA"</formula>
    </cfRule>
    <cfRule type="cellIs" dxfId="1340" priority="184" operator="equal">
      <formula>"Yes"</formula>
    </cfRule>
  </conditionalFormatting>
  <conditionalFormatting sqref="C34">
    <cfRule type="cellIs" dxfId="1339" priority="136" operator="equal">
      <formula>"No"</formula>
    </cfRule>
    <cfRule type="cellIs" dxfId="1338" priority="137" operator="equal">
      <formula>"NA"</formula>
    </cfRule>
    <cfRule type="cellIs" dxfId="1337" priority="138" operator="equal">
      <formula>"Yes"</formula>
    </cfRule>
  </conditionalFormatting>
  <conditionalFormatting sqref="C35">
    <cfRule type="cellIs" dxfId="1336" priority="90" operator="equal">
      <formula>"No"</formula>
    </cfRule>
    <cfRule type="cellIs" dxfId="1335" priority="91" operator="equal">
      <formula>"NA"</formula>
    </cfRule>
    <cfRule type="cellIs" dxfId="1334" priority="92" operator="equal">
      <formula>"Yes"</formula>
    </cfRule>
  </conditionalFormatting>
  <conditionalFormatting sqref="C37">
    <cfRule type="cellIs" dxfId="1333" priority="44" operator="equal">
      <formula>"No"</formula>
    </cfRule>
    <cfRule type="cellIs" dxfId="1332" priority="45" operator="equal">
      <formula>"NA"</formula>
    </cfRule>
    <cfRule type="cellIs" dxfId="1331"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30" priority="1102" operator="equal">
      <formula>"No"</formula>
    </cfRule>
    <cfRule type="cellIs" dxfId="1329" priority="1103" operator="equal">
      <formula>"NA"</formula>
    </cfRule>
    <cfRule type="cellIs" dxfId="1328" priority="1104" operator="equal">
      <formula>"Yes"</formula>
    </cfRule>
  </conditionalFormatting>
  <conditionalFormatting sqref="C7">
    <cfRule type="cellIs" dxfId="1327" priority="1056" operator="equal">
      <formula>"No"</formula>
    </cfRule>
    <cfRule type="cellIs" dxfId="1326" priority="1057" operator="equal">
      <formula>"NA"</formula>
    </cfRule>
    <cfRule type="cellIs" dxfId="1325" priority="1058" operator="equal">
      <formula>"Yes"</formula>
    </cfRule>
  </conditionalFormatting>
  <conditionalFormatting sqref="C8">
    <cfRule type="cellIs" dxfId="1324" priority="1010" operator="equal">
      <formula>"No"</formula>
    </cfRule>
    <cfRule type="cellIs" dxfId="1323" priority="1011" operator="equal">
      <formula>"NA"</formula>
    </cfRule>
    <cfRule type="cellIs" dxfId="1322" priority="1012" operator="equal">
      <formula>"Yes"</formula>
    </cfRule>
  </conditionalFormatting>
  <conditionalFormatting sqref="C9">
    <cfRule type="cellIs" dxfId="1321" priority="964" operator="equal">
      <formula>"No"</formula>
    </cfRule>
    <cfRule type="cellIs" dxfId="1320" priority="965" operator="equal">
      <formula>"NA"</formula>
    </cfRule>
    <cfRule type="cellIs" dxfId="1319" priority="966" operator="equal">
      <formula>"Yes"</formula>
    </cfRule>
  </conditionalFormatting>
  <conditionalFormatting sqref="C11">
    <cfRule type="cellIs" dxfId="1318" priority="918" operator="equal">
      <formula>"No"</formula>
    </cfRule>
    <cfRule type="cellIs" dxfId="1317" priority="919" operator="equal">
      <formula>"NA"</formula>
    </cfRule>
    <cfRule type="cellIs" dxfId="1316" priority="920" operator="equal">
      <formula>"Yes"</formula>
    </cfRule>
  </conditionalFormatting>
  <conditionalFormatting sqref="C12">
    <cfRule type="cellIs" dxfId="1315" priority="872" operator="equal">
      <formula>"No"</formula>
    </cfRule>
    <cfRule type="cellIs" dxfId="1314" priority="873" operator="equal">
      <formula>"NA"</formula>
    </cfRule>
    <cfRule type="cellIs" dxfId="1313" priority="874" operator="equal">
      <formula>"Yes"</formula>
    </cfRule>
  </conditionalFormatting>
  <conditionalFormatting sqref="C13">
    <cfRule type="cellIs" dxfId="1312" priority="826" operator="equal">
      <formula>"No"</formula>
    </cfRule>
    <cfRule type="cellIs" dxfId="1311" priority="827" operator="equal">
      <formula>"NA"</formula>
    </cfRule>
    <cfRule type="cellIs" dxfId="1310" priority="828" operator="equal">
      <formula>"Yes"</formula>
    </cfRule>
  </conditionalFormatting>
  <conditionalFormatting sqref="C14">
    <cfRule type="cellIs" dxfId="1309" priority="780" operator="equal">
      <formula>"No"</formula>
    </cfRule>
    <cfRule type="cellIs" dxfId="1308" priority="781" operator="equal">
      <formula>"NA"</formula>
    </cfRule>
    <cfRule type="cellIs" dxfId="1307" priority="782" operator="equal">
      <formula>"Yes"</formula>
    </cfRule>
  </conditionalFormatting>
  <conditionalFormatting sqref="C15">
    <cfRule type="cellIs" dxfId="1306" priority="734" operator="equal">
      <formula>"No"</formula>
    </cfRule>
    <cfRule type="cellIs" dxfId="1305" priority="735" operator="equal">
      <formula>"NA"</formula>
    </cfRule>
    <cfRule type="cellIs" dxfId="1304" priority="736" operator="equal">
      <formula>"Yes"</formula>
    </cfRule>
  </conditionalFormatting>
  <conditionalFormatting sqref="C16">
    <cfRule type="cellIs" dxfId="1303" priority="688" operator="equal">
      <formula>"No"</formula>
    </cfRule>
    <cfRule type="cellIs" dxfId="1302" priority="689" operator="equal">
      <formula>"NA"</formula>
    </cfRule>
    <cfRule type="cellIs" dxfId="1301" priority="690" operator="equal">
      <formula>"Yes"</formula>
    </cfRule>
  </conditionalFormatting>
  <conditionalFormatting sqref="C17">
    <cfRule type="cellIs" dxfId="1300" priority="642" operator="equal">
      <formula>"No"</formula>
    </cfRule>
    <cfRule type="cellIs" dxfId="1299" priority="643" operator="equal">
      <formula>"NA"</formula>
    </cfRule>
    <cfRule type="cellIs" dxfId="1298" priority="644" operator="equal">
      <formula>"Yes"</formula>
    </cfRule>
  </conditionalFormatting>
  <conditionalFormatting sqref="C18">
    <cfRule type="cellIs" dxfId="1297" priority="596" operator="equal">
      <formula>"No"</formula>
    </cfRule>
    <cfRule type="cellIs" dxfId="1296" priority="597" operator="equal">
      <formula>"NA"</formula>
    </cfRule>
    <cfRule type="cellIs" dxfId="1295" priority="598" operator="equal">
      <formula>"Yes"</formula>
    </cfRule>
  </conditionalFormatting>
  <conditionalFormatting sqref="C19">
    <cfRule type="cellIs" dxfId="1294" priority="550" operator="equal">
      <formula>"No"</formula>
    </cfRule>
    <cfRule type="cellIs" dxfId="1293" priority="551" operator="equal">
      <formula>"NA"</formula>
    </cfRule>
    <cfRule type="cellIs" dxfId="1292" priority="552" operator="equal">
      <formula>"Yes"</formula>
    </cfRule>
  </conditionalFormatting>
  <conditionalFormatting sqref="C20">
    <cfRule type="cellIs" dxfId="1291" priority="504" operator="equal">
      <formula>"No"</formula>
    </cfRule>
    <cfRule type="cellIs" dxfId="1290" priority="505" operator="equal">
      <formula>"NA"</formula>
    </cfRule>
    <cfRule type="cellIs" dxfId="1289" priority="506" operator="equal">
      <formula>"Yes"</formula>
    </cfRule>
  </conditionalFormatting>
  <conditionalFormatting sqref="C22">
    <cfRule type="cellIs" dxfId="1288" priority="458" operator="equal">
      <formula>"No"</formula>
    </cfRule>
    <cfRule type="cellIs" dxfId="1287" priority="459" operator="equal">
      <formula>"NA"</formula>
    </cfRule>
    <cfRule type="cellIs" dxfId="1286" priority="460" operator="equal">
      <formula>"Yes"</formula>
    </cfRule>
  </conditionalFormatting>
  <conditionalFormatting sqref="C24">
    <cfRule type="cellIs" dxfId="1285" priority="412" operator="equal">
      <formula>"No"</formula>
    </cfRule>
    <cfRule type="cellIs" dxfId="1284" priority="413" operator="equal">
      <formula>"NA"</formula>
    </cfRule>
    <cfRule type="cellIs" dxfId="1283" priority="414" operator="equal">
      <formula>"Yes"</formula>
    </cfRule>
  </conditionalFormatting>
  <conditionalFormatting sqref="C26">
    <cfRule type="cellIs" dxfId="1282" priority="366" operator="equal">
      <formula>"No"</formula>
    </cfRule>
    <cfRule type="cellIs" dxfId="1281" priority="367" operator="equal">
      <formula>"NA"</formula>
    </cfRule>
    <cfRule type="cellIs" dxfId="1280" priority="368" operator="equal">
      <formula>"Yes"</formula>
    </cfRule>
  </conditionalFormatting>
  <conditionalFormatting sqref="C28">
    <cfRule type="cellIs" dxfId="1279" priority="320" operator="equal">
      <formula>"No"</formula>
    </cfRule>
    <cfRule type="cellIs" dxfId="1278" priority="321" operator="equal">
      <formula>"NA"</formula>
    </cfRule>
    <cfRule type="cellIs" dxfId="1277" priority="322" operator="equal">
      <formula>"Yes"</formula>
    </cfRule>
  </conditionalFormatting>
  <conditionalFormatting sqref="C29">
    <cfRule type="cellIs" dxfId="1276" priority="274" operator="equal">
      <formula>"No"</formula>
    </cfRule>
    <cfRule type="cellIs" dxfId="1275" priority="275" operator="equal">
      <formula>"NA"</formula>
    </cfRule>
    <cfRule type="cellIs" dxfId="1274" priority="276" operator="equal">
      <formula>"Yes"</formula>
    </cfRule>
  </conditionalFormatting>
  <conditionalFormatting sqref="C30">
    <cfRule type="cellIs" dxfId="1273" priority="228" operator="equal">
      <formula>"No"</formula>
    </cfRule>
    <cfRule type="cellIs" dxfId="1272" priority="229" operator="equal">
      <formula>"NA"</formula>
    </cfRule>
    <cfRule type="cellIs" dxfId="1271" priority="230" operator="equal">
      <formula>"Yes"</formula>
    </cfRule>
  </conditionalFormatting>
  <conditionalFormatting sqref="C31">
    <cfRule type="cellIs" dxfId="1270" priority="182" operator="equal">
      <formula>"No"</formula>
    </cfRule>
    <cfRule type="cellIs" dxfId="1269" priority="183" operator="equal">
      <formula>"NA"</formula>
    </cfRule>
    <cfRule type="cellIs" dxfId="1268" priority="184" operator="equal">
      <formula>"Yes"</formula>
    </cfRule>
  </conditionalFormatting>
  <conditionalFormatting sqref="C33">
    <cfRule type="cellIs" dxfId="1267" priority="136" operator="equal">
      <formula>"No"</formula>
    </cfRule>
    <cfRule type="cellIs" dxfId="1266" priority="137" operator="equal">
      <formula>"NA"</formula>
    </cfRule>
    <cfRule type="cellIs" dxfId="1265" priority="138" operator="equal">
      <formula>"Yes"</formula>
    </cfRule>
  </conditionalFormatting>
  <conditionalFormatting sqref="C34">
    <cfRule type="cellIs" dxfId="1264" priority="90" operator="equal">
      <formula>"No"</formula>
    </cfRule>
    <cfRule type="cellIs" dxfId="1263" priority="91" operator="equal">
      <formula>"NA"</formula>
    </cfRule>
    <cfRule type="cellIs" dxfId="1262" priority="92" operator="equal">
      <formula>"Yes"</formula>
    </cfRule>
  </conditionalFormatting>
  <conditionalFormatting sqref="C36">
    <cfRule type="cellIs" dxfId="1261" priority="44" operator="equal">
      <formula>"No"</formula>
    </cfRule>
    <cfRule type="cellIs" dxfId="1260" priority="45" operator="equal">
      <formula>"NA"</formula>
    </cfRule>
    <cfRule type="cellIs" dxfId="1259"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8" priority="1010" operator="equal">
      <formula>"No"</formula>
    </cfRule>
    <cfRule type="cellIs" dxfId="1257" priority="1011" operator="equal">
      <formula>"NA"</formula>
    </cfRule>
    <cfRule type="cellIs" dxfId="1256" priority="1012" operator="equal">
      <formula>"Yes"</formula>
    </cfRule>
  </conditionalFormatting>
  <conditionalFormatting sqref="C7">
    <cfRule type="cellIs" dxfId="1255" priority="964" operator="equal">
      <formula>"No"</formula>
    </cfRule>
    <cfRule type="cellIs" dxfId="1254" priority="965" operator="equal">
      <formula>"NA"</formula>
    </cfRule>
    <cfRule type="cellIs" dxfId="1253" priority="966" operator="equal">
      <formula>"Yes"</formula>
    </cfRule>
  </conditionalFormatting>
  <conditionalFormatting sqref="C8">
    <cfRule type="cellIs" dxfId="1252" priority="918" operator="equal">
      <formula>"No"</formula>
    </cfRule>
    <cfRule type="cellIs" dxfId="1251" priority="919" operator="equal">
      <formula>"NA"</formula>
    </cfRule>
    <cfRule type="cellIs" dxfId="1250" priority="920" operator="equal">
      <formula>"Yes"</formula>
    </cfRule>
  </conditionalFormatting>
  <conditionalFormatting sqref="C9">
    <cfRule type="cellIs" dxfId="1249" priority="872" operator="equal">
      <formula>"No"</formula>
    </cfRule>
    <cfRule type="cellIs" dxfId="1248" priority="873" operator="equal">
      <formula>"NA"</formula>
    </cfRule>
    <cfRule type="cellIs" dxfId="1247" priority="874" operator="equal">
      <formula>"Yes"</formula>
    </cfRule>
  </conditionalFormatting>
  <conditionalFormatting sqref="C10">
    <cfRule type="cellIs" dxfId="1246" priority="826" operator="equal">
      <formula>"No"</formula>
    </cfRule>
    <cfRule type="cellIs" dxfId="1245" priority="827" operator="equal">
      <formula>"NA"</formula>
    </cfRule>
    <cfRule type="cellIs" dxfId="1244" priority="828" operator="equal">
      <formula>"Yes"</formula>
    </cfRule>
  </conditionalFormatting>
  <conditionalFormatting sqref="C11">
    <cfRule type="cellIs" dxfId="1243" priority="780" operator="equal">
      <formula>"No"</formula>
    </cfRule>
    <cfRule type="cellIs" dxfId="1242" priority="781" operator="equal">
      <formula>"NA"</formula>
    </cfRule>
    <cfRule type="cellIs" dxfId="1241" priority="782" operator="equal">
      <formula>"Yes"</formula>
    </cfRule>
  </conditionalFormatting>
  <conditionalFormatting sqref="C13">
    <cfRule type="cellIs" dxfId="1240" priority="734" operator="equal">
      <formula>"No"</formula>
    </cfRule>
    <cfRule type="cellIs" dxfId="1239" priority="735" operator="equal">
      <formula>"NA"</formula>
    </cfRule>
    <cfRule type="cellIs" dxfId="1238" priority="736" operator="equal">
      <formula>"Yes"</formula>
    </cfRule>
  </conditionalFormatting>
  <conditionalFormatting sqref="C14">
    <cfRule type="cellIs" dxfId="1237" priority="688" operator="equal">
      <formula>"No"</formula>
    </cfRule>
    <cfRule type="cellIs" dxfId="1236" priority="689" operator="equal">
      <formula>"NA"</formula>
    </cfRule>
    <cfRule type="cellIs" dxfId="1235" priority="690" operator="equal">
      <formula>"Yes"</formula>
    </cfRule>
  </conditionalFormatting>
  <conditionalFormatting sqref="C15">
    <cfRule type="cellIs" dxfId="1234" priority="642" operator="equal">
      <formula>"No"</formula>
    </cfRule>
    <cfRule type="cellIs" dxfId="1233" priority="643" operator="equal">
      <formula>"NA"</formula>
    </cfRule>
    <cfRule type="cellIs" dxfId="1232" priority="644" operator="equal">
      <formula>"Yes"</formula>
    </cfRule>
  </conditionalFormatting>
  <conditionalFormatting sqref="C16">
    <cfRule type="cellIs" dxfId="1231" priority="596" operator="equal">
      <formula>"No"</formula>
    </cfRule>
    <cfRule type="cellIs" dxfId="1230" priority="597" operator="equal">
      <formula>"NA"</formula>
    </cfRule>
    <cfRule type="cellIs" dxfId="1229" priority="598" operator="equal">
      <formula>"Yes"</formula>
    </cfRule>
  </conditionalFormatting>
  <conditionalFormatting sqref="C17">
    <cfRule type="cellIs" dxfId="1228" priority="550" operator="equal">
      <formula>"No"</formula>
    </cfRule>
    <cfRule type="cellIs" dxfId="1227" priority="551" operator="equal">
      <formula>"NA"</formula>
    </cfRule>
    <cfRule type="cellIs" dxfId="1226" priority="552" operator="equal">
      <formula>"Yes"</formula>
    </cfRule>
  </conditionalFormatting>
  <conditionalFormatting sqref="C18">
    <cfRule type="cellIs" dxfId="1225" priority="504" operator="equal">
      <formula>"No"</formula>
    </cfRule>
    <cfRule type="cellIs" dxfId="1224" priority="505" operator="equal">
      <formula>"NA"</formula>
    </cfRule>
    <cfRule type="cellIs" dxfId="1223" priority="506" operator="equal">
      <formula>"Yes"</formula>
    </cfRule>
  </conditionalFormatting>
  <conditionalFormatting sqref="C19">
    <cfRule type="cellIs" dxfId="1222" priority="458" operator="equal">
      <formula>"No"</formula>
    </cfRule>
    <cfRule type="cellIs" dxfId="1221" priority="459" operator="equal">
      <formula>"NA"</formula>
    </cfRule>
    <cfRule type="cellIs" dxfId="1220" priority="460" operator="equal">
      <formula>"Yes"</formula>
    </cfRule>
  </conditionalFormatting>
  <conditionalFormatting sqref="C20">
    <cfRule type="cellIs" dxfId="1219" priority="412" operator="equal">
      <formula>"No"</formula>
    </cfRule>
    <cfRule type="cellIs" dxfId="1218" priority="413" operator="equal">
      <formula>"NA"</formula>
    </cfRule>
    <cfRule type="cellIs" dxfId="1217" priority="414" operator="equal">
      <formula>"Yes"</formula>
    </cfRule>
  </conditionalFormatting>
  <conditionalFormatting sqref="C21">
    <cfRule type="cellIs" dxfId="1216" priority="366" operator="equal">
      <formula>"No"</formula>
    </cfRule>
    <cfRule type="cellIs" dxfId="1215" priority="367" operator="equal">
      <formula>"NA"</formula>
    </cfRule>
    <cfRule type="cellIs" dxfId="1214" priority="368" operator="equal">
      <formula>"Yes"</formula>
    </cfRule>
  </conditionalFormatting>
  <conditionalFormatting sqref="C23">
    <cfRule type="cellIs" dxfId="1213" priority="320" operator="equal">
      <formula>"No"</formula>
    </cfRule>
    <cfRule type="cellIs" dxfId="1212" priority="321" operator="equal">
      <formula>"NA"</formula>
    </cfRule>
    <cfRule type="cellIs" dxfId="1211" priority="322" operator="equal">
      <formula>"Yes"</formula>
    </cfRule>
  </conditionalFormatting>
  <conditionalFormatting sqref="C24">
    <cfRule type="cellIs" dxfId="1210" priority="274" operator="equal">
      <formula>"No"</formula>
    </cfRule>
    <cfRule type="cellIs" dxfId="1209" priority="275" operator="equal">
      <formula>"NA"</formula>
    </cfRule>
    <cfRule type="cellIs" dxfId="1208" priority="276" operator="equal">
      <formula>"Yes"</formula>
    </cfRule>
  </conditionalFormatting>
  <conditionalFormatting sqref="C25">
    <cfRule type="cellIs" dxfId="1207" priority="228" operator="equal">
      <formula>"No"</formula>
    </cfRule>
    <cfRule type="cellIs" dxfId="1206" priority="229" operator="equal">
      <formula>"NA"</formula>
    </cfRule>
    <cfRule type="cellIs" dxfId="1205" priority="230" operator="equal">
      <formula>"Yes"</formula>
    </cfRule>
  </conditionalFormatting>
  <conditionalFormatting sqref="C26">
    <cfRule type="cellIs" dxfId="1204" priority="182" operator="equal">
      <formula>"No"</formula>
    </cfRule>
    <cfRule type="cellIs" dxfId="1203" priority="183" operator="equal">
      <formula>"NA"</formula>
    </cfRule>
    <cfRule type="cellIs" dxfId="1202" priority="184" operator="equal">
      <formula>"Yes"</formula>
    </cfRule>
  </conditionalFormatting>
  <conditionalFormatting sqref="C28">
    <cfRule type="cellIs" dxfId="1201" priority="136" operator="equal">
      <formula>"No"</formula>
    </cfRule>
    <cfRule type="cellIs" dxfId="1200" priority="137" operator="equal">
      <formula>"NA"</formula>
    </cfRule>
    <cfRule type="cellIs" dxfId="1199" priority="138" operator="equal">
      <formula>"Yes"</formula>
    </cfRule>
  </conditionalFormatting>
  <conditionalFormatting sqref="C29">
    <cfRule type="cellIs" dxfId="1198" priority="90" operator="equal">
      <formula>"No"</formula>
    </cfRule>
    <cfRule type="cellIs" dxfId="1197" priority="91" operator="equal">
      <formula>"NA"</formula>
    </cfRule>
    <cfRule type="cellIs" dxfId="1196" priority="92" operator="equal">
      <formula>"Yes"</formula>
    </cfRule>
  </conditionalFormatting>
  <conditionalFormatting sqref="C31">
    <cfRule type="cellIs" dxfId="1195" priority="44" operator="equal">
      <formula>"No"</formula>
    </cfRule>
    <cfRule type="cellIs" dxfId="1194" priority="45" operator="equal">
      <formula>"NA"</formula>
    </cfRule>
    <cfRule type="cellIs" dxfId="1193"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92" priority="734" operator="equal">
      <formula>"No"</formula>
    </cfRule>
    <cfRule type="cellIs" dxfId="1191" priority="735" operator="equal">
      <formula>"NA"</formula>
    </cfRule>
    <cfRule type="cellIs" dxfId="1190" priority="736" operator="equal">
      <formula>"Yes"</formula>
    </cfRule>
  </conditionalFormatting>
  <conditionalFormatting sqref="C7">
    <cfRule type="cellIs" dxfId="1189" priority="688" operator="equal">
      <formula>"No"</formula>
    </cfRule>
    <cfRule type="cellIs" dxfId="1188" priority="689" operator="equal">
      <formula>"NA"</formula>
    </cfRule>
    <cfRule type="cellIs" dxfId="1187" priority="690" operator="equal">
      <formula>"Yes"</formula>
    </cfRule>
  </conditionalFormatting>
  <conditionalFormatting sqref="C8">
    <cfRule type="cellIs" dxfId="1186" priority="642" operator="equal">
      <formula>"No"</formula>
    </cfRule>
    <cfRule type="cellIs" dxfId="1185" priority="643" operator="equal">
      <formula>"NA"</formula>
    </cfRule>
    <cfRule type="cellIs" dxfId="1184" priority="644" operator="equal">
      <formula>"Yes"</formula>
    </cfRule>
  </conditionalFormatting>
  <conditionalFormatting sqref="C9">
    <cfRule type="cellIs" dxfId="1183" priority="596" operator="equal">
      <formula>"No"</formula>
    </cfRule>
    <cfRule type="cellIs" dxfId="1182" priority="597" operator="equal">
      <formula>"NA"</formula>
    </cfRule>
    <cfRule type="cellIs" dxfId="1181" priority="598" operator="equal">
      <formula>"Yes"</formula>
    </cfRule>
  </conditionalFormatting>
  <conditionalFormatting sqref="C10">
    <cfRule type="cellIs" dxfId="1180" priority="550" operator="equal">
      <formula>"No"</formula>
    </cfRule>
    <cfRule type="cellIs" dxfId="1179" priority="551" operator="equal">
      <formula>"NA"</formula>
    </cfRule>
    <cfRule type="cellIs" dxfId="1178" priority="552" operator="equal">
      <formula>"Yes"</formula>
    </cfRule>
  </conditionalFormatting>
  <conditionalFormatting sqref="C11">
    <cfRule type="cellIs" dxfId="1177" priority="504" operator="equal">
      <formula>"No"</formula>
    </cfRule>
    <cfRule type="cellIs" dxfId="1176" priority="505" operator="equal">
      <formula>"NA"</formula>
    </cfRule>
    <cfRule type="cellIs" dxfId="1175" priority="506" operator="equal">
      <formula>"Yes"</formula>
    </cfRule>
  </conditionalFormatting>
  <conditionalFormatting sqref="C12">
    <cfRule type="cellIs" dxfId="1174" priority="458" operator="equal">
      <formula>"No"</formula>
    </cfRule>
    <cfRule type="cellIs" dxfId="1173" priority="459" operator="equal">
      <formula>"NA"</formula>
    </cfRule>
    <cfRule type="cellIs" dxfId="1172" priority="460" operator="equal">
      <formula>"Yes"</formula>
    </cfRule>
  </conditionalFormatting>
  <conditionalFormatting sqref="C13">
    <cfRule type="cellIs" dxfId="1171" priority="412" operator="equal">
      <formula>"No"</formula>
    </cfRule>
    <cfRule type="cellIs" dxfId="1170" priority="413" operator="equal">
      <formula>"NA"</formula>
    </cfRule>
    <cfRule type="cellIs" dxfId="1169" priority="414" operator="equal">
      <formula>"Yes"</formula>
    </cfRule>
  </conditionalFormatting>
  <conditionalFormatting sqref="C14">
    <cfRule type="cellIs" dxfId="1168" priority="366" operator="equal">
      <formula>"No"</formula>
    </cfRule>
    <cfRule type="cellIs" dxfId="1167" priority="367" operator="equal">
      <formula>"NA"</formula>
    </cfRule>
    <cfRule type="cellIs" dxfId="1166" priority="368" operator="equal">
      <formula>"Yes"</formula>
    </cfRule>
  </conditionalFormatting>
  <conditionalFormatting sqref="C16">
    <cfRule type="cellIs" dxfId="1165" priority="320" operator="equal">
      <formula>"No"</formula>
    </cfRule>
    <cfRule type="cellIs" dxfId="1164" priority="321" operator="equal">
      <formula>"NA"</formula>
    </cfRule>
    <cfRule type="cellIs" dxfId="1163" priority="322" operator="equal">
      <formula>"Yes"</formula>
    </cfRule>
  </conditionalFormatting>
  <conditionalFormatting sqref="C17">
    <cfRule type="cellIs" dxfId="1162" priority="274" operator="equal">
      <formula>"No"</formula>
    </cfRule>
    <cfRule type="cellIs" dxfId="1161" priority="275" operator="equal">
      <formula>"NA"</formula>
    </cfRule>
    <cfRule type="cellIs" dxfId="1160" priority="276" operator="equal">
      <formula>"Yes"</formula>
    </cfRule>
  </conditionalFormatting>
  <conditionalFormatting sqref="C18">
    <cfRule type="cellIs" dxfId="1159" priority="228" operator="equal">
      <formula>"No"</formula>
    </cfRule>
    <cfRule type="cellIs" dxfId="1158" priority="229" operator="equal">
      <formula>"NA"</formula>
    </cfRule>
    <cfRule type="cellIs" dxfId="1157" priority="230" operator="equal">
      <formula>"Yes"</formula>
    </cfRule>
  </conditionalFormatting>
  <conditionalFormatting sqref="C19">
    <cfRule type="cellIs" dxfId="1156" priority="182" operator="equal">
      <formula>"No"</formula>
    </cfRule>
    <cfRule type="cellIs" dxfId="1155" priority="183" operator="equal">
      <formula>"NA"</formula>
    </cfRule>
    <cfRule type="cellIs" dxfId="1154" priority="184" operator="equal">
      <formula>"Yes"</formula>
    </cfRule>
  </conditionalFormatting>
  <conditionalFormatting sqref="C21">
    <cfRule type="cellIs" dxfId="1153" priority="136" operator="equal">
      <formula>"No"</formula>
    </cfRule>
    <cfRule type="cellIs" dxfId="1152" priority="137" operator="equal">
      <formula>"NA"</formula>
    </cfRule>
    <cfRule type="cellIs" dxfId="1151" priority="138" operator="equal">
      <formula>"Yes"</formula>
    </cfRule>
  </conditionalFormatting>
  <conditionalFormatting sqref="C22">
    <cfRule type="cellIs" dxfId="1150" priority="90" operator="equal">
      <formula>"No"</formula>
    </cfRule>
    <cfRule type="cellIs" dxfId="1149" priority="91" operator="equal">
      <formula>"NA"</formula>
    </cfRule>
    <cfRule type="cellIs" dxfId="1148" priority="92" operator="equal">
      <formula>"Yes"</formula>
    </cfRule>
  </conditionalFormatting>
  <conditionalFormatting sqref="C24">
    <cfRule type="cellIs" dxfId="1147" priority="44" operator="equal">
      <formula>"No"</formula>
    </cfRule>
    <cfRule type="cellIs" dxfId="1146" priority="45" operator="equal">
      <formula>"NA"</formula>
    </cfRule>
    <cfRule type="cellIs" dxfId="1145"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44" priority="596" operator="equal">
      <formula>"No"</formula>
    </cfRule>
    <cfRule type="cellIs" dxfId="1143" priority="597" operator="equal">
      <formula>"NA"</formula>
    </cfRule>
    <cfRule type="cellIs" dxfId="1142" priority="598" operator="equal">
      <formula>"Yes"</formula>
    </cfRule>
  </conditionalFormatting>
  <conditionalFormatting sqref="C7">
    <cfRule type="cellIs" dxfId="1141" priority="550" operator="equal">
      <formula>"No"</formula>
    </cfRule>
    <cfRule type="cellIs" dxfId="1140" priority="551" operator="equal">
      <formula>"NA"</formula>
    </cfRule>
    <cfRule type="cellIs" dxfId="1139" priority="552" operator="equal">
      <formula>"Yes"</formula>
    </cfRule>
  </conditionalFormatting>
  <conditionalFormatting sqref="C8">
    <cfRule type="cellIs" dxfId="1138" priority="504" operator="equal">
      <formula>"No"</formula>
    </cfRule>
    <cfRule type="cellIs" dxfId="1137" priority="505" operator="equal">
      <formula>"NA"</formula>
    </cfRule>
    <cfRule type="cellIs" dxfId="1136" priority="506" operator="equal">
      <formula>"Yes"</formula>
    </cfRule>
  </conditionalFormatting>
  <conditionalFormatting sqref="C10">
    <cfRule type="cellIs" dxfId="1135" priority="458" operator="equal">
      <formula>"No"</formula>
    </cfRule>
    <cfRule type="cellIs" dxfId="1134" priority="459" operator="equal">
      <formula>"NA"</formula>
    </cfRule>
    <cfRule type="cellIs" dxfId="1133" priority="460" operator="equal">
      <formula>"Yes"</formula>
    </cfRule>
  </conditionalFormatting>
  <conditionalFormatting sqref="C11">
    <cfRule type="cellIs" dxfId="1132" priority="412" operator="equal">
      <formula>"No"</formula>
    </cfRule>
    <cfRule type="cellIs" dxfId="1131" priority="413" operator="equal">
      <formula>"NA"</formula>
    </cfRule>
    <cfRule type="cellIs" dxfId="1130" priority="414" operator="equal">
      <formula>"Yes"</formula>
    </cfRule>
  </conditionalFormatting>
  <conditionalFormatting sqref="C13">
    <cfRule type="cellIs" dxfId="1129" priority="366" operator="equal">
      <formula>"No"</formula>
    </cfRule>
    <cfRule type="cellIs" dxfId="1128" priority="367" operator="equal">
      <formula>"NA"</formula>
    </cfRule>
    <cfRule type="cellIs" dxfId="1127" priority="368" operator="equal">
      <formula>"Yes"</formula>
    </cfRule>
  </conditionalFormatting>
  <conditionalFormatting sqref="C15">
    <cfRule type="cellIs" dxfId="1126" priority="320" operator="equal">
      <formula>"No"</formula>
    </cfRule>
    <cfRule type="cellIs" dxfId="1125" priority="321" operator="equal">
      <formula>"NA"</formula>
    </cfRule>
    <cfRule type="cellIs" dxfId="1124" priority="322" operator="equal">
      <formula>"Yes"</formula>
    </cfRule>
  </conditionalFormatting>
  <conditionalFormatting sqref="C16">
    <cfRule type="cellIs" dxfId="1123" priority="274" operator="equal">
      <formula>"No"</formula>
    </cfRule>
    <cfRule type="cellIs" dxfId="1122" priority="275" operator="equal">
      <formula>"NA"</formula>
    </cfRule>
    <cfRule type="cellIs" dxfId="1121" priority="276" operator="equal">
      <formula>"Yes"</formula>
    </cfRule>
  </conditionalFormatting>
  <conditionalFormatting sqref="C17">
    <cfRule type="cellIs" dxfId="1120" priority="228" operator="equal">
      <formula>"No"</formula>
    </cfRule>
    <cfRule type="cellIs" dxfId="1119" priority="229" operator="equal">
      <formula>"NA"</formula>
    </cfRule>
    <cfRule type="cellIs" dxfId="1118" priority="230" operator="equal">
      <formula>"Yes"</formula>
    </cfRule>
  </conditionalFormatting>
  <conditionalFormatting sqref="C18">
    <cfRule type="cellIs" dxfId="1117" priority="182" operator="equal">
      <formula>"No"</formula>
    </cfRule>
    <cfRule type="cellIs" dxfId="1116" priority="183" operator="equal">
      <formula>"NA"</formula>
    </cfRule>
    <cfRule type="cellIs" dxfId="1115" priority="184" operator="equal">
      <formula>"Yes"</formula>
    </cfRule>
  </conditionalFormatting>
  <conditionalFormatting sqref="C20">
    <cfRule type="cellIs" dxfId="1114" priority="136" operator="equal">
      <formula>"No"</formula>
    </cfRule>
    <cfRule type="cellIs" dxfId="1113" priority="137" operator="equal">
      <formula>"NA"</formula>
    </cfRule>
    <cfRule type="cellIs" dxfId="1112" priority="138" operator="equal">
      <formula>"Yes"</formula>
    </cfRule>
  </conditionalFormatting>
  <conditionalFormatting sqref="C21">
    <cfRule type="cellIs" dxfId="1111" priority="90" operator="equal">
      <formula>"No"</formula>
    </cfRule>
    <cfRule type="cellIs" dxfId="1110" priority="91" operator="equal">
      <formula>"NA"</formula>
    </cfRule>
    <cfRule type="cellIs" dxfId="1109" priority="92" operator="equal">
      <formula>"Yes"</formula>
    </cfRule>
  </conditionalFormatting>
  <conditionalFormatting sqref="C23">
    <cfRule type="cellIs" dxfId="1108" priority="44" operator="equal">
      <formula>"No"</formula>
    </cfRule>
    <cfRule type="cellIs" dxfId="1107" priority="45" operator="equal">
      <formula>"NA"</formula>
    </cfRule>
    <cfRule type="cellIs" dxfId="1106"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5" priority="1286" operator="equal">
      <formula>"No"</formula>
    </cfRule>
    <cfRule type="cellIs" dxfId="1104" priority="1287" operator="equal">
      <formula>"NA"</formula>
    </cfRule>
    <cfRule type="cellIs" dxfId="1103" priority="1288" operator="equal">
      <formula>"Yes"</formula>
    </cfRule>
  </conditionalFormatting>
  <conditionalFormatting sqref="C7">
    <cfRule type="cellIs" dxfId="1102" priority="1240" operator="equal">
      <formula>"No"</formula>
    </cfRule>
    <cfRule type="cellIs" dxfId="1101" priority="1241" operator="equal">
      <formula>"NA"</formula>
    </cfRule>
    <cfRule type="cellIs" dxfId="1100" priority="1242" operator="equal">
      <formula>"Yes"</formula>
    </cfRule>
  </conditionalFormatting>
  <conditionalFormatting sqref="C8">
    <cfRule type="cellIs" dxfId="1099" priority="1194" operator="equal">
      <formula>"No"</formula>
    </cfRule>
    <cfRule type="cellIs" dxfId="1098" priority="1195" operator="equal">
      <formula>"NA"</formula>
    </cfRule>
    <cfRule type="cellIs" dxfId="1097" priority="1196" operator="equal">
      <formula>"Yes"</formula>
    </cfRule>
  </conditionalFormatting>
  <conditionalFormatting sqref="C9">
    <cfRule type="cellIs" dxfId="1096" priority="1148" operator="equal">
      <formula>"No"</formula>
    </cfRule>
    <cfRule type="cellIs" dxfId="1095" priority="1149" operator="equal">
      <formula>"NA"</formula>
    </cfRule>
    <cfRule type="cellIs" dxfId="1094" priority="1150" operator="equal">
      <formula>"Yes"</formula>
    </cfRule>
  </conditionalFormatting>
  <conditionalFormatting sqref="C10">
    <cfRule type="cellIs" dxfId="1093" priority="1102" operator="equal">
      <formula>"No"</formula>
    </cfRule>
    <cfRule type="cellIs" dxfId="1092" priority="1103" operator="equal">
      <formula>"NA"</formula>
    </cfRule>
    <cfRule type="cellIs" dxfId="1091" priority="1104" operator="equal">
      <formula>"Yes"</formula>
    </cfRule>
  </conditionalFormatting>
  <conditionalFormatting sqref="C11">
    <cfRule type="cellIs" dxfId="1090" priority="1056" operator="equal">
      <formula>"No"</formula>
    </cfRule>
    <cfRule type="cellIs" dxfId="1089" priority="1057" operator="equal">
      <formula>"NA"</formula>
    </cfRule>
    <cfRule type="cellIs" dxfId="1088" priority="1058" operator="equal">
      <formula>"Yes"</formula>
    </cfRule>
  </conditionalFormatting>
  <conditionalFormatting sqref="C13">
    <cfRule type="cellIs" dxfId="1087" priority="1010" operator="equal">
      <formula>"No"</formula>
    </cfRule>
    <cfRule type="cellIs" dxfId="1086" priority="1011" operator="equal">
      <formula>"NA"</formula>
    </cfRule>
    <cfRule type="cellIs" dxfId="1085" priority="1012" operator="equal">
      <formula>"Yes"</formula>
    </cfRule>
  </conditionalFormatting>
  <conditionalFormatting sqref="C14">
    <cfRule type="cellIs" dxfId="1084" priority="964" operator="equal">
      <formula>"No"</formula>
    </cfRule>
    <cfRule type="cellIs" dxfId="1083" priority="965" operator="equal">
      <formula>"NA"</formula>
    </cfRule>
    <cfRule type="cellIs" dxfId="1082" priority="966" operator="equal">
      <formula>"Yes"</formula>
    </cfRule>
  </conditionalFormatting>
  <conditionalFormatting sqref="C15">
    <cfRule type="cellIs" dxfId="1081" priority="918" operator="equal">
      <formula>"No"</formula>
    </cfRule>
    <cfRule type="cellIs" dxfId="1080" priority="919" operator="equal">
      <formula>"NA"</formula>
    </cfRule>
    <cfRule type="cellIs" dxfId="1079" priority="920" operator="equal">
      <formula>"Yes"</formula>
    </cfRule>
  </conditionalFormatting>
  <conditionalFormatting sqref="C16">
    <cfRule type="cellIs" dxfId="1078" priority="872" operator="equal">
      <formula>"No"</formula>
    </cfRule>
    <cfRule type="cellIs" dxfId="1077" priority="873" operator="equal">
      <formula>"NA"</formula>
    </cfRule>
    <cfRule type="cellIs" dxfId="1076" priority="874" operator="equal">
      <formula>"Yes"</formula>
    </cfRule>
  </conditionalFormatting>
  <conditionalFormatting sqref="C17">
    <cfRule type="cellIs" dxfId="1075" priority="826" operator="equal">
      <formula>"No"</formula>
    </cfRule>
    <cfRule type="cellIs" dxfId="1074" priority="827" operator="equal">
      <formula>"NA"</formula>
    </cfRule>
    <cfRule type="cellIs" dxfId="1073" priority="828" operator="equal">
      <formula>"Yes"</formula>
    </cfRule>
  </conditionalFormatting>
  <conditionalFormatting sqref="C18">
    <cfRule type="cellIs" dxfId="1072" priority="780" operator="equal">
      <formula>"No"</formula>
    </cfRule>
    <cfRule type="cellIs" dxfId="1071" priority="781" operator="equal">
      <formula>"NA"</formula>
    </cfRule>
    <cfRule type="cellIs" dxfId="1070" priority="782" operator="equal">
      <formula>"Yes"</formula>
    </cfRule>
  </conditionalFormatting>
  <conditionalFormatting sqref="C20">
    <cfRule type="cellIs" dxfId="1069" priority="734" operator="equal">
      <formula>"No"</formula>
    </cfRule>
    <cfRule type="cellIs" dxfId="1068" priority="735" operator="equal">
      <formula>"NA"</formula>
    </cfRule>
    <cfRule type="cellIs" dxfId="1067" priority="736" operator="equal">
      <formula>"Yes"</formula>
    </cfRule>
  </conditionalFormatting>
  <conditionalFormatting sqref="C21">
    <cfRule type="cellIs" dxfId="1066" priority="688" operator="equal">
      <formula>"No"</formula>
    </cfRule>
    <cfRule type="cellIs" dxfId="1065" priority="689" operator="equal">
      <formula>"NA"</formula>
    </cfRule>
    <cfRule type="cellIs" dxfId="1064" priority="690" operator="equal">
      <formula>"Yes"</formula>
    </cfRule>
  </conditionalFormatting>
  <conditionalFormatting sqref="C22">
    <cfRule type="cellIs" dxfId="1063" priority="642" operator="equal">
      <formula>"No"</formula>
    </cfRule>
    <cfRule type="cellIs" dxfId="1062" priority="643" operator="equal">
      <formula>"NA"</formula>
    </cfRule>
    <cfRule type="cellIs" dxfId="1061" priority="644" operator="equal">
      <formula>"Yes"</formula>
    </cfRule>
  </conditionalFormatting>
  <conditionalFormatting sqref="C23">
    <cfRule type="cellIs" dxfId="1060" priority="596" operator="equal">
      <formula>"No"</formula>
    </cfRule>
    <cfRule type="cellIs" dxfId="1059" priority="597" operator="equal">
      <formula>"NA"</formula>
    </cfRule>
    <cfRule type="cellIs" dxfId="1058" priority="598" operator="equal">
      <formula>"Yes"</formula>
    </cfRule>
  </conditionalFormatting>
  <conditionalFormatting sqref="C24">
    <cfRule type="cellIs" dxfId="1057" priority="550" operator="equal">
      <formula>"No"</formula>
    </cfRule>
    <cfRule type="cellIs" dxfId="1056" priority="551" operator="equal">
      <formula>"NA"</formula>
    </cfRule>
    <cfRule type="cellIs" dxfId="1055" priority="552" operator="equal">
      <formula>"Yes"</formula>
    </cfRule>
  </conditionalFormatting>
  <conditionalFormatting sqref="C25">
    <cfRule type="cellIs" dxfId="1054" priority="504" operator="equal">
      <formula>"No"</formula>
    </cfRule>
    <cfRule type="cellIs" dxfId="1053" priority="505" operator="equal">
      <formula>"NA"</formula>
    </cfRule>
    <cfRule type="cellIs" dxfId="1052" priority="506" operator="equal">
      <formula>"Yes"</formula>
    </cfRule>
  </conditionalFormatting>
  <conditionalFormatting sqref="C27">
    <cfRule type="cellIs" dxfId="1051" priority="458" operator="equal">
      <formula>"No"</formula>
    </cfRule>
    <cfRule type="cellIs" dxfId="1050" priority="459" operator="equal">
      <formula>"NA"</formula>
    </cfRule>
    <cfRule type="cellIs" dxfId="1049" priority="460" operator="equal">
      <formula>"Yes"</formula>
    </cfRule>
  </conditionalFormatting>
  <conditionalFormatting sqref="C28">
    <cfRule type="cellIs" dxfId="1048" priority="412" operator="equal">
      <formula>"No"</formula>
    </cfRule>
    <cfRule type="cellIs" dxfId="1047" priority="413" operator="equal">
      <formula>"NA"</formula>
    </cfRule>
    <cfRule type="cellIs" dxfId="1046" priority="414" operator="equal">
      <formula>"Yes"</formula>
    </cfRule>
  </conditionalFormatting>
  <conditionalFormatting sqref="C29">
    <cfRule type="cellIs" dxfId="1045" priority="366" operator="equal">
      <formula>"No"</formula>
    </cfRule>
    <cfRule type="cellIs" dxfId="1044" priority="367" operator="equal">
      <formula>"NA"</formula>
    </cfRule>
    <cfRule type="cellIs" dxfId="1043" priority="368" operator="equal">
      <formula>"Yes"</formula>
    </cfRule>
  </conditionalFormatting>
  <conditionalFormatting sqref="C31">
    <cfRule type="cellIs" dxfId="1042" priority="320" operator="equal">
      <formula>"No"</formula>
    </cfRule>
    <cfRule type="cellIs" dxfId="1041" priority="321" operator="equal">
      <formula>"NA"</formula>
    </cfRule>
    <cfRule type="cellIs" dxfId="1040" priority="322" operator="equal">
      <formula>"Yes"</formula>
    </cfRule>
  </conditionalFormatting>
  <conditionalFormatting sqref="C32">
    <cfRule type="cellIs" dxfId="1039" priority="274" operator="equal">
      <formula>"No"</formula>
    </cfRule>
    <cfRule type="cellIs" dxfId="1038" priority="275" operator="equal">
      <formula>"NA"</formula>
    </cfRule>
    <cfRule type="cellIs" dxfId="1037" priority="276" operator="equal">
      <formula>"Yes"</formula>
    </cfRule>
  </conditionalFormatting>
  <conditionalFormatting sqref="C33">
    <cfRule type="cellIs" dxfId="1036" priority="228" operator="equal">
      <formula>"No"</formula>
    </cfRule>
    <cfRule type="cellIs" dxfId="1035" priority="229" operator="equal">
      <formula>"NA"</formula>
    </cfRule>
    <cfRule type="cellIs" dxfId="1034" priority="230" operator="equal">
      <formula>"Yes"</formula>
    </cfRule>
  </conditionalFormatting>
  <conditionalFormatting sqref="C34">
    <cfRule type="cellIs" dxfId="1033" priority="182" operator="equal">
      <formula>"No"</formula>
    </cfRule>
    <cfRule type="cellIs" dxfId="1032" priority="183" operator="equal">
      <formula>"NA"</formula>
    </cfRule>
    <cfRule type="cellIs" dxfId="1031" priority="184" operator="equal">
      <formula>"Yes"</formula>
    </cfRule>
  </conditionalFormatting>
  <conditionalFormatting sqref="C36">
    <cfRule type="cellIs" dxfId="1030" priority="136" operator="equal">
      <formula>"No"</formula>
    </cfRule>
    <cfRule type="cellIs" dxfId="1029" priority="137" operator="equal">
      <formula>"NA"</formula>
    </cfRule>
    <cfRule type="cellIs" dxfId="1028" priority="138" operator="equal">
      <formula>"Yes"</formula>
    </cfRule>
  </conditionalFormatting>
  <conditionalFormatting sqref="C37">
    <cfRule type="cellIs" dxfId="1027" priority="90" operator="equal">
      <formula>"No"</formula>
    </cfRule>
    <cfRule type="cellIs" dxfId="1026" priority="91" operator="equal">
      <formula>"NA"</formula>
    </cfRule>
    <cfRule type="cellIs" dxfId="1025" priority="92" operator="equal">
      <formula>"Yes"</formula>
    </cfRule>
  </conditionalFormatting>
  <conditionalFormatting sqref="C39">
    <cfRule type="cellIs" dxfId="1024" priority="44" operator="equal">
      <formula>"No"</formula>
    </cfRule>
    <cfRule type="cellIs" dxfId="1023" priority="45" operator="equal">
      <formula>"NA"</formula>
    </cfRule>
    <cfRule type="cellIs" dxfId="1022"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21" priority="1332" operator="equal">
      <formula>"No"</formula>
    </cfRule>
    <cfRule type="cellIs" dxfId="1020" priority="1333" operator="equal">
      <formula>"NA"</formula>
    </cfRule>
    <cfRule type="cellIs" dxfId="1019" priority="1334" operator="equal">
      <formula>"Yes"</formula>
    </cfRule>
  </conditionalFormatting>
  <conditionalFormatting sqref="C7">
    <cfRule type="cellIs" dxfId="1018" priority="1286" operator="equal">
      <formula>"No"</formula>
    </cfRule>
    <cfRule type="cellIs" dxfId="1017" priority="1287" operator="equal">
      <formula>"NA"</formula>
    </cfRule>
    <cfRule type="cellIs" dxfId="1016" priority="1288" operator="equal">
      <formula>"Yes"</formula>
    </cfRule>
  </conditionalFormatting>
  <conditionalFormatting sqref="C8">
    <cfRule type="cellIs" dxfId="1015" priority="1240" operator="equal">
      <formula>"No"</formula>
    </cfRule>
    <cfRule type="cellIs" dxfId="1014" priority="1241" operator="equal">
      <formula>"NA"</formula>
    </cfRule>
    <cfRule type="cellIs" dxfId="1013" priority="1242" operator="equal">
      <formula>"Yes"</formula>
    </cfRule>
  </conditionalFormatting>
  <conditionalFormatting sqref="C10">
    <cfRule type="cellIs" dxfId="1012" priority="1194" operator="equal">
      <formula>"No"</formula>
    </cfRule>
    <cfRule type="cellIs" dxfId="1011" priority="1195" operator="equal">
      <formula>"NA"</formula>
    </cfRule>
    <cfRule type="cellIs" dxfId="1010" priority="1196" operator="equal">
      <formula>"Yes"</formula>
    </cfRule>
  </conditionalFormatting>
  <conditionalFormatting sqref="C12">
    <cfRule type="cellIs" dxfId="1009" priority="1148" operator="equal">
      <formula>"No"</formula>
    </cfRule>
    <cfRule type="cellIs" dxfId="1008" priority="1149" operator="equal">
      <formula>"NA"</formula>
    </cfRule>
    <cfRule type="cellIs" dxfId="1007" priority="1150" operator="equal">
      <formula>"Yes"</formula>
    </cfRule>
  </conditionalFormatting>
  <conditionalFormatting sqref="C13">
    <cfRule type="cellIs" dxfId="1006" priority="1102" operator="equal">
      <formula>"No"</formula>
    </cfRule>
    <cfRule type="cellIs" dxfId="1005" priority="1103" operator="equal">
      <formula>"NA"</formula>
    </cfRule>
    <cfRule type="cellIs" dxfId="1004" priority="1104" operator="equal">
      <formula>"Yes"</formula>
    </cfRule>
  </conditionalFormatting>
  <conditionalFormatting sqref="C14">
    <cfRule type="cellIs" dxfId="1003" priority="1056" operator="equal">
      <formula>"No"</formula>
    </cfRule>
    <cfRule type="cellIs" dxfId="1002" priority="1057" operator="equal">
      <formula>"NA"</formula>
    </cfRule>
    <cfRule type="cellIs" dxfId="1001" priority="1058" operator="equal">
      <formula>"Yes"</formula>
    </cfRule>
  </conditionalFormatting>
  <conditionalFormatting sqref="C15">
    <cfRule type="cellIs" dxfId="1000" priority="1010" operator="equal">
      <formula>"No"</formula>
    </cfRule>
    <cfRule type="cellIs" dxfId="999" priority="1011" operator="equal">
      <formula>"NA"</formula>
    </cfRule>
    <cfRule type="cellIs" dxfId="998" priority="1012" operator="equal">
      <formula>"Yes"</formula>
    </cfRule>
  </conditionalFormatting>
  <conditionalFormatting sqref="C16">
    <cfRule type="cellIs" dxfId="997" priority="964" operator="equal">
      <formula>"No"</formula>
    </cfRule>
    <cfRule type="cellIs" dxfId="996" priority="965" operator="equal">
      <formula>"NA"</formula>
    </cfRule>
    <cfRule type="cellIs" dxfId="995" priority="966" operator="equal">
      <formula>"Yes"</formula>
    </cfRule>
  </conditionalFormatting>
  <conditionalFormatting sqref="C17">
    <cfRule type="cellIs" dxfId="994" priority="918" operator="equal">
      <formula>"No"</formula>
    </cfRule>
    <cfRule type="cellIs" dxfId="993" priority="919" operator="equal">
      <formula>"NA"</formula>
    </cfRule>
    <cfRule type="cellIs" dxfId="992" priority="920" operator="equal">
      <formula>"Yes"</formula>
    </cfRule>
  </conditionalFormatting>
  <conditionalFormatting sqref="C18">
    <cfRule type="cellIs" dxfId="991" priority="872" operator="equal">
      <formula>"No"</formula>
    </cfRule>
    <cfRule type="cellIs" dxfId="990" priority="873" operator="equal">
      <formula>"NA"</formula>
    </cfRule>
    <cfRule type="cellIs" dxfId="989" priority="874" operator="equal">
      <formula>"Yes"</formula>
    </cfRule>
  </conditionalFormatting>
  <conditionalFormatting sqref="C19">
    <cfRule type="cellIs" dxfId="988" priority="826" operator="equal">
      <formula>"No"</formula>
    </cfRule>
    <cfRule type="cellIs" dxfId="987" priority="827" operator="equal">
      <formula>"NA"</formula>
    </cfRule>
    <cfRule type="cellIs" dxfId="986" priority="828" operator="equal">
      <formula>"Yes"</formula>
    </cfRule>
  </conditionalFormatting>
  <conditionalFormatting sqref="C20">
    <cfRule type="cellIs" dxfId="985" priority="780" operator="equal">
      <formula>"No"</formula>
    </cfRule>
    <cfRule type="cellIs" dxfId="984" priority="781" operator="equal">
      <formula>"NA"</formula>
    </cfRule>
    <cfRule type="cellIs" dxfId="983" priority="782" operator="equal">
      <formula>"Yes"</formula>
    </cfRule>
  </conditionalFormatting>
  <conditionalFormatting sqref="C22">
    <cfRule type="cellIs" dxfId="982" priority="734" operator="equal">
      <formula>"No"</formula>
    </cfRule>
    <cfRule type="cellIs" dxfId="981" priority="735" operator="equal">
      <formula>"NA"</formula>
    </cfRule>
    <cfRule type="cellIs" dxfId="980" priority="736" operator="equal">
      <formula>"Yes"</formula>
    </cfRule>
  </conditionalFormatting>
  <conditionalFormatting sqref="C23">
    <cfRule type="cellIs" dxfId="979" priority="688" operator="equal">
      <formula>"No"</formula>
    </cfRule>
    <cfRule type="cellIs" dxfId="978" priority="689" operator="equal">
      <formula>"NA"</formula>
    </cfRule>
    <cfRule type="cellIs" dxfId="977" priority="690" operator="equal">
      <formula>"Yes"</formula>
    </cfRule>
  </conditionalFormatting>
  <conditionalFormatting sqref="C24">
    <cfRule type="cellIs" dxfId="976" priority="642" operator="equal">
      <formula>"No"</formula>
    </cfRule>
    <cfRule type="cellIs" dxfId="975" priority="643" operator="equal">
      <formula>"NA"</formula>
    </cfRule>
    <cfRule type="cellIs" dxfId="974" priority="644" operator="equal">
      <formula>"Yes"</formula>
    </cfRule>
  </conditionalFormatting>
  <conditionalFormatting sqref="C26">
    <cfRule type="cellIs" dxfId="973" priority="596" operator="equal">
      <formula>"No"</formula>
    </cfRule>
    <cfRule type="cellIs" dxfId="972" priority="597" operator="equal">
      <formula>"NA"</formula>
    </cfRule>
    <cfRule type="cellIs" dxfId="971" priority="598" operator="equal">
      <formula>"Yes"</formula>
    </cfRule>
  </conditionalFormatting>
  <conditionalFormatting sqref="C27">
    <cfRule type="cellIs" dxfId="970" priority="550" operator="equal">
      <formula>"No"</formula>
    </cfRule>
    <cfRule type="cellIs" dxfId="969" priority="551" operator="equal">
      <formula>"NA"</formula>
    </cfRule>
    <cfRule type="cellIs" dxfId="968" priority="552" operator="equal">
      <formula>"Yes"</formula>
    </cfRule>
  </conditionalFormatting>
  <conditionalFormatting sqref="C28">
    <cfRule type="cellIs" dxfId="967" priority="504" operator="equal">
      <formula>"No"</formula>
    </cfRule>
    <cfRule type="cellIs" dxfId="966" priority="505" operator="equal">
      <formula>"NA"</formula>
    </cfRule>
    <cfRule type="cellIs" dxfId="965" priority="506" operator="equal">
      <formula>"Yes"</formula>
    </cfRule>
  </conditionalFormatting>
  <conditionalFormatting sqref="C29">
    <cfRule type="cellIs" dxfId="964" priority="458" operator="equal">
      <formula>"No"</formula>
    </cfRule>
    <cfRule type="cellIs" dxfId="963" priority="459" operator="equal">
      <formula>"NA"</formula>
    </cfRule>
    <cfRule type="cellIs" dxfId="962" priority="460" operator="equal">
      <formula>"Yes"</formula>
    </cfRule>
  </conditionalFormatting>
  <conditionalFormatting sqref="C30">
    <cfRule type="cellIs" dxfId="961" priority="412" operator="equal">
      <formula>"No"</formula>
    </cfRule>
    <cfRule type="cellIs" dxfId="960" priority="413" operator="equal">
      <formula>"NA"</formula>
    </cfRule>
    <cfRule type="cellIs" dxfId="959" priority="414" operator="equal">
      <formula>"Yes"</formula>
    </cfRule>
  </conditionalFormatting>
  <conditionalFormatting sqref="C31">
    <cfRule type="cellIs" dxfId="958" priority="366" operator="equal">
      <formula>"No"</formula>
    </cfRule>
    <cfRule type="cellIs" dxfId="957" priority="367" operator="equal">
      <formula>"NA"</formula>
    </cfRule>
    <cfRule type="cellIs" dxfId="956" priority="368" operator="equal">
      <formula>"Yes"</formula>
    </cfRule>
  </conditionalFormatting>
  <conditionalFormatting sqref="C33">
    <cfRule type="cellIs" dxfId="955" priority="320" operator="equal">
      <formula>"No"</formula>
    </cfRule>
    <cfRule type="cellIs" dxfId="954" priority="321" operator="equal">
      <formula>"NA"</formula>
    </cfRule>
    <cfRule type="cellIs" dxfId="953" priority="322" operator="equal">
      <formula>"Yes"</formula>
    </cfRule>
  </conditionalFormatting>
  <conditionalFormatting sqref="C34">
    <cfRule type="cellIs" dxfId="952" priority="274" operator="equal">
      <formula>"No"</formula>
    </cfRule>
    <cfRule type="cellIs" dxfId="951" priority="275" operator="equal">
      <formula>"NA"</formula>
    </cfRule>
    <cfRule type="cellIs" dxfId="950" priority="276" operator="equal">
      <formula>"Yes"</formula>
    </cfRule>
  </conditionalFormatting>
  <conditionalFormatting sqref="C35">
    <cfRule type="cellIs" dxfId="949" priority="228" operator="equal">
      <formula>"No"</formula>
    </cfRule>
    <cfRule type="cellIs" dxfId="948" priority="229" operator="equal">
      <formula>"NA"</formula>
    </cfRule>
    <cfRule type="cellIs" dxfId="947" priority="230" operator="equal">
      <formula>"Yes"</formula>
    </cfRule>
  </conditionalFormatting>
  <conditionalFormatting sqref="C36">
    <cfRule type="cellIs" dxfId="946" priority="182" operator="equal">
      <formula>"No"</formula>
    </cfRule>
    <cfRule type="cellIs" dxfId="945" priority="183" operator="equal">
      <formula>"NA"</formula>
    </cfRule>
    <cfRule type="cellIs" dxfId="944" priority="184" operator="equal">
      <formula>"Yes"</formula>
    </cfRule>
  </conditionalFormatting>
  <conditionalFormatting sqref="C38">
    <cfRule type="cellIs" dxfId="943" priority="136" operator="equal">
      <formula>"No"</formula>
    </cfRule>
    <cfRule type="cellIs" dxfId="942" priority="137" operator="equal">
      <formula>"NA"</formula>
    </cfRule>
    <cfRule type="cellIs" dxfId="941" priority="138" operator="equal">
      <formula>"Yes"</formula>
    </cfRule>
  </conditionalFormatting>
  <conditionalFormatting sqref="C39">
    <cfRule type="cellIs" dxfId="940" priority="90" operator="equal">
      <formula>"No"</formula>
    </cfRule>
    <cfRule type="cellIs" dxfId="939" priority="91" operator="equal">
      <formula>"NA"</formula>
    </cfRule>
    <cfRule type="cellIs" dxfId="938" priority="92" operator="equal">
      <formula>"Yes"</formula>
    </cfRule>
  </conditionalFormatting>
  <conditionalFormatting sqref="C41">
    <cfRule type="cellIs" dxfId="937" priority="44" operator="equal">
      <formula>"No"</formula>
    </cfRule>
    <cfRule type="cellIs" dxfId="936" priority="45" operator="equal">
      <formula>"NA"</formula>
    </cfRule>
    <cfRule type="cellIs" dxfId="935"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34" priority="1608" operator="equal">
      <formula>"No"</formula>
    </cfRule>
    <cfRule type="cellIs" dxfId="933" priority="1609" operator="equal">
      <formula>"NA"</formula>
    </cfRule>
    <cfRule type="cellIs" dxfId="932" priority="1610" operator="equal">
      <formula>"Yes"</formula>
    </cfRule>
  </conditionalFormatting>
  <conditionalFormatting sqref="C8">
    <cfRule type="cellIs" dxfId="931" priority="1562" operator="equal">
      <formula>"No"</formula>
    </cfRule>
    <cfRule type="cellIs" dxfId="930" priority="1563" operator="equal">
      <formula>"NA"</formula>
    </cfRule>
    <cfRule type="cellIs" dxfId="929" priority="1564" operator="equal">
      <formula>"Yes"</formula>
    </cfRule>
  </conditionalFormatting>
  <conditionalFormatting sqref="C9">
    <cfRule type="cellIs" dxfId="928" priority="1516" operator="equal">
      <formula>"No"</formula>
    </cfRule>
    <cfRule type="cellIs" dxfId="927" priority="1517" operator="equal">
      <formula>"NA"</formula>
    </cfRule>
    <cfRule type="cellIs" dxfId="926" priority="1518" operator="equal">
      <formula>"Yes"</formula>
    </cfRule>
  </conditionalFormatting>
  <conditionalFormatting sqref="C11">
    <cfRule type="cellIs" dxfId="925" priority="1470" operator="equal">
      <formula>"No"</formula>
    </cfRule>
    <cfRule type="cellIs" dxfId="924" priority="1471" operator="equal">
      <formula>"NA"</formula>
    </cfRule>
    <cfRule type="cellIs" dxfId="923" priority="1472" operator="equal">
      <formula>"Yes"</formula>
    </cfRule>
  </conditionalFormatting>
  <conditionalFormatting sqref="C12">
    <cfRule type="cellIs" dxfId="922" priority="1424" operator="equal">
      <formula>"No"</formula>
    </cfRule>
    <cfRule type="cellIs" dxfId="921" priority="1425" operator="equal">
      <formula>"NA"</formula>
    </cfRule>
    <cfRule type="cellIs" dxfId="920" priority="1426" operator="equal">
      <formula>"Yes"</formula>
    </cfRule>
  </conditionalFormatting>
  <conditionalFormatting sqref="C13">
    <cfRule type="cellIs" dxfId="919" priority="1378" operator="equal">
      <formula>"No"</formula>
    </cfRule>
    <cfRule type="cellIs" dxfId="918" priority="1379" operator="equal">
      <formula>"NA"</formula>
    </cfRule>
    <cfRule type="cellIs" dxfId="917" priority="1380" operator="equal">
      <formula>"Yes"</formula>
    </cfRule>
  </conditionalFormatting>
  <conditionalFormatting sqref="C14">
    <cfRule type="cellIs" dxfId="916" priority="1332" operator="equal">
      <formula>"No"</formula>
    </cfRule>
    <cfRule type="cellIs" dxfId="915" priority="1333" operator="equal">
      <formula>"NA"</formula>
    </cfRule>
    <cfRule type="cellIs" dxfId="914" priority="1334" operator="equal">
      <formula>"Yes"</formula>
    </cfRule>
  </conditionalFormatting>
  <conditionalFormatting sqref="C15">
    <cfRule type="cellIs" dxfId="913" priority="1286" operator="equal">
      <formula>"No"</formula>
    </cfRule>
    <cfRule type="cellIs" dxfId="912" priority="1287" operator="equal">
      <formula>"NA"</formula>
    </cfRule>
    <cfRule type="cellIs" dxfId="911" priority="1288" operator="equal">
      <formula>"Yes"</formula>
    </cfRule>
  </conditionalFormatting>
  <conditionalFormatting sqref="C16">
    <cfRule type="cellIs" dxfId="910" priority="1240" operator="equal">
      <formula>"No"</formula>
    </cfRule>
    <cfRule type="cellIs" dxfId="909" priority="1241" operator="equal">
      <formula>"NA"</formula>
    </cfRule>
    <cfRule type="cellIs" dxfId="908" priority="1242" operator="equal">
      <formula>"Yes"</formula>
    </cfRule>
  </conditionalFormatting>
  <conditionalFormatting sqref="C18">
    <cfRule type="cellIs" dxfId="907" priority="1194" operator="equal">
      <formula>"No"</formula>
    </cfRule>
    <cfRule type="cellIs" dxfId="906" priority="1195" operator="equal">
      <formula>"NA"</formula>
    </cfRule>
    <cfRule type="cellIs" dxfId="905" priority="1196" operator="equal">
      <formula>"Yes"</formula>
    </cfRule>
  </conditionalFormatting>
  <conditionalFormatting sqref="C19">
    <cfRule type="cellIs" dxfId="904" priority="1148" operator="equal">
      <formula>"No"</formula>
    </cfRule>
    <cfRule type="cellIs" dxfId="903" priority="1149" operator="equal">
      <formula>"NA"</formula>
    </cfRule>
    <cfRule type="cellIs" dxfId="902" priority="1150" operator="equal">
      <formula>"Yes"</formula>
    </cfRule>
  </conditionalFormatting>
  <conditionalFormatting sqref="C20">
    <cfRule type="cellIs" dxfId="901" priority="1102" operator="equal">
      <formula>"No"</formula>
    </cfRule>
    <cfRule type="cellIs" dxfId="900" priority="1103" operator="equal">
      <formula>"NA"</formula>
    </cfRule>
    <cfRule type="cellIs" dxfId="899" priority="1104" operator="equal">
      <formula>"Yes"</formula>
    </cfRule>
  </conditionalFormatting>
  <conditionalFormatting sqref="C22">
    <cfRule type="cellIs" dxfId="898" priority="1056" operator="equal">
      <formula>"No"</formula>
    </cfRule>
    <cfRule type="cellIs" dxfId="897" priority="1057" operator="equal">
      <formula>"NA"</formula>
    </cfRule>
    <cfRule type="cellIs" dxfId="896" priority="1058" operator="equal">
      <formula>"Yes"</formula>
    </cfRule>
  </conditionalFormatting>
  <conditionalFormatting sqref="C23">
    <cfRule type="cellIs" dxfId="895" priority="1010" operator="equal">
      <formula>"No"</formula>
    </cfRule>
    <cfRule type="cellIs" dxfId="894" priority="1011" operator="equal">
      <formula>"NA"</formula>
    </cfRule>
    <cfRule type="cellIs" dxfId="893" priority="1012" operator="equal">
      <formula>"Yes"</formula>
    </cfRule>
  </conditionalFormatting>
  <conditionalFormatting sqref="C24">
    <cfRule type="cellIs" dxfId="892" priority="964" operator="equal">
      <formula>"No"</formula>
    </cfRule>
    <cfRule type="cellIs" dxfId="891" priority="965" operator="equal">
      <formula>"NA"</formula>
    </cfRule>
    <cfRule type="cellIs" dxfId="890" priority="966" operator="equal">
      <formula>"Yes"</formula>
    </cfRule>
  </conditionalFormatting>
  <conditionalFormatting sqref="C25">
    <cfRule type="cellIs" dxfId="889" priority="918" operator="equal">
      <formula>"No"</formula>
    </cfRule>
    <cfRule type="cellIs" dxfId="888" priority="919" operator="equal">
      <formula>"NA"</formula>
    </cfRule>
    <cfRule type="cellIs" dxfId="887" priority="920" operator="equal">
      <formula>"Yes"</formula>
    </cfRule>
  </conditionalFormatting>
  <conditionalFormatting sqref="C26">
    <cfRule type="cellIs" dxfId="886" priority="872" operator="equal">
      <formula>"No"</formula>
    </cfRule>
    <cfRule type="cellIs" dxfId="885" priority="873" operator="equal">
      <formula>"NA"</formula>
    </cfRule>
    <cfRule type="cellIs" dxfId="884" priority="874" operator="equal">
      <formula>"Yes"</formula>
    </cfRule>
  </conditionalFormatting>
  <conditionalFormatting sqref="C28">
    <cfRule type="cellIs" dxfId="883" priority="826" operator="equal">
      <formula>"No"</formula>
    </cfRule>
    <cfRule type="cellIs" dxfId="882" priority="827" operator="equal">
      <formula>"NA"</formula>
    </cfRule>
    <cfRule type="cellIs" dxfId="881" priority="828" operator="equal">
      <formula>"Yes"</formula>
    </cfRule>
  </conditionalFormatting>
  <conditionalFormatting sqref="C29">
    <cfRule type="cellIs" dxfId="880" priority="780" operator="equal">
      <formula>"No"</formula>
    </cfRule>
    <cfRule type="cellIs" dxfId="879" priority="781" operator="equal">
      <formula>"NA"</formula>
    </cfRule>
    <cfRule type="cellIs" dxfId="878" priority="782" operator="equal">
      <formula>"Yes"</formula>
    </cfRule>
  </conditionalFormatting>
  <conditionalFormatting sqref="C30">
    <cfRule type="cellIs" dxfId="877" priority="734" operator="equal">
      <formula>"No"</formula>
    </cfRule>
    <cfRule type="cellIs" dxfId="876" priority="735" operator="equal">
      <formula>"NA"</formula>
    </cfRule>
    <cfRule type="cellIs" dxfId="875" priority="736" operator="equal">
      <formula>"Yes"</formula>
    </cfRule>
  </conditionalFormatting>
  <conditionalFormatting sqref="C31">
    <cfRule type="cellIs" dxfId="874" priority="688" operator="equal">
      <formula>"No"</formula>
    </cfRule>
    <cfRule type="cellIs" dxfId="873" priority="689" operator="equal">
      <formula>"NA"</formula>
    </cfRule>
    <cfRule type="cellIs" dxfId="872" priority="690" operator="equal">
      <formula>"Yes"</formula>
    </cfRule>
  </conditionalFormatting>
  <conditionalFormatting sqref="C32">
    <cfRule type="cellIs" dxfId="871" priority="642" operator="equal">
      <formula>"No"</formula>
    </cfRule>
    <cfRule type="cellIs" dxfId="870" priority="643" operator="equal">
      <formula>"NA"</formula>
    </cfRule>
    <cfRule type="cellIs" dxfId="869" priority="644" operator="equal">
      <formula>"Yes"</formula>
    </cfRule>
  </conditionalFormatting>
  <conditionalFormatting sqref="C33">
    <cfRule type="cellIs" dxfId="868" priority="596" operator="equal">
      <formula>"No"</formula>
    </cfRule>
    <cfRule type="cellIs" dxfId="867" priority="597" operator="equal">
      <formula>"NA"</formula>
    </cfRule>
    <cfRule type="cellIs" dxfId="866" priority="598" operator="equal">
      <formula>"Yes"</formula>
    </cfRule>
  </conditionalFormatting>
  <conditionalFormatting sqref="C34">
    <cfRule type="cellIs" dxfId="865" priority="550" operator="equal">
      <formula>"No"</formula>
    </cfRule>
    <cfRule type="cellIs" dxfId="864" priority="551" operator="equal">
      <formula>"NA"</formula>
    </cfRule>
    <cfRule type="cellIs" dxfId="863" priority="552" operator="equal">
      <formula>"Yes"</formula>
    </cfRule>
  </conditionalFormatting>
  <conditionalFormatting sqref="C35">
    <cfRule type="cellIs" dxfId="862" priority="504" operator="equal">
      <formula>"No"</formula>
    </cfRule>
    <cfRule type="cellIs" dxfId="861" priority="505" operator="equal">
      <formula>"NA"</formula>
    </cfRule>
    <cfRule type="cellIs" dxfId="860" priority="506" operator="equal">
      <formula>"Yes"</formula>
    </cfRule>
  </conditionalFormatting>
  <conditionalFormatting sqref="C36">
    <cfRule type="cellIs" dxfId="859" priority="458" operator="equal">
      <formula>"No"</formula>
    </cfRule>
    <cfRule type="cellIs" dxfId="858" priority="459" operator="equal">
      <formula>"NA"</formula>
    </cfRule>
    <cfRule type="cellIs" dxfId="857" priority="460" operator="equal">
      <formula>"Yes"</formula>
    </cfRule>
  </conditionalFormatting>
  <conditionalFormatting sqref="C37">
    <cfRule type="cellIs" dxfId="856" priority="412" operator="equal">
      <formula>"No"</formula>
    </cfRule>
    <cfRule type="cellIs" dxfId="855" priority="413" operator="equal">
      <formula>"NA"</formula>
    </cfRule>
    <cfRule type="cellIs" dxfId="854" priority="414" operator="equal">
      <formula>"Yes"</formula>
    </cfRule>
  </conditionalFormatting>
  <conditionalFormatting sqref="C38">
    <cfRule type="cellIs" dxfId="853" priority="366" operator="equal">
      <formula>"No"</formula>
    </cfRule>
    <cfRule type="cellIs" dxfId="852" priority="367" operator="equal">
      <formula>"NA"</formula>
    </cfRule>
    <cfRule type="cellIs" dxfId="851" priority="368" operator="equal">
      <formula>"Yes"</formula>
    </cfRule>
  </conditionalFormatting>
  <conditionalFormatting sqref="C40">
    <cfRule type="cellIs" dxfId="850" priority="320" operator="equal">
      <formula>"No"</formula>
    </cfRule>
    <cfRule type="cellIs" dxfId="849" priority="321" operator="equal">
      <formula>"NA"</formula>
    </cfRule>
    <cfRule type="cellIs" dxfId="848" priority="322" operator="equal">
      <formula>"Yes"</formula>
    </cfRule>
  </conditionalFormatting>
  <conditionalFormatting sqref="C41">
    <cfRule type="cellIs" dxfId="847" priority="274" operator="equal">
      <formula>"No"</formula>
    </cfRule>
    <cfRule type="cellIs" dxfId="846" priority="275" operator="equal">
      <formula>"NA"</formula>
    </cfRule>
    <cfRule type="cellIs" dxfId="845" priority="276" operator="equal">
      <formula>"Yes"</formula>
    </cfRule>
  </conditionalFormatting>
  <conditionalFormatting sqref="C42">
    <cfRule type="cellIs" dxfId="844" priority="228" operator="equal">
      <formula>"No"</formula>
    </cfRule>
    <cfRule type="cellIs" dxfId="843" priority="229" operator="equal">
      <formula>"NA"</formula>
    </cfRule>
    <cfRule type="cellIs" dxfId="842" priority="230" operator="equal">
      <formula>"Yes"</formula>
    </cfRule>
  </conditionalFormatting>
  <conditionalFormatting sqref="C43">
    <cfRule type="cellIs" dxfId="841" priority="182" operator="equal">
      <formula>"No"</formula>
    </cfRule>
    <cfRule type="cellIs" dxfId="840" priority="183" operator="equal">
      <formula>"NA"</formula>
    </cfRule>
    <cfRule type="cellIs" dxfId="839" priority="184" operator="equal">
      <formula>"Yes"</formula>
    </cfRule>
  </conditionalFormatting>
  <conditionalFormatting sqref="C45">
    <cfRule type="cellIs" dxfId="838" priority="136" operator="equal">
      <formula>"No"</formula>
    </cfRule>
    <cfRule type="cellIs" dxfId="837" priority="137" operator="equal">
      <formula>"NA"</formula>
    </cfRule>
    <cfRule type="cellIs" dxfId="836" priority="138" operator="equal">
      <formula>"Yes"</formula>
    </cfRule>
  </conditionalFormatting>
  <conditionalFormatting sqref="C46">
    <cfRule type="cellIs" dxfId="835" priority="90" operator="equal">
      <formula>"No"</formula>
    </cfRule>
    <cfRule type="cellIs" dxfId="834" priority="91" operator="equal">
      <formula>"NA"</formula>
    </cfRule>
    <cfRule type="cellIs" dxfId="833" priority="92" operator="equal">
      <formula>"Yes"</formula>
    </cfRule>
  </conditionalFormatting>
  <conditionalFormatting sqref="C48">
    <cfRule type="cellIs" dxfId="832" priority="44" operator="equal">
      <formula>"No"</formula>
    </cfRule>
    <cfRule type="cellIs" dxfId="831" priority="45" operator="equal">
      <formula>"NA"</formula>
    </cfRule>
    <cfRule type="cellIs" dxfId="830"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9" priority="642" operator="equal">
      <formula>"No"</formula>
    </cfRule>
    <cfRule type="cellIs" dxfId="828" priority="643" operator="equal">
      <formula>"NA"</formula>
    </cfRule>
    <cfRule type="cellIs" dxfId="827" priority="644" operator="equal">
      <formula>"Yes"</formula>
    </cfRule>
  </conditionalFormatting>
  <conditionalFormatting sqref="C8">
    <cfRule type="cellIs" dxfId="826" priority="596" operator="equal">
      <formula>"No"</formula>
    </cfRule>
    <cfRule type="cellIs" dxfId="825" priority="597" operator="equal">
      <formula>"NA"</formula>
    </cfRule>
    <cfRule type="cellIs" dxfId="824" priority="598" operator="equal">
      <formula>"Yes"</formula>
    </cfRule>
  </conditionalFormatting>
  <conditionalFormatting sqref="C9">
    <cfRule type="cellIs" dxfId="823" priority="550" operator="equal">
      <formula>"No"</formula>
    </cfRule>
    <cfRule type="cellIs" dxfId="822" priority="551" operator="equal">
      <formula>"NA"</formula>
    </cfRule>
    <cfRule type="cellIs" dxfId="821" priority="552" operator="equal">
      <formula>"Yes"</formula>
    </cfRule>
  </conditionalFormatting>
  <conditionalFormatting sqref="C10">
    <cfRule type="cellIs" dxfId="820" priority="504" operator="equal">
      <formula>"No"</formula>
    </cfRule>
    <cfRule type="cellIs" dxfId="819" priority="505" operator="equal">
      <formula>"NA"</formula>
    </cfRule>
    <cfRule type="cellIs" dxfId="818" priority="506" operator="equal">
      <formula>"Yes"</formula>
    </cfRule>
  </conditionalFormatting>
  <conditionalFormatting sqref="C12">
    <cfRule type="cellIs" dxfId="817" priority="458" operator="equal">
      <formula>"No"</formula>
    </cfRule>
    <cfRule type="cellIs" dxfId="816" priority="459" operator="equal">
      <formula>"NA"</formula>
    </cfRule>
    <cfRule type="cellIs" dxfId="815" priority="460" operator="equal">
      <formula>"Yes"</formula>
    </cfRule>
  </conditionalFormatting>
  <conditionalFormatting sqref="C13">
    <cfRule type="cellIs" dxfId="814" priority="412" operator="equal">
      <formula>"No"</formula>
    </cfRule>
    <cfRule type="cellIs" dxfId="813" priority="413" operator="equal">
      <formula>"NA"</formula>
    </cfRule>
    <cfRule type="cellIs" dxfId="812" priority="414" operator="equal">
      <formula>"Yes"</formula>
    </cfRule>
  </conditionalFormatting>
  <conditionalFormatting sqref="C15">
    <cfRule type="cellIs" dxfId="811" priority="366" operator="equal">
      <formula>"No"</formula>
    </cfRule>
    <cfRule type="cellIs" dxfId="810" priority="367" operator="equal">
      <formula>"NA"</formula>
    </cfRule>
    <cfRule type="cellIs" dxfId="809" priority="368" operator="equal">
      <formula>"Yes"</formula>
    </cfRule>
  </conditionalFormatting>
  <conditionalFormatting sqref="C17">
    <cfRule type="cellIs" dxfId="808" priority="320" operator="equal">
      <formula>"No"</formula>
    </cfRule>
    <cfRule type="cellIs" dxfId="807" priority="321" operator="equal">
      <formula>"NA"</formula>
    </cfRule>
    <cfRule type="cellIs" dxfId="806" priority="322" operator="equal">
      <formula>"Yes"</formula>
    </cfRule>
  </conditionalFormatting>
  <conditionalFormatting sqref="C18">
    <cfRule type="cellIs" dxfId="805" priority="274" operator="equal">
      <formula>"No"</formula>
    </cfRule>
    <cfRule type="cellIs" dxfId="804" priority="275" operator="equal">
      <formula>"NA"</formula>
    </cfRule>
    <cfRule type="cellIs" dxfId="803" priority="276" operator="equal">
      <formula>"Yes"</formula>
    </cfRule>
  </conditionalFormatting>
  <conditionalFormatting sqref="C19">
    <cfRule type="cellIs" dxfId="802" priority="228" operator="equal">
      <formula>"No"</formula>
    </cfRule>
    <cfRule type="cellIs" dxfId="801" priority="229" operator="equal">
      <formula>"NA"</formula>
    </cfRule>
    <cfRule type="cellIs" dxfId="800" priority="230" operator="equal">
      <formula>"Yes"</formula>
    </cfRule>
  </conditionalFormatting>
  <conditionalFormatting sqref="C20">
    <cfRule type="cellIs" dxfId="799" priority="182" operator="equal">
      <formula>"No"</formula>
    </cfRule>
    <cfRule type="cellIs" dxfId="798" priority="183" operator="equal">
      <formula>"NA"</formula>
    </cfRule>
    <cfRule type="cellIs" dxfId="797" priority="184" operator="equal">
      <formula>"Yes"</formula>
    </cfRule>
  </conditionalFormatting>
  <conditionalFormatting sqref="C22">
    <cfRule type="cellIs" dxfId="796" priority="136" operator="equal">
      <formula>"No"</formula>
    </cfRule>
    <cfRule type="cellIs" dxfId="795" priority="137" operator="equal">
      <formula>"NA"</formula>
    </cfRule>
    <cfRule type="cellIs" dxfId="794" priority="138" operator="equal">
      <formula>"Yes"</formula>
    </cfRule>
  </conditionalFormatting>
  <conditionalFormatting sqref="C23">
    <cfRule type="cellIs" dxfId="793" priority="90" operator="equal">
      <formula>"No"</formula>
    </cfRule>
    <cfRule type="cellIs" dxfId="792" priority="91" operator="equal">
      <formula>"NA"</formula>
    </cfRule>
    <cfRule type="cellIs" dxfId="791" priority="92" operator="equal">
      <formula>"Yes"</formula>
    </cfRule>
  </conditionalFormatting>
  <conditionalFormatting sqref="C25">
    <cfRule type="cellIs" dxfId="790" priority="44" operator="equal">
      <formula>"No"</formula>
    </cfRule>
    <cfRule type="cellIs" dxfId="789" priority="45" operator="equal">
      <formula>"NA"</formula>
    </cfRule>
    <cfRule type="cellIs" dxfId="788"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7" priority="1470" operator="equal">
      <formula>"No"</formula>
    </cfRule>
    <cfRule type="cellIs" dxfId="786" priority="1471" operator="equal">
      <formula>"NA"</formula>
    </cfRule>
    <cfRule type="cellIs" dxfId="785" priority="1472" operator="equal">
      <formula>"Yes"</formula>
    </cfRule>
  </conditionalFormatting>
  <conditionalFormatting sqref="C7">
    <cfRule type="cellIs" dxfId="784" priority="1424" operator="equal">
      <formula>"No"</formula>
    </cfRule>
    <cfRule type="cellIs" dxfId="783" priority="1425" operator="equal">
      <formula>"NA"</formula>
    </cfRule>
    <cfRule type="cellIs" dxfId="782" priority="1426" operator="equal">
      <formula>"Yes"</formula>
    </cfRule>
  </conditionalFormatting>
  <conditionalFormatting sqref="C8">
    <cfRule type="cellIs" dxfId="781" priority="1378" operator="equal">
      <formula>"No"</formula>
    </cfRule>
    <cfRule type="cellIs" dxfId="780" priority="1379" operator="equal">
      <formula>"NA"</formula>
    </cfRule>
    <cfRule type="cellIs" dxfId="779" priority="1380" operator="equal">
      <formula>"Yes"</formula>
    </cfRule>
  </conditionalFormatting>
  <conditionalFormatting sqref="C9">
    <cfRule type="cellIs" dxfId="778" priority="1332" operator="equal">
      <formula>"No"</formula>
    </cfRule>
    <cfRule type="cellIs" dxfId="777" priority="1333" operator="equal">
      <formula>"NA"</formula>
    </cfRule>
    <cfRule type="cellIs" dxfId="776" priority="1334" operator="equal">
      <formula>"Yes"</formula>
    </cfRule>
  </conditionalFormatting>
  <conditionalFormatting sqref="C10">
    <cfRule type="cellIs" dxfId="775" priority="1286" operator="equal">
      <formula>"No"</formula>
    </cfRule>
    <cfRule type="cellIs" dxfId="774" priority="1287" operator="equal">
      <formula>"NA"</formula>
    </cfRule>
    <cfRule type="cellIs" dxfId="773" priority="1288" operator="equal">
      <formula>"Yes"</formula>
    </cfRule>
  </conditionalFormatting>
  <conditionalFormatting sqref="C11">
    <cfRule type="cellIs" dxfId="772" priority="1240" operator="equal">
      <formula>"No"</formula>
    </cfRule>
    <cfRule type="cellIs" dxfId="771" priority="1241" operator="equal">
      <formula>"NA"</formula>
    </cfRule>
    <cfRule type="cellIs" dxfId="770" priority="1242" operator="equal">
      <formula>"Yes"</formula>
    </cfRule>
  </conditionalFormatting>
  <conditionalFormatting sqref="C12">
    <cfRule type="cellIs" dxfId="769" priority="1194" operator="equal">
      <formula>"No"</formula>
    </cfRule>
    <cfRule type="cellIs" dxfId="768" priority="1195" operator="equal">
      <formula>"NA"</formula>
    </cfRule>
    <cfRule type="cellIs" dxfId="767" priority="1196" operator="equal">
      <formula>"Yes"</formula>
    </cfRule>
  </conditionalFormatting>
  <conditionalFormatting sqref="C14">
    <cfRule type="cellIs" dxfId="766" priority="1148" operator="equal">
      <formula>"No"</formula>
    </cfRule>
    <cfRule type="cellIs" dxfId="765" priority="1149" operator="equal">
      <formula>"NA"</formula>
    </cfRule>
    <cfRule type="cellIs" dxfId="764" priority="1150" operator="equal">
      <formula>"Yes"</formula>
    </cfRule>
  </conditionalFormatting>
  <conditionalFormatting sqref="C15">
    <cfRule type="cellIs" dxfId="763" priority="1102" operator="equal">
      <formula>"No"</formula>
    </cfRule>
    <cfRule type="cellIs" dxfId="762" priority="1103" operator="equal">
      <formula>"NA"</formula>
    </cfRule>
    <cfRule type="cellIs" dxfId="761" priority="1104" operator="equal">
      <formula>"Yes"</formula>
    </cfRule>
  </conditionalFormatting>
  <conditionalFormatting sqref="C16">
    <cfRule type="cellIs" dxfId="760" priority="1056" operator="equal">
      <formula>"No"</formula>
    </cfRule>
    <cfRule type="cellIs" dxfId="759" priority="1057" operator="equal">
      <formula>"NA"</formula>
    </cfRule>
    <cfRule type="cellIs" dxfId="758" priority="1058" operator="equal">
      <formula>"Yes"</formula>
    </cfRule>
  </conditionalFormatting>
  <conditionalFormatting sqref="C17">
    <cfRule type="cellIs" dxfId="757" priority="1010" operator="equal">
      <formula>"No"</formula>
    </cfRule>
    <cfRule type="cellIs" dxfId="756" priority="1011" operator="equal">
      <formula>"NA"</formula>
    </cfRule>
    <cfRule type="cellIs" dxfId="755" priority="1012" operator="equal">
      <formula>"Yes"</formula>
    </cfRule>
  </conditionalFormatting>
  <conditionalFormatting sqref="C18">
    <cfRule type="cellIs" dxfId="754" priority="964" operator="equal">
      <formula>"No"</formula>
    </cfRule>
    <cfRule type="cellIs" dxfId="753" priority="965" operator="equal">
      <formula>"NA"</formula>
    </cfRule>
    <cfRule type="cellIs" dxfId="752" priority="966" operator="equal">
      <formula>"Yes"</formula>
    </cfRule>
  </conditionalFormatting>
  <conditionalFormatting sqref="C19">
    <cfRule type="cellIs" dxfId="751" priority="918" operator="equal">
      <formula>"No"</formula>
    </cfRule>
    <cfRule type="cellIs" dxfId="750" priority="919" operator="equal">
      <formula>"NA"</formula>
    </cfRule>
    <cfRule type="cellIs" dxfId="749" priority="920" operator="equal">
      <formula>"Yes"</formula>
    </cfRule>
  </conditionalFormatting>
  <conditionalFormatting sqref="C21">
    <cfRule type="cellIs" dxfId="748" priority="872" operator="equal">
      <formula>"No"</formula>
    </cfRule>
    <cfRule type="cellIs" dxfId="747" priority="873" operator="equal">
      <formula>"NA"</formula>
    </cfRule>
    <cfRule type="cellIs" dxfId="746" priority="874" operator="equal">
      <formula>"Yes"</formula>
    </cfRule>
  </conditionalFormatting>
  <conditionalFormatting sqref="C22">
    <cfRule type="cellIs" dxfId="745" priority="826" operator="equal">
      <formula>"No"</formula>
    </cfRule>
    <cfRule type="cellIs" dxfId="744" priority="827" operator="equal">
      <formula>"NA"</formula>
    </cfRule>
    <cfRule type="cellIs" dxfId="743" priority="828" operator="equal">
      <formula>"Yes"</formula>
    </cfRule>
  </conditionalFormatting>
  <conditionalFormatting sqref="C23">
    <cfRule type="cellIs" dxfId="742" priority="780" operator="equal">
      <formula>"No"</formula>
    </cfRule>
    <cfRule type="cellIs" dxfId="741" priority="781" operator="equal">
      <formula>"NA"</formula>
    </cfRule>
    <cfRule type="cellIs" dxfId="740" priority="782" operator="equal">
      <formula>"Yes"</formula>
    </cfRule>
  </conditionalFormatting>
  <conditionalFormatting sqref="C24">
    <cfRule type="cellIs" dxfId="739" priority="734" operator="equal">
      <formula>"No"</formula>
    </cfRule>
    <cfRule type="cellIs" dxfId="738" priority="735" operator="equal">
      <formula>"NA"</formula>
    </cfRule>
    <cfRule type="cellIs" dxfId="737" priority="736" operator="equal">
      <formula>"Yes"</formula>
    </cfRule>
  </conditionalFormatting>
  <conditionalFormatting sqref="C25">
    <cfRule type="cellIs" dxfId="736" priority="688" operator="equal">
      <formula>"No"</formula>
    </cfRule>
    <cfRule type="cellIs" dxfId="735" priority="689" operator="equal">
      <formula>"NA"</formula>
    </cfRule>
    <cfRule type="cellIs" dxfId="734" priority="690" operator="equal">
      <formula>"Yes"</formula>
    </cfRule>
  </conditionalFormatting>
  <conditionalFormatting sqref="C26">
    <cfRule type="cellIs" dxfId="733" priority="642" operator="equal">
      <formula>"No"</formula>
    </cfRule>
    <cfRule type="cellIs" dxfId="732" priority="643" operator="equal">
      <formula>"NA"</formula>
    </cfRule>
    <cfRule type="cellIs" dxfId="731" priority="644" operator="equal">
      <formula>"Yes"</formula>
    </cfRule>
  </conditionalFormatting>
  <conditionalFormatting sqref="C27">
    <cfRule type="cellIs" dxfId="730" priority="596" operator="equal">
      <formula>"No"</formula>
    </cfRule>
    <cfRule type="cellIs" dxfId="729" priority="597" operator="equal">
      <formula>"NA"</formula>
    </cfRule>
    <cfRule type="cellIs" dxfId="728" priority="598" operator="equal">
      <formula>"Yes"</formula>
    </cfRule>
  </conditionalFormatting>
  <conditionalFormatting sqref="C28">
    <cfRule type="cellIs" dxfId="727" priority="550" operator="equal">
      <formula>"No"</formula>
    </cfRule>
    <cfRule type="cellIs" dxfId="726" priority="551" operator="equal">
      <formula>"NA"</formula>
    </cfRule>
    <cfRule type="cellIs" dxfId="725" priority="552" operator="equal">
      <formula>"Yes"</formula>
    </cfRule>
  </conditionalFormatting>
  <conditionalFormatting sqref="C29">
    <cfRule type="cellIs" dxfId="724" priority="504" operator="equal">
      <formula>"No"</formula>
    </cfRule>
    <cfRule type="cellIs" dxfId="723" priority="505" operator="equal">
      <formula>"NA"</formula>
    </cfRule>
    <cfRule type="cellIs" dxfId="722" priority="506" operator="equal">
      <formula>"Yes"</formula>
    </cfRule>
  </conditionalFormatting>
  <conditionalFormatting sqref="C31">
    <cfRule type="cellIs" dxfId="721" priority="458" operator="equal">
      <formula>"No"</formula>
    </cfRule>
    <cfRule type="cellIs" dxfId="720" priority="459" operator="equal">
      <formula>"NA"</formula>
    </cfRule>
    <cfRule type="cellIs" dxfId="719" priority="460" operator="equal">
      <formula>"Yes"</formula>
    </cfRule>
  </conditionalFormatting>
  <conditionalFormatting sqref="C32">
    <cfRule type="cellIs" dxfId="718" priority="412" operator="equal">
      <formula>"No"</formula>
    </cfRule>
    <cfRule type="cellIs" dxfId="717" priority="413" operator="equal">
      <formula>"NA"</formula>
    </cfRule>
    <cfRule type="cellIs" dxfId="716" priority="414" operator="equal">
      <formula>"Yes"</formula>
    </cfRule>
  </conditionalFormatting>
  <conditionalFormatting sqref="C33">
    <cfRule type="cellIs" dxfId="715" priority="366" operator="equal">
      <formula>"No"</formula>
    </cfRule>
    <cfRule type="cellIs" dxfId="714" priority="367" operator="equal">
      <formula>"NA"</formula>
    </cfRule>
    <cfRule type="cellIs" dxfId="713" priority="368" operator="equal">
      <formula>"Yes"</formula>
    </cfRule>
  </conditionalFormatting>
  <conditionalFormatting sqref="C35">
    <cfRule type="cellIs" dxfId="712" priority="320" operator="equal">
      <formula>"No"</formula>
    </cfRule>
    <cfRule type="cellIs" dxfId="711" priority="321" operator="equal">
      <formula>"NA"</formula>
    </cfRule>
    <cfRule type="cellIs" dxfId="710" priority="322" operator="equal">
      <formula>"Yes"</formula>
    </cfRule>
  </conditionalFormatting>
  <conditionalFormatting sqref="C36">
    <cfRule type="cellIs" dxfId="709" priority="274" operator="equal">
      <formula>"No"</formula>
    </cfRule>
    <cfRule type="cellIs" dxfId="708" priority="275" operator="equal">
      <formula>"NA"</formula>
    </cfRule>
    <cfRule type="cellIs" dxfId="707" priority="276" operator="equal">
      <formula>"Yes"</formula>
    </cfRule>
  </conditionalFormatting>
  <conditionalFormatting sqref="C37">
    <cfRule type="cellIs" dxfId="706" priority="228" operator="equal">
      <formula>"No"</formula>
    </cfRule>
    <cfRule type="cellIs" dxfId="705" priority="229" operator="equal">
      <formula>"NA"</formula>
    </cfRule>
    <cfRule type="cellIs" dxfId="704" priority="230" operator="equal">
      <formula>"Yes"</formula>
    </cfRule>
  </conditionalFormatting>
  <conditionalFormatting sqref="C38">
    <cfRule type="cellIs" dxfId="703" priority="182" operator="equal">
      <formula>"No"</formula>
    </cfRule>
    <cfRule type="cellIs" dxfId="702" priority="183" operator="equal">
      <formula>"NA"</formula>
    </cfRule>
    <cfRule type="cellIs" dxfId="701" priority="184" operator="equal">
      <formula>"Yes"</formula>
    </cfRule>
  </conditionalFormatting>
  <conditionalFormatting sqref="C40">
    <cfRule type="cellIs" dxfId="700" priority="136" operator="equal">
      <formula>"No"</formula>
    </cfRule>
    <cfRule type="cellIs" dxfId="699" priority="137" operator="equal">
      <formula>"NA"</formula>
    </cfRule>
    <cfRule type="cellIs" dxfId="698" priority="138" operator="equal">
      <formula>"Yes"</formula>
    </cfRule>
  </conditionalFormatting>
  <conditionalFormatting sqref="C41">
    <cfRule type="cellIs" dxfId="697" priority="90" operator="equal">
      <formula>"No"</formula>
    </cfRule>
    <cfRule type="cellIs" dxfId="696" priority="91" operator="equal">
      <formula>"NA"</formula>
    </cfRule>
    <cfRule type="cellIs" dxfId="695" priority="92" operator="equal">
      <formula>"Yes"</formula>
    </cfRule>
  </conditionalFormatting>
  <conditionalFormatting sqref="C43">
    <cfRule type="cellIs" dxfId="694" priority="44" operator="equal">
      <formula>"No"</formula>
    </cfRule>
    <cfRule type="cellIs" dxfId="693" priority="45" operator="equal">
      <formula>"NA"</formula>
    </cfRule>
    <cfRule type="cellIs" dxfId="692"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91" priority="366" operator="equal">
      <formula>"No"</formula>
    </cfRule>
    <cfRule type="cellIs" dxfId="690" priority="367" operator="equal">
      <formula>"NA"</formula>
    </cfRule>
    <cfRule type="cellIs" dxfId="689" priority="368" operator="equal">
      <formula>"Yes"</formula>
    </cfRule>
  </conditionalFormatting>
  <conditionalFormatting sqref="C8">
    <cfRule type="cellIs" dxfId="688" priority="320" operator="equal">
      <formula>"No"</formula>
    </cfRule>
    <cfRule type="cellIs" dxfId="687" priority="321" operator="equal">
      <formula>"NA"</formula>
    </cfRule>
    <cfRule type="cellIs" dxfId="686" priority="322" operator="equal">
      <formula>"Yes"</formula>
    </cfRule>
  </conditionalFormatting>
  <conditionalFormatting sqref="C9">
    <cfRule type="cellIs" dxfId="685" priority="274" operator="equal">
      <formula>"No"</formula>
    </cfRule>
    <cfRule type="cellIs" dxfId="684" priority="275" operator="equal">
      <formula>"NA"</formula>
    </cfRule>
    <cfRule type="cellIs" dxfId="683" priority="276" operator="equal">
      <formula>"Yes"</formula>
    </cfRule>
  </conditionalFormatting>
  <conditionalFormatting sqref="C10">
    <cfRule type="cellIs" dxfId="682" priority="228" operator="equal">
      <formula>"No"</formula>
    </cfRule>
    <cfRule type="cellIs" dxfId="681" priority="229" operator="equal">
      <formula>"NA"</formula>
    </cfRule>
    <cfRule type="cellIs" dxfId="680" priority="230" operator="equal">
      <formula>"Yes"</formula>
    </cfRule>
  </conditionalFormatting>
  <conditionalFormatting sqref="C11">
    <cfRule type="cellIs" dxfId="679" priority="182" operator="equal">
      <formula>"No"</formula>
    </cfRule>
    <cfRule type="cellIs" dxfId="678" priority="183" operator="equal">
      <formula>"NA"</formula>
    </cfRule>
    <cfRule type="cellIs" dxfId="677" priority="184" operator="equal">
      <formula>"Yes"</formula>
    </cfRule>
  </conditionalFormatting>
  <conditionalFormatting sqref="C13">
    <cfRule type="cellIs" dxfId="676" priority="136" operator="equal">
      <formula>"No"</formula>
    </cfRule>
    <cfRule type="cellIs" dxfId="675" priority="137" operator="equal">
      <formula>"NA"</formula>
    </cfRule>
    <cfRule type="cellIs" dxfId="674" priority="138" operator="equal">
      <formula>"Yes"</formula>
    </cfRule>
  </conditionalFormatting>
  <conditionalFormatting sqref="C14">
    <cfRule type="cellIs" dxfId="673" priority="90" operator="equal">
      <formula>"No"</formula>
    </cfRule>
    <cfRule type="cellIs" dxfId="672" priority="91" operator="equal">
      <formula>"NA"</formula>
    </cfRule>
    <cfRule type="cellIs" dxfId="671" priority="92" operator="equal">
      <formula>"Yes"</formula>
    </cfRule>
  </conditionalFormatting>
  <conditionalFormatting sqref="C16">
    <cfRule type="cellIs" dxfId="670" priority="44" operator="equal">
      <formula>"No"</formula>
    </cfRule>
    <cfRule type="cellIs" dxfId="669" priority="45" operator="equal">
      <formula>"NA"</formula>
    </cfRule>
    <cfRule type="cellIs" dxfId="668"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7" priority="1516" operator="equal">
      <formula>"No"</formula>
    </cfRule>
    <cfRule type="cellIs" dxfId="666" priority="1517" operator="equal">
      <formula>"NA"</formula>
    </cfRule>
    <cfRule type="cellIs" dxfId="665" priority="1518" operator="equal">
      <formula>"Yes"</formula>
    </cfRule>
  </conditionalFormatting>
  <conditionalFormatting sqref="C8">
    <cfRule type="cellIs" dxfId="664" priority="1470" operator="equal">
      <formula>"No"</formula>
    </cfRule>
    <cfRule type="cellIs" dxfId="663" priority="1471" operator="equal">
      <formula>"NA"</formula>
    </cfRule>
    <cfRule type="cellIs" dxfId="662" priority="1472" operator="equal">
      <formula>"Yes"</formula>
    </cfRule>
  </conditionalFormatting>
  <conditionalFormatting sqref="C9">
    <cfRule type="cellIs" dxfId="661" priority="1424" operator="equal">
      <formula>"No"</formula>
    </cfRule>
    <cfRule type="cellIs" dxfId="660" priority="1425" operator="equal">
      <formula>"NA"</formula>
    </cfRule>
    <cfRule type="cellIs" dxfId="659" priority="1426" operator="equal">
      <formula>"Yes"</formula>
    </cfRule>
  </conditionalFormatting>
  <conditionalFormatting sqref="C10">
    <cfRule type="cellIs" dxfId="658" priority="1378" operator="equal">
      <formula>"No"</formula>
    </cfRule>
    <cfRule type="cellIs" dxfId="657" priority="1379" operator="equal">
      <formula>"NA"</formula>
    </cfRule>
    <cfRule type="cellIs" dxfId="656" priority="1380" operator="equal">
      <formula>"Yes"</formula>
    </cfRule>
  </conditionalFormatting>
  <conditionalFormatting sqref="C11">
    <cfRule type="cellIs" dxfId="655" priority="1332" operator="equal">
      <formula>"No"</formula>
    </cfRule>
    <cfRule type="cellIs" dxfId="654" priority="1333" operator="equal">
      <formula>"NA"</formula>
    </cfRule>
    <cfRule type="cellIs" dxfId="653" priority="1334" operator="equal">
      <formula>"Yes"</formula>
    </cfRule>
  </conditionalFormatting>
  <conditionalFormatting sqref="C12">
    <cfRule type="cellIs" dxfId="652" priority="1286" operator="equal">
      <formula>"No"</formula>
    </cfRule>
    <cfRule type="cellIs" dxfId="651" priority="1287" operator="equal">
      <formula>"NA"</formula>
    </cfRule>
    <cfRule type="cellIs" dxfId="650" priority="1288" operator="equal">
      <formula>"Yes"</formula>
    </cfRule>
  </conditionalFormatting>
  <conditionalFormatting sqref="C14">
    <cfRule type="cellIs" dxfId="649" priority="1240" operator="equal">
      <formula>"No"</formula>
    </cfRule>
    <cfRule type="cellIs" dxfId="648" priority="1241" operator="equal">
      <formula>"NA"</formula>
    </cfRule>
    <cfRule type="cellIs" dxfId="647" priority="1242" operator="equal">
      <formula>"Yes"</formula>
    </cfRule>
  </conditionalFormatting>
  <conditionalFormatting sqref="C15">
    <cfRule type="cellIs" dxfId="646" priority="1194" operator="equal">
      <formula>"No"</formula>
    </cfRule>
    <cfRule type="cellIs" dxfId="645" priority="1195" operator="equal">
      <formula>"NA"</formula>
    </cfRule>
    <cfRule type="cellIs" dxfId="644" priority="1196" operator="equal">
      <formula>"Yes"</formula>
    </cfRule>
  </conditionalFormatting>
  <conditionalFormatting sqref="C16">
    <cfRule type="cellIs" dxfId="643" priority="1148" operator="equal">
      <formula>"No"</formula>
    </cfRule>
    <cfRule type="cellIs" dxfId="642" priority="1149" operator="equal">
      <formula>"NA"</formula>
    </cfRule>
    <cfRule type="cellIs" dxfId="641" priority="1150" operator="equal">
      <formula>"Yes"</formula>
    </cfRule>
  </conditionalFormatting>
  <conditionalFormatting sqref="C17">
    <cfRule type="cellIs" dxfId="640" priority="1102" operator="equal">
      <formula>"No"</formula>
    </cfRule>
    <cfRule type="cellIs" dxfId="639" priority="1103" operator="equal">
      <formula>"NA"</formula>
    </cfRule>
    <cfRule type="cellIs" dxfId="638" priority="1104" operator="equal">
      <formula>"Yes"</formula>
    </cfRule>
  </conditionalFormatting>
  <conditionalFormatting sqref="C19">
    <cfRule type="cellIs" dxfId="637" priority="1056" operator="equal">
      <formula>"No"</formula>
    </cfRule>
    <cfRule type="cellIs" dxfId="636" priority="1057" operator="equal">
      <formula>"NA"</formula>
    </cfRule>
    <cfRule type="cellIs" dxfId="635" priority="1058" operator="equal">
      <formula>"Yes"</formula>
    </cfRule>
  </conditionalFormatting>
  <conditionalFormatting sqref="C20">
    <cfRule type="cellIs" dxfId="634" priority="1010" operator="equal">
      <formula>"No"</formula>
    </cfRule>
    <cfRule type="cellIs" dxfId="633" priority="1011" operator="equal">
      <formula>"NA"</formula>
    </cfRule>
    <cfRule type="cellIs" dxfId="632" priority="1012" operator="equal">
      <formula>"Yes"</formula>
    </cfRule>
  </conditionalFormatting>
  <conditionalFormatting sqref="C21">
    <cfRule type="cellIs" dxfId="631" priority="964" operator="equal">
      <formula>"No"</formula>
    </cfRule>
    <cfRule type="cellIs" dxfId="630" priority="965" operator="equal">
      <formula>"NA"</formula>
    </cfRule>
    <cfRule type="cellIs" dxfId="629" priority="966" operator="equal">
      <formula>"Yes"</formula>
    </cfRule>
  </conditionalFormatting>
  <conditionalFormatting sqref="C22">
    <cfRule type="cellIs" dxfId="628" priority="918" operator="equal">
      <formula>"No"</formula>
    </cfRule>
    <cfRule type="cellIs" dxfId="627" priority="919" operator="equal">
      <formula>"NA"</formula>
    </cfRule>
    <cfRule type="cellIs" dxfId="626" priority="920" operator="equal">
      <formula>"Yes"</formula>
    </cfRule>
  </conditionalFormatting>
  <conditionalFormatting sqref="C23">
    <cfRule type="cellIs" dxfId="625" priority="872" operator="equal">
      <formula>"No"</formula>
    </cfRule>
    <cfRule type="cellIs" dxfId="624" priority="873" operator="equal">
      <formula>"NA"</formula>
    </cfRule>
    <cfRule type="cellIs" dxfId="623" priority="874" operator="equal">
      <formula>"Yes"</formula>
    </cfRule>
  </conditionalFormatting>
  <conditionalFormatting sqref="C24">
    <cfRule type="cellIs" dxfId="622" priority="826" operator="equal">
      <formula>"No"</formula>
    </cfRule>
    <cfRule type="cellIs" dxfId="621" priority="827" operator="equal">
      <formula>"NA"</formula>
    </cfRule>
    <cfRule type="cellIs" dxfId="620" priority="828" operator="equal">
      <formula>"Yes"</formula>
    </cfRule>
  </conditionalFormatting>
  <conditionalFormatting sqref="C25">
    <cfRule type="cellIs" dxfId="619" priority="780" operator="equal">
      <formula>"No"</formula>
    </cfRule>
    <cfRule type="cellIs" dxfId="618" priority="781" operator="equal">
      <formula>"NA"</formula>
    </cfRule>
    <cfRule type="cellIs" dxfId="617" priority="782" operator="equal">
      <formula>"Yes"</formula>
    </cfRule>
  </conditionalFormatting>
  <conditionalFormatting sqref="C27">
    <cfRule type="cellIs" dxfId="616" priority="734" operator="equal">
      <formula>"No"</formula>
    </cfRule>
    <cfRule type="cellIs" dxfId="615" priority="735" operator="equal">
      <formula>"NA"</formula>
    </cfRule>
    <cfRule type="cellIs" dxfId="614" priority="736" operator="equal">
      <formula>"Yes"</formula>
    </cfRule>
  </conditionalFormatting>
  <conditionalFormatting sqref="C28">
    <cfRule type="cellIs" dxfId="613" priority="688" operator="equal">
      <formula>"No"</formula>
    </cfRule>
    <cfRule type="cellIs" dxfId="612" priority="689" operator="equal">
      <formula>"NA"</formula>
    </cfRule>
    <cfRule type="cellIs" dxfId="611" priority="690" operator="equal">
      <formula>"Yes"</formula>
    </cfRule>
  </conditionalFormatting>
  <conditionalFormatting sqref="C29">
    <cfRule type="cellIs" dxfId="610" priority="642" operator="equal">
      <formula>"No"</formula>
    </cfRule>
    <cfRule type="cellIs" dxfId="609" priority="643" operator="equal">
      <formula>"NA"</formula>
    </cfRule>
    <cfRule type="cellIs" dxfId="608" priority="644" operator="equal">
      <formula>"Yes"</formula>
    </cfRule>
  </conditionalFormatting>
  <conditionalFormatting sqref="C30">
    <cfRule type="cellIs" dxfId="607" priority="596" operator="equal">
      <formula>"No"</formula>
    </cfRule>
    <cfRule type="cellIs" dxfId="606" priority="597" operator="equal">
      <formula>"NA"</formula>
    </cfRule>
    <cfRule type="cellIs" dxfId="605" priority="598" operator="equal">
      <formula>"Yes"</formula>
    </cfRule>
  </conditionalFormatting>
  <conditionalFormatting sqref="C31">
    <cfRule type="cellIs" dxfId="604" priority="550" operator="equal">
      <formula>"No"</formula>
    </cfRule>
    <cfRule type="cellIs" dxfId="603" priority="551" operator="equal">
      <formula>"NA"</formula>
    </cfRule>
    <cfRule type="cellIs" dxfId="602" priority="552" operator="equal">
      <formula>"Yes"</formula>
    </cfRule>
  </conditionalFormatting>
  <conditionalFormatting sqref="C32">
    <cfRule type="cellIs" dxfId="601" priority="504" operator="equal">
      <formula>"No"</formula>
    </cfRule>
    <cfRule type="cellIs" dxfId="600" priority="505" operator="equal">
      <formula>"NA"</formula>
    </cfRule>
    <cfRule type="cellIs" dxfId="599" priority="506" operator="equal">
      <formula>"Yes"</formula>
    </cfRule>
  </conditionalFormatting>
  <conditionalFormatting sqref="C34">
    <cfRule type="cellIs" dxfId="598" priority="458" operator="equal">
      <formula>"No"</formula>
    </cfRule>
    <cfRule type="cellIs" dxfId="597" priority="459" operator="equal">
      <formula>"NA"</formula>
    </cfRule>
    <cfRule type="cellIs" dxfId="596" priority="460" operator="equal">
      <formula>"Yes"</formula>
    </cfRule>
  </conditionalFormatting>
  <conditionalFormatting sqref="C36">
    <cfRule type="cellIs" dxfId="595" priority="412" operator="equal">
      <formula>"No"</formula>
    </cfRule>
    <cfRule type="cellIs" dxfId="594" priority="413" operator="equal">
      <formula>"NA"</formula>
    </cfRule>
    <cfRule type="cellIs" dxfId="593" priority="414" operator="equal">
      <formula>"Yes"</formula>
    </cfRule>
  </conditionalFormatting>
  <conditionalFormatting sqref="C37">
    <cfRule type="cellIs" dxfId="592" priority="366" operator="equal">
      <formula>"No"</formula>
    </cfRule>
    <cfRule type="cellIs" dxfId="591" priority="367" operator="equal">
      <formula>"NA"</formula>
    </cfRule>
    <cfRule type="cellIs" dxfId="590" priority="368" operator="equal">
      <formula>"Yes"</formula>
    </cfRule>
  </conditionalFormatting>
  <conditionalFormatting sqref="C39">
    <cfRule type="cellIs" dxfId="589" priority="320" operator="equal">
      <formula>"No"</formula>
    </cfRule>
    <cfRule type="cellIs" dxfId="588" priority="321" operator="equal">
      <formula>"NA"</formula>
    </cfRule>
    <cfRule type="cellIs" dxfId="587" priority="322" operator="equal">
      <formula>"Yes"</formula>
    </cfRule>
  </conditionalFormatting>
  <conditionalFormatting sqref="C40">
    <cfRule type="cellIs" dxfId="586" priority="274" operator="equal">
      <formula>"No"</formula>
    </cfRule>
    <cfRule type="cellIs" dxfId="585" priority="275" operator="equal">
      <formula>"NA"</formula>
    </cfRule>
    <cfRule type="cellIs" dxfId="584" priority="276" operator="equal">
      <formula>"Yes"</formula>
    </cfRule>
  </conditionalFormatting>
  <conditionalFormatting sqref="C41">
    <cfRule type="cellIs" dxfId="583" priority="228" operator="equal">
      <formula>"No"</formula>
    </cfRule>
    <cfRule type="cellIs" dxfId="582" priority="229" operator="equal">
      <formula>"NA"</formula>
    </cfRule>
    <cfRule type="cellIs" dxfId="581" priority="230" operator="equal">
      <formula>"Yes"</formula>
    </cfRule>
  </conditionalFormatting>
  <conditionalFormatting sqref="C42">
    <cfRule type="cellIs" dxfId="580" priority="182" operator="equal">
      <formula>"No"</formula>
    </cfRule>
    <cfRule type="cellIs" dxfId="579" priority="183" operator="equal">
      <formula>"NA"</formula>
    </cfRule>
    <cfRule type="cellIs" dxfId="578" priority="184" operator="equal">
      <formula>"Yes"</formula>
    </cfRule>
  </conditionalFormatting>
  <conditionalFormatting sqref="C44">
    <cfRule type="cellIs" dxfId="577" priority="136" operator="equal">
      <formula>"No"</formula>
    </cfRule>
    <cfRule type="cellIs" dxfId="576" priority="137" operator="equal">
      <formula>"NA"</formula>
    </cfRule>
    <cfRule type="cellIs" dxfId="575" priority="138" operator="equal">
      <formula>"Yes"</formula>
    </cfRule>
  </conditionalFormatting>
  <conditionalFormatting sqref="C45">
    <cfRule type="cellIs" dxfId="574" priority="90" operator="equal">
      <formula>"No"</formula>
    </cfRule>
    <cfRule type="cellIs" dxfId="573" priority="91" operator="equal">
      <formula>"NA"</formula>
    </cfRule>
    <cfRule type="cellIs" dxfId="572" priority="92" operator="equal">
      <formula>"Yes"</formula>
    </cfRule>
  </conditionalFormatting>
  <conditionalFormatting sqref="C47">
    <cfRule type="cellIs" dxfId="571" priority="44" operator="equal">
      <formula>"No"</formula>
    </cfRule>
    <cfRule type="cellIs" dxfId="570" priority="45" operator="equal">
      <formula>"NA"</formula>
    </cfRule>
    <cfRule type="cellIs" dxfId="569"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8" priority="1056" operator="equal">
      <formula>"No"</formula>
    </cfRule>
    <cfRule type="cellIs" dxfId="567" priority="1057" operator="equal">
      <formula>"NA"</formula>
    </cfRule>
    <cfRule type="cellIs" dxfId="566" priority="1058" operator="equal">
      <formula>"Yes"</formula>
    </cfRule>
  </conditionalFormatting>
  <conditionalFormatting sqref="C8">
    <cfRule type="cellIs" dxfId="565" priority="1010" operator="equal">
      <formula>"No"</formula>
    </cfRule>
    <cfRule type="cellIs" dxfId="564" priority="1011" operator="equal">
      <formula>"NA"</formula>
    </cfRule>
    <cfRule type="cellIs" dxfId="563" priority="1012" operator="equal">
      <formula>"Yes"</formula>
    </cfRule>
  </conditionalFormatting>
  <conditionalFormatting sqref="C9">
    <cfRule type="cellIs" dxfId="562" priority="964" operator="equal">
      <formula>"No"</formula>
    </cfRule>
    <cfRule type="cellIs" dxfId="561" priority="965" operator="equal">
      <formula>"NA"</formula>
    </cfRule>
    <cfRule type="cellIs" dxfId="560" priority="966" operator="equal">
      <formula>"Yes"</formula>
    </cfRule>
  </conditionalFormatting>
  <conditionalFormatting sqref="C10">
    <cfRule type="cellIs" dxfId="559" priority="918" operator="equal">
      <formula>"No"</formula>
    </cfRule>
    <cfRule type="cellIs" dxfId="558" priority="919" operator="equal">
      <formula>"NA"</formula>
    </cfRule>
    <cfRule type="cellIs" dxfId="557" priority="920" operator="equal">
      <formula>"Yes"</formula>
    </cfRule>
  </conditionalFormatting>
  <conditionalFormatting sqref="C11">
    <cfRule type="cellIs" dxfId="556" priority="872" operator="equal">
      <formula>"No"</formula>
    </cfRule>
    <cfRule type="cellIs" dxfId="555" priority="873" operator="equal">
      <formula>"NA"</formula>
    </cfRule>
    <cfRule type="cellIs" dxfId="554" priority="874" operator="equal">
      <formula>"Yes"</formula>
    </cfRule>
  </conditionalFormatting>
  <conditionalFormatting sqref="C12">
    <cfRule type="cellIs" dxfId="553" priority="826" operator="equal">
      <formula>"No"</formula>
    </cfRule>
    <cfRule type="cellIs" dxfId="552" priority="827" operator="equal">
      <formula>"NA"</formula>
    </cfRule>
    <cfRule type="cellIs" dxfId="551" priority="828" operator="equal">
      <formula>"Yes"</formula>
    </cfRule>
  </conditionalFormatting>
  <conditionalFormatting sqref="C13">
    <cfRule type="cellIs" dxfId="550" priority="780" operator="equal">
      <formula>"No"</formula>
    </cfRule>
    <cfRule type="cellIs" dxfId="549" priority="781" operator="equal">
      <formula>"NA"</formula>
    </cfRule>
    <cfRule type="cellIs" dxfId="548" priority="782" operator="equal">
      <formula>"Yes"</formula>
    </cfRule>
  </conditionalFormatting>
  <conditionalFormatting sqref="C14">
    <cfRule type="cellIs" dxfId="547" priority="734" operator="equal">
      <formula>"No"</formula>
    </cfRule>
    <cfRule type="cellIs" dxfId="546" priority="735" operator="equal">
      <formula>"NA"</formula>
    </cfRule>
    <cfRule type="cellIs" dxfId="545" priority="736" operator="equal">
      <formula>"Yes"</formula>
    </cfRule>
  </conditionalFormatting>
  <conditionalFormatting sqref="C15">
    <cfRule type="cellIs" dxfId="544" priority="688" operator="equal">
      <formula>"No"</formula>
    </cfRule>
    <cfRule type="cellIs" dxfId="543" priority="689" operator="equal">
      <formula>"NA"</formula>
    </cfRule>
    <cfRule type="cellIs" dxfId="542" priority="690" operator="equal">
      <formula>"Yes"</formula>
    </cfRule>
  </conditionalFormatting>
  <conditionalFormatting sqref="C16">
    <cfRule type="cellIs" dxfId="541" priority="642" operator="equal">
      <formula>"No"</formula>
    </cfRule>
    <cfRule type="cellIs" dxfId="540" priority="643" operator="equal">
      <formula>"NA"</formula>
    </cfRule>
    <cfRule type="cellIs" dxfId="539" priority="644" operator="equal">
      <formula>"Yes"</formula>
    </cfRule>
  </conditionalFormatting>
  <conditionalFormatting sqref="C17">
    <cfRule type="cellIs" dxfId="538" priority="596" operator="equal">
      <formula>"No"</formula>
    </cfRule>
    <cfRule type="cellIs" dxfId="537" priority="597" operator="equal">
      <formula>"NA"</formula>
    </cfRule>
    <cfRule type="cellIs" dxfId="536" priority="598" operator="equal">
      <formula>"Yes"</formula>
    </cfRule>
  </conditionalFormatting>
  <conditionalFormatting sqref="C18">
    <cfRule type="cellIs" dxfId="535" priority="550" operator="equal">
      <formula>"No"</formula>
    </cfRule>
    <cfRule type="cellIs" dxfId="534" priority="551" operator="equal">
      <formula>"NA"</formula>
    </cfRule>
    <cfRule type="cellIs" dxfId="533" priority="552" operator="equal">
      <formula>"Yes"</formula>
    </cfRule>
  </conditionalFormatting>
  <conditionalFormatting sqref="C19">
    <cfRule type="cellIs" dxfId="532" priority="504" operator="equal">
      <formula>"No"</formula>
    </cfRule>
    <cfRule type="cellIs" dxfId="531" priority="505" operator="equal">
      <formula>"NA"</formula>
    </cfRule>
    <cfRule type="cellIs" dxfId="530" priority="506" operator="equal">
      <formula>"Yes"</formula>
    </cfRule>
  </conditionalFormatting>
  <conditionalFormatting sqref="C20">
    <cfRule type="cellIs" dxfId="529" priority="458" operator="equal">
      <formula>"No"</formula>
    </cfRule>
    <cfRule type="cellIs" dxfId="528" priority="459" operator="equal">
      <formula>"NA"</formula>
    </cfRule>
    <cfRule type="cellIs" dxfId="527" priority="460" operator="equal">
      <formula>"Yes"</formula>
    </cfRule>
  </conditionalFormatting>
  <conditionalFormatting sqref="C21">
    <cfRule type="cellIs" dxfId="526" priority="412" operator="equal">
      <formula>"No"</formula>
    </cfRule>
    <cfRule type="cellIs" dxfId="525" priority="413" operator="equal">
      <formula>"NA"</formula>
    </cfRule>
    <cfRule type="cellIs" dxfId="524" priority="414" operator="equal">
      <formula>"Yes"</formula>
    </cfRule>
  </conditionalFormatting>
  <conditionalFormatting sqref="C22">
    <cfRule type="cellIs" dxfId="523" priority="366" operator="equal">
      <formula>"No"</formula>
    </cfRule>
    <cfRule type="cellIs" dxfId="522" priority="367" operator="equal">
      <formula>"NA"</formula>
    </cfRule>
    <cfRule type="cellIs" dxfId="521" priority="368" operator="equal">
      <formula>"Yes"</formula>
    </cfRule>
  </conditionalFormatting>
  <conditionalFormatting sqref="C24">
    <cfRule type="cellIs" dxfId="520" priority="320" operator="equal">
      <formula>"No"</formula>
    </cfRule>
    <cfRule type="cellIs" dxfId="519" priority="321" operator="equal">
      <formula>"NA"</formula>
    </cfRule>
    <cfRule type="cellIs" dxfId="518" priority="322" operator="equal">
      <formula>"Yes"</formula>
    </cfRule>
  </conditionalFormatting>
  <conditionalFormatting sqref="C25">
    <cfRule type="cellIs" dxfId="517" priority="274" operator="equal">
      <formula>"No"</formula>
    </cfRule>
    <cfRule type="cellIs" dxfId="516" priority="275" operator="equal">
      <formula>"NA"</formula>
    </cfRule>
    <cfRule type="cellIs" dxfId="515" priority="276" operator="equal">
      <formula>"Yes"</formula>
    </cfRule>
  </conditionalFormatting>
  <conditionalFormatting sqref="C26">
    <cfRule type="cellIs" dxfId="514" priority="228" operator="equal">
      <formula>"No"</formula>
    </cfRule>
    <cfRule type="cellIs" dxfId="513" priority="229" operator="equal">
      <formula>"NA"</formula>
    </cfRule>
    <cfRule type="cellIs" dxfId="512" priority="230" operator="equal">
      <formula>"Yes"</formula>
    </cfRule>
  </conditionalFormatting>
  <conditionalFormatting sqref="C27">
    <cfRule type="cellIs" dxfId="511" priority="182" operator="equal">
      <formula>"No"</formula>
    </cfRule>
    <cfRule type="cellIs" dxfId="510" priority="183" operator="equal">
      <formula>"NA"</formula>
    </cfRule>
    <cfRule type="cellIs" dxfId="509" priority="184" operator="equal">
      <formula>"Yes"</formula>
    </cfRule>
  </conditionalFormatting>
  <conditionalFormatting sqref="C29">
    <cfRule type="cellIs" dxfId="508" priority="136" operator="equal">
      <formula>"No"</formula>
    </cfRule>
    <cfRule type="cellIs" dxfId="507" priority="137" operator="equal">
      <formula>"NA"</formula>
    </cfRule>
    <cfRule type="cellIs" dxfId="506" priority="138" operator="equal">
      <formula>"Yes"</formula>
    </cfRule>
  </conditionalFormatting>
  <conditionalFormatting sqref="C30">
    <cfRule type="cellIs" dxfId="505" priority="90" operator="equal">
      <formula>"No"</formula>
    </cfRule>
    <cfRule type="cellIs" dxfId="504" priority="91" operator="equal">
      <formula>"NA"</formula>
    </cfRule>
    <cfRule type="cellIs" dxfId="503" priority="92" operator="equal">
      <formula>"Yes"</formula>
    </cfRule>
  </conditionalFormatting>
  <conditionalFormatting sqref="C32">
    <cfRule type="cellIs" dxfId="502" priority="44" operator="equal">
      <formula>"No"</formula>
    </cfRule>
    <cfRule type="cellIs" dxfId="501" priority="45" operator="equal">
      <formula>"NA"</formula>
    </cfRule>
    <cfRule type="cellIs" dxfId="500"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9" priority="1102" operator="equal">
      <formula>"No"</formula>
    </cfRule>
    <cfRule type="cellIs" dxfId="498" priority="1103" operator="equal">
      <formula>"NA"</formula>
    </cfRule>
    <cfRule type="cellIs" dxfId="497" priority="1104" operator="equal">
      <formula>"Yes"</formula>
    </cfRule>
  </conditionalFormatting>
  <conditionalFormatting sqref="C7">
    <cfRule type="cellIs" dxfId="496" priority="1056" operator="equal">
      <formula>"No"</formula>
    </cfRule>
    <cfRule type="cellIs" dxfId="495" priority="1057" operator="equal">
      <formula>"NA"</formula>
    </cfRule>
    <cfRule type="cellIs" dxfId="494" priority="1058" operator="equal">
      <formula>"Yes"</formula>
    </cfRule>
  </conditionalFormatting>
  <conditionalFormatting sqref="C9">
    <cfRule type="cellIs" dxfId="493" priority="1010" operator="equal">
      <formula>"No"</formula>
    </cfRule>
    <cfRule type="cellIs" dxfId="492" priority="1011" operator="equal">
      <formula>"NA"</formula>
    </cfRule>
    <cfRule type="cellIs" dxfId="491" priority="1012" operator="equal">
      <formula>"Yes"</formula>
    </cfRule>
  </conditionalFormatting>
  <conditionalFormatting sqref="C10">
    <cfRule type="cellIs" dxfId="490" priority="964" operator="equal">
      <formula>"No"</formula>
    </cfRule>
    <cfRule type="cellIs" dxfId="489" priority="965" operator="equal">
      <formula>"NA"</formula>
    </cfRule>
    <cfRule type="cellIs" dxfId="488" priority="966" operator="equal">
      <formula>"Yes"</formula>
    </cfRule>
  </conditionalFormatting>
  <conditionalFormatting sqref="C11">
    <cfRule type="cellIs" dxfId="487" priority="918" operator="equal">
      <formula>"No"</formula>
    </cfRule>
    <cfRule type="cellIs" dxfId="486" priority="919" operator="equal">
      <formula>"NA"</formula>
    </cfRule>
    <cfRule type="cellIs" dxfId="485" priority="920" operator="equal">
      <formula>"Yes"</formula>
    </cfRule>
  </conditionalFormatting>
  <conditionalFormatting sqref="C12">
    <cfRule type="cellIs" dxfId="484" priority="872" operator="equal">
      <formula>"No"</formula>
    </cfRule>
    <cfRule type="cellIs" dxfId="483" priority="873" operator="equal">
      <formula>"NA"</formula>
    </cfRule>
    <cfRule type="cellIs" dxfId="482" priority="874" operator="equal">
      <formula>"Yes"</formula>
    </cfRule>
  </conditionalFormatting>
  <conditionalFormatting sqref="C13">
    <cfRule type="cellIs" dxfId="481" priority="826" operator="equal">
      <formula>"No"</formula>
    </cfRule>
    <cfRule type="cellIs" dxfId="480" priority="827" operator="equal">
      <formula>"NA"</formula>
    </cfRule>
    <cfRule type="cellIs" dxfId="479" priority="828" operator="equal">
      <formula>"Yes"</formula>
    </cfRule>
  </conditionalFormatting>
  <conditionalFormatting sqref="C14">
    <cfRule type="cellIs" dxfId="478" priority="780" operator="equal">
      <formula>"No"</formula>
    </cfRule>
    <cfRule type="cellIs" dxfId="477" priority="781" operator="equal">
      <formula>"NA"</formula>
    </cfRule>
    <cfRule type="cellIs" dxfId="476" priority="782" operator="equal">
      <formula>"Yes"</formula>
    </cfRule>
  </conditionalFormatting>
  <conditionalFormatting sqref="C15">
    <cfRule type="cellIs" dxfId="475" priority="734" operator="equal">
      <formula>"No"</formula>
    </cfRule>
    <cfRule type="cellIs" dxfId="474" priority="735" operator="equal">
      <formula>"NA"</formula>
    </cfRule>
    <cfRule type="cellIs" dxfId="473" priority="736" operator="equal">
      <formula>"Yes"</formula>
    </cfRule>
  </conditionalFormatting>
  <conditionalFormatting sqref="C16">
    <cfRule type="cellIs" dxfId="472" priority="688" operator="equal">
      <formula>"No"</formula>
    </cfRule>
    <cfRule type="cellIs" dxfId="471" priority="689" operator="equal">
      <formula>"NA"</formula>
    </cfRule>
    <cfRule type="cellIs" dxfId="470" priority="690" operator="equal">
      <formula>"Yes"</formula>
    </cfRule>
  </conditionalFormatting>
  <conditionalFormatting sqref="C17">
    <cfRule type="cellIs" dxfId="469" priority="642" operator="equal">
      <formula>"No"</formula>
    </cfRule>
    <cfRule type="cellIs" dxfId="468" priority="643" operator="equal">
      <formula>"NA"</formula>
    </cfRule>
    <cfRule type="cellIs" dxfId="467" priority="644" operator="equal">
      <formula>"Yes"</formula>
    </cfRule>
  </conditionalFormatting>
  <conditionalFormatting sqref="C18">
    <cfRule type="cellIs" dxfId="466" priority="596" operator="equal">
      <formula>"No"</formula>
    </cfRule>
    <cfRule type="cellIs" dxfId="465" priority="597" operator="equal">
      <formula>"NA"</formula>
    </cfRule>
    <cfRule type="cellIs" dxfId="464" priority="598" operator="equal">
      <formula>"Yes"</formula>
    </cfRule>
  </conditionalFormatting>
  <conditionalFormatting sqref="C19">
    <cfRule type="cellIs" dxfId="463" priority="550" operator="equal">
      <formula>"No"</formula>
    </cfRule>
    <cfRule type="cellIs" dxfId="462" priority="551" operator="equal">
      <formula>"NA"</formula>
    </cfRule>
    <cfRule type="cellIs" dxfId="461" priority="552" operator="equal">
      <formula>"Yes"</formula>
    </cfRule>
  </conditionalFormatting>
  <conditionalFormatting sqref="C20">
    <cfRule type="cellIs" dxfId="460" priority="504" operator="equal">
      <formula>"No"</formula>
    </cfRule>
    <cfRule type="cellIs" dxfId="459" priority="505" operator="equal">
      <formula>"NA"</formula>
    </cfRule>
    <cfRule type="cellIs" dxfId="458" priority="506" operator="equal">
      <formula>"Yes"</formula>
    </cfRule>
  </conditionalFormatting>
  <conditionalFormatting sqref="C21">
    <cfRule type="cellIs" dxfId="457" priority="458" operator="equal">
      <formula>"No"</formula>
    </cfRule>
    <cfRule type="cellIs" dxfId="456" priority="459" operator="equal">
      <formula>"NA"</formula>
    </cfRule>
    <cfRule type="cellIs" dxfId="455" priority="460" operator="equal">
      <formula>"Yes"</formula>
    </cfRule>
  </conditionalFormatting>
  <conditionalFormatting sqref="C22">
    <cfRule type="cellIs" dxfId="454" priority="412" operator="equal">
      <formula>"No"</formula>
    </cfRule>
    <cfRule type="cellIs" dxfId="453" priority="413" operator="equal">
      <formula>"NA"</formula>
    </cfRule>
    <cfRule type="cellIs" dxfId="452" priority="414" operator="equal">
      <formula>"Yes"</formula>
    </cfRule>
  </conditionalFormatting>
  <conditionalFormatting sqref="C23">
    <cfRule type="cellIs" dxfId="451" priority="366" operator="equal">
      <formula>"No"</formula>
    </cfRule>
    <cfRule type="cellIs" dxfId="450" priority="367" operator="equal">
      <formula>"NA"</formula>
    </cfRule>
    <cfRule type="cellIs" dxfId="449" priority="368" operator="equal">
      <formula>"Yes"</formula>
    </cfRule>
  </conditionalFormatting>
  <conditionalFormatting sqref="C25">
    <cfRule type="cellIs" dxfId="448" priority="320" operator="equal">
      <formula>"No"</formula>
    </cfRule>
    <cfRule type="cellIs" dxfId="447" priority="321" operator="equal">
      <formula>"NA"</formula>
    </cfRule>
    <cfRule type="cellIs" dxfId="446" priority="322" operator="equal">
      <formula>"Yes"</formula>
    </cfRule>
  </conditionalFormatting>
  <conditionalFormatting sqref="C26">
    <cfRule type="cellIs" dxfId="445" priority="274" operator="equal">
      <formula>"No"</formula>
    </cfRule>
    <cfRule type="cellIs" dxfId="444" priority="275" operator="equal">
      <formula>"NA"</formula>
    </cfRule>
    <cfRule type="cellIs" dxfId="443" priority="276" operator="equal">
      <formula>"Yes"</formula>
    </cfRule>
  </conditionalFormatting>
  <conditionalFormatting sqref="C27">
    <cfRule type="cellIs" dxfId="442" priority="228" operator="equal">
      <formula>"No"</formula>
    </cfRule>
    <cfRule type="cellIs" dxfId="441" priority="229" operator="equal">
      <formula>"NA"</formula>
    </cfRule>
    <cfRule type="cellIs" dxfId="440" priority="230" operator="equal">
      <formula>"Yes"</formula>
    </cfRule>
  </conditionalFormatting>
  <conditionalFormatting sqref="C28">
    <cfRule type="cellIs" dxfId="439" priority="182" operator="equal">
      <formula>"No"</formula>
    </cfRule>
    <cfRule type="cellIs" dxfId="438" priority="183" operator="equal">
      <formula>"NA"</formula>
    </cfRule>
    <cfRule type="cellIs" dxfId="437" priority="184" operator="equal">
      <formula>"Yes"</formula>
    </cfRule>
  </conditionalFormatting>
  <conditionalFormatting sqref="C30">
    <cfRule type="cellIs" dxfId="436" priority="136" operator="equal">
      <formula>"No"</formula>
    </cfRule>
    <cfRule type="cellIs" dxfId="435" priority="137" operator="equal">
      <formula>"NA"</formula>
    </cfRule>
    <cfRule type="cellIs" dxfId="434" priority="138" operator="equal">
      <formula>"Yes"</formula>
    </cfRule>
  </conditionalFormatting>
  <conditionalFormatting sqref="C31">
    <cfRule type="cellIs" dxfId="433" priority="90" operator="equal">
      <formula>"No"</formula>
    </cfRule>
    <cfRule type="cellIs" dxfId="432" priority="91" operator="equal">
      <formula>"NA"</formula>
    </cfRule>
    <cfRule type="cellIs" dxfId="431" priority="92" operator="equal">
      <formula>"Yes"</formula>
    </cfRule>
  </conditionalFormatting>
  <conditionalFormatting sqref="C33">
    <cfRule type="cellIs" dxfId="430" priority="44" operator="equal">
      <formula>"No"</formula>
    </cfRule>
    <cfRule type="cellIs" dxfId="429" priority="45" operator="equal">
      <formula>"NA"</formula>
    </cfRule>
    <cfRule type="cellIs" dxfId="428"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7" priority="1056" operator="equal">
      <formula>"No"</formula>
    </cfRule>
    <cfRule type="cellIs" dxfId="426" priority="1057" operator="equal">
      <formula>"NA"</formula>
    </cfRule>
    <cfRule type="cellIs" dxfId="425" priority="1058" operator="equal">
      <formula>"Yes"</formula>
    </cfRule>
  </conditionalFormatting>
  <conditionalFormatting sqref="C7">
    <cfRule type="cellIs" dxfId="424" priority="1010" operator="equal">
      <formula>"No"</formula>
    </cfRule>
    <cfRule type="cellIs" dxfId="423" priority="1011" operator="equal">
      <formula>"NA"</formula>
    </cfRule>
    <cfRule type="cellIs" dxfId="422" priority="1012" operator="equal">
      <formula>"Yes"</formula>
    </cfRule>
  </conditionalFormatting>
  <conditionalFormatting sqref="C8">
    <cfRule type="cellIs" dxfId="421" priority="964" operator="equal">
      <formula>"No"</formula>
    </cfRule>
    <cfRule type="cellIs" dxfId="420" priority="965" operator="equal">
      <formula>"NA"</formula>
    </cfRule>
    <cfRule type="cellIs" dxfId="419" priority="966" operator="equal">
      <formula>"Yes"</formula>
    </cfRule>
  </conditionalFormatting>
  <conditionalFormatting sqref="C9">
    <cfRule type="cellIs" dxfId="418" priority="918" operator="equal">
      <formula>"No"</formula>
    </cfRule>
    <cfRule type="cellIs" dxfId="417" priority="919" operator="equal">
      <formula>"NA"</formula>
    </cfRule>
    <cfRule type="cellIs" dxfId="416" priority="920" operator="equal">
      <formula>"Yes"</formula>
    </cfRule>
  </conditionalFormatting>
  <conditionalFormatting sqref="C10">
    <cfRule type="cellIs" dxfId="415" priority="872" operator="equal">
      <formula>"No"</formula>
    </cfRule>
    <cfRule type="cellIs" dxfId="414" priority="873" operator="equal">
      <formula>"NA"</formula>
    </cfRule>
    <cfRule type="cellIs" dxfId="413" priority="874" operator="equal">
      <formula>"Yes"</formula>
    </cfRule>
  </conditionalFormatting>
  <conditionalFormatting sqref="C11">
    <cfRule type="cellIs" dxfId="412" priority="826" operator="equal">
      <formula>"No"</formula>
    </cfRule>
    <cfRule type="cellIs" dxfId="411" priority="827" operator="equal">
      <formula>"NA"</formula>
    </cfRule>
    <cfRule type="cellIs" dxfId="410" priority="828" operator="equal">
      <formula>"Yes"</formula>
    </cfRule>
  </conditionalFormatting>
  <conditionalFormatting sqref="C12">
    <cfRule type="cellIs" dxfId="409" priority="780" operator="equal">
      <formula>"No"</formula>
    </cfRule>
    <cfRule type="cellIs" dxfId="408" priority="781" operator="equal">
      <formula>"NA"</formula>
    </cfRule>
    <cfRule type="cellIs" dxfId="407" priority="782" operator="equal">
      <formula>"Yes"</formula>
    </cfRule>
  </conditionalFormatting>
  <conditionalFormatting sqref="C13">
    <cfRule type="cellIs" dxfId="406" priority="734" operator="equal">
      <formula>"No"</formula>
    </cfRule>
    <cfRule type="cellIs" dxfId="405" priority="735" operator="equal">
      <formula>"NA"</formula>
    </cfRule>
    <cfRule type="cellIs" dxfId="404" priority="736" operator="equal">
      <formula>"Yes"</formula>
    </cfRule>
  </conditionalFormatting>
  <conditionalFormatting sqref="C14">
    <cfRule type="cellIs" dxfId="403" priority="688" operator="equal">
      <formula>"No"</formula>
    </cfRule>
    <cfRule type="cellIs" dxfId="402" priority="689" operator="equal">
      <formula>"NA"</formula>
    </cfRule>
    <cfRule type="cellIs" dxfId="401" priority="690" operator="equal">
      <formula>"Yes"</formula>
    </cfRule>
  </conditionalFormatting>
  <conditionalFormatting sqref="C16">
    <cfRule type="cellIs" dxfId="400" priority="642" operator="equal">
      <formula>"No"</formula>
    </cfRule>
    <cfRule type="cellIs" dxfId="399" priority="643" operator="equal">
      <formula>"NA"</formula>
    </cfRule>
    <cfRule type="cellIs" dxfId="398" priority="644" operator="equal">
      <formula>"Yes"</formula>
    </cfRule>
  </conditionalFormatting>
  <conditionalFormatting sqref="C17">
    <cfRule type="cellIs" dxfId="397" priority="596" operator="equal">
      <formula>"No"</formula>
    </cfRule>
    <cfRule type="cellIs" dxfId="396" priority="597" operator="equal">
      <formula>"NA"</formula>
    </cfRule>
    <cfRule type="cellIs" dxfId="395" priority="598" operator="equal">
      <formula>"Yes"</formula>
    </cfRule>
  </conditionalFormatting>
  <conditionalFormatting sqref="C18">
    <cfRule type="cellIs" dxfId="394" priority="550" operator="equal">
      <formula>"No"</formula>
    </cfRule>
    <cfRule type="cellIs" dxfId="393" priority="551" operator="equal">
      <formula>"NA"</formula>
    </cfRule>
    <cfRule type="cellIs" dxfId="392" priority="552" operator="equal">
      <formula>"Yes"</formula>
    </cfRule>
  </conditionalFormatting>
  <conditionalFormatting sqref="C19">
    <cfRule type="cellIs" dxfId="391" priority="504" operator="equal">
      <formula>"No"</formula>
    </cfRule>
    <cfRule type="cellIs" dxfId="390" priority="505" operator="equal">
      <formula>"NA"</formula>
    </cfRule>
    <cfRule type="cellIs" dxfId="389" priority="506" operator="equal">
      <formula>"Yes"</formula>
    </cfRule>
  </conditionalFormatting>
  <conditionalFormatting sqref="C21">
    <cfRule type="cellIs" dxfId="388" priority="458" operator="equal">
      <formula>"No"</formula>
    </cfRule>
    <cfRule type="cellIs" dxfId="387" priority="459" operator="equal">
      <formula>"NA"</formula>
    </cfRule>
    <cfRule type="cellIs" dxfId="386" priority="460" operator="equal">
      <formula>"Yes"</formula>
    </cfRule>
  </conditionalFormatting>
  <conditionalFormatting sqref="C22">
    <cfRule type="cellIs" dxfId="385" priority="412" operator="equal">
      <formula>"No"</formula>
    </cfRule>
    <cfRule type="cellIs" dxfId="384" priority="413" operator="equal">
      <formula>"NA"</formula>
    </cfRule>
    <cfRule type="cellIs" dxfId="383" priority="414" operator="equal">
      <formula>"Yes"</formula>
    </cfRule>
  </conditionalFormatting>
  <conditionalFormatting sqref="C23">
    <cfRule type="cellIs" dxfId="382" priority="366" operator="equal">
      <formula>"No"</formula>
    </cfRule>
    <cfRule type="cellIs" dxfId="381" priority="367" operator="equal">
      <formula>"NA"</formula>
    </cfRule>
    <cfRule type="cellIs" dxfId="380" priority="368" operator="equal">
      <formula>"Yes"</formula>
    </cfRule>
  </conditionalFormatting>
  <conditionalFormatting sqref="C25">
    <cfRule type="cellIs" dxfId="379" priority="320" operator="equal">
      <formula>"No"</formula>
    </cfRule>
    <cfRule type="cellIs" dxfId="378" priority="321" operator="equal">
      <formula>"NA"</formula>
    </cfRule>
    <cfRule type="cellIs" dxfId="377" priority="322" operator="equal">
      <formula>"Yes"</formula>
    </cfRule>
  </conditionalFormatting>
  <conditionalFormatting sqref="C26">
    <cfRule type="cellIs" dxfId="376" priority="274" operator="equal">
      <formula>"No"</formula>
    </cfRule>
    <cfRule type="cellIs" dxfId="375" priority="275" operator="equal">
      <formula>"NA"</formula>
    </cfRule>
    <cfRule type="cellIs" dxfId="374" priority="276" operator="equal">
      <formula>"Yes"</formula>
    </cfRule>
  </conditionalFormatting>
  <conditionalFormatting sqref="C27">
    <cfRule type="cellIs" dxfId="373" priority="228" operator="equal">
      <formula>"No"</formula>
    </cfRule>
    <cfRule type="cellIs" dxfId="372" priority="229" operator="equal">
      <formula>"NA"</formula>
    </cfRule>
    <cfRule type="cellIs" dxfId="371" priority="230" operator="equal">
      <formula>"Yes"</formula>
    </cfRule>
  </conditionalFormatting>
  <conditionalFormatting sqref="C28">
    <cfRule type="cellIs" dxfId="370" priority="182" operator="equal">
      <formula>"No"</formula>
    </cfRule>
    <cfRule type="cellIs" dxfId="369" priority="183" operator="equal">
      <formula>"NA"</formula>
    </cfRule>
    <cfRule type="cellIs" dxfId="368" priority="184" operator="equal">
      <formula>"Yes"</formula>
    </cfRule>
  </conditionalFormatting>
  <conditionalFormatting sqref="C30">
    <cfRule type="cellIs" dxfId="367" priority="136" operator="equal">
      <formula>"No"</formula>
    </cfRule>
    <cfRule type="cellIs" dxfId="366" priority="137" operator="equal">
      <formula>"NA"</formula>
    </cfRule>
    <cfRule type="cellIs" dxfId="365" priority="138" operator="equal">
      <formula>"Yes"</formula>
    </cfRule>
  </conditionalFormatting>
  <conditionalFormatting sqref="C31">
    <cfRule type="cellIs" dxfId="364" priority="90" operator="equal">
      <formula>"No"</formula>
    </cfRule>
    <cfRule type="cellIs" dxfId="363" priority="91" operator="equal">
      <formula>"NA"</formula>
    </cfRule>
    <cfRule type="cellIs" dxfId="362" priority="92" operator="equal">
      <formula>"Yes"</formula>
    </cfRule>
  </conditionalFormatting>
  <conditionalFormatting sqref="C33">
    <cfRule type="cellIs" dxfId="361" priority="44" operator="equal">
      <formula>"No"</formula>
    </cfRule>
    <cfRule type="cellIs" dxfId="360" priority="45" operator="equal">
      <formula>"NA"</formula>
    </cfRule>
    <cfRule type="cellIs" dxfId="359"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8" priority="1102" operator="equal">
      <formula>"No"</formula>
    </cfRule>
    <cfRule type="cellIs" dxfId="357" priority="1103" operator="equal">
      <formula>"NA"</formula>
    </cfRule>
    <cfRule type="cellIs" dxfId="356" priority="1104" operator="equal">
      <formula>"Yes"</formula>
    </cfRule>
  </conditionalFormatting>
  <conditionalFormatting sqref="C7">
    <cfRule type="cellIs" dxfId="355" priority="1056" operator="equal">
      <formula>"No"</formula>
    </cfRule>
    <cfRule type="cellIs" dxfId="354" priority="1057" operator="equal">
      <formula>"NA"</formula>
    </cfRule>
    <cfRule type="cellIs" dxfId="353" priority="1058" operator="equal">
      <formula>"Yes"</formula>
    </cfRule>
  </conditionalFormatting>
  <conditionalFormatting sqref="C8">
    <cfRule type="cellIs" dxfId="352" priority="1010" operator="equal">
      <formula>"No"</formula>
    </cfRule>
    <cfRule type="cellIs" dxfId="351" priority="1011" operator="equal">
      <formula>"NA"</formula>
    </cfRule>
    <cfRule type="cellIs" dxfId="350" priority="1012" operator="equal">
      <formula>"Yes"</formula>
    </cfRule>
  </conditionalFormatting>
  <conditionalFormatting sqref="C9">
    <cfRule type="cellIs" dxfId="349" priority="964" operator="equal">
      <formula>"No"</formula>
    </cfRule>
    <cfRule type="cellIs" dxfId="348" priority="965" operator="equal">
      <formula>"NA"</formula>
    </cfRule>
    <cfRule type="cellIs" dxfId="347" priority="966" operator="equal">
      <formula>"Yes"</formula>
    </cfRule>
  </conditionalFormatting>
  <conditionalFormatting sqref="C10">
    <cfRule type="cellIs" dxfId="346" priority="918" operator="equal">
      <formula>"No"</formula>
    </cfRule>
    <cfRule type="cellIs" dxfId="345" priority="919" operator="equal">
      <formula>"NA"</formula>
    </cfRule>
    <cfRule type="cellIs" dxfId="344" priority="920" operator="equal">
      <formula>"Yes"</formula>
    </cfRule>
  </conditionalFormatting>
  <conditionalFormatting sqref="C12">
    <cfRule type="cellIs" dxfId="343" priority="872" operator="equal">
      <formula>"No"</formula>
    </cfRule>
    <cfRule type="cellIs" dxfId="342" priority="873" operator="equal">
      <formula>"NA"</formula>
    </cfRule>
    <cfRule type="cellIs" dxfId="341" priority="874" operator="equal">
      <formula>"Yes"</formula>
    </cfRule>
  </conditionalFormatting>
  <conditionalFormatting sqref="C13">
    <cfRule type="cellIs" dxfId="340" priority="826" operator="equal">
      <formula>"No"</formula>
    </cfRule>
    <cfRule type="cellIs" dxfId="339" priority="827" operator="equal">
      <formula>"NA"</formula>
    </cfRule>
    <cfRule type="cellIs" dxfId="338" priority="828" operator="equal">
      <formula>"Yes"</formula>
    </cfRule>
  </conditionalFormatting>
  <conditionalFormatting sqref="C14">
    <cfRule type="cellIs" dxfId="337" priority="780" operator="equal">
      <formula>"No"</formula>
    </cfRule>
    <cfRule type="cellIs" dxfId="336" priority="781" operator="equal">
      <formula>"NA"</formula>
    </cfRule>
    <cfRule type="cellIs" dxfId="335" priority="782" operator="equal">
      <formula>"Yes"</formula>
    </cfRule>
  </conditionalFormatting>
  <conditionalFormatting sqref="C15">
    <cfRule type="cellIs" dxfId="334" priority="734" operator="equal">
      <formula>"No"</formula>
    </cfRule>
    <cfRule type="cellIs" dxfId="333" priority="735" operator="equal">
      <formula>"NA"</formula>
    </cfRule>
    <cfRule type="cellIs" dxfId="332" priority="736" operator="equal">
      <formula>"Yes"</formula>
    </cfRule>
  </conditionalFormatting>
  <conditionalFormatting sqref="C17">
    <cfRule type="cellIs" dxfId="331" priority="688" operator="equal">
      <formula>"No"</formula>
    </cfRule>
    <cfRule type="cellIs" dxfId="330" priority="689" operator="equal">
      <formula>"NA"</formula>
    </cfRule>
    <cfRule type="cellIs" dxfId="329" priority="690" operator="equal">
      <formula>"Yes"</formula>
    </cfRule>
  </conditionalFormatting>
  <conditionalFormatting sqref="C18">
    <cfRule type="cellIs" dxfId="328" priority="642" operator="equal">
      <formula>"No"</formula>
    </cfRule>
    <cfRule type="cellIs" dxfId="327" priority="643" operator="equal">
      <formula>"NA"</formula>
    </cfRule>
    <cfRule type="cellIs" dxfId="326" priority="644" operator="equal">
      <formula>"Yes"</formula>
    </cfRule>
  </conditionalFormatting>
  <conditionalFormatting sqref="C20">
    <cfRule type="cellIs" dxfId="325" priority="596" operator="equal">
      <formula>"No"</formula>
    </cfRule>
    <cfRule type="cellIs" dxfId="324" priority="597" operator="equal">
      <formula>"NA"</formula>
    </cfRule>
    <cfRule type="cellIs" dxfId="323" priority="598" operator="equal">
      <formula>"Yes"</formula>
    </cfRule>
  </conditionalFormatting>
  <conditionalFormatting sqref="C21">
    <cfRule type="cellIs" dxfId="322" priority="550" operator="equal">
      <formula>"No"</formula>
    </cfRule>
    <cfRule type="cellIs" dxfId="321" priority="551" operator="equal">
      <formula>"NA"</formula>
    </cfRule>
    <cfRule type="cellIs" dxfId="320" priority="552" operator="equal">
      <formula>"Yes"</formula>
    </cfRule>
  </conditionalFormatting>
  <conditionalFormatting sqref="C22">
    <cfRule type="cellIs" dxfId="319" priority="504" operator="equal">
      <formula>"No"</formula>
    </cfRule>
    <cfRule type="cellIs" dxfId="318" priority="505" operator="equal">
      <formula>"NA"</formula>
    </cfRule>
    <cfRule type="cellIs" dxfId="317" priority="506" operator="equal">
      <formula>"Yes"</formula>
    </cfRule>
  </conditionalFormatting>
  <conditionalFormatting sqref="C23">
    <cfRule type="cellIs" dxfId="316" priority="458" operator="equal">
      <formula>"No"</formula>
    </cfRule>
    <cfRule type="cellIs" dxfId="315" priority="459" operator="equal">
      <formula>"NA"</formula>
    </cfRule>
    <cfRule type="cellIs" dxfId="314" priority="460" operator="equal">
      <formula>"Yes"</formula>
    </cfRule>
  </conditionalFormatting>
  <conditionalFormatting sqref="C24">
    <cfRule type="cellIs" dxfId="313" priority="412" operator="equal">
      <formula>"No"</formula>
    </cfRule>
    <cfRule type="cellIs" dxfId="312" priority="413" operator="equal">
      <formula>"NA"</formula>
    </cfRule>
    <cfRule type="cellIs" dxfId="311" priority="414" operator="equal">
      <formula>"Yes"</formula>
    </cfRule>
  </conditionalFormatting>
  <conditionalFormatting sqref="C25">
    <cfRule type="cellIs" dxfId="310" priority="366" operator="equal">
      <formula>"No"</formula>
    </cfRule>
    <cfRule type="cellIs" dxfId="309" priority="367" operator="equal">
      <formula>"NA"</formula>
    </cfRule>
    <cfRule type="cellIs" dxfId="308" priority="368" operator="equal">
      <formula>"Yes"</formula>
    </cfRule>
  </conditionalFormatting>
  <conditionalFormatting sqref="C27">
    <cfRule type="cellIs" dxfId="307" priority="320" operator="equal">
      <formula>"No"</formula>
    </cfRule>
    <cfRule type="cellIs" dxfId="306" priority="321" operator="equal">
      <formula>"NA"</formula>
    </cfRule>
    <cfRule type="cellIs" dxfId="305" priority="322" operator="equal">
      <formula>"Yes"</formula>
    </cfRule>
  </conditionalFormatting>
  <conditionalFormatting sqref="C28">
    <cfRule type="cellIs" dxfId="304" priority="274" operator="equal">
      <formula>"No"</formula>
    </cfRule>
    <cfRule type="cellIs" dxfId="303" priority="275" operator="equal">
      <formula>"NA"</formula>
    </cfRule>
    <cfRule type="cellIs" dxfId="302" priority="276" operator="equal">
      <formula>"Yes"</formula>
    </cfRule>
  </conditionalFormatting>
  <conditionalFormatting sqref="C29">
    <cfRule type="cellIs" dxfId="301" priority="228" operator="equal">
      <formula>"No"</formula>
    </cfRule>
    <cfRule type="cellIs" dxfId="300" priority="229" operator="equal">
      <formula>"NA"</formula>
    </cfRule>
    <cfRule type="cellIs" dxfId="299" priority="230" operator="equal">
      <formula>"Yes"</formula>
    </cfRule>
  </conditionalFormatting>
  <conditionalFormatting sqref="C30">
    <cfRule type="cellIs" dxfId="298" priority="182" operator="equal">
      <formula>"No"</formula>
    </cfRule>
    <cfRule type="cellIs" dxfId="297" priority="183" operator="equal">
      <formula>"NA"</formula>
    </cfRule>
    <cfRule type="cellIs" dxfId="296" priority="184" operator="equal">
      <formula>"Yes"</formula>
    </cfRule>
  </conditionalFormatting>
  <conditionalFormatting sqref="C32">
    <cfRule type="cellIs" dxfId="295" priority="136" operator="equal">
      <formula>"No"</formula>
    </cfRule>
    <cfRule type="cellIs" dxfId="294" priority="137" operator="equal">
      <formula>"NA"</formula>
    </cfRule>
    <cfRule type="cellIs" dxfId="293" priority="138" operator="equal">
      <formula>"Yes"</formula>
    </cfRule>
  </conditionalFormatting>
  <conditionalFormatting sqref="C33">
    <cfRule type="cellIs" dxfId="292" priority="90" operator="equal">
      <formula>"No"</formula>
    </cfRule>
    <cfRule type="cellIs" dxfId="291" priority="91" operator="equal">
      <formula>"NA"</formula>
    </cfRule>
    <cfRule type="cellIs" dxfId="290" priority="92" operator="equal">
      <formula>"Yes"</formula>
    </cfRule>
  </conditionalFormatting>
  <conditionalFormatting sqref="C35">
    <cfRule type="cellIs" dxfId="289" priority="44" operator="equal">
      <formula>"No"</formula>
    </cfRule>
    <cfRule type="cellIs" dxfId="288" priority="45" operator="equal">
      <formula>"NA"</formula>
    </cfRule>
    <cfRule type="cellIs" dxfId="287"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6" priority="734" operator="equal">
      <formula>"No"</formula>
    </cfRule>
    <cfRule type="cellIs" dxfId="285" priority="735" operator="equal">
      <formula>"NA"</formula>
    </cfRule>
    <cfRule type="cellIs" dxfId="284" priority="736" operator="equal">
      <formula>"Yes"</formula>
    </cfRule>
  </conditionalFormatting>
  <conditionalFormatting sqref="C7">
    <cfRule type="cellIs" dxfId="283" priority="688" operator="equal">
      <formula>"No"</formula>
    </cfRule>
    <cfRule type="cellIs" dxfId="282" priority="689" operator="equal">
      <formula>"NA"</formula>
    </cfRule>
    <cfRule type="cellIs" dxfId="281" priority="690" operator="equal">
      <formula>"Yes"</formula>
    </cfRule>
  </conditionalFormatting>
  <conditionalFormatting sqref="C8">
    <cfRule type="cellIs" dxfId="280" priority="642" operator="equal">
      <formula>"No"</formula>
    </cfRule>
    <cfRule type="cellIs" dxfId="279" priority="643" operator="equal">
      <formula>"NA"</formula>
    </cfRule>
    <cfRule type="cellIs" dxfId="278" priority="644" operator="equal">
      <formula>"Yes"</formula>
    </cfRule>
  </conditionalFormatting>
  <conditionalFormatting sqref="C9">
    <cfRule type="cellIs" dxfId="277" priority="596" operator="equal">
      <formula>"No"</formula>
    </cfRule>
    <cfRule type="cellIs" dxfId="276" priority="597" operator="equal">
      <formula>"NA"</formula>
    </cfRule>
    <cfRule type="cellIs" dxfId="275" priority="598" operator="equal">
      <formula>"Yes"</formula>
    </cfRule>
  </conditionalFormatting>
  <conditionalFormatting sqref="C10">
    <cfRule type="cellIs" dxfId="274" priority="550" operator="equal">
      <formula>"No"</formula>
    </cfRule>
    <cfRule type="cellIs" dxfId="273" priority="551" operator="equal">
      <formula>"NA"</formula>
    </cfRule>
    <cfRule type="cellIs" dxfId="272" priority="552" operator="equal">
      <formula>"Yes"</formula>
    </cfRule>
  </conditionalFormatting>
  <conditionalFormatting sqref="C11">
    <cfRule type="cellIs" dxfId="271" priority="504" operator="equal">
      <formula>"No"</formula>
    </cfRule>
    <cfRule type="cellIs" dxfId="270" priority="505" operator="equal">
      <formula>"NA"</formula>
    </cfRule>
    <cfRule type="cellIs" dxfId="269" priority="506" operator="equal">
      <formula>"Yes"</formula>
    </cfRule>
  </conditionalFormatting>
  <conditionalFormatting sqref="C13">
    <cfRule type="cellIs" dxfId="268" priority="458" operator="equal">
      <formula>"No"</formula>
    </cfRule>
    <cfRule type="cellIs" dxfId="267" priority="459" operator="equal">
      <formula>"NA"</formula>
    </cfRule>
    <cfRule type="cellIs" dxfId="266" priority="460" operator="equal">
      <formula>"Yes"</formula>
    </cfRule>
  </conditionalFormatting>
  <conditionalFormatting sqref="C14">
    <cfRule type="cellIs" dxfId="265" priority="412" operator="equal">
      <formula>"No"</formula>
    </cfRule>
    <cfRule type="cellIs" dxfId="264" priority="413" operator="equal">
      <formula>"NA"</formula>
    </cfRule>
    <cfRule type="cellIs" dxfId="263" priority="414" operator="equal">
      <formula>"Yes"</formula>
    </cfRule>
  </conditionalFormatting>
  <conditionalFormatting sqref="C15">
    <cfRule type="cellIs" dxfId="262" priority="366" operator="equal">
      <formula>"No"</formula>
    </cfRule>
    <cfRule type="cellIs" dxfId="261" priority="367" operator="equal">
      <formula>"NA"</formula>
    </cfRule>
    <cfRule type="cellIs" dxfId="260" priority="368" operator="equal">
      <formula>"Yes"</formula>
    </cfRule>
  </conditionalFormatting>
  <conditionalFormatting sqref="C17">
    <cfRule type="cellIs" dxfId="259" priority="320" operator="equal">
      <formula>"No"</formula>
    </cfRule>
    <cfRule type="cellIs" dxfId="258" priority="321" operator="equal">
      <formula>"NA"</formula>
    </cfRule>
    <cfRule type="cellIs" dxfId="257" priority="322" operator="equal">
      <formula>"Yes"</formula>
    </cfRule>
  </conditionalFormatting>
  <conditionalFormatting sqref="C18">
    <cfRule type="cellIs" dxfId="256" priority="274" operator="equal">
      <formula>"No"</formula>
    </cfRule>
    <cfRule type="cellIs" dxfId="255" priority="275" operator="equal">
      <formula>"NA"</formula>
    </cfRule>
    <cfRule type="cellIs" dxfId="254" priority="276" operator="equal">
      <formula>"Yes"</formula>
    </cfRule>
  </conditionalFormatting>
  <conditionalFormatting sqref="C19">
    <cfRule type="cellIs" dxfId="253" priority="228" operator="equal">
      <formula>"No"</formula>
    </cfRule>
    <cfRule type="cellIs" dxfId="252" priority="229" operator="equal">
      <formula>"NA"</formula>
    </cfRule>
    <cfRule type="cellIs" dxfId="251" priority="230" operator="equal">
      <formula>"Yes"</formula>
    </cfRule>
  </conditionalFormatting>
  <conditionalFormatting sqref="C20">
    <cfRule type="cellIs" dxfId="250" priority="182" operator="equal">
      <formula>"No"</formula>
    </cfRule>
    <cfRule type="cellIs" dxfId="249" priority="183" operator="equal">
      <formula>"NA"</formula>
    </cfRule>
    <cfRule type="cellIs" dxfId="248" priority="184" operator="equal">
      <formula>"Yes"</formula>
    </cfRule>
  </conditionalFormatting>
  <conditionalFormatting sqref="C22">
    <cfRule type="cellIs" dxfId="247" priority="136" operator="equal">
      <formula>"No"</formula>
    </cfRule>
    <cfRule type="cellIs" dxfId="246" priority="137" operator="equal">
      <formula>"NA"</formula>
    </cfRule>
    <cfRule type="cellIs" dxfId="245" priority="138" operator="equal">
      <formula>"Yes"</formula>
    </cfRule>
  </conditionalFormatting>
  <conditionalFormatting sqref="C23">
    <cfRule type="cellIs" dxfId="244" priority="90" operator="equal">
      <formula>"No"</formula>
    </cfRule>
    <cfRule type="cellIs" dxfId="243" priority="91" operator="equal">
      <formula>"NA"</formula>
    </cfRule>
    <cfRule type="cellIs" dxfId="242" priority="92" operator="equal">
      <formula>"Yes"</formula>
    </cfRule>
  </conditionalFormatting>
  <conditionalFormatting sqref="C25">
    <cfRule type="cellIs" dxfId="241" priority="44" operator="equal">
      <formula>"No"</formula>
    </cfRule>
    <cfRule type="cellIs" dxfId="240" priority="45" operator="equal">
      <formula>"NA"</formula>
    </cfRule>
    <cfRule type="cellIs" dxfId="239"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8" priority="504" operator="equal">
      <formula>"No"</formula>
    </cfRule>
    <cfRule type="cellIs" dxfId="237" priority="505" operator="equal">
      <formula>"NA"</formula>
    </cfRule>
    <cfRule type="cellIs" dxfId="236" priority="506" operator="equal">
      <formula>"Yes"</formula>
    </cfRule>
  </conditionalFormatting>
  <conditionalFormatting sqref="C7">
    <cfRule type="cellIs" dxfId="235" priority="458" operator="equal">
      <formula>"No"</formula>
    </cfRule>
    <cfRule type="cellIs" dxfId="234" priority="459" operator="equal">
      <formula>"NA"</formula>
    </cfRule>
    <cfRule type="cellIs" dxfId="233" priority="460" operator="equal">
      <formula>"Yes"</formula>
    </cfRule>
  </conditionalFormatting>
  <conditionalFormatting sqref="C8">
    <cfRule type="cellIs" dxfId="232" priority="412" operator="equal">
      <formula>"No"</formula>
    </cfRule>
    <cfRule type="cellIs" dxfId="231" priority="413" operator="equal">
      <formula>"NA"</formula>
    </cfRule>
    <cfRule type="cellIs" dxfId="230" priority="414" operator="equal">
      <formula>"Yes"</formula>
    </cfRule>
  </conditionalFormatting>
  <conditionalFormatting sqref="C9">
    <cfRule type="cellIs" dxfId="229" priority="366" operator="equal">
      <formula>"No"</formula>
    </cfRule>
    <cfRule type="cellIs" dxfId="228" priority="367" operator="equal">
      <formula>"NA"</formula>
    </cfRule>
    <cfRule type="cellIs" dxfId="227" priority="368" operator="equal">
      <formula>"Yes"</formula>
    </cfRule>
  </conditionalFormatting>
  <conditionalFormatting sqref="C11">
    <cfRule type="cellIs" dxfId="226" priority="320" operator="equal">
      <formula>"No"</formula>
    </cfRule>
    <cfRule type="cellIs" dxfId="225" priority="321" operator="equal">
      <formula>"NA"</formula>
    </cfRule>
    <cfRule type="cellIs" dxfId="224" priority="322" operator="equal">
      <formula>"Yes"</formula>
    </cfRule>
  </conditionalFormatting>
  <conditionalFormatting sqref="C12">
    <cfRule type="cellIs" dxfId="223" priority="274" operator="equal">
      <formula>"No"</formula>
    </cfRule>
    <cfRule type="cellIs" dxfId="222" priority="275" operator="equal">
      <formula>"NA"</formula>
    </cfRule>
    <cfRule type="cellIs" dxfId="221" priority="276" operator="equal">
      <formula>"Yes"</formula>
    </cfRule>
  </conditionalFormatting>
  <conditionalFormatting sqref="C13">
    <cfRule type="cellIs" dxfId="220" priority="228" operator="equal">
      <formula>"No"</formula>
    </cfRule>
    <cfRule type="cellIs" dxfId="219" priority="229" operator="equal">
      <formula>"NA"</formula>
    </cfRule>
    <cfRule type="cellIs" dxfId="218" priority="230" operator="equal">
      <formula>"Yes"</formula>
    </cfRule>
  </conditionalFormatting>
  <conditionalFormatting sqref="C14">
    <cfRule type="cellIs" dxfId="217" priority="182" operator="equal">
      <formula>"No"</formula>
    </cfRule>
    <cfRule type="cellIs" dxfId="216" priority="183" operator="equal">
      <formula>"NA"</formula>
    </cfRule>
    <cfRule type="cellIs" dxfId="215" priority="184" operator="equal">
      <formula>"Yes"</formula>
    </cfRule>
  </conditionalFormatting>
  <conditionalFormatting sqref="C16">
    <cfRule type="cellIs" dxfId="214" priority="136" operator="equal">
      <formula>"No"</formula>
    </cfRule>
    <cfRule type="cellIs" dxfId="213" priority="137" operator="equal">
      <formula>"NA"</formula>
    </cfRule>
    <cfRule type="cellIs" dxfId="212" priority="138" operator="equal">
      <formula>"Yes"</formula>
    </cfRule>
  </conditionalFormatting>
  <conditionalFormatting sqref="C17">
    <cfRule type="cellIs" dxfId="211" priority="90" operator="equal">
      <formula>"No"</formula>
    </cfRule>
    <cfRule type="cellIs" dxfId="210" priority="91" operator="equal">
      <formula>"NA"</formula>
    </cfRule>
    <cfRule type="cellIs" dxfId="209" priority="92" operator="equal">
      <formula>"Yes"</formula>
    </cfRule>
  </conditionalFormatting>
  <conditionalFormatting sqref="C19">
    <cfRule type="cellIs" dxfId="208" priority="44" operator="equal">
      <formula>"No"</formula>
    </cfRule>
    <cfRule type="cellIs" dxfId="207" priority="45" operator="equal">
      <formula>"NA"</formula>
    </cfRule>
    <cfRule type="cellIs" dxfId="206"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5" priority="780" operator="equal">
      <formula>"No"</formula>
    </cfRule>
    <cfRule type="cellIs" dxfId="204" priority="781" operator="equal">
      <formula>"NA"</formula>
    </cfRule>
    <cfRule type="cellIs" dxfId="203" priority="782" operator="equal">
      <formula>"Yes"</formula>
    </cfRule>
  </conditionalFormatting>
  <conditionalFormatting sqref="C7">
    <cfRule type="cellIs" dxfId="202" priority="734" operator="equal">
      <formula>"No"</formula>
    </cfRule>
    <cfRule type="cellIs" dxfId="201" priority="735" operator="equal">
      <formula>"NA"</formula>
    </cfRule>
    <cfRule type="cellIs" dxfId="200" priority="736" operator="equal">
      <formula>"Yes"</formula>
    </cfRule>
  </conditionalFormatting>
  <conditionalFormatting sqref="C8">
    <cfRule type="cellIs" dxfId="199" priority="688" operator="equal">
      <formula>"No"</formula>
    </cfRule>
    <cfRule type="cellIs" dxfId="198" priority="689" operator="equal">
      <formula>"NA"</formula>
    </cfRule>
    <cfRule type="cellIs" dxfId="197" priority="690" operator="equal">
      <formula>"Yes"</formula>
    </cfRule>
  </conditionalFormatting>
  <conditionalFormatting sqref="C9">
    <cfRule type="cellIs" dxfId="196" priority="642" operator="equal">
      <formula>"No"</formula>
    </cfRule>
    <cfRule type="cellIs" dxfId="195" priority="643" operator="equal">
      <formula>"NA"</formula>
    </cfRule>
    <cfRule type="cellIs" dxfId="194" priority="644" operator="equal">
      <formula>"Yes"</formula>
    </cfRule>
  </conditionalFormatting>
  <conditionalFormatting sqref="C10">
    <cfRule type="cellIs" dxfId="193" priority="596" operator="equal">
      <formula>"No"</formula>
    </cfRule>
    <cfRule type="cellIs" dxfId="192" priority="597" operator="equal">
      <formula>"NA"</formula>
    </cfRule>
    <cfRule type="cellIs" dxfId="191" priority="598" operator="equal">
      <formula>"Yes"</formula>
    </cfRule>
  </conditionalFormatting>
  <conditionalFormatting sqref="C11">
    <cfRule type="cellIs" dxfId="190" priority="550" operator="equal">
      <formula>"No"</formula>
    </cfRule>
    <cfRule type="cellIs" dxfId="189" priority="551" operator="equal">
      <formula>"NA"</formula>
    </cfRule>
    <cfRule type="cellIs" dxfId="188" priority="552" operator="equal">
      <formula>"Yes"</formula>
    </cfRule>
  </conditionalFormatting>
  <conditionalFormatting sqref="C12">
    <cfRule type="cellIs" dxfId="187" priority="504" operator="equal">
      <formula>"No"</formula>
    </cfRule>
    <cfRule type="cellIs" dxfId="186" priority="505" operator="equal">
      <formula>"NA"</formula>
    </cfRule>
    <cfRule type="cellIs" dxfId="185" priority="506" operator="equal">
      <formula>"Yes"</formula>
    </cfRule>
  </conditionalFormatting>
  <conditionalFormatting sqref="C13">
    <cfRule type="cellIs" dxfId="184" priority="458" operator="equal">
      <formula>"No"</formula>
    </cfRule>
    <cfRule type="cellIs" dxfId="183" priority="459" operator="equal">
      <formula>"NA"</formula>
    </cfRule>
    <cfRule type="cellIs" dxfId="182" priority="460" operator="equal">
      <formula>"Yes"</formula>
    </cfRule>
  </conditionalFormatting>
  <conditionalFormatting sqref="C14">
    <cfRule type="cellIs" dxfId="181" priority="412" operator="equal">
      <formula>"No"</formula>
    </cfRule>
    <cfRule type="cellIs" dxfId="180" priority="413" operator="equal">
      <formula>"NA"</formula>
    </cfRule>
    <cfRule type="cellIs" dxfId="179" priority="414" operator="equal">
      <formula>"Yes"</formula>
    </cfRule>
  </conditionalFormatting>
  <conditionalFormatting sqref="C15">
    <cfRule type="cellIs" dxfId="178" priority="366" operator="equal">
      <formula>"No"</formula>
    </cfRule>
    <cfRule type="cellIs" dxfId="177" priority="367" operator="equal">
      <formula>"NA"</formula>
    </cfRule>
    <cfRule type="cellIs" dxfId="176" priority="368" operator="equal">
      <formula>"Yes"</formula>
    </cfRule>
  </conditionalFormatting>
  <conditionalFormatting sqref="C17">
    <cfRule type="cellIs" dxfId="175" priority="320" operator="equal">
      <formula>"No"</formula>
    </cfRule>
    <cfRule type="cellIs" dxfId="174" priority="321" operator="equal">
      <formula>"NA"</formula>
    </cfRule>
    <cfRule type="cellIs" dxfId="173" priority="322" operator="equal">
      <formula>"Yes"</formula>
    </cfRule>
  </conditionalFormatting>
  <conditionalFormatting sqref="C18">
    <cfRule type="cellIs" dxfId="172" priority="274" operator="equal">
      <formula>"No"</formula>
    </cfRule>
    <cfRule type="cellIs" dxfId="171" priority="275" operator="equal">
      <formula>"NA"</formula>
    </cfRule>
    <cfRule type="cellIs" dxfId="170" priority="276" operator="equal">
      <formula>"Yes"</formula>
    </cfRule>
  </conditionalFormatting>
  <conditionalFormatting sqref="C19">
    <cfRule type="cellIs" dxfId="169" priority="228" operator="equal">
      <formula>"No"</formula>
    </cfRule>
    <cfRule type="cellIs" dxfId="168" priority="229" operator="equal">
      <formula>"NA"</formula>
    </cfRule>
    <cfRule type="cellIs" dxfId="167" priority="230" operator="equal">
      <formula>"Yes"</formula>
    </cfRule>
  </conditionalFormatting>
  <conditionalFormatting sqref="C20">
    <cfRule type="cellIs" dxfId="166" priority="182" operator="equal">
      <formula>"No"</formula>
    </cfRule>
    <cfRule type="cellIs" dxfId="165" priority="183" operator="equal">
      <formula>"NA"</formula>
    </cfRule>
    <cfRule type="cellIs" dxfId="164" priority="184" operator="equal">
      <formula>"Yes"</formula>
    </cfRule>
  </conditionalFormatting>
  <conditionalFormatting sqref="C22">
    <cfRule type="cellIs" dxfId="163" priority="136" operator="equal">
      <formula>"No"</formula>
    </cfRule>
    <cfRule type="cellIs" dxfId="162" priority="137" operator="equal">
      <formula>"NA"</formula>
    </cfRule>
    <cfRule type="cellIs" dxfId="161" priority="138" operator="equal">
      <formula>"Yes"</formula>
    </cfRule>
  </conditionalFormatting>
  <conditionalFormatting sqref="C23">
    <cfRule type="cellIs" dxfId="160" priority="90" operator="equal">
      <formula>"No"</formula>
    </cfRule>
    <cfRule type="cellIs" dxfId="159" priority="91" operator="equal">
      <formula>"NA"</formula>
    </cfRule>
    <cfRule type="cellIs" dxfId="158" priority="92" operator="equal">
      <formula>"Yes"</formula>
    </cfRule>
  </conditionalFormatting>
  <conditionalFormatting sqref="C25">
    <cfRule type="cellIs" dxfId="157" priority="44" operator="equal">
      <formula>"No"</formula>
    </cfRule>
    <cfRule type="cellIs" dxfId="156" priority="45" operator="equal">
      <formula>"NA"</formula>
    </cfRule>
    <cfRule type="cellIs" dxfId="155"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4" t="s">
        <v>160</v>
      </c>
      <c r="F2" s="325"/>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6" type="noConversion"/>
  <conditionalFormatting sqref="C5">
    <cfRule type="cellIs" dxfId="154" priority="10" operator="equal">
      <formula>"No"</formula>
    </cfRule>
    <cfRule type="cellIs" dxfId="153" priority="11" operator="equal">
      <formula>"NA"</formula>
    </cfRule>
    <cfRule type="cellIs" dxfId="152" priority="12" operator="equal">
      <formula>"Yes"</formula>
    </cfRule>
  </conditionalFormatting>
  <conditionalFormatting sqref="C15">
    <cfRule type="cellIs" dxfId="151" priority="7" operator="equal">
      <formula>"No"</formula>
    </cfRule>
    <cfRule type="cellIs" dxfId="150" priority="8" operator="equal">
      <formula>"NA"</formula>
    </cfRule>
    <cfRule type="cellIs" dxfId="149" priority="9" operator="equal">
      <formula>"Yes"</formula>
    </cfRule>
  </conditionalFormatting>
  <conditionalFormatting sqref="C7:C15">
    <cfRule type="cellIs" dxfId="148" priority="4" operator="equal">
      <formula>"No"</formula>
    </cfRule>
    <cfRule type="cellIs" dxfId="147" priority="5" operator="equal">
      <formula>"NA"</formula>
    </cfRule>
    <cfRule type="cellIs" dxfId="146" priority="6" operator="equal">
      <formula>"Yes"</formula>
    </cfRule>
  </conditionalFormatting>
  <conditionalFormatting sqref="C12">
    <cfRule type="cellIs" dxfId="145" priority="1" operator="equal">
      <formula>"No"</formula>
    </cfRule>
    <cfRule type="cellIs" dxfId="144" priority="2" operator="equal">
      <formula>"NA"</formula>
    </cfRule>
    <cfRule type="cellIs" dxfId="143"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4" t="s">
        <v>160</v>
      </c>
      <c r="F2" s="325"/>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42" priority="529" operator="equal">
      <formula>"No"</formula>
    </cfRule>
    <cfRule type="cellIs" dxfId="141" priority="530" operator="equal">
      <formula>"NA"</formula>
    </cfRule>
    <cfRule type="cellIs" dxfId="140" priority="531" operator="equal">
      <formula>"Yes"</formula>
    </cfRule>
  </conditionalFormatting>
  <conditionalFormatting sqref="C7">
    <cfRule type="cellIs" dxfId="139" priority="497" operator="equal">
      <formula>"No"</formula>
    </cfRule>
    <cfRule type="cellIs" dxfId="138" priority="498" operator="equal">
      <formula>"NA"</formula>
    </cfRule>
    <cfRule type="cellIs" dxfId="137" priority="499" operator="equal">
      <formula>"Yes"</formula>
    </cfRule>
  </conditionalFormatting>
  <conditionalFormatting sqref="C8">
    <cfRule type="cellIs" dxfId="136" priority="465" operator="equal">
      <formula>"No"</formula>
    </cfRule>
    <cfRule type="cellIs" dxfId="135" priority="466" operator="equal">
      <formula>"NA"</formula>
    </cfRule>
    <cfRule type="cellIs" dxfId="134" priority="467" operator="equal">
      <formula>"Yes"</formula>
    </cfRule>
  </conditionalFormatting>
  <conditionalFormatting sqref="C9">
    <cfRule type="cellIs" dxfId="133" priority="433" operator="equal">
      <formula>"No"</formula>
    </cfRule>
    <cfRule type="cellIs" dxfId="132" priority="434" operator="equal">
      <formula>"NA"</formula>
    </cfRule>
    <cfRule type="cellIs" dxfId="131" priority="435" operator="equal">
      <formula>"Yes"</formula>
    </cfRule>
  </conditionalFormatting>
  <conditionalFormatting sqref="C10">
    <cfRule type="cellIs" dxfId="130" priority="401" operator="equal">
      <formula>"No"</formula>
    </cfRule>
    <cfRule type="cellIs" dxfId="129" priority="402" operator="equal">
      <formula>"NA"</formula>
    </cfRule>
    <cfRule type="cellIs" dxfId="128" priority="403" operator="equal">
      <formula>"Yes"</formula>
    </cfRule>
  </conditionalFormatting>
  <conditionalFormatting sqref="C11">
    <cfRule type="cellIs" dxfId="127" priority="369" operator="equal">
      <formula>"No"</formula>
    </cfRule>
    <cfRule type="cellIs" dxfId="126" priority="370" operator="equal">
      <formula>"NA"</formula>
    </cfRule>
    <cfRule type="cellIs" dxfId="125" priority="371" operator="equal">
      <formula>"Yes"</formula>
    </cfRule>
  </conditionalFormatting>
  <conditionalFormatting sqref="C12">
    <cfRule type="cellIs" dxfId="124" priority="337" operator="equal">
      <formula>"No"</formula>
    </cfRule>
    <cfRule type="cellIs" dxfId="123" priority="338" operator="equal">
      <formula>"NA"</formula>
    </cfRule>
    <cfRule type="cellIs" dxfId="122" priority="339" operator="equal">
      <formula>"Yes"</formula>
    </cfRule>
  </conditionalFormatting>
  <conditionalFormatting sqref="C13">
    <cfRule type="cellIs" dxfId="121" priority="305" operator="equal">
      <formula>"No"</formula>
    </cfRule>
    <cfRule type="cellIs" dxfId="120" priority="306" operator="equal">
      <formula>"NA"</formula>
    </cfRule>
    <cfRule type="cellIs" dxfId="119" priority="307" operator="equal">
      <formula>"Yes"</formula>
    </cfRule>
  </conditionalFormatting>
  <conditionalFormatting sqref="C14">
    <cfRule type="cellIs" dxfId="118" priority="273" operator="equal">
      <formula>"No"</formula>
    </cfRule>
    <cfRule type="cellIs" dxfId="117" priority="274" operator="equal">
      <formula>"NA"</formula>
    </cfRule>
    <cfRule type="cellIs" dxfId="116" priority="275" operator="equal">
      <formula>"Yes"</formula>
    </cfRule>
  </conditionalFormatting>
  <conditionalFormatting sqref="C15">
    <cfRule type="cellIs" dxfId="115" priority="241" operator="equal">
      <formula>"No"</formula>
    </cfRule>
    <cfRule type="cellIs" dxfId="114" priority="242" operator="equal">
      <formula>"NA"</formula>
    </cfRule>
    <cfRule type="cellIs" dxfId="113" priority="243" operator="equal">
      <formula>"Yes"</formula>
    </cfRule>
  </conditionalFormatting>
  <conditionalFormatting sqref="C16">
    <cfRule type="cellIs" dxfId="112" priority="209" operator="equal">
      <formula>"No"</formula>
    </cfRule>
    <cfRule type="cellIs" dxfId="111" priority="210" operator="equal">
      <formula>"NA"</formula>
    </cfRule>
    <cfRule type="cellIs" dxfId="110" priority="211" operator="equal">
      <formula>"Yes"</formula>
    </cfRule>
  </conditionalFormatting>
  <conditionalFormatting sqref="C17">
    <cfRule type="cellIs" dxfId="109" priority="177" operator="equal">
      <formula>"No"</formula>
    </cfRule>
    <cfRule type="cellIs" dxfId="108" priority="178" operator="equal">
      <formula>"NA"</formula>
    </cfRule>
    <cfRule type="cellIs" dxfId="107" priority="179" operator="equal">
      <formula>"Yes"</formula>
    </cfRule>
  </conditionalFormatting>
  <conditionalFormatting sqref="C19">
    <cfRule type="cellIs" dxfId="106" priority="145" operator="equal">
      <formula>"No"</formula>
    </cfRule>
    <cfRule type="cellIs" dxfId="105" priority="146" operator="equal">
      <formula>"NA"</formula>
    </cfRule>
    <cfRule type="cellIs" dxfId="104" priority="147" operator="equal">
      <formula>"Yes"</formula>
    </cfRule>
  </conditionalFormatting>
  <conditionalFormatting sqref="C20">
    <cfRule type="cellIs" dxfId="103" priority="124" operator="equal">
      <formula>"No"</formula>
    </cfRule>
    <cfRule type="cellIs" dxfId="102" priority="125" operator="equal">
      <formula>"NA"</formula>
    </cfRule>
    <cfRule type="cellIs" dxfId="101" priority="126" operator="equal">
      <formula>"Yes"</formula>
    </cfRule>
  </conditionalFormatting>
  <conditionalFormatting sqref="C21">
    <cfRule type="cellIs" dxfId="100" priority="103" operator="equal">
      <formula>"No"</formula>
    </cfRule>
    <cfRule type="cellIs" dxfId="99" priority="104" operator="equal">
      <formula>"NA"</formula>
    </cfRule>
    <cfRule type="cellIs" dxfId="98" priority="105" operator="equal">
      <formula>"Yes"</formula>
    </cfRule>
  </conditionalFormatting>
  <conditionalFormatting sqref="C22">
    <cfRule type="cellIs" dxfId="97" priority="82" operator="equal">
      <formula>"No"</formula>
    </cfRule>
    <cfRule type="cellIs" dxfId="96" priority="83" operator="equal">
      <formula>"NA"</formula>
    </cfRule>
    <cfRule type="cellIs" dxfId="95" priority="84" operator="equal">
      <formula>"Yes"</formula>
    </cfRule>
  </conditionalFormatting>
  <conditionalFormatting sqref="C24">
    <cfRule type="cellIs" dxfId="94" priority="61" operator="equal">
      <formula>"No"</formula>
    </cfRule>
    <cfRule type="cellIs" dxfId="93" priority="62" operator="equal">
      <formula>"NA"</formula>
    </cfRule>
    <cfRule type="cellIs" dxfId="92" priority="63" operator="equal">
      <formula>"Yes"</formula>
    </cfRule>
  </conditionalFormatting>
  <conditionalFormatting sqref="C25">
    <cfRule type="cellIs" dxfId="91" priority="40" operator="equal">
      <formula>"No"</formula>
    </cfRule>
    <cfRule type="cellIs" dxfId="90" priority="41" operator="equal">
      <formula>"NA"</formula>
    </cfRule>
    <cfRule type="cellIs" dxfId="89" priority="42" operator="equal">
      <formula>"Yes"</formula>
    </cfRule>
  </conditionalFormatting>
  <conditionalFormatting sqref="C27">
    <cfRule type="cellIs" dxfId="88" priority="19" operator="equal">
      <formula>"No"</formula>
    </cfRule>
    <cfRule type="cellIs" dxfId="87" priority="20" operator="equal">
      <formula>"NA"</formula>
    </cfRule>
    <cfRule type="cellIs" dxfId="86"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4" t="s">
        <v>160</v>
      </c>
      <c r="F2" s="325"/>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5" priority="369" operator="equal">
      <formula>"No"</formula>
    </cfRule>
    <cfRule type="cellIs" dxfId="84" priority="370" operator="equal">
      <formula>"NA"</formula>
    </cfRule>
    <cfRule type="cellIs" dxfId="83" priority="371" operator="equal">
      <formula>"Yes"</formula>
    </cfRule>
  </conditionalFormatting>
  <conditionalFormatting sqref="C7">
    <cfRule type="cellIs" dxfId="82" priority="337" operator="equal">
      <formula>"No"</formula>
    </cfRule>
    <cfRule type="cellIs" dxfId="81" priority="338" operator="equal">
      <formula>"NA"</formula>
    </cfRule>
    <cfRule type="cellIs" dxfId="80" priority="339" operator="equal">
      <formula>"Yes"</formula>
    </cfRule>
  </conditionalFormatting>
  <conditionalFormatting sqref="C8">
    <cfRule type="cellIs" dxfId="79" priority="305" operator="equal">
      <formula>"No"</formula>
    </cfRule>
    <cfRule type="cellIs" dxfId="78" priority="306" operator="equal">
      <formula>"NA"</formula>
    </cfRule>
    <cfRule type="cellIs" dxfId="77" priority="307" operator="equal">
      <formula>"Yes"</formula>
    </cfRule>
  </conditionalFormatting>
  <conditionalFormatting sqref="C9">
    <cfRule type="cellIs" dxfId="76" priority="273" operator="equal">
      <formula>"No"</formula>
    </cfRule>
    <cfRule type="cellIs" dxfId="75" priority="274" operator="equal">
      <formula>"NA"</formula>
    </cfRule>
    <cfRule type="cellIs" dxfId="74" priority="275" operator="equal">
      <formula>"Yes"</formula>
    </cfRule>
  </conditionalFormatting>
  <conditionalFormatting sqref="C10">
    <cfRule type="cellIs" dxfId="73" priority="241" operator="equal">
      <formula>"No"</formula>
    </cfRule>
    <cfRule type="cellIs" dxfId="72" priority="242" operator="equal">
      <formula>"NA"</formula>
    </cfRule>
    <cfRule type="cellIs" dxfId="71" priority="243" operator="equal">
      <formula>"Yes"</formula>
    </cfRule>
  </conditionalFormatting>
  <conditionalFormatting sqref="C11">
    <cfRule type="cellIs" dxfId="70" priority="209" operator="equal">
      <formula>"No"</formula>
    </cfRule>
    <cfRule type="cellIs" dxfId="69" priority="210" operator="equal">
      <formula>"NA"</formula>
    </cfRule>
    <cfRule type="cellIs" dxfId="68" priority="211" operator="equal">
      <formula>"Yes"</formula>
    </cfRule>
  </conditionalFormatting>
  <conditionalFormatting sqref="C12">
    <cfRule type="cellIs" dxfId="67" priority="177" operator="equal">
      <formula>"No"</formula>
    </cfRule>
    <cfRule type="cellIs" dxfId="66" priority="178" operator="equal">
      <formula>"NA"</formula>
    </cfRule>
    <cfRule type="cellIs" dxfId="65" priority="179" operator="equal">
      <formula>"Yes"</formula>
    </cfRule>
  </conditionalFormatting>
  <conditionalFormatting sqref="C14">
    <cfRule type="cellIs" dxfId="64" priority="145" operator="equal">
      <formula>"No"</formula>
    </cfRule>
    <cfRule type="cellIs" dxfId="63" priority="146" operator="equal">
      <formula>"NA"</formula>
    </cfRule>
    <cfRule type="cellIs" dxfId="62" priority="147" operator="equal">
      <formula>"Yes"</formula>
    </cfRule>
  </conditionalFormatting>
  <conditionalFormatting sqref="C15">
    <cfRule type="cellIs" dxfId="61" priority="124" operator="equal">
      <formula>"No"</formula>
    </cfRule>
    <cfRule type="cellIs" dxfId="60" priority="125" operator="equal">
      <formula>"NA"</formula>
    </cfRule>
    <cfRule type="cellIs" dxfId="59" priority="126" operator="equal">
      <formula>"Yes"</formula>
    </cfRule>
  </conditionalFormatting>
  <conditionalFormatting sqref="C16">
    <cfRule type="cellIs" dxfId="58" priority="103" operator="equal">
      <formula>"No"</formula>
    </cfRule>
    <cfRule type="cellIs" dxfId="57" priority="104" operator="equal">
      <formula>"NA"</formula>
    </cfRule>
    <cfRule type="cellIs" dxfId="56" priority="105" operator="equal">
      <formula>"Yes"</formula>
    </cfRule>
  </conditionalFormatting>
  <conditionalFormatting sqref="C17">
    <cfRule type="cellIs" dxfId="55" priority="82" operator="equal">
      <formula>"No"</formula>
    </cfRule>
    <cfRule type="cellIs" dxfId="54" priority="83" operator="equal">
      <formula>"NA"</formula>
    </cfRule>
    <cfRule type="cellIs" dxfId="53" priority="84" operator="equal">
      <formula>"Yes"</formula>
    </cfRule>
  </conditionalFormatting>
  <conditionalFormatting sqref="C19">
    <cfRule type="cellIs" dxfId="52" priority="61" operator="equal">
      <formula>"No"</formula>
    </cfRule>
    <cfRule type="cellIs" dxfId="51" priority="62" operator="equal">
      <formula>"NA"</formula>
    </cfRule>
    <cfRule type="cellIs" dxfId="50" priority="63" operator="equal">
      <formula>"Yes"</formula>
    </cfRule>
  </conditionalFormatting>
  <conditionalFormatting sqref="C20">
    <cfRule type="cellIs" dxfId="49" priority="40" operator="equal">
      <formula>"No"</formula>
    </cfRule>
    <cfRule type="cellIs" dxfId="48" priority="41" operator="equal">
      <formula>"NA"</formula>
    </cfRule>
    <cfRule type="cellIs" dxfId="47" priority="42" operator="equal">
      <formula>"Yes"</formula>
    </cfRule>
  </conditionalFormatting>
  <conditionalFormatting sqref="C22">
    <cfRule type="cellIs" dxfId="46" priority="19" operator="equal">
      <formula>"No"</formula>
    </cfRule>
    <cfRule type="cellIs" dxfId="45" priority="20" operator="equal">
      <formula>"NA"</formula>
    </cfRule>
    <cfRule type="cellIs" dxfId="44"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4" t="s">
        <v>160</v>
      </c>
      <c r="F2" s="325"/>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43" priority="337" operator="equal">
      <formula>"No"</formula>
    </cfRule>
    <cfRule type="cellIs" dxfId="42" priority="338" operator="equal">
      <formula>"NA"</formula>
    </cfRule>
    <cfRule type="cellIs" dxfId="41" priority="339" operator="equal">
      <formula>"Yes"</formula>
    </cfRule>
  </conditionalFormatting>
  <conditionalFormatting sqref="C7">
    <cfRule type="cellIs" dxfId="40" priority="305" operator="equal">
      <formula>"No"</formula>
    </cfRule>
    <cfRule type="cellIs" dxfId="39" priority="306" operator="equal">
      <formula>"NA"</formula>
    </cfRule>
    <cfRule type="cellIs" dxfId="38" priority="307" operator="equal">
      <formula>"Yes"</formula>
    </cfRule>
  </conditionalFormatting>
  <conditionalFormatting sqref="C8">
    <cfRule type="cellIs" dxfId="37" priority="273" operator="equal">
      <formula>"No"</formula>
    </cfRule>
    <cfRule type="cellIs" dxfId="36" priority="274" operator="equal">
      <formula>"NA"</formula>
    </cfRule>
    <cfRule type="cellIs" dxfId="35" priority="275" operator="equal">
      <formula>"Yes"</formula>
    </cfRule>
  </conditionalFormatting>
  <conditionalFormatting sqref="C9">
    <cfRule type="cellIs" dxfId="34" priority="241" operator="equal">
      <formula>"No"</formula>
    </cfRule>
    <cfRule type="cellIs" dxfId="33" priority="242" operator="equal">
      <formula>"NA"</formula>
    </cfRule>
    <cfRule type="cellIs" dxfId="32" priority="243" operator="equal">
      <formula>"Yes"</formula>
    </cfRule>
  </conditionalFormatting>
  <conditionalFormatting sqref="C10">
    <cfRule type="cellIs" dxfId="31" priority="209" operator="equal">
      <formula>"No"</formula>
    </cfRule>
    <cfRule type="cellIs" dxfId="30" priority="210" operator="equal">
      <formula>"NA"</formula>
    </cfRule>
    <cfRule type="cellIs" dxfId="29" priority="211" operator="equal">
      <formula>"Yes"</formula>
    </cfRule>
  </conditionalFormatting>
  <conditionalFormatting sqref="C11">
    <cfRule type="cellIs" dxfId="28" priority="177" operator="equal">
      <formula>"No"</formula>
    </cfRule>
    <cfRule type="cellIs" dxfId="27" priority="178" operator="equal">
      <formula>"NA"</formula>
    </cfRule>
    <cfRule type="cellIs" dxfId="26" priority="179" operator="equal">
      <formula>"Yes"</formula>
    </cfRule>
  </conditionalFormatting>
  <conditionalFormatting sqref="C13">
    <cfRule type="cellIs" dxfId="25" priority="145" operator="equal">
      <formula>"No"</formula>
    </cfRule>
    <cfRule type="cellIs" dxfId="24" priority="146" operator="equal">
      <formula>"NA"</formula>
    </cfRule>
    <cfRule type="cellIs" dxfId="23" priority="147" operator="equal">
      <formula>"Yes"</formula>
    </cfRule>
  </conditionalFormatting>
  <conditionalFormatting sqref="C14">
    <cfRule type="cellIs" dxfId="22" priority="124" operator="equal">
      <formula>"No"</formula>
    </cfRule>
    <cfRule type="cellIs" dxfId="21" priority="125" operator="equal">
      <formula>"NA"</formula>
    </cfRule>
    <cfRule type="cellIs" dxfId="20" priority="126" operator="equal">
      <formula>"Yes"</formula>
    </cfRule>
  </conditionalFormatting>
  <conditionalFormatting sqref="C15">
    <cfRule type="cellIs" dxfId="19" priority="103" operator="equal">
      <formula>"No"</formula>
    </cfRule>
    <cfRule type="cellIs" dxfId="18" priority="104" operator="equal">
      <formula>"NA"</formula>
    </cfRule>
    <cfRule type="cellIs" dxfId="17" priority="105" operator="equal">
      <formula>"Yes"</formula>
    </cfRule>
  </conditionalFormatting>
  <conditionalFormatting sqref="C16">
    <cfRule type="cellIs" dxfId="16" priority="82" operator="equal">
      <formula>"No"</formula>
    </cfRule>
    <cfRule type="cellIs" dxfId="15" priority="83" operator="equal">
      <formula>"NA"</formula>
    </cfRule>
    <cfRule type="cellIs" dxfId="14" priority="84" operator="equal">
      <formula>"Yes"</formula>
    </cfRule>
  </conditionalFormatting>
  <conditionalFormatting sqref="C18">
    <cfRule type="cellIs" dxfId="13" priority="61" operator="equal">
      <formula>"No"</formula>
    </cfRule>
    <cfRule type="cellIs" dxfId="12" priority="62" operator="equal">
      <formula>"NA"</formula>
    </cfRule>
    <cfRule type="cellIs" dxfId="11" priority="63" operator="equal">
      <formula>"Yes"</formula>
    </cfRule>
  </conditionalFormatting>
  <conditionalFormatting sqref="C19">
    <cfRule type="cellIs" dxfId="10" priority="40" operator="equal">
      <formula>"No"</formula>
    </cfRule>
    <cfRule type="cellIs" dxfId="9" priority="41" operator="equal">
      <formula>"NA"</formula>
    </cfRule>
    <cfRule type="cellIs" dxfId="8" priority="42" operator="equal">
      <formula>"Yes"</formula>
    </cfRule>
  </conditionalFormatting>
  <conditionalFormatting sqref="C21">
    <cfRule type="cellIs" dxfId="7" priority="19" operator="equal">
      <formula>"No"</formula>
    </cfRule>
    <cfRule type="cellIs" dxfId="6" priority="20" operator="equal">
      <formula>"NA"</formula>
    </cfRule>
    <cfRule type="cellIs" dxfId="5"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6.xml><?xml version="1.0" encoding="utf-8"?>
<ds:datastoreItem xmlns:ds="http://schemas.openxmlformats.org/officeDocument/2006/customXml" ds:itemID="{D8C8863F-213A-45D9-8B70-ACB11E809557}">
  <ds:schemaRefs>
    <ds:schemaRef ds:uri="http://schemas.microsoft.com/sharepoint/v3/contenttype/forms/ur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2023-03-31T07:12:31Z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