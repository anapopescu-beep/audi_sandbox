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F0A4EE0F-3A35-452B-A364-89B8CAB8ABB2}"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42" l="1"/>
  <c r="E4" i="42"/>
  <c r="E5" i="42"/>
  <c r="E6" i="42"/>
  <c r="E7" i="42"/>
  <c r="E8" i="42"/>
  <c r="E9" i="42"/>
  <c r="E10" i="42"/>
  <c r="E11" i="42"/>
  <c r="E12" i="42"/>
  <c r="E13" i="42"/>
  <c r="E14" i="42"/>
  <c r="E15" i="42"/>
  <c r="E16" i="42"/>
  <c r="E17" i="42"/>
  <c r="E18" i="42"/>
  <c r="E19" i="42"/>
  <c r="E20" i="42"/>
  <c r="E21" i="42"/>
  <c r="E22" i="42"/>
  <c r="E23" i="42"/>
  <c r="E24" i="42"/>
  <c r="E25"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F10" i="38"/>
  <c r="A5" i="38"/>
  <c r="E7" i="38"/>
  <c r="AE7" i="38"/>
  <c r="AB7" i="38"/>
  <c r="AB5" i="38"/>
  <c r="W7" i="38"/>
  <c r="W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<sst xmlns="http://schemas.openxmlformats.org/spreadsheetml/2006/main" count="2449" uniqueCount="997">
  <si>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</si>
  <si>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</si>
  <si>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</si>
  <si>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</si>
  <si>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</si>
  <si>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</si>
  <si>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</si>
  <si>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</si>
  <si>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</si>
  <si>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</si>
  <si>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</si>
  <si>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</si>
  <si>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</si>
  <si>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</si>
  <si>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</si>
  <si>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</si>
  <si>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</si>
  <si>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</si>
  <si>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</si>
  <si>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</si>
  <si>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</si>
  <si>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</si>
  <si>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</si>
  <si>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</si>
  <si>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</si>
  <si>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</si>
  <si>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</si>
  <si>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</si>
  <si>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</si>
  <si>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</si>
  <si>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</si>
  <si>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</si>
  <si>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</si>
  <si>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</si>
  <si>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</si>
  <si>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</si>
  <si>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</si>
  <si>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</si>
  <si>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</si>
  <si>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</si>
  <si>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</si>
  <si>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</si>
  <si>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</si>
  <si>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</si>
  <si>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</si>
  <si>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</si>
  <si>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</si>
  <si>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</si>
  <si>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</si>
  <si>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</si>
  <si>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</si>
  <si>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</si>
  <si>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</si>
  <si>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</si>
  <si>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</si>
  <si>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</si>
  <si>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</si>
  <si>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</si>
  <si>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</si>
  <si>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</si>
  <si>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</si>
  <si>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</si>
  <si>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</si>
  <si>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</si>
  <si>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</si>
  <si>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</si>
  <si>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</si>
  <si>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</si>
  <si>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</si>
  <si>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</si>
  <si>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</si>
  <si>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</si>
  <si>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</si>
  <si>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</si>
  <si>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</si>
  <si>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</si>
  <si>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</si>
  <si>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</si>
  <si>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</si>
  <si>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</si>
  <si>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</si>
  <si>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</si>
  <si>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</si>
  <si>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</si>
  <si>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</si>
  <si>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</si>
  <si>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</si>
  <si>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</si>
  <si>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</si>
  <si>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</si>
  <si>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</si>
  <si>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</si>
  <si>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</si>
  <si>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</si>
  <si>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</si>
  <si>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</si>
  <si>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</si>
  <si>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</si>
  <si>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</si>
  <si>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</si>
  <si>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</si>
  <si>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</si>
  <si>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</si>
  <si>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</si>
  <si>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</si>
  <si>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</si>
  <si>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</si>
  <si>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</si>
  <si>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</si>
  <si>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</si>
  <si>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</si>
  <si>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</si>
  <si>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</si>
  <si>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</si>
  <si>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</si>
  <si>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</si>
  <si>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</si>
  <si>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</si>
  <si>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</si>
  <si>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</si>
  <si>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</si>
  <si>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</si>
  <si>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</si>
  <si>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</si>
  <si>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</si>
  <si>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</si>
  <si>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</si>
  <si>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</si>
  <si>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</si>
  <si>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</si>
  <si>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</si>
  <si>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</si>
  <si>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</si>
  <si>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</si>
  <si>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</si>
  <si>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</si>
  <si>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</si>
  <si>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</si>
  <si>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</si>
  <si>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</si>
  <si>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</si>
  <si>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</si>
  <si>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</si>
  <si>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</si>
  <si>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</si>
  <si>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</si>
  <si>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</si>
  <si>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</si>
  <si>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</si>
  <si>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</si>
  <si>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</si>
  <si>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</si>
  <si>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</si>
  <si>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</si>
  <si>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</si>
  <si>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</si>
  <si>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</si>
  <si>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</si>
  <si>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</si>
  <si>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</si>
  <si>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</si>
  <si>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</si>
  <si>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</si>
  <si>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</si>
  <si>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</si>
  <si>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</si>
  <si>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</si>
  <si>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</si>
  <si>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</si>
  <si>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</si>
  <si>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</si>
  <si>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</si>
  <si>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</si>
  <si>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</si>
  <si>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</si>
  <si>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</si>
  <si>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</si>
  <si>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</si>
  <si>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</si>
  <si>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</si>
  <si>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</si>
  <si>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</si>
  <si>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</si>
  <si>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</si>
  <si>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</si>
  <si>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</si>
  <si>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</si>
  <si>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</si>
  <si>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</si>
  <si>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</si>
  <si>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</si>
  <si>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</si>
  <si>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</si>
  <si>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</si>
  <si>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</si>
  <si>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</si>
  <si>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</si>
  <si>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</si>
  <si>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</si>
  <si>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</si>
  <si>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</si>
  <si>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</si>
  <si>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</si>
  <si>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</si>
  <si>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</si>
  <si>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</si>
  <si>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</si>
  <si>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</si>
  <si>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</si>
  <si>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</si>
  <si>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</si>
  <si>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</si>
  <si>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</si>
  <si>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</si>
  <si>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</si>
  <si>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</si>
  <si>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</si>
  <si>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</si>
  <si>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</si>
  <si>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</si>
  <si>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</si>
  <si>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</si>
  <si>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</si>
  <si>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</si>
  <si>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</si>
  <si>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</si>
  <si>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</si>
  <si>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</si>
  <si>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</si>
  <si>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</si>
  <si>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</si>
  <si>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</si>
  <si>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</si>
  <si>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</si>
  <si>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</si>
  <si>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</si>
  <si>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</si>
  <si>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</si>
  <si>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</si>
  <si>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</si>
  <si>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</si>
  <si>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</si>
  <si>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</si>
  <si>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</si>
  <si>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</si>
  <si>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</si>
  <si>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</si>
  <si>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</si>
  <si>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</si>
  <si>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</si>
  <si>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</si>
  <si>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</si>
  <si>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</si>
  <si>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</si>
  <si>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</si>
  <si>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</si>
  <si>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</si>
  <si>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</si>
  <si>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</si>
  <si>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</si>
  <si>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</si>
  <si>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</si>
  <si>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</si>
  <si>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</si>
  <si>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</si>
  <si>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</si>
  <si>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</si>
  <si>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</si>
  <si>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</si>
  <si>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</si>
  <si>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</si>
  <si>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</si>
  <si>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</si>
  <si>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</si>
  <si>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</si>
  <si>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</si>
  <si>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</si>
  <si>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</si>
  <si>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</si>
  <si>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</si>
  <si>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</si>
  <si>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</si>
  <si>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</si>
  <si>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</si>
  <si>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</si>
  <si>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</si>
  <si>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</si>
  <si>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</si>
  <si>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</si>
  <si>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</si>
  <si>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</si>
  <si>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</si>
  <si>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</si>
  <si>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</si>
  <si>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</si>
  <si>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</si>
  <si>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</si>
  <si>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</si>
  <si>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</si>
  <si>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</si>
  <si>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</si>
  <si>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</si>
  <si>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</si>
  <si>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</si>
  <si>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</si>
  <si>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</si>
  <si>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</si>
  <si>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</si>
  <si>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</si>
  <si>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</si>
  <si>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</si>
  <si>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</si>
  <si>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</si>
  <si>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</si>
  <si>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</si>
  <si>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</si>
  <si>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</si>
  <si>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</si>
  <si>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</si>
  <si>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</si>
  <si>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</si>
  <si>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</si>
  <si>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</si>
  <si>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</si>
  <si>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</si>
  <si>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</si>
  <si>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</si>
  <si>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</si>
  <si>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</si>
  <si>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</si>
  <si>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</si>
  <si>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</si>
  <si>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</si>
  <si>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</si>
  <si>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</si>
  <si>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</si>
  <si>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</si>
  <si>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</si>
  <si>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</si>
  <si>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</si>
  <si>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</si>
  <si>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</si>
  <si>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</si>
  <si>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</si>
  <si>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</si>
  <si>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</si>
  <si>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</si>
  <si>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</si>
  <si>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</si>
  <si>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</si>
  <si>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</si>
  <si>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</si>
  <si>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</si>
  <si>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</si>
  <si>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</si>
  <si>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</si>
  <si>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</si>
  <si>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</si>
  <si>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</si>
  <si>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</si>
  <si>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</si>
  <si>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</si>
  <si>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</si>
  <si>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</si>
  <si>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</si>
  <si>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</si>
  <si>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</si>
  <si>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</si>
  <si>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</si>
  <si>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</si>
  <si>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</si>
  <si>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</si>
  <si>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</si>
  <si>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</si>
  <si>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</si>
  <si>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</si>
  <si>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</si>
  <si>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</si>
  <si>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</si>
  <si>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</si>
  <si>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</si>
  <si>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</si>
  <si>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</si>
  <si>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</si>
  <si>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</si>
  <si>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</si>
  <si>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</si>
  <si>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</si>
  <si>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</si>
  <si>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</si>
  <si>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</si>
  <si>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</si>
  <si>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</si>
  <si>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</si>
  <si>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</si>
  <si>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</si>
  <si>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</si>
  <si>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</si>
  <si>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</si>
  <si>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</si>
  <si>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</si>
  <si>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</si>
  <si>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</si>
  <si>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</si>
  <si>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</si>
  <si>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</si>
  <si>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</si>
  <si>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</si>
  <si>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</si>
  <si>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</si>
  <si>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</si>
  <si>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</si>
  <si>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</si>
  <si>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</si>
  <si>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</si>
  <si>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</si>
  <si>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</si>
  <si>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</si>
  <si>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</si>
  <si>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</si>
  <si>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</si>
  <si>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</si>
  <si>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</si>
  <si>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</si>
  <si>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</si>
  <si>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</si>
  <si>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</si>
  <si>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</si>
  <si>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</si>
  <si>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</si>
  <si>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</si>
  <si>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</si>
  <si>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</si>
  <si>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</si>
  <si>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</si>
  <si>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</si>
  <si>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</si>
  <si>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</si>
  <si>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</si>
  <si>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</si>
  <si>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</si>
  <si>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</si>
  <si>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</si>
  <si>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</si>
  <si>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</si>
  <si>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</si>
  <si>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</si>
  <si>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</si>
  <si>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</si>
  <si>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</si>
  <si>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</si>
  <si>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</si>
  <si>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</si>
  <si>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</si>
  <si>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</si>
  <si>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</si>
  <si>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</si>
  <si>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</si>
  <si>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</si>
  <si>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</si>
  <si>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</si>
  <si>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</si>
  <si>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</si>
  <si>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</si>
  <si>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</si>
  <si>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</si>
  <si>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</si>
  <si>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</si>
  <si>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</si>
  <si>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</si>
  <si>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</si>
  <si>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</si>
  <si>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</si>
  <si>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</si>
  <si>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</si>
  <si>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</si>
  <si>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</si>
  <si>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</si>
  <si>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</si>
  <si>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</si>
  <si>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</si>
  <si>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</si>
  <si>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</si>
  <si>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</si>
  <si>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</si>
  <si>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</si>
  <si>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</si>
  <si>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</si>
  <si>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</si>
  <si>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</si>
  <si>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</si>
  <si>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</si>
  <si>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</si>
  <si>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</si>
  <si>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</si>
  <si>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</si>
  <si>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</si>
  <si>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</si>
  <si>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</si>
  <si>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</si>
  <si>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</si>
  <si>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</si>
  <si>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</si>
  <si>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</si>
  <si>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</si>
  <si>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</si>
  <si>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</si>
  <si>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</si>
  <si>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</si>
  <si>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</si>
  <si>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</si>
  <si>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</si>
  <si>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</si>
  <si>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</si>
  <si>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</si>
  <si>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</si>
  <si>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</si>
  <si>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</si>
  <si>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</si>
  <si>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</si>
  <si>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</si>
  <si>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</si>
  <si>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</si>
  <si>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</si>
  <si>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</si>
  <si>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</si>
  <si>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</si>
  <si>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</si>
  <si>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</si>
  <si>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</si>
  <si>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</si>
  <si>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</si>
  <si>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</si>
  <si>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</si>
  <si>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</si>
  <si>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</si>
  <si>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</si>
  <si>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</si>
  <si>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</si>
  <si>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</si>
  <si>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</si>
  <si>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</si>
  <si>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</si>
  <si>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</si>
  <si>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</si>
  <si>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</si>
  <si>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</si>
  <si>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</si>
  <si>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</si>
  <si>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</si>
  <si>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</si>
  <si>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</si>
  <si>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</si>
  <si>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</si>
  <si>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</si>
  <si>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</si>
  <si>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</si>
  <si>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</si>
  <si>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</si>
  <si>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</si>
  <si>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</si>
  <si>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</si>
  <si>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</si>
  <si>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</si>
  <si>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</si>
  <si>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</si>
  <si>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</si>
  <si>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</si>
  <si>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</si>
  <si>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</si>
  <si>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</si>
  <si>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</si>
  <si>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</si>
  <si>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</si>
  <si>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</si>
  <si>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</si>
  <si>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</si>
  <si>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</si>
  <si>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</si>
  <si>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</si>
  <si>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</si>
  <si>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</si>
  <si>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</si>
  <si>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</si>
  <si>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</si>
  <si>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</si>
  <si>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</si>
  <si>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</si>
  <si>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</si>
  <si>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</si>
  <si>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</si>
  <si>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</si>
  <si>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</si>
  <si>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</si>
  <si>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</si>
  <si>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</si>
  <si>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</si>
  <si>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</si>
  <si>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</si>
  <si>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</si>
  <si>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</si>
  <si>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</si>
  <si>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</si>
  <si>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</si>
  <si>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</si>
  <si>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</si>
  <si>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</si>
  <si>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</si>
  <si>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</si>
  <si>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</si>
  <si>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</si>
  <si>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</si>
  <si>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</si>
  <si>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</si>
  <si>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</si>
  <si>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</si>
  <si>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</si>
  <si>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</si>
  <si>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</si>
  <si>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</si>
  <si>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</si>
  <si>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</si>
  <si>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</si>
  <si>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</si>
  <si>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</si>
  <si>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</si>
  <si>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</si>
  <si>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</si>
  <si>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</si>
  <si>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</si>
  <si>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</si>
  <si>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</si>
  <si>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</si>
  <si>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</si>
  <si>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</si>
  <si>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</si>
  <si>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</si>
  <si>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</si>
  <si>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</si>
  <si>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</si>
  <si>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</si>
  <si>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</si>
  <si>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</si>
  <si>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</si>
  <si>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</si>
  <si>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</si>
  <si>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</si>
  <si>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</si>
  <si>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</si>
  <si>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</si>
  <si>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</si>
  <si>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</si>
  <si>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</si>
  <si>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</si>
  <si>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</si>
  <si>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</si>
  <si>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</si>
  <si>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</si>
  <si>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</si>
  <si>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</si>
  <si>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</si>
  <si>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</si>
  <si>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</si>
  <si>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</si>
  <si>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</si>
  <si>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</si>
  <si>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</si>
  <si>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</si>
  <si>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</si>
  <si>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</si>
  <si>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</si>
  <si>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</si>
  <si>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</si>
  <si>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</si>
  <si>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</si>
  <si>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</si>
  <si>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</si>
  <si>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</si>
  <si>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</si>
  <si>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</si>
  <si>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</si>
  <si>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</si>
  <si>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</si>
  <si>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</si>
  <si>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</si>
  <si>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</si>
  <si>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</si>
  <si>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</si>
  <si>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</si>
  <si>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</si>
  <si>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</si>
  <si>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</si>
  <si>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</si>
  <si>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</si>
  <si>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</si>
  <si>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</si>
  <si>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</si>
  <si>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</si>
  <si>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</si>
  <si>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</si>
  <si>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</si>
  <si>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</si>
  <si>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</si>
  <si>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</si>
  <si>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</si>
  <si>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</si>
  <si>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</si>
  <si>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</si>
  <si>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</si>
  <si>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</si>
  <si>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</si>
  <si>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</si>
  <si>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</si>
  <si>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</si>
  <si>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</si>
  <si>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</si>
  <si>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</si>
  <si>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</si>
  <si>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</si>
  <si>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</si>
  <si>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</si>
  <si>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</si>
  <si>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</si>
  <si>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</si>
  <si>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</si>
  <si>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</si>
  <si>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</si>
  <si>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</si>
  <si>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</si>
  <si>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</si>
  <si>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</si>
  <si>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</si>
  <si>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</si>
  <si>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</si>
  <si>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</si>
  <si>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</si>
  <si>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</si>
  <si>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</si>
  <si>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</si>
  <si>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</si>
  <si>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</si>
  <si>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</si>
  <si>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</si>
  <si>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</si>
  <si>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</si>
  <si>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</si>
  <si>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</si>
  <si>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</si>
  <si>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</si>
  <si>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</si>
  <si>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</si>
  <si>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</si>
  <si>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</si>
  <si>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</si>
  <si>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</si>
  <si>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</si>
  <si>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</si>
  <si>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</si>
  <si>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</si>
  <si>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</si>
  <si>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</si>
  <si>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</si>
  <si>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</si>
  <si>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</si>
  <si>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</si>
  <si>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</si>
  <si>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</si>
  <si>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</si>
  <si>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</si>
  <si>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</si>
  <si>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</si>
  <si>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</si>
  <si>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</si>
  <si>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</si>
  <si>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</si>
  <si>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</si>
  <si>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</si>
  <si>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</si>
  <si>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</si>
  <si>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</si>
  <si>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</si>
  <si>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</si>
  <si>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</si>
  <si>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</si>
  <si>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</si>
  <si>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</si>
  <si>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</si>
  <si>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</si>
  <si>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</si>
  <si>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</si>
  <si>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</si>
  <si>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</si>
  <si>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</si>
  <si>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</si>
  <si>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</si>
  <si>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</si>
  <si>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</si>
  <si>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</si>
  <si>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</si>
  <si>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</si>
  <si>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</si>
  <si>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</si>
  <si>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</si>
  <si>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</si>
  <si>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</si>
  <si>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</si>
  <si>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</si>
  <si>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</si>
  <si>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</si>
  <si>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</si>
  <si>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</si>
  <si>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</si>
  <si>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</si>
  <si>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</si>
  <si>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</si>
  <si>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</si>
  <si>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</si>
  <si>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</si>
  <si>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</si>
  <si>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</si>
  <si>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</si>
  <si>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</si>
  <si>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</si>
  <si>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</si>
  <si>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</si>
  <si>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</si>
  <si>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</si>
  <si>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</si>
  <si>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</si>
  <si>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</si>
  <si>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</si>
  <si>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</si>
  <si>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</si>
  <si>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</si>
  <si>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</si>
  <si>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</si>
  <si>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</si>
  <si>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</si>
  <si>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</si>
  <si>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</si>
  <si>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</si>
  <si>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</si>
  <si>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</si>
  <si>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</si>
  <si>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</si>
  <si>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</si>
  <si>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</si>
  <si>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</si>
  <si>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</si>
  <si>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</si>
  <si>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</si>
  <si>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</si>
  <si>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</si>
  <si>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</si>
  <si>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</si>
  <si>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</si>
  <si>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</si>
  <si>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</si>
  <si>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</si>
  <si>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</si>
  <si>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</si>
  <si>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</si>
  <si>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</si>
  <si>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</si>
  <si>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</si>
  <si>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</si>
  <si>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</si>
  <si>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</si>
  <si>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</si>
  <si>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</si>
  <si>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</si>
  <si>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</si>
  <si>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</si>
  <si>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</si>
  <si>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</si>
  <si>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</si>
  <si>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</si>
  <si>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</si>
  <si>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</si>
  <si>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</si>
  <si>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</si>
  <si>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</si>
  <si>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</si>
  <si>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</si>
  <si>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</si>
  <si>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</si>
  <si>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</si>
  <si>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</si>
  <si>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</si>
  <si>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</si>
  <si>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</si>
  <si>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</si>
  <si>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</si>
  <si>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</si>
  <si>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</si>
  <si>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</si>
  <si>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</si>
  <si>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</si>
  <si>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</si>
  <si>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</si>
  <si>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</si>
  <si>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</si>
  <si>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</si>
  <si>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</si>
  <si>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</si>
  <si>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</si>
  <si>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</si>
  <si>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</si>
  <si>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</si>
  <si>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</si>
  <si>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</si>
  <si>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</si>
  <si>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</si>
  <si>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</si>
  <si>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</si>
  <si>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</si>
  <si>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</si>
  <si>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</si>
  <si>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</si>
  <si>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</si>
  <si>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</si>
  <si>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</si>
  <si>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</si>
  <si>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</si>
  <si>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</si>
  <si>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</si>
  <si>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</si>
  <si>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</si>
  <si>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</si>
  <si>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</si>
  <si>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</si>
  <si>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</si>
  <si>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</si>
  <si>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</si>
  <si>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</si>
  <si>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</si>
  <si>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</si>
  <si>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</si>
  <si>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</si>
  <si>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</si>
  <si>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</si>
  <si>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</si>
  <si>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</si>
  <si>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</si>
  <si>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</si>
  <si>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</si>
  <si>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</si>
  <si>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</si>
  <si>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</si>
  <si>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</si>
  <si>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</si>
  <si>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</si>
  <si>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</si>
  <si>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</si>
  <si>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</si>
  <si>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</si>
  <si>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</si>
  <si>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</si>
  <si>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</si>
  <si>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</si>
  <si>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</si>
  <si>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</si>
  <si>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</si>
  <si>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</si>
  <si>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AdcIf Test Specification - Peer Review Workbook (PRWB).xlsm</t>
  </si>
  <si>
    <t>This document is a collection of review checklists for these disciplines :
- Software</t>
  </si>
  <si>
    <t>272502 VW VWA VN 41S1_NAR EL SB</t>
  </si>
  <si>
    <t>Sw_Int_AdcIf_pseCheckAdcCalib_01.txt</t>
  </si>
  <si>
    <t>Sw_Int_AdcIf_pseCheckAdcCalib_02.txt</t>
  </si>
  <si>
    <t>Sw_Int_AdcIf_pseCheckAdcCalib_03.txt</t>
  </si>
  <si>
    <t>Sw_Int_AdcIf_pseCheckAdcCalib_04.txt</t>
  </si>
  <si>
    <t>Sw_Int_AdcIf_pseCheckAdc_01.txt</t>
  </si>
  <si>
    <t>Sw_Int_AdcIf_pseCheckAdc_02.txt</t>
  </si>
  <si>
    <t>Sw_Int_AdcIf_pseCheckAdc_03.txt</t>
  </si>
  <si>
    <t>Sw_Int_AdcIf_pseRawAdcService_01.txt</t>
  </si>
  <si>
    <t>Sw_Int_AdcIf_pseRawAdcService_02.txt</t>
  </si>
  <si>
    <t>Sw_Int_AdcIf_pseRawAdcService_03.txt</t>
  </si>
  <si>
    <t>Sw_Int_AdcIf_pseRawAdcService_04.txt</t>
  </si>
  <si>
    <t>Sw_Int_AdcIf_pseRawAdcService_05.txt</t>
  </si>
  <si>
    <t>Sw_Int_AdcIf_pseRawAdcService_06.txt</t>
  </si>
  <si>
    <t>Sw_Int_AdcIf_pseRawAdcService_07.txt</t>
  </si>
  <si>
    <t>Sw_Int_AdcIf_pseRawAdcService_08.txt</t>
  </si>
  <si>
    <t>Sw_Int_AdcIf_pseRawAdcService_09.txt</t>
  </si>
  <si>
    <t>Sw_Int_AdcIf_pseRawAdcService_10.txt</t>
  </si>
  <si>
    <t>Sw_Int_AdcIf_pseRawAdcService_11.txt</t>
  </si>
  <si>
    <t>Sw_Int_AdcIf_pseStartConversion_01.txt</t>
  </si>
  <si>
    <t>Sw_Int_AdcIf_ptrpAdcIfServices_AdcIf_runInit_01.txt</t>
  </si>
  <si>
    <t>Sw_Int_AdcIf_ptrpEcuMIfServices_01.txt</t>
  </si>
  <si>
    <t>Sw_Int_AdcIf_ptrrAsrAdcServices_Adc_StartGroupConversion_AdcIf_runInit_01.txt</t>
  </si>
  <si>
    <t>Sw_Int_AdcIf_ptrrAsrGptServices_01.txt</t>
  </si>
  <si>
    <t>OK</t>
  </si>
  <si>
    <t>Cornel Albu</t>
  </si>
  <si>
    <t>eCS_MCC</t>
  </si>
  <si>
    <t>Minor</t>
  </si>
  <si>
    <t>Vlad Chioveanu</t>
  </si>
  <si>
    <t>VCH</t>
  </si>
  <si>
    <t>CGA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</si>
</sst>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5" fillId="6" borderId="14" applyNumberFormat="0" applyAlignment="0" applyProtection="0"/>
    <xf numFmtId="0" fontId="56" fillId="0" borderId="0" applyNumberFormat="0" applyFill="0" applyBorder="0" applyAlignment="0" applyProtection="0"/>
    <xf numFmtId="0" fontId="24" fillId="0" borderId="0"/>
    <xf numFmtId="0" fontId="50" fillId="0" borderId="0"/>
    <xf numFmtId="0" fontId="54" fillId="0" borderId="0"/>
    <xf numFmtId="0" fontId="24" fillId="0" borderId="0"/>
    <xf numFmtId="0" fontId="30" fillId="0" borderId="0"/>
    <xf numFmtId="0" fontId="57" fillId="6" borderId="15" applyNumberFormat="0" applyAlignment="0" applyProtection="0"/>
    <xf numFmtId="0" fontId="23" fillId="0" borderId="0"/>
    <xf numFmtId="0" fontId="22" fillId="0" borderId="0"/>
    <xf numFmtId="0" fontId="21" fillId="0" borderId="0"/>
    <xf numFmtId="0" fontId="84" fillId="25" borderId="14" applyNumberFormat="0" applyAlignment="0" applyProtection="0"/>
    <xf numFmtId="0" fontId="85"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5"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5"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5"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wrapText="1"/>
    </xf>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5"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5" fillId="6" borderId="1" xfId="1" applyBorder="1" applyAlignment="1">
      <alignment horizontal="center" vertical="center"/>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7" fillId="0" borderId="0" xfId="0" applyFont="1" applyAlignment="1">
      <alignment vertical="center"/>
    </xf>
    <xf numFmtId="0" fontId="55"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4" fillId="30" borderId="19" xfId="15" applyFont="1" applyFill="1" applyBorder="1" applyAlignment="1">
      <alignment vertical="center" wrapText="1"/>
    </xf>
    <xf numFmtId="0" fontId="24" fillId="5" borderId="1" xfId="15" applyFill="1" applyBorder="1" applyAlignment="1">
      <alignment vertical="center"/>
    </xf>
    <xf numFmtId="0" fontId="95" fillId="5" borderId="1" xfId="15" applyFont="1" applyFill="1" applyBorder="1" applyAlignment="1">
      <alignment horizontal="center" vertical="center"/>
    </xf>
    <xf numFmtId="0" fontId="24" fillId="5" borderId="1" xfId="15" applyFill="1" applyBorder="1" applyAlignment="1">
      <alignment vertical="center" wrapText="1"/>
    </xf>
    <xf numFmtId="0" fontId="63" fillId="31" borderId="10" xfId="15" applyFont="1" applyFill="1" applyBorder="1" applyAlignment="1">
      <alignment vertical="center"/>
    </xf>
    <xf numFmtId="0" fontId="33"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101"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0"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5" fillId="33" borderId="26" xfId="28" applyBorder="1" applyAlignment="1">
      <alignment horizontal="center" vertical="center" textRotation="45" wrapText="1"/>
    </xf>
    <xf numFmtId="0" fontId="85" fillId="33" borderId="27" xfId="28" applyBorder="1" applyAlignment="1">
      <alignment horizontal="center" vertical="center" textRotation="45" wrapText="1"/>
    </xf>
    <xf numFmtId="0" fontId="85" fillId="33" borderId="21" xfId="28" applyBorder="1" applyAlignment="1" applyProtection="1">
      <alignment horizontal="center" vertical="center" textRotation="45" wrapText="1"/>
      <protection locked="0"/>
    </xf>
    <xf numFmtId="0" fontId="85" fillId="33" borderId="22" xfId="28" applyBorder="1" applyAlignment="1" applyProtection="1">
      <alignment horizontal="center" vertical="center" textRotation="45" wrapText="1"/>
      <protection locked="0"/>
    </xf>
    <xf numFmtId="0" fontId="85" fillId="33" borderId="1" xfId="28" applyBorder="1" applyAlignment="1" applyProtection="1">
      <alignment horizontal="center" vertical="center" textRotation="45" wrapText="1"/>
      <protection locked="0"/>
    </xf>
    <xf numFmtId="0" fontId="85" fillId="33" borderId="23" xfId="28" applyBorder="1" applyAlignment="1" applyProtection="1">
      <alignment horizontal="center" vertical="center" textRotation="45" wrapText="1"/>
      <protection locked="0"/>
    </xf>
    <xf numFmtId="0" fontId="85" fillId="33" borderId="24" xfId="28" applyBorder="1" applyAlignment="1" applyProtection="1">
      <alignment horizontal="center" vertical="center" textRotation="45" wrapText="1"/>
      <protection locked="0"/>
    </xf>
    <xf numFmtId="0" fontId="85" fillId="33" borderId="25" xfId="28" applyBorder="1" applyAlignment="1" applyProtection="1">
      <alignment horizontal="center" vertical="center" textRotation="45" wrapText="1"/>
      <protection locked="0"/>
    </xf>
    <xf numFmtId="0" fontId="85" fillId="33" borderId="1" xfId="28" applyBorder="1" applyAlignment="1">
      <alignment horizontal="center" vertical="center"/>
    </xf>
    <xf numFmtId="0" fontId="102" fillId="0" borderId="2" xfId="0" applyFont="1" applyBorder="1" applyAlignment="1">
      <alignment horizontal="right" vertical="center"/>
    </xf>
    <xf numFmtId="0" fontId="104" fillId="0" borderId="0" xfId="0" applyFont="1" applyAlignment="1">
      <alignment wrapText="1"/>
    </xf>
    <xf numFmtId="0" fontId="85" fillId="7" borderId="1" xfId="14" applyFont="1" applyFill="1" applyBorder="1" applyAlignment="1">
      <alignment horizontal="center" vertical="center"/>
    </xf>
    <xf numFmtId="0" fontId="105"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5" fillId="6" borderId="16" xfId="1" applyBorder="1" applyAlignment="1">
      <alignment horizontal="center" vertical="center"/>
    </xf>
    <xf numFmtId="0" fontId="25" fillId="2" borderId="1" xfId="0" applyFont="1" applyFill="1" applyBorder="1" applyAlignment="1">
      <alignment horizontal="center"/>
    </xf>
    <xf numFmtId="0" fontId="63" fillId="35" borderId="12" xfId="15" applyFont="1" applyFill="1" applyBorder="1" applyAlignment="1">
      <alignment horizontal="center" vertical="center" textRotation="45" wrapText="1"/>
    </xf>
    <xf numFmtId="0" fontId="92" fillId="35" borderId="12" xfId="15" applyFont="1" applyFill="1" applyBorder="1" applyAlignment="1">
      <alignment horizontal="center" vertical="center" wrapText="1"/>
    </xf>
    <xf numFmtId="0" fontId="78" fillId="35" borderId="1" xfId="15" applyFont="1" applyFill="1" applyBorder="1" applyAlignment="1">
      <alignment horizontal="center" vertical="center" textRotation="45" wrapText="1"/>
    </xf>
    <xf numFmtId="0" fontId="78" fillId="35" borderId="1" xfId="15" applyFont="1" applyFill="1" applyBorder="1" applyAlignment="1">
      <alignment horizontal="center" vertical="center" wrapText="1"/>
    </xf>
    <xf numFmtId="0" fontId="63" fillId="35" borderId="13" xfId="15" applyFont="1" applyFill="1" applyBorder="1" applyAlignment="1">
      <alignment horizontal="center" vertical="center"/>
    </xf>
    <xf numFmtId="0" fontId="93" fillId="35"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3" fillId="35" borderId="7" xfId="15" applyFont="1" applyFill="1" applyBorder="1" applyAlignment="1">
      <alignment horizontal="center" vertical="center"/>
    </xf>
    <xf numFmtId="0" fontId="96" fillId="35" borderId="8" xfId="15" applyFont="1" applyFill="1" applyBorder="1" applyAlignment="1">
      <alignment horizontal="center" vertical="center" wrapText="1"/>
    </xf>
    <xf numFmtId="0" fontId="93" fillId="35" borderId="8" xfId="15" applyFont="1" applyFill="1" applyBorder="1" applyAlignment="1">
      <alignment horizontal="center" vertical="center" wrapText="1"/>
    </xf>
    <xf numFmtId="0" fontId="9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3" fillId="15" borderId="0" xfId="0" applyFont="1" applyFill="1" applyAlignment="1">
      <alignment horizontal="center" wrapText="1"/>
    </xf>
    <xf numFmtId="0" fontId="45" fillId="15" borderId="0" xfId="0" applyFont="1" applyFill="1" applyAlignment="1">
      <alignment horizontal="center" wrapText="1"/>
    </xf>
    <xf numFmtId="0" fontId="33" fillId="7" borderId="0" xfId="0" applyFont="1" applyFill="1" applyAlignment="1">
      <alignment horizontal="center" wrapText="1"/>
    </xf>
    <xf numFmtId="0" fontId="107" fillId="7" borderId="0" xfId="0" applyFont="1" applyFill="1" applyAlignment="1">
      <alignment horizontal="center" vertical="center" wrapText="1"/>
    </xf>
    <xf numFmtId="0" fontId="88" fillId="29" borderId="12" xfId="35" applyFont="1" applyFill="1" applyBorder="1" applyAlignment="1">
      <alignment horizontal="center" vertical="center" wrapText="1"/>
    </xf>
    <xf numFmtId="0" fontId="33" fillId="7" borderId="0" xfId="3" applyFont="1" applyFill="1" applyAlignment="1">
      <alignment horizontal="center" wrapText="1"/>
    </xf>
    <xf numFmtId="0" fontId="107" fillId="7" borderId="0" xfId="3" applyFont="1" applyFill="1" applyAlignment="1">
      <alignment horizontal="center" vertical="center" wrapText="1"/>
    </xf>
    <xf numFmtId="0" fontId="0" fillId="0" borderId="12" xfId="0" applyBorder="1" applyAlignment="1">
      <alignment vertical="center" wrapText="1"/>
    </xf>
    <xf numFmtId="0" fontId="88" fillId="29" borderId="12" xfId="36" applyFont="1" applyFill="1" applyBorder="1" applyAlignment="1">
      <alignment horizontal="center" vertical="center" wrapText="1"/>
    </xf>
    <xf numFmtId="0" fontId="109" fillId="7" borderId="0" xfId="0" applyFont="1" applyFill="1" applyAlignment="1">
      <alignment horizontal="center" vertical="center" wrapText="1"/>
    </xf>
    <xf numFmtId="0" fontId="0" fillId="0" borderId="1" xfId="0" applyBorder="1"/>
    <xf numFmtId="0" fontId="0" fillId="6" borderId="14" xfId="1" applyFont="1"/>
    <xf numFmtId="0" fontId="21" fillId="0" borderId="0" xfId="11" applyFill="1"/>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wrapText="1"/>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6" fillId="0" borderId="1" xfId="3" applyNumberFormat="1" applyFont="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42" fillId="18" borderId="1" xfId="3" applyFont="1" applyFill="1" applyBorder="1" applyAlignment="1" applyProtection="1">
      <alignment horizontal="center" vertical="center" wrapText="1"/>
      <protection locked="0"/>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34" borderId="1" xfId="3" applyNumberFormat="1" applyFill="1" applyBorder="1" applyAlignment="1" applyProtection="1">
      <alignment horizontal="center" vertical="center" wrapText="1"/>
      <protection locked="0"/>
    </xf>
    <xf numFmtId="49" fontId="58" fillId="24" borderId="1" xfId="3" applyNumberFormat="1" applyFont="1" applyFill="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0" fontId="24" fillId="0" borderId="1" xfId="3" applyBorder="1" applyAlignment="1">
      <alignment horizontal="left" vertical="center" wrapText="1"/>
    </xf>
    <xf numFmtId="49" fontId="24" fillId="0" borderId="1" xfId="3" applyNumberFormat="1" applyBorder="1" applyAlignment="1" applyProtection="1">
      <alignment vertical="center" wrapText="1"/>
      <protection locked="0"/>
    </xf>
    <xf numFmtId="0" fontId="78"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6"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7">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color rgb="FF006100"/>
      </font>
      <fill>
        <patternFill>
          <bgColor rgb="FFC6EF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5" totalsRowShown="0" headerRowDxfId="1566" headerRowBorderDxfId="1565" tableBorderDxfId="1564" headerRowCellStyle="40% - Accent5" dataCellStyle="Normal 4">
  <autoFilter ref="A2:O25"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SUM(F3:O25)</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A5" sqref="A5:Q5"/>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964</v>
      </c>
    </row>
    <row r="4" spans="1:37" s="82" customFormat="1" ht="11.1" customHeight="1">
      <c r="A4" s="224" t="s">
        <v>0</v>
      </c>
      <c r="B4" s="225"/>
      <c r="C4" s="225"/>
      <c r="D4" s="225"/>
      <c r="E4" s="225"/>
      <c r="F4" s="225"/>
      <c r="G4" s="225"/>
      <c r="H4" s="225"/>
      <c r="I4" s="225"/>
      <c r="J4" s="225"/>
      <c r="K4" s="225"/>
      <c r="L4" s="225"/>
      <c r="M4" s="225"/>
      <c r="N4" s="225"/>
      <c r="O4" s="225"/>
      <c r="P4" s="225"/>
      <c r="Q4" s="226"/>
      <c r="R4" s="227" t="s">
        <v>1</v>
      </c>
      <c r="S4" s="228"/>
      <c r="T4" s="228"/>
      <c r="U4" s="228"/>
      <c r="V4" s="229"/>
      <c r="W4" s="227" t="s">
        <v>2</v>
      </c>
      <c r="X4" s="228"/>
      <c r="Y4" s="228"/>
      <c r="Z4" s="228"/>
      <c r="AA4" s="229"/>
      <c r="AB4" s="224" t="s">
        <v>3</v>
      </c>
      <c r="AC4" s="225"/>
      <c r="AD4" s="225"/>
      <c r="AE4" s="225"/>
      <c r="AF4" s="225"/>
      <c r="AG4" s="226"/>
      <c r="AH4" s="88"/>
      <c r="AI4" s="88"/>
      <c r="AJ4" s="88"/>
    </row>
    <row r="5" spans="1:37" s="89" customFormat="1" ht="12.75" customHeight="1">
      <c r="A5" s="230" t="str">
        <f ca="1" xml:space="preserve"> IFERROR(IF([1]!alvDocProperty("MXAuthority")="","272502 VW VWA VN 41S1_NAR EL SB",[1]!alvDocProperty("MXAuthority")),"272502 VW VWA VN 41S1_NAR EL SB")</f>
        <v>272502 VW VWA VN 41S1_NAR EL SB</v>
      </c>
      <c r="B5" s="231"/>
      <c r="C5" s="231"/>
      <c r="D5" s="231"/>
      <c r="E5" s="231"/>
      <c r="F5" s="231"/>
      <c r="G5" s="231"/>
      <c r="H5" s="231"/>
      <c r="I5" s="231"/>
      <c r="J5" s="231"/>
      <c r="K5" s="231"/>
      <c r="L5" s="231"/>
      <c r="M5" s="231"/>
      <c r="N5" s="231"/>
      <c r="O5" s="231"/>
      <c r="P5" s="231"/>
      <c r="Q5" s="232"/>
      <c r="R5" s="230" t="s">
        <v>4</v>
      </c>
      <c r="S5" s="231"/>
      <c r="T5" s="231"/>
      <c r="U5" s="231"/>
      <c r="V5" s="232"/>
      <c r="W5" s="230" t="str">
        <f ca="1" xml:space="preserve"> IFERROR(IF([1]!alvDocProperty("MXCurrent.Localized")="","Template released",[1]!alvDocProperty("MXCurrent.Localized")),"Template released")</f>
        <v>Template released</v>
      </c>
      <c r="X5" s="231"/>
      <c r="Y5" s="231"/>
      <c r="Z5" s="231"/>
      <c r="AA5" s="232"/>
      <c r="AB5" s="230" t="str">
        <f ca="1" xml:space="preserve"> IFERROR(IF([1]!alvDocProperty("MXActual_state_Released")="","TBD",[1]!alvDocProperty("MXActual_state_Released")),"TBD")</f>
        <v>TBD</v>
      </c>
      <c r="AC5" s="231"/>
      <c r="AD5" s="231"/>
      <c r="AE5" s="231"/>
      <c r="AF5" s="231"/>
      <c r="AG5" s="232"/>
    </row>
    <row r="6" spans="1:37" s="82" customFormat="1" ht="11.1" customHeight="1">
      <c r="A6" s="227" t="s">
        <v>5</v>
      </c>
      <c r="B6" s="228"/>
      <c r="C6" s="228"/>
      <c r="D6" s="229"/>
      <c r="E6" s="227" t="s">
        <v>6</v>
      </c>
      <c r="F6" s="228"/>
      <c r="G6" s="228"/>
      <c r="H6" s="228"/>
      <c r="I6" s="228"/>
      <c r="J6" s="228"/>
      <c r="K6" s="228"/>
      <c r="L6" s="228"/>
      <c r="M6" s="228"/>
      <c r="N6" s="228"/>
      <c r="O6" s="228"/>
      <c r="P6" s="228"/>
      <c r="Q6" s="228"/>
      <c r="R6" s="228"/>
      <c r="S6" s="228"/>
      <c r="T6" s="228"/>
      <c r="U6" s="228"/>
      <c r="V6" s="229"/>
      <c r="W6" s="224" t="s">
        <v>7</v>
      </c>
      <c r="X6" s="225"/>
      <c r="Y6" s="225"/>
      <c r="Z6" s="225"/>
      <c r="AA6" s="226"/>
      <c r="AB6" s="227" t="s">
        <v>8</v>
      </c>
      <c r="AC6" s="228"/>
      <c r="AD6" s="229"/>
      <c r="AE6" s="227" t="s">
        <v>9</v>
      </c>
      <c r="AF6" s="228"/>
      <c r="AG6" s="229"/>
    </row>
    <row r="7" spans="1:37" s="89" customFormat="1" ht="12.75" customHeight="1">
      <c r="A7" s="230" t="str">
        <f ca="1" xml:space="preserve"> IFERROR(IF([1]!alvDocProperty("MXName")="","TBD",[1]!alvDocProperty("MXName")),"TBD")</f>
        <v>TBD</v>
      </c>
      <c r="B7" s="231"/>
      <c r="C7" s="231"/>
      <c r="D7" s="232"/>
      <c r="E7" s="230" t="str">
        <f ca="1" xml:space="preserve"> IFERROR(IF([1]!alvDocProperty("MXTitle")="","AdcIf Test Specification - Peer Review Workbook (PRWB)",[1]!alvDocProperty("MXTitle")),"AdcIf Test Specification - Peer Review Workbook (PRWB)")</f>
        <v>AdcIf Test Specification - Peer Review Workbook (PRWB)</v>
      </c>
      <c r="F7" s="231"/>
      <c r="G7" s="231"/>
      <c r="H7" s="231"/>
      <c r="I7" s="231"/>
      <c r="J7" s="231"/>
      <c r="K7" s="231"/>
      <c r="L7" s="231"/>
      <c r="M7" s="231"/>
      <c r="N7" s="231"/>
      <c r="O7" s="231"/>
      <c r="P7" s="231"/>
      <c r="Q7" s="231"/>
      <c r="R7" s="231"/>
      <c r="S7" s="231"/>
      <c r="T7" s="231"/>
      <c r="U7" s="231"/>
      <c r="V7" s="232"/>
      <c r="W7" s="233" t="str">
        <f ca="1" xml:space="preserve"> IFERROR(IF([1]!alvDocProperty("MXDocTemplate_Name")="","TEM107",[1]!alvDocProperty("MXDocTemplate_Name")),"TEM107")</f>
        <v>TEM107</v>
      </c>
      <c r="X7" s="234"/>
      <c r="Y7" s="234"/>
      <c r="Z7" s="234"/>
      <c r="AA7" s="235"/>
      <c r="AB7" s="230" t="str">
        <f ca="1" xml:space="preserve"> IFERROR(IF([1]!alvDocProperty("MXRevision")="","TBD",[1]!alvDocProperty("MXRevision")),"TBD")</f>
        <v>TBD</v>
      </c>
      <c r="AC7" s="231"/>
      <c r="AD7" s="232"/>
      <c r="AE7" s="230" t="str">
        <f ca="1" xml:space="preserve"> IFERROR(IF([1]!alvDocProperty("MXVersion")="","TBD",[1]!alvDocProperty("MXVersion")),"TBD")</f>
        <v>TBD</v>
      </c>
      <c r="AF7" s="231"/>
      <c r="AG7" s="232"/>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8" t="s">
        <v>10</v>
      </c>
      <c r="B9" s="239"/>
      <c r="C9" s="239"/>
      <c r="D9" s="239"/>
      <c r="E9" s="239"/>
      <c r="F9" s="239"/>
      <c r="G9" s="239"/>
      <c r="H9" s="239"/>
      <c r="I9" s="239"/>
      <c r="J9" s="239"/>
      <c r="K9" s="240"/>
      <c r="L9" s="238" t="s">
        <v>1</v>
      </c>
      <c r="M9" s="239"/>
      <c r="N9" s="239"/>
      <c r="O9" s="239"/>
      <c r="P9" s="239"/>
      <c r="Q9" s="239"/>
      <c r="R9" s="239"/>
      <c r="S9" s="239"/>
      <c r="T9" s="239"/>
      <c r="U9" s="239"/>
      <c r="V9" s="240"/>
      <c r="W9" s="238" t="s">
        <v>11</v>
      </c>
      <c r="X9" s="239"/>
      <c r="Y9" s="239"/>
      <c r="Z9" s="239"/>
      <c r="AA9" s="239"/>
      <c r="AB9" s="239"/>
      <c r="AC9" s="239"/>
      <c r="AD9" s="239"/>
      <c r="AE9" s="239"/>
      <c r="AF9" s="239"/>
      <c r="AG9" s="240"/>
    </row>
    <row r="10" spans="1:37" s="93" customFormat="1" ht="39" customHeight="1">
      <c r="A10" s="241" t="s">
        <v>12</v>
      </c>
      <c r="B10" s="242"/>
      <c r="C10" s="242"/>
      <c r="D10" s="242"/>
      <c r="E10" s="242"/>
      <c r="F10" s="243" t="str">
        <f ca="1" xml:space="preserve"> IFERROR(IF([1]!alvDocProperty("MXUser")="","Vlad Chioveanu",[1]!alvDocProperty("MXUser")),"Vlad Chioveanu")</f>
        <v>Vlad Chioveanu</v>
      </c>
      <c r="G10" s="243"/>
      <c r="H10" s="243"/>
      <c r="I10" s="243"/>
      <c r="J10" s="243"/>
      <c r="K10" s="244"/>
      <c r="L10" s="245" t="s">
        <v>13</v>
      </c>
      <c r="M10" s="246"/>
      <c r="N10" s="246"/>
      <c r="O10" s="246"/>
      <c r="P10" s="246"/>
      <c r="Q10" s="246"/>
      <c r="R10" s="246"/>
      <c r="S10" s="246"/>
      <c r="T10" s="246"/>
      <c r="U10" s="246"/>
      <c r="V10" s="247"/>
      <c r="W10" s="245" t="s">
        <v>13</v>
      </c>
      <c r="X10" s="246"/>
      <c r="Y10" s="246"/>
      <c r="Z10" s="246"/>
      <c r="AA10" s="246"/>
      <c r="AB10" s="246"/>
      <c r="AC10" s="246"/>
      <c r="AD10" s="246"/>
      <c r="AE10" s="246"/>
      <c r="AF10" s="246"/>
      <c r="AG10" s="247"/>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8" t="s">
        <v>14</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50"/>
    </row>
    <row r="13" spans="1:37" s="93" customFormat="1" ht="28.5" customHeight="1">
      <c r="A13" s="251" t="s">
        <v>15</v>
      </c>
      <c r="B13" s="252"/>
      <c r="C13" s="252"/>
      <c r="D13" s="252"/>
      <c r="E13" s="252"/>
      <c r="F13" s="252"/>
      <c r="G13" s="252"/>
      <c r="H13" s="252"/>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3"/>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54" t="s">
        <v>16</v>
      </c>
      <c r="B15" s="254"/>
      <c r="C15" s="254"/>
      <c r="D15" s="254"/>
      <c r="E15" s="256" t="s">
        <v>965</v>
      </c>
      <c r="F15" s="257"/>
      <c r="G15" s="257"/>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8"/>
    </row>
    <row r="16" spans="1:37" ht="37.5" customHeight="1">
      <c r="A16" s="255"/>
      <c r="B16" s="255"/>
      <c r="C16" s="255"/>
      <c r="D16" s="255"/>
      <c r="E16" s="259"/>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1"/>
    </row>
    <row r="17" spans="1:33">
      <c r="A17" s="98"/>
    </row>
    <row r="18" spans="1:33" ht="26.25" customHeight="1">
      <c r="A18" s="262" t="s">
        <v>17</v>
      </c>
      <c r="B18" s="263"/>
      <c r="C18" s="263"/>
      <c r="D18" s="263"/>
      <c r="E18" s="264" t="s">
        <v>18</v>
      </c>
      <c r="F18" s="264"/>
      <c r="G18" s="264"/>
      <c r="H18" s="264"/>
      <c r="I18" s="264"/>
      <c r="J18" s="264"/>
      <c r="K18" s="264"/>
      <c r="L18" s="264"/>
      <c r="M18" s="264"/>
      <c r="N18" s="264"/>
      <c r="O18" s="264"/>
      <c r="P18" s="264"/>
    </row>
    <row r="19" spans="1:33"/>
    <row r="20" spans="1:33"/>
    <row r="21" spans="1:33" ht="15.75" customHeight="1">
      <c r="Q21" s="99"/>
    </row>
    <row r="22" spans="1:33" ht="12" customHeight="1">
      <c r="Q22" s="99"/>
    </row>
    <row r="23" spans="1:33" ht="60" customHeight="1">
      <c r="A23" s="236" t="str">
        <f ca="1">MXTitle</f>
        <v>AdcIf Test Specification - Peer Review Workbook (PRWB)</v>
      </c>
      <c r="B23" s="237"/>
      <c r="C23" s="237"/>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9" type="noConversion"/>
  <conditionalFormatting sqref="W5">
    <cfRule type="cellIs" dxfId="1563" priority="21" operator="equal">
      <formula>"draft"</formula>
    </cfRule>
  </conditionalFormatting>
  <conditionalFormatting sqref="W5:AA5">
    <cfRule type="cellIs" dxfId="1562" priority="1" operator="equal">
      <formula>"In-Work"</formula>
    </cfRule>
    <cfRule type="cellIs" dxfId="1561" priority="2" stopIfTrue="1" operator="equal">
      <formula>"draft"</formula>
    </cfRule>
    <cfRule type="cellIs" dxfId="1560" priority="3" operator="equal">
      <formula>"In-Work"</formula>
    </cfRule>
    <cfRule type="cellIs" dxfId="1559" priority="4" stopIfTrue="1" operator="equal">
      <formula>"draft"</formula>
    </cfRule>
    <cfRule type="cellIs" dxfId="1558" priority="5" operator="equal">
      <formula>"In-Work"</formula>
    </cfRule>
    <cfRule type="cellIs" dxfId="1557" priority="6" stopIfTrue="1" operator="equal">
      <formula>"draft"</formula>
    </cfRule>
    <cfRule type="cellIs" dxfId="1556" priority="7" operator="equal">
      <formula>"In-Work"</formula>
    </cfRule>
    <cfRule type="cellIs" dxfId="1555" priority="8" stopIfTrue="1" operator="equal">
      <formula>"draft"</formula>
    </cfRule>
    <cfRule type="cellIs" dxfId="1554" priority="9" operator="equal">
      <formula>"In-Work"</formula>
    </cfRule>
    <cfRule type="cellIs" dxfId="1553" priority="10" stopIfTrue="1" operator="equal">
      <formula>"draft"</formula>
    </cfRule>
    <cfRule type="cellIs" dxfId="1552" priority="11" operator="equal">
      <formula>"In-Work"</formula>
    </cfRule>
    <cfRule type="cellIs" dxfId="1551" priority="12" stopIfTrue="1" operator="equal">
      <formula>"draft"</formula>
    </cfRule>
    <cfRule type="cellIs" dxfId="1550" priority="13" operator="equal">
      <formula>"In-Work"</formula>
    </cfRule>
    <cfRule type="cellIs" dxfId="1549" priority="14" stopIfTrue="1" operator="equal">
      <formula>"draft"</formula>
    </cfRule>
    <cfRule type="cellIs" dxfId="1548" priority="15" operator="equal">
      <formula>"In-Work"</formula>
    </cfRule>
    <cfRule type="cellIs" dxfId="1547" priority="16" stopIfTrue="1" operator="equal">
      <formula>"draft"</formula>
    </cfRule>
    <cfRule type="cellIs" dxfId="1546" priority="17" operator="equal">
      <formula>"In-Work"</formula>
    </cfRule>
    <cfRule type="cellIs" dxfId="1545" priority="18" stopIfTrue="1" operator="equal">
      <formula>"draft"</formula>
    </cfRule>
    <cfRule type="cellIs" dxfId="1544" priority="19" operator="equal">
      <formula>"In-Work"</formula>
    </cfRule>
    <cfRule type="cellIs" dxfId="1543"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AdcIf Test Specification - Peer Review Workbook (PRWB).xlsm</v>
      </c>
      <c r="AE3" s="82"/>
      <c r="AF3" s="82"/>
      <c r="AG3" s="82"/>
      <c r="AH3" s="82"/>
    </row>
    <row r="4" spans="1:34">
      <c r="A4" s="224" t="s">
        <v>0</v>
      </c>
      <c r="B4" s="225"/>
      <c r="C4" s="225"/>
      <c r="D4" s="225"/>
      <c r="E4" s="225"/>
      <c r="F4" s="225"/>
      <c r="G4" s="225"/>
      <c r="H4" s="225"/>
      <c r="I4" s="225"/>
      <c r="J4" s="225"/>
      <c r="K4" s="225"/>
      <c r="L4" s="225"/>
      <c r="M4" s="225"/>
      <c r="N4" s="225"/>
      <c r="O4" s="225"/>
      <c r="P4" s="225"/>
      <c r="Q4" s="225"/>
      <c r="R4" s="225"/>
      <c r="S4" s="225"/>
      <c r="T4" s="225"/>
      <c r="U4" s="225"/>
      <c r="V4" s="226"/>
      <c r="W4" s="282" t="s">
        <v>2</v>
      </c>
      <c r="X4" s="283"/>
      <c r="Y4" s="283"/>
      <c r="Z4" s="283"/>
      <c r="AA4" s="284"/>
      <c r="AB4" s="224" t="s">
        <v>3</v>
      </c>
      <c r="AC4" s="225"/>
      <c r="AD4" s="225"/>
      <c r="AE4" s="225"/>
      <c r="AF4" s="225"/>
      <c r="AG4" s="226"/>
      <c r="AH4" s="88"/>
    </row>
    <row r="5" spans="1:34">
      <c r="A5" s="233" t="s">
        <v>966</v>
      </c>
      <c r="B5" s="234"/>
      <c r="C5" s="234"/>
      <c r="D5" s="234"/>
      <c r="E5" s="234"/>
      <c r="F5" s="234"/>
      <c r="G5" s="234"/>
      <c r="H5" s="234"/>
      <c r="I5" s="234"/>
      <c r="J5" s="234"/>
      <c r="K5" s="234"/>
      <c r="L5" s="234"/>
      <c r="M5" s="234"/>
      <c r="N5" s="234"/>
      <c r="O5" s="234"/>
      <c r="P5" s="234"/>
      <c r="Q5" s="234"/>
      <c r="R5" s="234"/>
      <c r="S5" s="234"/>
      <c r="T5" s="234"/>
      <c r="U5" s="234"/>
      <c r="V5" s="235"/>
      <c r="W5" s="285" t="s">
        <v>19</v>
      </c>
      <c r="X5" s="286"/>
      <c r="Y5" s="286"/>
      <c r="Z5" s="286"/>
      <c r="AA5" s="287"/>
      <c r="AB5" s="233" t="s">
        <v>20</v>
      </c>
      <c r="AC5" s="234"/>
      <c r="AD5" s="234"/>
      <c r="AE5" s="234"/>
      <c r="AF5" s="234"/>
      <c r="AG5" s="235"/>
      <c r="AH5" s="89"/>
    </row>
    <row r="6" spans="1:34">
      <c r="A6" s="288" t="s">
        <v>5</v>
      </c>
      <c r="B6" s="289"/>
      <c r="C6" s="289"/>
      <c r="D6" s="290"/>
      <c r="E6" s="288" t="s">
        <v>6</v>
      </c>
      <c r="F6" s="289"/>
      <c r="G6" s="289"/>
      <c r="H6" s="289"/>
      <c r="I6" s="289"/>
      <c r="J6" s="289"/>
      <c r="K6" s="289"/>
      <c r="L6" s="289"/>
      <c r="M6" s="289"/>
      <c r="N6" s="289"/>
      <c r="O6" s="289"/>
      <c r="P6" s="289"/>
      <c r="Q6" s="289"/>
      <c r="R6" s="289"/>
      <c r="S6" s="289"/>
      <c r="T6" s="289"/>
      <c r="U6" s="289"/>
      <c r="V6" s="290"/>
      <c r="W6" s="224" t="s">
        <v>7</v>
      </c>
      <c r="X6" s="225"/>
      <c r="Y6" s="225"/>
      <c r="Z6" s="225"/>
      <c r="AA6" s="226"/>
      <c r="AB6" s="282" t="s">
        <v>8</v>
      </c>
      <c r="AC6" s="283"/>
      <c r="AD6" s="284"/>
      <c r="AE6" s="282" t="s">
        <v>9</v>
      </c>
      <c r="AF6" s="283"/>
      <c r="AG6" s="284"/>
      <c r="AH6" s="82"/>
    </row>
    <row r="7" spans="1:34">
      <c r="A7" s="285" t="s">
        <v>21</v>
      </c>
      <c r="B7" s="286"/>
      <c r="C7" s="286"/>
      <c r="D7" s="287"/>
      <c r="E7" s="285" t="s">
        <v>22</v>
      </c>
      <c r="F7" s="286"/>
      <c r="G7" s="286"/>
      <c r="H7" s="286"/>
      <c r="I7" s="286"/>
      <c r="J7" s="286"/>
      <c r="K7" s="286"/>
      <c r="L7" s="286"/>
      <c r="M7" s="286"/>
      <c r="N7" s="286"/>
      <c r="O7" s="286"/>
      <c r="P7" s="286"/>
      <c r="Q7" s="286"/>
      <c r="R7" s="286"/>
      <c r="S7" s="286"/>
      <c r="T7" s="286"/>
      <c r="U7" s="286"/>
      <c r="V7" s="287"/>
      <c r="W7" s="285" t="str">
        <f ca="1">TemplateRef</f>
        <v>TEM107</v>
      </c>
      <c r="X7" s="286"/>
      <c r="Y7" s="286"/>
      <c r="Z7" s="286"/>
      <c r="AA7" s="287"/>
      <c r="AB7" s="285" t="s">
        <v>23</v>
      </c>
      <c r="AC7" s="286"/>
      <c r="AD7" s="287"/>
      <c r="AE7" s="285" t="s">
        <v>23</v>
      </c>
      <c r="AF7" s="286"/>
      <c r="AG7" s="287"/>
      <c r="AH7" s="89"/>
    </row>
    <row r="8" spans="1:34">
      <c r="A8" s="288" t="s">
        <v>24</v>
      </c>
      <c r="B8" s="289"/>
      <c r="C8" s="289"/>
      <c r="D8" s="289"/>
      <c r="E8" s="289"/>
      <c r="F8" s="289"/>
      <c r="G8" s="289"/>
      <c r="H8" s="289"/>
      <c r="I8" s="289"/>
      <c r="J8" s="289"/>
      <c r="K8" s="289"/>
      <c r="L8" s="289"/>
      <c r="M8" s="289"/>
      <c r="N8" s="289"/>
      <c r="O8" s="289"/>
      <c r="P8" s="289"/>
      <c r="Q8" s="289"/>
      <c r="R8" s="289"/>
      <c r="S8" s="289"/>
      <c r="T8" s="289"/>
      <c r="U8" s="289"/>
      <c r="V8" s="289"/>
      <c r="W8" s="289"/>
      <c r="X8" s="289"/>
      <c r="Y8" s="289"/>
      <c r="Z8" s="289"/>
      <c r="AA8" s="289"/>
      <c r="AB8" s="289"/>
      <c r="AC8" s="289"/>
      <c r="AD8" s="289"/>
      <c r="AE8" s="289"/>
      <c r="AF8" s="289"/>
      <c r="AG8" s="290"/>
      <c r="AH8" s="92"/>
    </row>
    <row r="9" spans="1:34">
      <c r="A9" s="291" t="s">
        <v>25</v>
      </c>
      <c r="B9" s="292"/>
      <c r="C9" s="292"/>
      <c r="D9" s="292"/>
      <c r="E9" s="292"/>
      <c r="F9" s="292"/>
      <c r="G9" s="292"/>
      <c r="H9" s="292"/>
      <c r="I9" s="292"/>
      <c r="J9" s="292"/>
      <c r="K9" s="292"/>
      <c r="L9" s="292"/>
      <c r="M9" s="292"/>
      <c r="N9" s="292"/>
      <c r="O9" s="292"/>
      <c r="P9" s="292"/>
      <c r="Q9" s="292"/>
      <c r="R9" s="292"/>
      <c r="S9" s="292"/>
      <c r="T9" s="292"/>
      <c r="U9" s="292"/>
      <c r="V9" s="292"/>
      <c r="W9" s="292"/>
      <c r="X9" s="292"/>
      <c r="Y9" s="292"/>
      <c r="Z9" s="292"/>
      <c r="AA9" s="292"/>
      <c r="AB9" s="292"/>
      <c r="AC9" s="292"/>
      <c r="AD9" s="292"/>
      <c r="AE9" s="292"/>
      <c r="AF9" s="292"/>
      <c r="AG9" s="293"/>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94" t="s">
        <v>28</v>
      </c>
      <c r="C15" s="295"/>
      <c r="D15" s="295"/>
      <c r="E15" s="295"/>
      <c r="F15" s="295"/>
      <c r="G15" s="294" t="s">
        <v>29</v>
      </c>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92"/>
      <c r="AH15" s="92"/>
    </row>
    <row r="16" spans="1:34" ht="55.5" customHeight="1">
      <c r="A16" s="92"/>
      <c r="B16" s="296" t="s">
        <v>30</v>
      </c>
      <c r="C16" s="296"/>
      <c r="D16" s="296"/>
      <c r="E16" s="296"/>
      <c r="F16" s="296"/>
      <c r="G16" s="270" t="s">
        <v>31</v>
      </c>
      <c r="H16" s="270"/>
      <c r="I16" s="270"/>
      <c r="J16" s="270"/>
      <c r="K16" s="270"/>
      <c r="L16" s="270"/>
      <c r="M16" s="270"/>
      <c r="N16" s="270"/>
      <c r="O16" s="270"/>
      <c r="P16" s="270"/>
      <c r="Q16" s="270"/>
      <c r="R16" s="270"/>
      <c r="S16" s="270"/>
      <c r="T16" s="270"/>
      <c r="U16" s="270"/>
      <c r="V16" s="270"/>
      <c r="W16" s="270"/>
      <c r="X16" s="270"/>
      <c r="Y16" s="270"/>
      <c r="Z16" s="270"/>
      <c r="AA16" s="270"/>
      <c r="AB16" s="270"/>
      <c r="AC16" s="270"/>
      <c r="AD16" s="270"/>
      <c r="AE16" s="270"/>
      <c r="AF16" s="270"/>
      <c r="AG16" s="92"/>
      <c r="AH16" s="92"/>
    </row>
    <row r="17" spans="1:34">
      <c r="A17" s="92"/>
      <c r="B17" s="296" t="s">
        <v>32</v>
      </c>
      <c r="C17" s="296"/>
      <c r="D17" s="296"/>
      <c r="E17" s="296"/>
      <c r="F17" s="296"/>
      <c r="G17" s="270" t="s">
        <v>33</v>
      </c>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92"/>
      <c r="AH17" s="92"/>
    </row>
    <row r="18" spans="1:34" ht="15" customHeight="1">
      <c r="A18" s="92"/>
      <c r="B18" s="296" t="s">
        <v>34</v>
      </c>
      <c r="C18" s="296"/>
      <c r="D18" s="296"/>
      <c r="E18" s="296"/>
      <c r="F18" s="296"/>
      <c r="G18" s="270" t="s">
        <v>35</v>
      </c>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92"/>
      <c r="AH18" s="92"/>
    </row>
    <row r="19" spans="1:34" ht="24" customHeight="1">
      <c r="A19" s="92"/>
      <c r="B19" s="297" t="s">
        <v>36</v>
      </c>
      <c r="C19" s="297"/>
      <c r="D19" s="297"/>
      <c r="E19" s="297"/>
      <c r="F19" s="297"/>
      <c r="G19" s="270" t="s">
        <v>35</v>
      </c>
      <c r="H19" s="270"/>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92"/>
      <c r="AH19" s="92"/>
    </row>
    <row r="20" spans="1:34">
      <c r="A20" s="92"/>
      <c r="B20" s="301" t="s">
        <v>37</v>
      </c>
      <c r="C20" s="301"/>
      <c r="D20" s="301"/>
      <c r="E20" s="301"/>
      <c r="F20" s="301"/>
      <c r="G20" s="270" t="s">
        <v>35</v>
      </c>
      <c r="H20" s="270"/>
      <c r="I20" s="270"/>
      <c r="J20" s="270"/>
      <c r="K20" s="270"/>
      <c r="L20" s="270"/>
      <c r="M20" s="270"/>
      <c r="N20" s="270"/>
      <c r="O20" s="270"/>
      <c r="P20" s="270"/>
      <c r="Q20" s="270"/>
      <c r="R20" s="270"/>
      <c r="S20" s="270"/>
      <c r="T20" s="270"/>
      <c r="U20" s="270"/>
      <c r="V20" s="270"/>
      <c r="W20" s="270"/>
      <c r="X20" s="270"/>
      <c r="Y20" s="270"/>
      <c r="Z20" s="270"/>
      <c r="AA20" s="270"/>
      <c r="AB20" s="270"/>
      <c r="AC20" s="270"/>
      <c r="AD20" s="270"/>
      <c r="AE20" s="270"/>
      <c r="AF20" s="270"/>
      <c r="AG20" s="92"/>
      <c r="AH20" s="92"/>
    </row>
    <row r="21" spans="1:34" ht="35.25" customHeight="1">
      <c r="A21" s="92"/>
      <c r="B21" s="299" t="s">
        <v>38</v>
      </c>
      <c r="C21" s="299"/>
      <c r="D21" s="299"/>
      <c r="E21" s="299"/>
      <c r="F21" s="299"/>
      <c r="G21" s="270" t="s">
        <v>39</v>
      </c>
      <c r="H21" s="270"/>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92"/>
      <c r="AH21" s="92"/>
    </row>
    <row r="22" spans="1:34" ht="28.5" customHeight="1">
      <c r="A22" s="92"/>
      <c r="B22" s="299" t="s">
        <v>40</v>
      </c>
      <c r="C22" s="299"/>
      <c r="D22" s="299"/>
      <c r="E22" s="299"/>
      <c r="F22" s="299"/>
      <c r="G22" s="270" t="s">
        <v>41</v>
      </c>
      <c r="H22" s="270"/>
      <c r="I22" s="270"/>
      <c r="J22" s="270"/>
      <c r="K22" s="270"/>
      <c r="L22" s="270"/>
      <c r="M22" s="270"/>
      <c r="N22" s="270"/>
      <c r="O22" s="270"/>
      <c r="P22" s="270"/>
      <c r="Q22" s="270"/>
      <c r="R22" s="270"/>
      <c r="S22" s="270"/>
      <c r="T22" s="270"/>
      <c r="U22" s="270"/>
      <c r="V22" s="270"/>
      <c r="W22" s="270"/>
      <c r="X22" s="270"/>
      <c r="Y22" s="270"/>
      <c r="Z22" s="270"/>
      <c r="AA22" s="270"/>
      <c r="AB22" s="270"/>
      <c r="AC22" s="270"/>
      <c r="AD22" s="270"/>
      <c r="AE22" s="270"/>
      <c r="AF22" s="270"/>
      <c r="AG22" s="92"/>
      <c r="AH22" s="92"/>
    </row>
    <row r="23" spans="1:34" ht="22.5" customHeight="1">
      <c r="A23" s="92"/>
      <c r="B23" s="299" t="s">
        <v>42</v>
      </c>
      <c r="C23" s="299"/>
      <c r="D23" s="299"/>
      <c r="E23" s="299"/>
      <c r="F23" s="299"/>
      <c r="G23" s="270" t="s">
        <v>43</v>
      </c>
      <c r="H23" s="270"/>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92"/>
      <c r="AH23" s="92"/>
    </row>
    <row r="24" spans="1:34" ht="45" customHeight="1">
      <c r="A24" s="92"/>
      <c r="B24" s="300" t="s">
        <v>44</v>
      </c>
      <c r="C24" s="300"/>
      <c r="D24" s="300"/>
      <c r="E24" s="300"/>
      <c r="F24" s="300"/>
      <c r="G24" s="270" t="s">
        <v>45</v>
      </c>
      <c r="H24" s="270"/>
      <c r="I24" s="270"/>
      <c r="J24" s="270"/>
      <c r="K24" s="270"/>
      <c r="L24" s="270"/>
      <c r="M24" s="270"/>
      <c r="N24" s="270"/>
      <c r="O24" s="270"/>
      <c r="P24" s="270"/>
      <c r="Q24" s="270"/>
      <c r="R24" s="270"/>
      <c r="S24" s="270"/>
      <c r="T24" s="270"/>
      <c r="U24" s="270"/>
      <c r="V24" s="270"/>
      <c r="W24" s="270"/>
      <c r="X24" s="270"/>
      <c r="Y24" s="270"/>
      <c r="Z24" s="270"/>
      <c r="AA24" s="270"/>
      <c r="AB24" s="270"/>
      <c r="AC24" s="270"/>
      <c r="AD24" s="270"/>
      <c r="AE24" s="270"/>
      <c r="AF24" s="270"/>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94" t="s">
        <v>8</v>
      </c>
      <c r="C27" s="298"/>
      <c r="D27" s="298"/>
      <c r="E27" s="294" t="s">
        <v>47</v>
      </c>
      <c r="F27" s="294"/>
      <c r="G27" s="294"/>
      <c r="H27" s="294"/>
      <c r="I27" s="294" t="s">
        <v>48</v>
      </c>
      <c r="J27" s="298"/>
      <c r="K27" s="298"/>
      <c r="L27" s="298"/>
      <c r="M27" s="298"/>
      <c r="N27" s="298"/>
      <c r="O27" s="298"/>
      <c r="P27" s="298"/>
      <c r="Q27" s="298"/>
      <c r="R27" s="294" t="s">
        <v>49</v>
      </c>
      <c r="S27" s="294"/>
      <c r="T27" s="294"/>
      <c r="U27" s="294"/>
      <c r="V27" s="294"/>
      <c r="W27" s="294"/>
      <c r="X27" s="294"/>
      <c r="Y27" s="294"/>
      <c r="Z27" s="294"/>
      <c r="AA27" s="294"/>
      <c r="AB27" s="294"/>
      <c r="AC27" s="294"/>
      <c r="AD27" s="294"/>
      <c r="AE27" s="294"/>
      <c r="AF27" s="294"/>
      <c r="AG27" s="92"/>
      <c r="AH27" s="92"/>
    </row>
    <row r="28" spans="1:34" ht="40.5" customHeight="1">
      <c r="A28" s="92"/>
      <c r="B28" s="279" t="s">
        <v>50</v>
      </c>
      <c r="C28" s="280" t="s">
        <v>51</v>
      </c>
      <c r="D28" s="281" t="s">
        <v>51</v>
      </c>
      <c r="E28" s="267"/>
      <c r="F28" s="268"/>
      <c r="G28" s="268"/>
      <c r="H28" s="269"/>
      <c r="I28" s="270"/>
      <c r="J28" s="271"/>
      <c r="K28" s="271"/>
      <c r="L28" s="271"/>
      <c r="M28" s="271"/>
      <c r="N28" s="271"/>
      <c r="O28" s="271"/>
      <c r="P28" s="271"/>
      <c r="Q28" s="271"/>
      <c r="R28" s="270" t="s">
        <v>52</v>
      </c>
      <c r="S28" s="270" t="s">
        <v>52</v>
      </c>
      <c r="T28" s="270" t="s">
        <v>52</v>
      </c>
      <c r="U28" s="270" t="s">
        <v>52</v>
      </c>
      <c r="V28" s="270" t="s">
        <v>52</v>
      </c>
      <c r="W28" s="270" t="s">
        <v>52</v>
      </c>
      <c r="X28" s="270" t="s">
        <v>52</v>
      </c>
      <c r="Y28" s="270" t="s">
        <v>52</v>
      </c>
      <c r="Z28" s="270" t="s">
        <v>52</v>
      </c>
      <c r="AA28" s="270" t="s">
        <v>52</v>
      </c>
      <c r="AB28" s="270" t="s">
        <v>52</v>
      </c>
      <c r="AC28" s="270" t="s">
        <v>52</v>
      </c>
      <c r="AD28" s="270" t="s">
        <v>52</v>
      </c>
      <c r="AE28" s="270" t="s">
        <v>52</v>
      </c>
      <c r="AF28" s="270" t="s">
        <v>52</v>
      </c>
      <c r="AG28" s="92"/>
      <c r="AH28" s="92"/>
    </row>
    <row r="29" spans="1:34" ht="60" customHeight="1">
      <c r="A29" s="92"/>
      <c r="B29" s="279" t="s">
        <v>53</v>
      </c>
      <c r="C29" s="280" t="s">
        <v>53</v>
      </c>
      <c r="D29" s="281" t="s">
        <v>53</v>
      </c>
      <c r="E29" s="267">
        <v>40591.490486111114</v>
      </c>
      <c r="F29" s="268">
        <v>40591.490486111114</v>
      </c>
      <c r="G29" s="268">
        <v>40591.490486111114</v>
      </c>
      <c r="H29" s="269">
        <v>40591.490486111114</v>
      </c>
      <c r="I29" s="270" t="s">
        <v>54</v>
      </c>
      <c r="J29" s="271" t="s">
        <v>54</v>
      </c>
      <c r="K29" s="271" t="s">
        <v>54</v>
      </c>
      <c r="L29" s="271" t="s">
        <v>54</v>
      </c>
      <c r="M29" s="271" t="s">
        <v>54</v>
      </c>
      <c r="N29" s="271" t="s">
        <v>54</v>
      </c>
      <c r="O29" s="271" t="s">
        <v>54</v>
      </c>
      <c r="P29" s="271" t="s">
        <v>54</v>
      </c>
      <c r="Q29" s="271" t="s">
        <v>54</v>
      </c>
      <c r="R29" s="270" t="s">
        <v>55</v>
      </c>
      <c r="S29" s="270" t="s">
        <v>55</v>
      </c>
      <c r="T29" s="270" t="s">
        <v>55</v>
      </c>
      <c r="U29" s="270" t="s">
        <v>55</v>
      </c>
      <c r="V29" s="270" t="s">
        <v>55</v>
      </c>
      <c r="W29" s="270" t="s">
        <v>55</v>
      </c>
      <c r="X29" s="270" t="s">
        <v>55</v>
      </c>
      <c r="Y29" s="270" t="s">
        <v>55</v>
      </c>
      <c r="Z29" s="270" t="s">
        <v>55</v>
      </c>
      <c r="AA29" s="270" t="s">
        <v>55</v>
      </c>
      <c r="AB29" s="270" t="s">
        <v>55</v>
      </c>
      <c r="AC29" s="270" t="s">
        <v>55</v>
      </c>
      <c r="AD29" s="270" t="s">
        <v>55</v>
      </c>
      <c r="AE29" s="270" t="s">
        <v>55</v>
      </c>
      <c r="AF29" s="270" t="s">
        <v>55</v>
      </c>
      <c r="AG29" s="92"/>
      <c r="AH29" s="92"/>
    </row>
    <row r="30" spans="1:34" ht="291" customHeight="1">
      <c r="A30" s="92"/>
      <c r="B30" s="279" t="s">
        <v>56</v>
      </c>
      <c r="C30" s="280" t="s">
        <v>56</v>
      </c>
      <c r="D30" s="281" t="s">
        <v>56</v>
      </c>
      <c r="E30" s="267">
        <v>41071.656145833331</v>
      </c>
      <c r="F30" s="268">
        <v>41071.656145833331</v>
      </c>
      <c r="G30" s="268">
        <v>41071.656145833331</v>
      </c>
      <c r="H30" s="269">
        <v>41071.656145833331</v>
      </c>
      <c r="I30" s="270" t="s">
        <v>54</v>
      </c>
      <c r="J30" s="271" t="s">
        <v>54</v>
      </c>
      <c r="K30" s="271" t="s">
        <v>54</v>
      </c>
      <c r="L30" s="271" t="s">
        <v>54</v>
      </c>
      <c r="M30" s="271" t="s">
        <v>54</v>
      </c>
      <c r="N30" s="271" t="s">
        <v>54</v>
      </c>
      <c r="O30" s="271" t="s">
        <v>54</v>
      </c>
      <c r="P30" s="271" t="s">
        <v>54</v>
      </c>
      <c r="Q30" s="271" t="s">
        <v>54</v>
      </c>
      <c r="R30" s="270" t="s">
        <v>57</v>
      </c>
      <c r="S30" s="270" t="s">
        <v>57</v>
      </c>
      <c r="T30" s="270" t="s">
        <v>57</v>
      </c>
      <c r="U30" s="270" t="s">
        <v>57</v>
      </c>
      <c r="V30" s="270" t="s">
        <v>57</v>
      </c>
      <c r="W30" s="270" t="s">
        <v>57</v>
      </c>
      <c r="X30" s="270" t="s">
        <v>57</v>
      </c>
      <c r="Y30" s="270" t="s">
        <v>57</v>
      </c>
      <c r="Z30" s="270" t="s">
        <v>57</v>
      </c>
      <c r="AA30" s="270" t="s">
        <v>57</v>
      </c>
      <c r="AB30" s="270" t="s">
        <v>57</v>
      </c>
      <c r="AC30" s="270" t="s">
        <v>57</v>
      </c>
      <c r="AD30" s="270" t="s">
        <v>57</v>
      </c>
      <c r="AE30" s="270" t="s">
        <v>57</v>
      </c>
      <c r="AF30" s="270" t="s">
        <v>57</v>
      </c>
      <c r="AG30" s="92"/>
      <c r="AH30" s="92"/>
    </row>
    <row r="31" spans="1:34" ht="40.5" customHeight="1">
      <c r="A31" s="92"/>
      <c r="B31" s="279" t="s">
        <v>58</v>
      </c>
      <c r="C31" s="280" t="s">
        <v>58</v>
      </c>
      <c r="D31" s="281" t="s">
        <v>58</v>
      </c>
      <c r="E31" s="267">
        <v>41071.656145833331</v>
      </c>
      <c r="F31" s="268">
        <v>41071.656145833331</v>
      </c>
      <c r="G31" s="268">
        <v>41071.656145833331</v>
      </c>
      <c r="H31" s="269">
        <v>41071.656145833331</v>
      </c>
      <c r="I31" s="270" t="s">
        <v>59</v>
      </c>
      <c r="J31" s="271" t="s">
        <v>59</v>
      </c>
      <c r="K31" s="271" t="s">
        <v>59</v>
      </c>
      <c r="L31" s="271" t="s">
        <v>59</v>
      </c>
      <c r="M31" s="271" t="s">
        <v>59</v>
      </c>
      <c r="N31" s="271" t="s">
        <v>59</v>
      </c>
      <c r="O31" s="271" t="s">
        <v>59</v>
      </c>
      <c r="P31" s="271" t="s">
        <v>59</v>
      </c>
      <c r="Q31" s="271" t="s">
        <v>59</v>
      </c>
      <c r="R31" s="270" t="s">
        <v>60</v>
      </c>
      <c r="S31" s="270" t="s">
        <v>60</v>
      </c>
      <c r="T31" s="270" t="s">
        <v>60</v>
      </c>
      <c r="U31" s="270" t="s">
        <v>60</v>
      </c>
      <c r="V31" s="270" t="s">
        <v>60</v>
      </c>
      <c r="W31" s="270" t="s">
        <v>60</v>
      </c>
      <c r="X31" s="270" t="s">
        <v>60</v>
      </c>
      <c r="Y31" s="270" t="s">
        <v>60</v>
      </c>
      <c r="Z31" s="270" t="s">
        <v>60</v>
      </c>
      <c r="AA31" s="270" t="s">
        <v>60</v>
      </c>
      <c r="AB31" s="270" t="s">
        <v>60</v>
      </c>
      <c r="AC31" s="270" t="s">
        <v>60</v>
      </c>
      <c r="AD31" s="270" t="s">
        <v>60</v>
      </c>
      <c r="AE31" s="270" t="s">
        <v>60</v>
      </c>
      <c r="AF31" s="270" t="s">
        <v>60</v>
      </c>
      <c r="AG31" s="92"/>
      <c r="AH31" s="92"/>
    </row>
    <row r="32" spans="1:34" ht="121.5" customHeight="1">
      <c r="A32" s="92"/>
      <c r="B32" s="279"/>
      <c r="C32" s="280"/>
      <c r="D32" s="281"/>
      <c r="E32" s="267">
        <v>42195</v>
      </c>
      <c r="F32" s="268">
        <v>42195</v>
      </c>
      <c r="G32" s="268">
        <v>42195</v>
      </c>
      <c r="H32" s="269">
        <v>42195</v>
      </c>
      <c r="I32" s="270" t="s">
        <v>61</v>
      </c>
      <c r="J32" s="271" t="s">
        <v>61</v>
      </c>
      <c r="K32" s="271" t="s">
        <v>61</v>
      </c>
      <c r="L32" s="271" t="s">
        <v>61</v>
      </c>
      <c r="M32" s="271" t="s">
        <v>61</v>
      </c>
      <c r="N32" s="271" t="s">
        <v>61</v>
      </c>
      <c r="O32" s="271" t="s">
        <v>61</v>
      </c>
      <c r="P32" s="271" t="s">
        <v>61</v>
      </c>
      <c r="Q32" s="271" t="s">
        <v>61</v>
      </c>
      <c r="R32" s="270" t="s">
        <v>62</v>
      </c>
      <c r="S32" s="270" t="s">
        <v>62</v>
      </c>
      <c r="T32" s="270" t="s">
        <v>62</v>
      </c>
      <c r="U32" s="270" t="s">
        <v>62</v>
      </c>
      <c r="V32" s="270" t="s">
        <v>62</v>
      </c>
      <c r="W32" s="270" t="s">
        <v>62</v>
      </c>
      <c r="X32" s="270" t="s">
        <v>62</v>
      </c>
      <c r="Y32" s="270" t="s">
        <v>62</v>
      </c>
      <c r="Z32" s="270" t="s">
        <v>62</v>
      </c>
      <c r="AA32" s="270" t="s">
        <v>62</v>
      </c>
      <c r="AB32" s="270" t="s">
        <v>62</v>
      </c>
      <c r="AC32" s="270" t="s">
        <v>62</v>
      </c>
      <c r="AD32" s="270" t="s">
        <v>62</v>
      </c>
      <c r="AE32" s="270" t="s">
        <v>62</v>
      </c>
      <c r="AF32" s="270" t="s">
        <v>62</v>
      </c>
      <c r="AG32" s="92"/>
      <c r="AH32" s="92"/>
    </row>
    <row r="33" spans="1:34" ht="114" customHeight="1">
      <c r="A33" s="92"/>
      <c r="B33" s="279" t="s">
        <v>63</v>
      </c>
      <c r="C33" s="280" t="s">
        <v>63</v>
      </c>
      <c r="D33" s="281" t="s">
        <v>63</v>
      </c>
      <c r="E33" s="267">
        <v>42391.634837962964</v>
      </c>
      <c r="F33" s="268">
        <v>42391.634837962964</v>
      </c>
      <c r="G33" s="268">
        <v>42391.634837962964</v>
      </c>
      <c r="H33" s="269">
        <v>42391.634837962964</v>
      </c>
      <c r="I33" s="270" t="s">
        <v>64</v>
      </c>
      <c r="J33" s="271" t="s">
        <v>64</v>
      </c>
      <c r="K33" s="271" t="s">
        <v>64</v>
      </c>
      <c r="L33" s="271" t="s">
        <v>64</v>
      </c>
      <c r="M33" s="271" t="s">
        <v>64</v>
      </c>
      <c r="N33" s="271" t="s">
        <v>64</v>
      </c>
      <c r="O33" s="271" t="s">
        <v>64</v>
      </c>
      <c r="P33" s="271" t="s">
        <v>64</v>
      </c>
      <c r="Q33" s="271" t="s">
        <v>64</v>
      </c>
      <c r="R33" s="270" t="s">
        <v>65</v>
      </c>
      <c r="S33" s="270" t="s">
        <v>65</v>
      </c>
      <c r="T33" s="270" t="s">
        <v>65</v>
      </c>
      <c r="U33" s="270" t="s">
        <v>65</v>
      </c>
      <c r="V33" s="270" t="s">
        <v>65</v>
      </c>
      <c r="W33" s="270" t="s">
        <v>65</v>
      </c>
      <c r="X33" s="270" t="s">
        <v>65</v>
      </c>
      <c r="Y33" s="270" t="s">
        <v>65</v>
      </c>
      <c r="Z33" s="270" t="s">
        <v>65</v>
      </c>
      <c r="AA33" s="270" t="s">
        <v>65</v>
      </c>
      <c r="AB33" s="270" t="s">
        <v>65</v>
      </c>
      <c r="AC33" s="270" t="s">
        <v>65</v>
      </c>
      <c r="AD33" s="270" t="s">
        <v>65</v>
      </c>
      <c r="AE33" s="270" t="s">
        <v>65</v>
      </c>
      <c r="AF33" s="270" t="s">
        <v>65</v>
      </c>
      <c r="AG33" s="92"/>
      <c r="AH33" s="92"/>
    </row>
    <row r="34" spans="1:34" ht="40.5" customHeight="1">
      <c r="A34" s="92"/>
      <c r="B34" s="265" t="s">
        <v>66</v>
      </c>
      <c r="C34" s="266"/>
      <c r="D34" s="266"/>
      <c r="E34" s="267"/>
      <c r="F34" s="268"/>
      <c r="G34" s="268"/>
      <c r="H34" s="269"/>
      <c r="I34" s="270" t="s">
        <v>67</v>
      </c>
      <c r="J34" s="271"/>
      <c r="K34" s="271"/>
      <c r="L34" s="271"/>
      <c r="M34" s="271"/>
      <c r="N34" s="271"/>
      <c r="O34" s="271"/>
      <c r="P34" s="271"/>
      <c r="Q34" s="271"/>
      <c r="R34" s="270" t="s">
        <v>68</v>
      </c>
      <c r="S34" s="270"/>
      <c r="T34" s="270"/>
      <c r="U34" s="270"/>
      <c r="V34" s="270"/>
      <c r="W34" s="270"/>
      <c r="X34" s="270"/>
      <c r="Y34" s="270"/>
      <c r="Z34" s="270"/>
      <c r="AA34" s="270"/>
      <c r="AB34" s="270"/>
      <c r="AC34" s="270"/>
      <c r="AD34" s="270"/>
      <c r="AE34" s="270"/>
      <c r="AF34" s="270"/>
      <c r="AG34" s="92"/>
      <c r="AH34" s="92"/>
    </row>
    <row r="35" spans="1:34" ht="40.5" customHeight="1">
      <c r="A35" s="92"/>
      <c r="B35" s="265" t="s">
        <v>69</v>
      </c>
      <c r="C35" s="266"/>
      <c r="D35" s="266"/>
      <c r="E35" s="267"/>
      <c r="F35" s="268"/>
      <c r="G35" s="268"/>
      <c r="H35" s="269"/>
      <c r="I35" s="270" t="s">
        <v>67</v>
      </c>
      <c r="J35" s="271"/>
      <c r="K35" s="271"/>
      <c r="L35" s="271"/>
      <c r="M35" s="271"/>
      <c r="N35" s="271"/>
      <c r="O35" s="271"/>
      <c r="P35" s="271"/>
      <c r="Q35" s="271"/>
      <c r="R35" s="270" t="s">
        <v>70</v>
      </c>
      <c r="S35" s="270"/>
      <c r="T35" s="270"/>
      <c r="U35" s="270"/>
      <c r="V35" s="270"/>
      <c r="W35" s="270"/>
      <c r="X35" s="270"/>
      <c r="Y35" s="270"/>
      <c r="Z35" s="270"/>
      <c r="AA35" s="270"/>
      <c r="AB35" s="270"/>
      <c r="AC35" s="270"/>
      <c r="AD35" s="270"/>
      <c r="AE35" s="270"/>
      <c r="AF35" s="270"/>
      <c r="AG35" s="92"/>
      <c r="AH35" s="92"/>
    </row>
    <row r="36" spans="1:34" ht="40.5" customHeight="1">
      <c r="A36" s="92"/>
      <c r="B36" s="265" t="s">
        <v>71</v>
      </c>
      <c r="C36" s="266"/>
      <c r="D36" s="266"/>
      <c r="E36" s="267"/>
      <c r="F36" s="268"/>
      <c r="G36" s="268"/>
      <c r="H36" s="269"/>
      <c r="I36" s="270" t="s">
        <v>67</v>
      </c>
      <c r="J36" s="271"/>
      <c r="K36" s="271"/>
      <c r="L36" s="271"/>
      <c r="M36" s="271"/>
      <c r="N36" s="271"/>
      <c r="O36" s="271"/>
      <c r="P36" s="271"/>
      <c r="Q36" s="271"/>
      <c r="R36" s="270" t="s">
        <v>72</v>
      </c>
      <c r="S36" s="270"/>
      <c r="T36" s="270"/>
      <c r="U36" s="270"/>
      <c r="V36" s="270"/>
      <c r="W36" s="270"/>
      <c r="X36" s="270"/>
      <c r="Y36" s="270"/>
      <c r="Z36" s="270"/>
      <c r="AA36" s="270"/>
      <c r="AB36" s="270"/>
      <c r="AC36" s="270"/>
      <c r="AD36" s="270"/>
      <c r="AE36" s="270"/>
      <c r="AF36" s="270"/>
      <c r="AG36" s="92"/>
      <c r="AH36" s="92"/>
    </row>
    <row r="37" spans="1:34" ht="102" customHeight="1">
      <c r="A37" s="92"/>
      <c r="B37" s="265" t="s">
        <v>73</v>
      </c>
      <c r="C37" s="266"/>
      <c r="D37" s="266"/>
      <c r="E37" s="267"/>
      <c r="F37" s="268"/>
      <c r="G37" s="268"/>
      <c r="H37" s="269"/>
      <c r="I37" s="270" t="s">
        <v>67</v>
      </c>
      <c r="J37" s="271"/>
      <c r="K37" s="271"/>
      <c r="L37" s="271"/>
      <c r="M37" s="271"/>
      <c r="N37" s="271"/>
      <c r="O37" s="271"/>
      <c r="P37" s="271"/>
      <c r="Q37" s="271"/>
      <c r="R37" s="270" t="s">
        <v>74</v>
      </c>
      <c r="S37" s="270"/>
      <c r="T37" s="270"/>
      <c r="U37" s="270"/>
      <c r="V37" s="270"/>
      <c r="W37" s="270"/>
      <c r="X37" s="270"/>
      <c r="Y37" s="270"/>
      <c r="Z37" s="270"/>
      <c r="AA37" s="270"/>
      <c r="AB37" s="270"/>
      <c r="AC37" s="270"/>
      <c r="AD37" s="270"/>
      <c r="AE37" s="270"/>
      <c r="AF37" s="270"/>
      <c r="AG37" s="92"/>
      <c r="AH37" s="92"/>
    </row>
    <row r="38" spans="1:34" ht="217.5" customHeight="1">
      <c r="A38" s="92"/>
      <c r="B38" s="265" t="s">
        <v>75</v>
      </c>
      <c r="C38" s="266"/>
      <c r="D38" s="266"/>
      <c r="E38" s="267"/>
      <c r="F38" s="268"/>
      <c r="G38" s="268"/>
      <c r="H38" s="269"/>
      <c r="I38" s="270" t="s">
        <v>67</v>
      </c>
      <c r="J38" s="271"/>
      <c r="K38" s="271"/>
      <c r="L38" s="271"/>
      <c r="M38" s="271"/>
      <c r="N38" s="271"/>
      <c r="O38" s="271"/>
      <c r="P38" s="271"/>
      <c r="Q38" s="271"/>
      <c r="R38" s="270" t="s">
        <v>76</v>
      </c>
      <c r="S38" s="270"/>
      <c r="T38" s="270"/>
      <c r="U38" s="270"/>
      <c r="V38" s="270"/>
      <c r="W38" s="270"/>
      <c r="X38" s="270"/>
      <c r="Y38" s="270"/>
      <c r="Z38" s="270"/>
      <c r="AA38" s="270"/>
      <c r="AB38" s="270"/>
      <c r="AC38" s="270"/>
      <c r="AD38" s="270"/>
      <c r="AE38" s="270"/>
      <c r="AF38" s="270"/>
      <c r="AG38" s="92"/>
      <c r="AH38" s="92"/>
    </row>
    <row r="39" spans="1:34" ht="40.5" customHeight="1">
      <c r="A39" s="92"/>
      <c r="B39" s="265" t="s">
        <v>77</v>
      </c>
      <c r="C39" s="266"/>
      <c r="D39" s="266"/>
      <c r="E39" s="267"/>
      <c r="F39" s="268"/>
      <c r="G39" s="268"/>
      <c r="H39" s="269"/>
      <c r="I39" s="270" t="s">
        <v>67</v>
      </c>
      <c r="J39" s="271"/>
      <c r="K39" s="271"/>
      <c r="L39" s="271"/>
      <c r="M39" s="271"/>
      <c r="N39" s="271"/>
      <c r="O39" s="271"/>
      <c r="P39" s="271"/>
      <c r="Q39" s="271"/>
      <c r="R39" s="270" t="s">
        <v>78</v>
      </c>
      <c r="S39" s="270"/>
      <c r="T39" s="270"/>
      <c r="U39" s="270"/>
      <c r="V39" s="270"/>
      <c r="W39" s="270"/>
      <c r="X39" s="270"/>
      <c r="Y39" s="270"/>
      <c r="Z39" s="270"/>
      <c r="AA39" s="270"/>
      <c r="AB39" s="270"/>
      <c r="AC39" s="270"/>
      <c r="AD39" s="270"/>
      <c r="AE39" s="270"/>
      <c r="AF39" s="270"/>
      <c r="AG39" s="92"/>
      <c r="AH39" s="92"/>
    </row>
    <row r="40" spans="1:34" ht="69" customHeight="1">
      <c r="A40" s="92"/>
      <c r="B40" s="265" t="s">
        <v>79</v>
      </c>
      <c r="C40" s="266"/>
      <c r="D40" s="266"/>
      <c r="E40" s="267">
        <v>44562</v>
      </c>
      <c r="F40" s="268"/>
      <c r="G40" s="268"/>
      <c r="H40" s="269"/>
      <c r="I40" s="270" t="s">
        <v>67</v>
      </c>
      <c r="J40" s="271"/>
      <c r="K40" s="271"/>
      <c r="L40" s="271"/>
      <c r="M40" s="271"/>
      <c r="N40" s="271"/>
      <c r="O40" s="271"/>
      <c r="P40" s="271"/>
      <c r="Q40" s="271"/>
      <c r="R40" s="270" t="s">
        <v>80</v>
      </c>
      <c r="S40" s="270"/>
      <c r="T40" s="270"/>
      <c r="U40" s="270"/>
      <c r="V40" s="270"/>
      <c r="W40" s="270"/>
      <c r="X40" s="270"/>
      <c r="Y40" s="270"/>
      <c r="Z40" s="270"/>
      <c r="AA40" s="270"/>
      <c r="AB40" s="270"/>
      <c r="AC40" s="270"/>
      <c r="AD40" s="270"/>
      <c r="AE40" s="270"/>
      <c r="AF40" s="270"/>
      <c r="AG40" s="92"/>
      <c r="AH40" s="92"/>
    </row>
    <row r="41" spans="1:34" ht="30" customHeight="1">
      <c r="A41" s="92"/>
      <c r="B41" s="272" t="s">
        <v>952</v>
      </c>
      <c r="C41" s="266"/>
      <c r="D41" s="266"/>
      <c r="E41" s="267" t="s">
        <v>953</v>
      </c>
      <c r="F41" s="268"/>
      <c r="G41" s="268"/>
      <c r="H41" s="269"/>
      <c r="I41" s="270" t="s">
        <v>954</v>
      </c>
      <c r="J41" s="271"/>
      <c r="K41" s="271"/>
      <c r="L41" s="271"/>
      <c r="M41" s="271"/>
      <c r="N41" s="271"/>
      <c r="O41" s="271"/>
      <c r="P41" s="271"/>
      <c r="Q41" s="271"/>
      <c r="R41" s="270" t="s">
        <v>955</v>
      </c>
      <c r="S41" s="270"/>
      <c r="T41" s="270"/>
      <c r="U41" s="270"/>
      <c r="V41" s="270"/>
      <c r="W41" s="270"/>
      <c r="X41" s="270"/>
      <c r="Y41" s="270"/>
      <c r="Z41" s="270"/>
      <c r="AA41" s="270"/>
      <c r="AB41" s="270"/>
      <c r="AC41" s="270"/>
      <c r="AD41" s="270"/>
      <c r="AE41" s="270"/>
      <c r="AF41" s="270"/>
      <c r="AG41" s="92"/>
      <c r="AH41" s="92"/>
    </row>
    <row r="42" spans="1:34" ht="30" customHeight="1">
      <c r="A42" s="92"/>
      <c r="B42" s="272" t="s">
        <v>957</v>
      </c>
      <c r="C42" s="266"/>
      <c r="D42" s="266"/>
      <c r="E42" s="267" t="s">
        <v>958</v>
      </c>
      <c r="F42" s="268"/>
      <c r="G42" s="268"/>
      <c r="H42" s="269"/>
      <c r="I42" s="270" t="s">
        <v>954</v>
      </c>
      <c r="J42" s="271"/>
      <c r="K42" s="271"/>
      <c r="L42" s="271"/>
      <c r="M42" s="271"/>
      <c r="N42" s="271"/>
      <c r="O42" s="271"/>
      <c r="P42" s="271"/>
      <c r="Q42" s="271"/>
      <c r="R42" s="270" t="s">
        <v>959</v>
      </c>
      <c r="S42" s="270"/>
      <c r="T42" s="270"/>
      <c r="U42" s="270"/>
      <c r="V42" s="270"/>
      <c r="W42" s="270"/>
      <c r="X42" s="270"/>
      <c r="Y42" s="270"/>
      <c r="Z42" s="270"/>
      <c r="AA42" s="270"/>
      <c r="AB42" s="270"/>
      <c r="AC42" s="270"/>
      <c r="AD42" s="270"/>
      <c r="AE42" s="270"/>
      <c r="AF42" s="270"/>
      <c r="AG42" s="92"/>
      <c r="AH42" s="92"/>
    </row>
    <row r="43" spans="1:34" ht="69" customHeight="1">
      <c r="A43" s="92"/>
      <c r="B43" s="265"/>
      <c r="C43" s="266"/>
      <c r="D43" s="266"/>
      <c r="E43" s="267"/>
      <c r="F43" s="268"/>
      <c r="G43" s="268"/>
      <c r="H43" s="269"/>
      <c r="I43" s="270"/>
      <c r="J43" s="271"/>
      <c r="K43" s="271"/>
      <c r="L43" s="271"/>
      <c r="M43" s="271"/>
      <c r="N43" s="271"/>
      <c r="O43" s="271"/>
      <c r="P43" s="271"/>
      <c r="Q43" s="271"/>
      <c r="R43" s="270"/>
      <c r="S43" s="270"/>
      <c r="T43" s="270"/>
      <c r="U43" s="270"/>
      <c r="V43" s="270"/>
      <c r="W43" s="270"/>
      <c r="X43" s="270"/>
      <c r="Y43" s="270"/>
      <c r="Z43" s="270"/>
      <c r="AA43" s="270"/>
      <c r="AB43" s="270"/>
      <c r="AC43" s="270"/>
      <c r="AD43" s="270"/>
      <c r="AE43" s="270"/>
      <c r="AF43" s="270"/>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94" t="s">
        <v>84</v>
      </c>
      <c r="C49" s="294"/>
      <c r="D49" s="294"/>
      <c r="E49" s="294" t="s">
        <v>85</v>
      </c>
      <c r="F49" s="298"/>
      <c r="G49" s="298"/>
      <c r="H49" s="298"/>
      <c r="I49" s="298"/>
      <c r="J49" s="298"/>
      <c r="K49" s="298"/>
      <c r="L49" s="298"/>
      <c r="M49" s="298"/>
      <c r="N49" s="298"/>
      <c r="O49" s="298"/>
      <c r="P49" s="298"/>
      <c r="Q49" s="298"/>
      <c r="R49" s="298"/>
      <c r="S49" s="298"/>
      <c r="T49" s="298"/>
      <c r="U49" s="298"/>
      <c r="V49" s="298"/>
      <c r="W49" s="298"/>
      <c r="X49" s="298"/>
      <c r="Y49" s="294" t="s">
        <v>86</v>
      </c>
      <c r="Z49" s="294"/>
      <c r="AA49" s="294"/>
      <c r="AB49" s="294"/>
      <c r="AC49" s="294"/>
      <c r="AD49" s="294"/>
      <c r="AE49" s="294"/>
      <c r="AF49" s="294"/>
      <c r="AG49" s="92"/>
      <c r="AH49" s="92"/>
    </row>
    <row r="50" spans="1:34">
      <c r="A50" s="92"/>
      <c r="B50" s="303"/>
      <c r="C50" s="303"/>
      <c r="D50" s="303"/>
      <c r="E50" s="270"/>
      <c r="F50" s="302"/>
      <c r="G50" s="302"/>
      <c r="H50" s="302"/>
      <c r="I50" s="302"/>
      <c r="J50" s="302"/>
      <c r="K50" s="302"/>
      <c r="L50" s="302"/>
      <c r="M50" s="302"/>
      <c r="N50" s="302"/>
      <c r="O50" s="302"/>
      <c r="P50" s="302"/>
      <c r="Q50" s="302"/>
      <c r="R50" s="302"/>
      <c r="S50" s="302"/>
      <c r="T50" s="302"/>
      <c r="U50" s="302"/>
      <c r="V50" s="302"/>
      <c r="W50" s="302"/>
      <c r="X50" s="302"/>
      <c r="Y50" s="270"/>
      <c r="Z50" s="302"/>
      <c r="AA50" s="302"/>
      <c r="AB50" s="302"/>
      <c r="AC50" s="302"/>
      <c r="AD50" s="302"/>
      <c r="AE50" s="302"/>
      <c r="AF50" s="302"/>
      <c r="AG50" s="92"/>
      <c r="AH50" s="92"/>
    </row>
    <row r="51" spans="1:34">
      <c r="A51" s="92"/>
      <c r="B51" s="303"/>
      <c r="C51" s="303"/>
      <c r="D51" s="303"/>
      <c r="E51" s="270"/>
      <c r="F51" s="302"/>
      <c r="G51" s="302"/>
      <c r="H51" s="302"/>
      <c r="I51" s="302"/>
      <c r="J51" s="302"/>
      <c r="K51" s="302"/>
      <c r="L51" s="302"/>
      <c r="M51" s="302"/>
      <c r="N51" s="302"/>
      <c r="O51" s="302"/>
      <c r="P51" s="302"/>
      <c r="Q51" s="302"/>
      <c r="R51" s="302"/>
      <c r="S51" s="302"/>
      <c r="T51" s="302"/>
      <c r="U51" s="302"/>
      <c r="V51" s="302"/>
      <c r="W51" s="302"/>
      <c r="X51" s="302"/>
      <c r="Y51" s="270"/>
      <c r="Z51" s="302"/>
      <c r="AA51" s="302"/>
      <c r="AB51" s="302"/>
      <c r="AC51" s="302"/>
      <c r="AD51" s="302"/>
      <c r="AE51" s="302"/>
      <c r="AF51" s="302"/>
      <c r="AG51" s="92"/>
      <c r="AH51" s="92"/>
    </row>
    <row r="52" spans="1:34">
      <c r="A52" s="92"/>
      <c r="B52" s="303"/>
      <c r="C52" s="303"/>
      <c r="D52" s="303"/>
      <c r="E52" s="270"/>
      <c r="F52" s="302"/>
      <c r="G52" s="302"/>
      <c r="H52" s="302"/>
      <c r="I52" s="302"/>
      <c r="J52" s="302"/>
      <c r="K52" s="302"/>
      <c r="L52" s="302"/>
      <c r="M52" s="302"/>
      <c r="N52" s="302"/>
      <c r="O52" s="302"/>
      <c r="P52" s="302"/>
      <c r="Q52" s="302"/>
      <c r="R52" s="302"/>
      <c r="S52" s="302"/>
      <c r="T52" s="302"/>
      <c r="U52" s="302"/>
      <c r="V52" s="302"/>
      <c r="W52" s="302"/>
      <c r="X52" s="302"/>
      <c r="Y52" s="270"/>
      <c r="Z52" s="302"/>
      <c r="AA52" s="302"/>
      <c r="AB52" s="302"/>
      <c r="AC52" s="302"/>
      <c r="AD52" s="302"/>
      <c r="AE52" s="302"/>
      <c r="AF52" s="302"/>
      <c r="AG52" s="92"/>
      <c r="AH52" s="92"/>
    </row>
    <row r="53" spans="1:34">
      <c r="A53" s="92"/>
      <c r="B53" s="303"/>
      <c r="C53" s="303"/>
      <c r="D53" s="303"/>
      <c r="E53" s="270"/>
      <c r="F53" s="302"/>
      <c r="G53" s="302"/>
      <c r="H53" s="302"/>
      <c r="I53" s="302"/>
      <c r="J53" s="302"/>
      <c r="K53" s="302"/>
      <c r="L53" s="302"/>
      <c r="M53" s="302"/>
      <c r="N53" s="302"/>
      <c r="O53" s="302"/>
      <c r="P53" s="302"/>
      <c r="Q53" s="302"/>
      <c r="R53" s="302"/>
      <c r="S53" s="302"/>
      <c r="T53" s="302"/>
      <c r="U53" s="302"/>
      <c r="V53" s="302"/>
      <c r="W53" s="302"/>
      <c r="X53" s="302"/>
      <c r="Y53" s="270"/>
      <c r="Z53" s="302"/>
      <c r="AA53" s="302"/>
      <c r="AB53" s="302"/>
      <c r="AC53" s="302"/>
      <c r="AD53" s="302"/>
      <c r="AE53" s="302"/>
      <c r="AF53" s="302"/>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94" t="s">
        <v>84</v>
      </c>
      <c r="C55" s="294"/>
      <c r="D55" s="294"/>
      <c r="E55" s="294" t="s">
        <v>85</v>
      </c>
      <c r="F55" s="298"/>
      <c r="G55" s="298"/>
      <c r="H55" s="298"/>
      <c r="I55" s="298"/>
      <c r="J55" s="298"/>
      <c r="K55" s="298"/>
      <c r="L55" s="298"/>
      <c r="M55" s="298"/>
      <c r="N55" s="298"/>
      <c r="O55" s="298"/>
      <c r="P55" s="298"/>
      <c r="Q55" s="298"/>
      <c r="R55" s="298"/>
      <c r="S55" s="298"/>
      <c r="T55" s="298"/>
      <c r="U55" s="298"/>
      <c r="V55" s="298"/>
      <c r="W55" s="298"/>
      <c r="X55" s="298"/>
      <c r="Y55" s="294" t="s">
        <v>86</v>
      </c>
      <c r="Z55" s="294"/>
      <c r="AA55" s="294"/>
      <c r="AB55" s="294"/>
      <c r="AC55" s="294"/>
      <c r="AD55" s="294"/>
      <c r="AE55" s="294"/>
      <c r="AF55" s="294"/>
      <c r="AG55" s="92"/>
      <c r="AH55" s="92"/>
    </row>
    <row r="56" spans="1:34">
      <c r="A56" s="92"/>
      <c r="B56" s="303"/>
      <c r="C56" s="303"/>
      <c r="D56" s="303"/>
      <c r="E56" s="270"/>
      <c r="F56" s="302"/>
      <c r="G56" s="302"/>
      <c r="H56" s="302"/>
      <c r="I56" s="302"/>
      <c r="J56" s="302"/>
      <c r="K56" s="302"/>
      <c r="L56" s="302"/>
      <c r="M56" s="302"/>
      <c r="N56" s="302"/>
      <c r="O56" s="302"/>
      <c r="P56" s="302"/>
      <c r="Q56" s="302"/>
      <c r="R56" s="302"/>
      <c r="S56" s="302"/>
      <c r="T56" s="302"/>
      <c r="U56" s="302"/>
      <c r="V56" s="302"/>
      <c r="W56" s="302"/>
      <c r="X56" s="302"/>
      <c r="Y56" s="270"/>
      <c r="Z56" s="302"/>
      <c r="AA56" s="302"/>
      <c r="AB56" s="302"/>
      <c r="AC56" s="302"/>
      <c r="AD56" s="302"/>
      <c r="AE56" s="302"/>
      <c r="AF56" s="302"/>
      <c r="AG56" s="92"/>
      <c r="AH56" s="92"/>
    </row>
    <row r="57" spans="1:34">
      <c r="A57" s="92"/>
      <c r="B57" s="303"/>
      <c r="C57" s="303"/>
      <c r="D57" s="303"/>
      <c r="E57" s="270"/>
      <c r="F57" s="302"/>
      <c r="G57" s="302"/>
      <c r="H57" s="302"/>
      <c r="I57" s="302"/>
      <c r="J57" s="302"/>
      <c r="K57" s="302"/>
      <c r="L57" s="302"/>
      <c r="M57" s="302"/>
      <c r="N57" s="302"/>
      <c r="O57" s="302"/>
      <c r="P57" s="302"/>
      <c r="Q57" s="302"/>
      <c r="R57" s="302"/>
      <c r="S57" s="302"/>
      <c r="T57" s="302"/>
      <c r="U57" s="302"/>
      <c r="V57" s="302"/>
      <c r="W57" s="302"/>
      <c r="X57" s="302"/>
      <c r="Y57" s="270"/>
      <c r="Z57" s="302"/>
      <c r="AA57" s="302"/>
      <c r="AB57" s="302"/>
      <c r="AC57" s="302"/>
      <c r="AD57" s="302"/>
      <c r="AE57" s="302"/>
      <c r="AF57" s="302"/>
      <c r="AG57" s="92"/>
      <c r="AH57" s="92"/>
    </row>
    <row r="58" spans="1:34">
      <c r="A58" s="92"/>
      <c r="B58" s="303"/>
      <c r="C58" s="303"/>
      <c r="D58" s="303"/>
      <c r="E58" s="270"/>
      <c r="F58" s="302"/>
      <c r="G58" s="302"/>
      <c r="H58" s="302"/>
      <c r="I58" s="302"/>
      <c r="J58" s="302"/>
      <c r="K58" s="302"/>
      <c r="L58" s="302"/>
      <c r="M58" s="302"/>
      <c r="N58" s="302"/>
      <c r="O58" s="302"/>
      <c r="P58" s="302"/>
      <c r="Q58" s="302"/>
      <c r="R58" s="302"/>
      <c r="S58" s="302"/>
      <c r="T58" s="302"/>
      <c r="U58" s="302"/>
      <c r="V58" s="302"/>
      <c r="W58" s="302"/>
      <c r="X58" s="302"/>
      <c r="Y58" s="270"/>
      <c r="Z58" s="302"/>
      <c r="AA58" s="302"/>
      <c r="AB58" s="302"/>
      <c r="AC58" s="302"/>
      <c r="AD58" s="302"/>
      <c r="AE58" s="302"/>
      <c r="AF58" s="302"/>
      <c r="AG58" s="92"/>
      <c r="AH58" s="92"/>
    </row>
    <row r="59" spans="1:34">
      <c r="A59" s="92"/>
      <c r="B59" s="303"/>
      <c r="C59" s="303"/>
      <c r="D59" s="303"/>
      <c r="E59" s="270"/>
      <c r="F59" s="302"/>
      <c r="G59" s="302"/>
      <c r="H59" s="302"/>
      <c r="I59" s="302"/>
      <c r="J59" s="302"/>
      <c r="K59" s="302"/>
      <c r="L59" s="302"/>
      <c r="M59" s="302"/>
      <c r="N59" s="302"/>
      <c r="O59" s="302"/>
      <c r="P59" s="302"/>
      <c r="Q59" s="302"/>
      <c r="R59" s="302"/>
      <c r="S59" s="302"/>
      <c r="T59" s="302"/>
      <c r="U59" s="302"/>
      <c r="V59" s="302"/>
      <c r="W59" s="302"/>
      <c r="X59" s="302"/>
      <c r="Y59" s="270"/>
      <c r="Z59" s="302"/>
      <c r="AA59" s="302"/>
      <c r="AB59" s="302"/>
      <c r="AC59" s="302"/>
      <c r="AD59" s="302"/>
      <c r="AE59" s="302"/>
      <c r="AF59" s="302"/>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94" t="s">
        <v>89</v>
      </c>
      <c r="C62" s="294"/>
      <c r="D62" s="294"/>
      <c r="E62" s="294"/>
      <c r="F62" s="294"/>
      <c r="G62" s="294"/>
      <c r="H62" s="304"/>
      <c r="I62" s="304"/>
      <c r="J62" s="304"/>
      <c r="K62" s="304"/>
      <c r="L62" s="304"/>
      <c r="M62" s="304"/>
      <c r="N62" s="304"/>
      <c r="O62" s="304"/>
      <c r="P62" s="304"/>
      <c r="Q62" s="304"/>
      <c r="R62" s="304"/>
      <c r="S62" s="304"/>
      <c r="T62" s="304"/>
      <c r="U62" s="304"/>
      <c r="V62" s="304"/>
      <c r="W62" s="304"/>
      <c r="X62" s="304"/>
      <c r="Y62" s="304"/>
      <c r="Z62" s="304"/>
      <c r="AA62" s="304"/>
      <c r="AB62" s="304"/>
      <c r="AC62" s="304"/>
      <c r="AD62" s="304"/>
      <c r="AE62" s="304"/>
      <c r="AF62" s="304"/>
      <c r="AG62" s="92"/>
      <c r="AH62" s="92"/>
    </row>
    <row r="63" spans="1:34" ht="27.75" customHeight="1">
      <c r="A63" s="92"/>
      <c r="B63" s="279" t="s">
        <v>90</v>
      </c>
      <c r="C63" s="280"/>
      <c r="D63" s="280"/>
      <c r="E63" s="280"/>
      <c r="F63" s="280"/>
      <c r="G63" s="281"/>
      <c r="H63" s="308" t="s">
        <v>91</v>
      </c>
      <c r="I63" s="306"/>
      <c r="J63" s="306"/>
      <c r="K63" s="306"/>
      <c r="L63" s="306"/>
      <c r="M63" s="306"/>
      <c r="N63" s="306"/>
      <c r="O63" s="306"/>
      <c r="P63" s="306"/>
      <c r="Q63" s="306"/>
      <c r="R63" s="306"/>
      <c r="S63" s="306"/>
      <c r="T63" s="306"/>
      <c r="U63" s="306"/>
      <c r="V63" s="306"/>
      <c r="W63" s="306"/>
      <c r="X63" s="306"/>
      <c r="Y63" s="306"/>
      <c r="Z63" s="306"/>
      <c r="AA63" s="306"/>
      <c r="AB63" s="306"/>
      <c r="AC63" s="306"/>
      <c r="AD63" s="306"/>
      <c r="AE63" s="306"/>
      <c r="AF63" s="307"/>
      <c r="AG63" s="92"/>
      <c r="AH63" s="92"/>
    </row>
    <row r="64" spans="1:34">
      <c r="A64" s="92"/>
      <c r="B64" s="279"/>
      <c r="C64" s="280"/>
      <c r="D64" s="280"/>
      <c r="E64" s="280"/>
      <c r="F64" s="280"/>
      <c r="G64" s="281"/>
      <c r="H64" s="305"/>
      <c r="I64" s="306"/>
      <c r="J64" s="306"/>
      <c r="K64" s="306"/>
      <c r="L64" s="306"/>
      <c r="M64" s="306"/>
      <c r="N64" s="306"/>
      <c r="O64" s="306"/>
      <c r="P64" s="306"/>
      <c r="Q64" s="306"/>
      <c r="R64" s="306"/>
      <c r="S64" s="306"/>
      <c r="T64" s="306"/>
      <c r="U64" s="306"/>
      <c r="V64" s="306"/>
      <c r="W64" s="306"/>
      <c r="X64" s="306"/>
      <c r="Y64" s="306"/>
      <c r="Z64" s="306"/>
      <c r="AA64" s="306"/>
      <c r="AB64" s="306"/>
      <c r="AC64" s="306"/>
      <c r="AD64" s="306"/>
      <c r="AE64" s="306"/>
      <c r="AF64" s="307"/>
      <c r="AG64" s="92"/>
      <c r="AH64" s="92"/>
    </row>
    <row r="65" spans="1:34">
      <c r="A65" s="92"/>
      <c r="B65" s="279"/>
      <c r="C65" s="280"/>
      <c r="D65" s="280"/>
      <c r="E65" s="280"/>
      <c r="F65" s="280"/>
      <c r="G65" s="281"/>
      <c r="H65" s="305"/>
      <c r="I65" s="306"/>
      <c r="J65" s="306"/>
      <c r="K65" s="306"/>
      <c r="L65" s="306"/>
      <c r="M65" s="306"/>
      <c r="N65" s="306"/>
      <c r="O65" s="306"/>
      <c r="P65" s="306"/>
      <c r="Q65" s="306"/>
      <c r="R65" s="306"/>
      <c r="S65" s="306"/>
      <c r="T65" s="306"/>
      <c r="U65" s="306"/>
      <c r="V65" s="306"/>
      <c r="W65" s="306"/>
      <c r="X65" s="306"/>
      <c r="Y65" s="306"/>
      <c r="Z65" s="306"/>
      <c r="AA65" s="306"/>
      <c r="AB65" s="306"/>
      <c r="AC65" s="306"/>
      <c r="AD65" s="306"/>
      <c r="AE65" s="306"/>
      <c r="AF65" s="307"/>
      <c r="AG65" s="92"/>
      <c r="AH65" s="92"/>
    </row>
    <row r="66" spans="1:34">
      <c r="A66" s="92"/>
      <c r="B66" s="279"/>
      <c r="C66" s="280"/>
      <c r="D66" s="280"/>
      <c r="E66" s="280"/>
      <c r="F66" s="280"/>
      <c r="G66" s="281"/>
      <c r="H66" s="305"/>
      <c r="I66" s="306"/>
      <c r="J66" s="306"/>
      <c r="K66" s="306"/>
      <c r="L66" s="306"/>
      <c r="M66" s="306"/>
      <c r="N66" s="306"/>
      <c r="O66" s="306"/>
      <c r="P66" s="306"/>
      <c r="Q66" s="306"/>
      <c r="R66" s="306"/>
      <c r="S66" s="306"/>
      <c r="T66" s="306"/>
      <c r="U66" s="306"/>
      <c r="V66" s="306"/>
      <c r="W66" s="306"/>
      <c r="X66" s="306"/>
      <c r="Y66" s="306"/>
      <c r="Z66" s="306"/>
      <c r="AA66" s="306"/>
      <c r="AB66" s="306"/>
      <c r="AC66" s="306"/>
      <c r="AD66" s="306"/>
      <c r="AE66" s="306"/>
      <c r="AF66" s="307"/>
      <c r="AG66" s="92"/>
      <c r="AH66" s="92"/>
    </row>
    <row r="67" spans="1:34">
      <c r="A67" s="92"/>
      <c r="B67" s="279"/>
      <c r="C67" s="280"/>
      <c r="D67" s="280"/>
      <c r="E67" s="280"/>
      <c r="F67" s="280"/>
      <c r="G67" s="281"/>
      <c r="H67" s="305"/>
      <c r="I67" s="306"/>
      <c r="J67" s="306"/>
      <c r="K67" s="306"/>
      <c r="L67" s="306"/>
      <c r="M67" s="306"/>
      <c r="N67" s="306"/>
      <c r="O67" s="306"/>
      <c r="P67" s="306"/>
      <c r="Q67" s="306"/>
      <c r="R67" s="306"/>
      <c r="S67" s="306"/>
      <c r="T67" s="306"/>
      <c r="U67" s="306"/>
      <c r="V67" s="306"/>
      <c r="W67" s="306"/>
      <c r="X67" s="306"/>
      <c r="Y67" s="306"/>
      <c r="Z67" s="306"/>
      <c r="AA67" s="306"/>
      <c r="AB67" s="306"/>
      <c r="AC67" s="306"/>
      <c r="AD67" s="306"/>
      <c r="AE67" s="306"/>
      <c r="AF67" s="307"/>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273" t="s">
        <v>94</v>
      </c>
      <c r="C74" s="274"/>
      <c r="D74" s="274"/>
      <c r="E74" s="274"/>
      <c r="F74" s="274"/>
      <c r="G74" s="275"/>
      <c r="H74" s="276" t="s">
        <v>95</v>
      </c>
      <c r="I74" s="277"/>
      <c r="J74" s="277"/>
      <c r="K74" s="277"/>
      <c r="L74" s="277"/>
      <c r="M74" s="277"/>
      <c r="N74" s="277"/>
      <c r="O74" s="277"/>
      <c r="P74" s="277"/>
      <c r="Q74" s="277"/>
      <c r="R74" s="277"/>
      <c r="S74" s="277"/>
      <c r="T74" s="277"/>
      <c r="U74" s="277"/>
      <c r="V74" s="277"/>
      <c r="W74" s="277"/>
      <c r="X74" s="277"/>
      <c r="Y74" s="277"/>
      <c r="Z74" s="277"/>
      <c r="AA74" s="277"/>
      <c r="AB74" s="277"/>
      <c r="AC74" s="277"/>
      <c r="AD74" s="277"/>
      <c r="AE74" s="277"/>
      <c r="AF74" s="278"/>
      <c r="AG74" s="92"/>
      <c r="AH74" s="92"/>
    </row>
    <row r="75" spans="1:34" ht="111" customHeight="1">
      <c r="A75" s="92"/>
      <c r="B75" s="273" t="s">
        <v>96</v>
      </c>
      <c r="C75" s="274"/>
      <c r="D75" s="274"/>
      <c r="E75" s="274"/>
      <c r="F75" s="274"/>
      <c r="G75" s="275"/>
      <c r="H75" s="276" t="s">
        <v>97</v>
      </c>
      <c r="I75" s="277"/>
      <c r="J75" s="277"/>
      <c r="K75" s="277"/>
      <c r="L75" s="277"/>
      <c r="M75" s="277"/>
      <c r="N75" s="277"/>
      <c r="O75" s="277"/>
      <c r="P75" s="277"/>
      <c r="Q75" s="277"/>
      <c r="R75" s="277"/>
      <c r="S75" s="277"/>
      <c r="T75" s="277"/>
      <c r="U75" s="277"/>
      <c r="V75" s="277"/>
      <c r="W75" s="277"/>
      <c r="X75" s="277"/>
      <c r="Y75" s="277"/>
      <c r="Z75" s="277"/>
      <c r="AA75" s="277"/>
      <c r="AB75" s="277"/>
      <c r="AC75" s="277"/>
      <c r="AD75" s="277"/>
      <c r="AE75" s="277"/>
      <c r="AF75" s="278"/>
      <c r="AG75" s="92"/>
      <c r="AH75" s="92"/>
    </row>
    <row r="76" spans="1:34" ht="52.5" customHeight="1">
      <c r="A76" s="92"/>
      <c r="B76" s="273" t="s">
        <v>98</v>
      </c>
      <c r="C76" s="274"/>
      <c r="D76" s="274"/>
      <c r="E76" s="274"/>
      <c r="F76" s="274"/>
      <c r="G76" s="275"/>
      <c r="H76" s="276" t="s">
        <v>99</v>
      </c>
      <c r="I76" s="277"/>
      <c r="J76" s="277"/>
      <c r="K76" s="277"/>
      <c r="L76" s="277"/>
      <c r="M76" s="277"/>
      <c r="N76" s="277"/>
      <c r="O76" s="277"/>
      <c r="P76" s="277"/>
      <c r="Q76" s="277"/>
      <c r="R76" s="277"/>
      <c r="S76" s="277"/>
      <c r="T76" s="277"/>
      <c r="U76" s="277"/>
      <c r="V76" s="277"/>
      <c r="W76" s="277"/>
      <c r="X76" s="277"/>
      <c r="Y76" s="277"/>
      <c r="Z76" s="277"/>
      <c r="AA76" s="277"/>
      <c r="AB76" s="277"/>
      <c r="AC76" s="277"/>
      <c r="AD76" s="277"/>
      <c r="AE76" s="277"/>
      <c r="AF76" s="278"/>
      <c r="AG76" s="92"/>
      <c r="AH76" s="92"/>
    </row>
    <row r="77" spans="1:34" ht="52.5" customHeight="1">
      <c r="A77" s="92"/>
      <c r="B77" s="273" t="s">
        <v>100</v>
      </c>
      <c r="C77" s="274"/>
      <c r="D77" s="274"/>
      <c r="E77" s="274"/>
      <c r="F77" s="274"/>
      <c r="G77" s="275"/>
      <c r="H77" s="276" t="s">
        <v>101</v>
      </c>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8"/>
      <c r="AG77" s="92"/>
      <c r="AH77" s="92"/>
    </row>
    <row r="78" spans="1:34" ht="81" customHeight="1">
      <c r="A78" s="92"/>
      <c r="B78" s="273" t="s">
        <v>102</v>
      </c>
      <c r="C78" s="274"/>
      <c r="D78" s="274"/>
      <c r="E78" s="274"/>
      <c r="F78" s="274"/>
      <c r="G78" s="275"/>
      <c r="H78" s="276" t="s">
        <v>103</v>
      </c>
      <c r="I78" s="277"/>
      <c r="J78" s="277"/>
      <c r="K78" s="277"/>
      <c r="L78" s="277"/>
      <c r="M78" s="277"/>
      <c r="N78" s="277"/>
      <c r="O78" s="277"/>
      <c r="P78" s="277"/>
      <c r="Q78" s="277"/>
      <c r="R78" s="277"/>
      <c r="S78" s="277"/>
      <c r="T78" s="277"/>
      <c r="U78" s="277"/>
      <c r="V78" s="277"/>
      <c r="W78" s="277"/>
      <c r="X78" s="277"/>
      <c r="Y78" s="277"/>
      <c r="Z78" s="277"/>
      <c r="AA78" s="277"/>
      <c r="AB78" s="277"/>
      <c r="AC78" s="277"/>
      <c r="AD78" s="277"/>
      <c r="AE78" s="277"/>
      <c r="AF78" s="278"/>
      <c r="AG78" s="92"/>
      <c r="AH78" s="92"/>
    </row>
    <row r="79" spans="1:34" ht="97.5" customHeight="1">
      <c r="A79" s="92"/>
      <c r="B79" s="273" t="s">
        <v>104</v>
      </c>
      <c r="C79" s="274"/>
      <c r="D79" s="274"/>
      <c r="E79" s="274"/>
      <c r="F79" s="274"/>
      <c r="G79" s="275"/>
      <c r="H79" s="276" t="s">
        <v>105</v>
      </c>
      <c r="I79" s="277"/>
      <c r="J79" s="277"/>
      <c r="K79" s="277"/>
      <c r="L79" s="277"/>
      <c r="M79" s="277"/>
      <c r="N79" s="277"/>
      <c r="O79" s="277"/>
      <c r="P79" s="277"/>
      <c r="Q79" s="277"/>
      <c r="R79" s="277"/>
      <c r="S79" s="277"/>
      <c r="T79" s="277"/>
      <c r="U79" s="277"/>
      <c r="V79" s="277"/>
      <c r="W79" s="277"/>
      <c r="X79" s="277"/>
      <c r="Y79" s="277"/>
      <c r="Z79" s="277"/>
      <c r="AA79" s="277"/>
      <c r="AB79" s="277"/>
      <c r="AC79" s="277"/>
      <c r="AD79" s="277"/>
      <c r="AE79" s="277"/>
      <c r="AF79" s="278"/>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49:D49"/>
    <mergeCell ref="E49:X49"/>
    <mergeCell ref="Y49:AF49"/>
    <mergeCell ref="B50:D50"/>
    <mergeCell ref="E50:X50"/>
    <mergeCell ref="Y50:AF50"/>
    <mergeCell ref="Y58:AF58"/>
    <mergeCell ref="B59:D59"/>
    <mergeCell ref="E59:X59"/>
    <mergeCell ref="Y59:AF59"/>
    <mergeCell ref="B51:D51"/>
    <mergeCell ref="E51:X51"/>
    <mergeCell ref="B67:G67"/>
    <mergeCell ref="H67:AF67"/>
    <mergeCell ref="B64:G64"/>
    <mergeCell ref="H64:AF64"/>
    <mergeCell ref="B65:G65"/>
    <mergeCell ref="H65:AF65"/>
    <mergeCell ref="B66:G66"/>
    <mergeCell ref="H66:AF66"/>
    <mergeCell ref="B63:G63"/>
    <mergeCell ref="H63:AF63"/>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29:D29"/>
    <mergeCell ref="E29:H29"/>
    <mergeCell ref="I29:Q29"/>
    <mergeCell ref="R29:AF29"/>
    <mergeCell ref="B30:D30"/>
    <mergeCell ref="E30:H30"/>
    <mergeCell ref="I30:Q30"/>
    <mergeCell ref="R30:AF30"/>
    <mergeCell ref="B28:D28"/>
    <mergeCell ref="E28:H28"/>
    <mergeCell ref="I28:Q28"/>
    <mergeCell ref="R28:AF28"/>
    <mergeCell ref="B32:D32"/>
    <mergeCell ref="E32:H32"/>
    <mergeCell ref="I32:Q32"/>
    <mergeCell ref="R32:AF32"/>
    <mergeCell ref="B33:D33"/>
    <mergeCell ref="E33:H33"/>
    <mergeCell ref="I33:Q33"/>
    <mergeCell ref="R33:AF33"/>
    <mergeCell ref="B34:D34"/>
    <mergeCell ref="E34:H34"/>
    <mergeCell ref="I34:Q34"/>
    <mergeCell ref="R34:AF34"/>
    <mergeCell ref="B36:D36"/>
    <mergeCell ref="E36:H36"/>
    <mergeCell ref="I36:Q36"/>
    <mergeCell ref="R36:AF36"/>
    <mergeCell ref="B37:D37"/>
    <mergeCell ref="E37:H37"/>
    <mergeCell ref="I37:Q37"/>
    <mergeCell ref="R37:AF37"/>
    <mergeCell ref="B38:D38"/>
    <mergeCell ref="E38:H38"/>
    <mergeCell ref="I38:Q38"/>
    <mergeCell ref="R38:AF38"/>
    <mergeCell ref="B79:G79"/>
    <mergeCell ref="H79:AF79"/>
    <mergeCell ref="B74:G74"/>
    <mergeCell ref="H74:AF74"/>
    <mergeCell ref="B75:G75"/>
    <mergeCell ref="H75:AF75"/>
    <mergeCell ref="B76:G76"/>
    <mergeCell ref="H76:AF76"/>
    <mergeCell ref="B77:G77"/>
    <mergeCell ref="H77:AF77"/>
    <mergeCell ref="B78:G78"/>
    <mergeCell ref="H78:AF78"/>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s>
  <phoneticPr fontId="79"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5"/>
  <sheetViews>
    <sheetView showGridLines="0" zoomScaleNormal="100" workbookViewId="0">
      <selection activeCell="C16" sqref="C16"/>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995</v>
      </c>
      <c r="G2" s="140" t="s">
        <v>996</v>
      </c>
      <c r="H2" s="140" t="s">
        <v>226</v>
      </c>
      <c r="I2" s="140" t="s">
        <v>227</v>
      </c>
      <c r="J2" s="140" t="s">
        <v>228</v>
      </c>
      <c r="K2" s="140" t="s">
        <v>229</v>
      </c>
      <c r="L2" s="140" t="s">
        <v>230</v>
      </c>
      <c r="M2" s="140" t="s">
        <v>231</v>
      </c>
      <c r="N2" s="140" t="s">
        <v>232</v>
      </c>
      <c r="O2" s="140" t="s">
        <v>233</v>
      </c>
    </row>
    <row r="3" spans="1:15">
      <c r="A3" t="s">
        <v>967</v>
      </c>
      <c r="E3" s="222">
        <f>SUM(F3:O3)</f>
        <v>30</v>
      </c>
      <c r="F3" s="129">
        <v>15</v>
      </c>
      <c r="G3" s="129">
        <v>15</v>
      </c>
    </row>
    <row r="4" spans="1:15">
      <c r="A4" t="s">
        <v>968</v>
      </c>
      <c r="B4" s="223"/>
      <c r="C4" s="223"/>
      <c r="D4" s="223"/>
      <c r="E4" s="138">
        <f t="shared" ref="E4:E25" si="0">SUM(F4:O4)</f>
        <v>30</v>
      </c>
      <c r="F4" s="223">
        <v>15</v>
      </c>
      <c r="G4" s="129">
        <v>15</v>
      </c>
      <c r="H4" s="223"/>
      <c r="I4" s="223"/>
      <c r="J4" s="223"/>
      <c r="K4" s="223"/>
      <c r="L4" s="223"/>
      <c r="M4" s="223"/>
      <c r="N4" s="223"/>
      <c r="O4" s="223"/>
    </row>
    <row r="5" spans="1:15">
      <c r="A5" t="s">
        <v>969</v>
      </c>
      <c r="B5" s="223"/>
      <c r="C5" s="223"/>
      <c r="D5" s="223"/>
      <c r="E5" s="138">
        <f t="shared" si="0"/>
        <v>30</v>
      </c>
      <c r="F5" s="223">
        <v>15</v>
      </c>
      <c r="G5" s="129">
        <v>15</v>
      </c>
      <c r="H5" s="223"/>
      <c r="I5" s="223"/>
      <c r="J5" s="223"/>
      <c r="K5" s="223"/>
      <c r="L5" s="223"/>
      <c r="M5" s="223"/>
      <c r="N5" s="223"/>
      <c r="O5" s="223"/>
    </row>
    <row r="6" spans="1:15">
      <c r="A6" t="s">
        <v>970</v>
      </c>
      <c r="B6" s="223"/>
      <c r="C6" s="223"/>
      <c r="D6" s="223"/>
      <c r="E6" s="138">
        <f t="shared" si="0"/>
        <v>30</v>
      </c>
      <c r="F6" s="223">
        <v>15</v>
      </c>
      <c r="G6" s="129">
        <v>15</v>
      </c>
      <c r="H6" s="223"/>
      <c r="I6" s="223"/>
      <c r="J6" s="223"/>
      <c r="K6" s="223"/>
      <c r="L6" s="223"/>
      <c r="M6" s="223"/>
      <c r="N6" s="223"/>
      <c r="O6" s="223"/>
    </row>
    <row r="7" spans="1:15">
      <c r="A7" t="s">
        <v>971</v>
      </c>
      <c r="B7" s="223"/>
      <c r="C7" s="223"/>
      <c r="D7" s="223"/>
      <c r="E7" s="138">
        <f t="shared" si="0"/>
        <v>30</v>
      </c>
      <c r="F7" s="223">
        <v>15</v>
      </c>
      <c r="G7" s="129">
        <v>15</v>
      </c>
      <c r="H7" s="223"/>
      <c r="I7" s="223"/>
      <c r="J7" s="223"/>
      <c r="K7" s="223"/>
      <c r="L7" s="223"/>
      <c r="M7" s="223"/>
      <c r="N7" s="223"/>
      <c r="O7" s="223"/>
    </row>
    <row r="8" spans="1:15">
      <c r="A8" t="s">
        <v>972</v>
      </c>
      <c r="B8" s="223"/>
      <c r="C8" s="223"/>
      <c r="D8" s="223"/>
      <c r="E8" s="138">
        <f t="shared" si="0"/>
        <v>30</v>
      </c>
      <c r="F8" s="223">
        <v>15</v>
      </c>
      <c r="G8" s="129">
        <v>15</v>
      </c>
      <c r="H8" s="223"/>
      <c r="I8" s="223"/>
      <c r="J8" s="223"/>
      <c r="K8" s="223"/>
      <c r="L8" s="223"/>
      <c r="M8" s="223"/>
      <c r="N8" s="223"/>
      <c r="O8" s="223"/>
    </row>
    <row r="9" spans="1:15">
      <c r="A9" t="s">
        <v>973</v>
      </c>
      <c r="B9" s="223"/>
      <c r="C9" s="223"/>
      <c r="D9" s="223"/>
      <c r="E9" s="138">
        <f t="shared" si="0"/>
        <v>30</v>
      </c>
      <c r="F9" s="223">
        <v>15</v>
      </c>
      <c r="G9" s="129">
        <v>15</v>
      </c>
      <c r="H9" s="223"/>
      <c r="I9" s="223"/>
      <c r="J9" s="223"/>
      <c r="K9" s="223"/>
      <c r="L9" s="223"/>
      <c r="M9" s="223"/>
      <c r="N9" s="223"/>
      <c r="O9" s="223"/>
    </row>
    <row r="10" spans="1:15">
      <c r="A10" t="s">
        <v>974</v>
      </c>
      <c r="B10" s="223"/>
      <c r="C10" s="223"/>
      <c r="D10" s="223"/>
      <c r="E10" s="138">
        <f t="shared" si="0"/>
        <v>30</v>
      </c>
      <c r="F10" s="223">
        <v>15</v>
      </c>
      <c r="G10" s="129">
        <v>15</v>
      </c>
      <c r="H10" s="223"/>
      <c r="I10" s="223"/>
      <c r="J10" s="223"/>
      <c r="K10" s="223"/>
      <c r="L10" s="223"/>
      <c r="M10" s="223"/>
      <c r="N10" s="223"/>
      <c r="O10" s="223"/>
    </row>
    <row r="11" spans="1:15">
      <c r="A11" t="s">
        <v>975</v>
      </c>
      <c r="B11" s="223"/>
      <c r="C11" s="223"/>
      <c r="D11" s="223"/>
      <c r="E11" s="138">
        <f t="shared" si="0"/>
        <v>30</v>
      </c>
      <c r="F11" s="223">
        <v>15</v>
      </c>
      <c r="G11" s="129">
        <v>15</v>
      </c>
      <c r="H11" s="223"/>
      <c r="I11" s="223"/>
      <c r="J11" s="223"/>
      <c r="K11" s="223"/>
      <c r="L11" s="223"/>
      <c r="M11" s="223"/>
      <c r="N11" s="223"/>
      <c r="O11" s="223"/>
    </row>
    <row r="12" spans="1:15">
      <c r="A12" t="s">
        <v>976</v>
      </c>
      <c r="B12" s="223"/>
      <c r="C12" s="223"/>
      <c r="D12" s="223"/>
      <c r="E12" s="138">
        <f t="shared" si="0"/>
        <v>30</v>
      </c>
      <c r="F12" s="223">
        <v>15</v>
      </c>
      <c r="G12" s="129">
        <v>15</v>
      </c>
      <c r="H12" s="223"/>
      <c r="I12" s="223"/>
      <c r="J12" s="223"/>
      <c r="K12" s="223"/>
      <c r="L12" s="223"/>
      <c r="M12" s="223"/>
      <c r="N12" s="223"/>
      <c r="O12" s="223"/>
    </row>
    <row r="13" spans="1:15">
      <c r="A13" t="s">
        <v>977</v>
      </c>
      <c r="B13" s="223"/>
      <c r="C13" s="223"/>
      <c r="D13" s="223"/>
      <c r="E13" s="138">
        <f t="shared" si="0"/>
        <v>30</v>
      </c>
      <c r="F13" s="223">
        <v>15</v>
      </c>
      <c r="G13" s="129">
        <v>15</v>
      </c>
      <c r="H13" s="223"/>
      <c r="I13" s="223"/>
      <c r="J13" s="223"/>
      <c r="K13" s="223"/>
      <c r="L13" s="223"/>
      <c r="M13" s="223"/>
      <c r="N13" s="223"/>
      <c r="O13" s="223"/>
    </row>
    <row r="14" spans="1:15">
      <c r="A14" t="s">
        <v>978</v>
      </c>
      <c r="B14" s="223"/>
      <c r="C14" s="223"/>
      <c r="D14" s="223"/>
      <c r="E14" s="138">
        <f t="shared" si="0"/>
        <v>30</v>
      </c>
      <c r="F14" s="223">
        <v>15</v>
      </c>
      <c r="G14" s="129">
        <v>15</v>
      </c>
      <c r="H14" s="223"/>
      <c r="I14" s="223"/>
      <c r="J14" s="223"/>
      <c r="K14" s="223"/>
      <c r="L14" s="223"/>
      <c r="M14" s="223"/>
      <c r="N14" s="223"/>
      <c r="O14" s="223"/>
    </row>
    <row r="15" spans="1:15">
      <c r="A15" t="s">
        <v>979</v>
      </c>
      <c r="B15" s="223"/>
      <c r="C15" s="223"/>
      <c r="D15" s="223"/>
      <c r="E15" s="138">
        <f t="shared" si="0"/>
        <v>30</v>
      </c>
      <c r="F15" s="223">
        <v>15</v>
      </c>
      <c r="G15" s="129">
        <v>15</v>
      </c>
      <c r="H15" s="223"/>
      <c r="I15" s="223"/>
      <c r="J15" s="223"/>
      <c r="K15" s="223"/>
      <c r="L15" s="223"/>
      <c r="M15" s="223"/>
      <c r="N15" s="223"/>
      <c r="O15" s="223"/>
    </row>
    <row r="16" spans="1:15">
      <c r="A16" t="s">
        <v>980</v>
      </c>
      <c r="B16" s="223"/>
      <c r="C16" s="223"/>
      <c r="D16" s="223"/>
      <c r="E16" s="138">
        <f t="shared" si="0"/>
        <v>30</v>
      </c>
      <c r="F16" s="223">
        <v>15</v>
      </c>
      <c r="G16" s="129">
        <v>15</v>
      </c>
      <c r="H16" s="223"/>
      <c r="I16" s="223"/>
      <c r="J16" s="223"/>
      <c r="K16" s="223"/>
      <c r="L16" s="223"/>
      <c r="M16" s="223"/>
      <c r="N16" s="223"/>
      <c r="O16" s="223"/>
    </row>
    <row r="17" spans="1:15">
      <c r="A17" t="s">
        <v>981</v>
      </c>
      <c r="B17" s="223"/>
      <c r="C17" s="223"/>
      <c r="D17" s="223"/>
      <c r="E17" s="138">
        <f t="shared" si="0"/>
        <v>30</v>
      </c>
      <c r="F17" s="223">
        <v>15</v>
      </c>
      <c r="G17" s="129">
        <v>15</v>
      </c>
      <c r="H17" s="223"/>
      <c r="I17" s="223"/>
      <c r="J17" s="223"/>
      <c r="K17" s="223"/>
      <c r="L17" s="223"/>
      <c r="M17" s="223"/>
      <c r="N17" s="223"/>
      <c r="O17" s="223"/>
    </row>
    <row r="18" spans="1:15">
      <c r="A18" t="s">
        <v>982</v>
      </c>
      <c r="B18" s="223"/>
      <c r="C18" s="223"/>
      <c r="D18" s="223"/>
      <c r="E18" s="138">
        <f t="shared" si="0"/>
        <v>30</v>
      </c>
      <c r="F18" s="223">
        <v>15</v>
      </c>
      <c r="G18" s="129">
        <v>15</v>
      </c>
      <c r="H18" s="223"/>
      <c r="I18" s="223"/>
      <c r="J18" s="223"/>
      <c r="K18" s="223"/>
      <c r="L18" s="223"/>
      <c r="M18" s="223"/>
      <c r="N18" s="223"/>
      <c r="O18" s="223"/>
    </row>
    <row r="19" spans="1:15">
      <c r="A19" t="s">
        <v>983</v>
      </c>
      <c r="B19" s="223"/>
      <c r="C19" s="223"/>
      <c r="D19" s="223"/>
      <c r="E19" s="138">
        <f t="shared" si="0"/>
        <v>30</v>
      </c>
      <c r="F19" s="223">
        <v>15</v>
      </c>
      <c r="G19" s="129">
        <v>15</v>
      </c>
      <c r="H19" s="223"/>
      <c r="I19" s="223"/>
      <c r="J19" s="223"/>
      <c r="K19" s="223"/>
      <c r="L19" s="223"/>
      <c r="M19" s="223"/>
      <c r="N19" s="223"/>
      <c r="O19" s="223"/>
    </row>
    <row r="20" spans="1:15">
      <c r="A20" t="s">
        <v>984</v>
      </c>
      <c r="B20" s="223"/>
      <c r="C20" s="223"/>
      <c r="D20" s="223"/>
      <c r="E20" s="138">
        <f t="shared" si="0"/>
        <v>30</v>
      </c>
      <c r="F20" s="223">
        <v>15</v>
      </c>
      <c r="G20" s="129">
        <v>15</v>
      </c>
      <c r="H20" s="223"/>
      <c r="I20" s="223"/>
      <c r="J20" s="223"/>
      <c r="K20" s="223"/>
      <c r="L20" s="223"/>
      <c r="M20" s="223"/>
      <c r="N20" s="223"/>
      <c r="O20" s="223"/>
    </row>
    <row r="21" spans="1:15">
      <c r="A21" t="s">
        <v>985</v>
      </c>
      <c r="B21" s="223"/>
      <c r="C21" s="223"/>
      <c r="D21" s="223"/>
      <c r="E21" s="138">
        <f t="shared" si="0"/>
        <v>30</v>
      </c>
      <c r="F21" s="223">
        <v>15</v>
      </c>
      <c r="G21" s="129">
        <v>15</v>
      </c>
      <c r="H21" s="223"/>
      <c r="I21" s="223"/>
      <c r="J21" s="223"/>
      <c r="K21" s="223"/>
      <c r="L21" s="223"/>
      <c r="M21" s="223"/>
      <c r="N21" s="223"/>
      <c r="O21" s="223"/>
    </row>
    <row r="22" spans="1:15">
      <c r="A22" t="s">
        <v>986</v>
      </c>
      <c r="B22" s="223"/>
      <c r="C22" s="223"/>
      <c r="D22" s="223"/>
      <c r="E22" s="138">
        <f t="shared" si="0"/>
        <v>30</v>
      </c>
      <c r="F22" s="223">
        <v>15</v>
      </c>
      <c r="G22" s="129">
        <v>15</v>
      </c>
      <c r="H22" s="223"/>
      <c r="I22" s="223"/>
      <c r="J22" s="223"/>
      <c r="K22" s="223"/>
      <c r="L22" s="223"/>
      <c r="M22" s="223"/>
      <c r="N22" s="223"/>
      <c r="O22" s="223"/>
    </row>
    <row r="23" spans="1:15">
      <c r="A23" t="s">
        <v>987</v>
      </c>
      <c r="B23" s="223"/>
      <c r="C23" s="223"/>
      <c r="D23" s="223"/>
      <c r="E23" s="138">
        <f t="shared" si="0"/>
        <v>30</v>
      </c>
      <c r="F23" s="223">
        <v>15</v>
      </c>
      <c r="G23" s="129">
        <v>15</v>
      </c>
      <c r="H23" s="223"/>
      <c r="I23" s="223"/>
      <c r="J23" s="223"/>
      <c r="K23" s="223"/>
      <c r="L23" s="223"/>
      <c r="M23" s="223"/>
      <c r="N23" s="223"/>
      <c r="O23" s="223"/>
    </row>
    <row r="24" spans="1:15">
      <c r="A24" t="s">
        <v>988</v>
      </c>
      <c r="B24" s="223"/>
      <c r="C24" s="223"/>
      <c r="D24" s="223"/>
      <c r="E24" s="138">
        <f t="shared" si="0"/>
        <v>30</v>
      </c>
      <c r="F24" s="223">
        <v>15</v>
      </c>
      <c r="G24" s="129">
        <v>15</v>
      </c>
      <c r="H24" s="223"/>
      <c r="I24" s="223"/>
      <c r="J24" s="223"/>
      <c r="K24" s="223"/>
      <c r="L24" s="223"/>
      <c r="M24" s="223"/>
      <c r="N24" s="223"/>
      <c r="O24" s="223"/>
    </row>
    <row r="25" spans="1:15">
      <c r="A25" t="s">
        <v>989</v>
      </c>
      <c r="B25" s="223"/>
      <c r="C25" s="223"/>
      <c r="D25" s="223"/>
      <c r="E25" s="138">
        <f t="shared" si="0"/>
        <v>30</v>
      </c>
      <c r="F25" s="223">
        <v>15</v>
      </c>
      <c r="G25" s="129">
        <v>15</v>
      </c>
      <c r="H25" s="223"/>
      <c r="I25" s="223"/>
      <c r="J25" s="223"/>
      <c r="K25" s="223"/>
      <c r="L25" s="223"/>
      <c r="M25" s="223"/>
      <c r="N25" s="223"/>
      <c r="O25" s="223"/>
    </row>
  </sheetData>
  <mergeCells count="2">
    <mergeCell ref="A1:E1"/>
    <mergeCell ref="F1:O1"/>
  </mergeCells>
  <conditionalFormatting sqref="A3:A25">
    <cfRule type="cellIs" dxfId="1542" priority="1" operator="equal">
      <formula>"OK"</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6"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A2" sqref="A2:A24"/>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23</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967</v>
      </c>
      <c r="B2" s="172" t="s">
        <v>990</v>
      </c>
      <c r="C2" s="172" t="s">
        <v>990</v>
      </c>
      <c r="D2" s="172" t="s">
        <v>990</v>
      </c>
      <c r="E2" s="172" t="s">
        <v>990</v>
      </c>
      <c r="F2" s="172" t="s">
        <v>990</v>
      </c>
      <c r="G2" s="172" t="s">
        <v>990</v>
      </c>
      <c r="H2" s="172" t="s">
        <v>990</v>
      </c>
      <c r="I2" s="172" t="s">
        <v>990</v>
      </c>
      <c r="J2" s="172" t="s">
        <v>990</v>
      </c>
      <c r="K2" s="172" t="s">
        <v>990</v>
      </c>
      <c r="L2" s="172" t="s">
        <v>990</v>
      </c>
      <c r="M2" s="172" t="s">
        <v>990</v>
      </c>
      <c r="N2" s="172" t="s">
        <v>990</v>
      </c>
      <c r="O2" s="172" t="s">
        <v>990</v>
      </c>
      <c r="P2" s="175" t="s">
        <v>991</v>
      </c>
    </row>
    <row r="3" spans="1:17">
      <c r="A3" t="s">
        <v>968</v>
      </c>
      <c r="B3" s="172" t="s">
        <v>990</v>
      </c>
      <c r="C3" s="172" t="s">
        <v>990</v>
      </c>
      <c r="D3" s="172" t="s">
        <v>990</v>
      </c>
      <c r="E3" s="172" t="s">
        <v>990</v>
      </c>
      <c r="F3" s="172" t="s">
        <v>990</v>
      </c>
      <c r="G3" s="172" t="s">
        <v>990</v>
      </c>
      <c r="H3" s="172" t="s">
        <v>990</v>
      </c>
      <c r="I3" s="172" t="s">
        <v>990</v>
      </c>
      <c r="J3" s="172" t="s">
        <v>990</v>
      </c>
      <c r="K3" s="172" t="s">
        <v>990</v>
      </c>
      <c r="L3" s="172" t="s">
        <v>990</v>
      </c>
      <c r="M3" s="172" t="s">
        <v>990</v>
      </c>
      <c r="N3" s="172" t="s">
        <v>990</v>
      </c>
      <c r="O3" s="172" t="s">
        <v>990</v>
      </c>
      <c r="P3" s="175" t="s">
        <v>991</v>
      </c>
    </row>
    <row r="4" spans="1:17">
      <c r="A4" t="s">
        <v>969</v>
      </c>
      <c r="B4" s="172" t="s">
        <v>990</v>
      </c>
      <c r="C4" s="172" t="s">
        <v>990</v>
      </c>
      <c r="D4" s="172" t="s">
        <v>990</v>
      </c>
      <c r="E4" s="172" t="s">
        <v>990</v>
      </c>
      <c r="F4" s="172" t="s">
        <v>990</v>
      </c>
      <c r="G4" s="172" t="s">
        <v>990</v>
      </c>
      <c r="H4" s="172" t="s">
        <v>990</v>
      </c>
      <c r="I4" s="172" t="s">
        <v>990</v>
      </c>
      <c r="J4" s="172" t="s">
        <v>990</v>
      </c>
      <c r="K4" s="172" t="s">
        <v>990</v>
      </c>
      <c r="L4" s="172" t="s">
        <v>990</v>
      </c>
      <c r="M4" s="172" t="s">
        <v>990</v>
      </c>
      <c r="N4" s="172" t="s">
        <v>990</v>
      </c>
      <c r="O4" s="172" t="s">
        <v>990</v>
      </c>
      <c r="P4" s="175" t="s">
        <v>991</v>
      </c>
    </row>
    <row r="5" spans="1:17">
      <c r="A5" t="s">
        <v>970</v>
      </c>
      <c r="B5" s="172" t="s">
        <v>990</v>
      </c>
      <c r="C5" s="172" t="s">
        <v>990</v>
      </c>
      <c r="D5" s="172" t="s">
        <v>990</v>
      </c>
      <c r="E5" s="172" t="s">
        <v>990</v>
      </c>
      <c r="F5" s="172" t="s">
        <v>990</v>
      </c>
      <c r="G5" s="172" t="s">
        <v>990</v>
      </c>
      <c r="H5" s="172" t="s">
        <v>990</v>
      </c>
      <c r="I5" s="172" t="s">
        <v>990</v>
      </c>
      <c r="J5" s="172" t="s">
        <v>990</v>
      </c>
      <c r="K5" s="172" t="s">
        <v>990</v>
      </c>
      <c r="L5" s="172" t="s">
        <v>990</v>
      </c>
      <c r="M5" s="172" t="s">
        <v>990</v>
      </c>
      <c r="N5" s="172" t="s">
        <v>990</v>
      </c>
      <c r="O5" s="172" t="s">
        <v>990</v>
      </c>
      <c r="P5" s="175" t="s">
        <v>991</v>
      </c>
    </row>
    <row r="6" spans="1:17">
      <c r="A6" t="s">
        <v>971</v>
      </c>
      <c r="B6" s="172" t="s">
        <v>990</v>
      </c>
      <c r="C6" s="172" t="s">
        <v>990</v>
      </c>
      <c r="D6" s="172" t="s">
        <v>990</v>
      </c>
      <c r="E6" s="172" t="s">
        <v>990</v>
      </c>
      <c r="F6" s="172" t="s">
        <v>990</v>
      </c>
      <c r="G6" s="172" t="s">
        <v>990</v>
      </c>
      <c r="H6" s="172" t="s">
        <v>990</v>
      </c>
      <c r="I6" s="172" t="s">
        <v>990</v>
      </c>
      <c r="J6" s="172" t="s">
        <v>990</v>
      </c>
      <c r="K6" s="172" t="s">
        <v>990</v>
      </c>
      <c r="L6" s="172" t="s">
        <v>990</v>
      </c>
      <c r="M6" s="172" t="s">
        <v>990</v>
      </c>
      <c r="N6" s="172" t="s">
        <v>990</v>
      </c>
      <c r="O6" s="172" t="s">
        <v>990</v>
      </c>
      <c r="P6" s="175" t="s">
        <v>991</v>
      </c>
    </row>
    <row r="7" spans="1:17">
      <c r="A7" t="s">
        <v>972</v>
      </c>
      <c r="B7" s="172" t="s">
        <v>990</v>
      </c>
      <c r="C7" s="172" t="s">
        <v>990</v>
      </c>
      <c r="D7" s="172" t="s">
        <v>990</v>
      </c>
      <c r="E7" s="172" t="s">
        <v>990</v>
      </c>
      <c r="F7" s="172" t="s">
        <v>990</v>
      </c>
      <c r="G7" s="172" t="s">
        <v>990</v>
      </c>
      <c r="H7" s="172" t="s">
        <v>990</v>
      </c>
      <c r="I7" s="172" t="s">
        <v>990</v>
      </c>
      <c r="J7" s="172" t="s">
        <v>990</v>
      </c>
      <c r="K7" s="172" t="s">
        <v>990</v>
      </c>
      <c r="L7" s="172" t="s">
        <v>990</v>
      </c>
      <c r="M7" s="172" t="s">
        <v>990</v>
      </c>
      <c r="N7" s="172" t="s">
        <v>990</v>
      </c>
      <c r="O7" s="172" t="s">
        <v>990</v>
      </c>
      <c r="P7" s="175" t="s">
        <v>991</v>
      </c>
    </row>
    <row r="8" spans="1:17">
      <c r="A8" t="s">
        <v>973</v>
      </c>
      <c r="B8" s="172" t="s">
        <v>990</v>
      </c>
      <c r="C8" s="172" t="s">
        <v>990</v>
      </c>
      <c r="D8" s="172" t="s">
        <v>990</v>
      </c>
      <c r="E8" s="172" t="s">
        <v>990</v>
      </c>
      <c r="F8" s="172" t="s">
        <v>990</v>
      </c>
      <c r="G8" s="172" t="s">
        <v>990</v>
      </c>
      <c r="H8" s="172" t="s">
        <v>990</v>
      </c>
      <c r="I8" s="172" t="s">
        <v>990</v>
      </c>
      <c r="J8" s="172" t="s">
        <v>990</v>
      </c>
      <c r="K8" s="172" t="s">
        <v>990</v>
      </c>
      <c r="L8" s="172" t="s">
        <v>990</v>
      </c>
      <c r="M8" s="172" t="s">
        <v>990</v>
      </c>
      <c r="N8" s="172" t="s">
        <v>990</v>
      </c>
      <c r="O8" s="172" t="s">
        <v>990</v>
      </c>
      <c r="P8" s="175" t="s">
        <v>991</v>
      </c>
    </row>
    <row r="9" spans="1:17">
      <c r="A9" t="s">
        <v>974</v>
      </c>
      <c r="B9" s="172" t="s">
        <v>990</v>
      </c>
      <c r="C9" s="172" t="s">
        <v>990</v>
      </c>
      <c r="D9" s="172" t="s">
        <v>990</v>
      </c>
      <c r="E9" s="172" t="s">
        <v>990</v>
      </c>
      <c r="F9" s="172" t="s">
        <v>990</v>
      </c>
      <c r="G9" s="172" t="s">
        <v>990</v>
      </c>
      <c r="H9" s="172" t="s">
        <v>990</v>
      </c>
      <c r="I9" s="172" t="s">
        <v>990</v>
      </c>
      <c r="J9" s="172" t="s">
        <v>990</v>
      </c>
      <c r="K9" s="172" t="s">
        <v>990</v>
      </c>
      <c r="L9" s="172" t="s">
        <v>990</v>
      </c>
      <c r="M9" s="172" t="s">
        <v>990</v>
      </c>
      <c r="N9" s="172" t="s">
        <v>990</v>
      </c>
      <c r="O9" s="172" t="s">
        <v>990</v>
      </c>
      <c r="P9" s="175" t="s">
        <v>991</v>
      </c>
    </row>
    <row r="10" spans="1:17">
      <c r="A10" t="s">
        <v>975</v>
      </c>
      <c r="B10" s="172" t="s">
        <v>990</v>
      </c>
      <c r="C10" s="172" t="s">
        <v>990</v>
      </c>
      <c r="D10" s="172" t="s">
        <v>990</v>
      </c>
      <c r="E10" s="172" t="s">
        <v>990</v>
      </c>
      <c r="F10" s="172" t="s">
        <v>990</v>
      </c>
      <c r="G10" s="172" t="s">
        <v>990</v>
      </c>
      <c r="H10" s="172" t="s">
        <v>990</v>
      </c>
      <c r="I10" s="172" t="s">
        <v>990</v>
      </c>
      <c r="J10" s="172" t="s">
        <v>990</v>
      </c>
      <c r="K10" s="172" t="s">
        <v>990</v>
      </c>
      <c r="L10" s="172" t="s">
        <v>990</v>
      </c>
      <c r="M10" s="172" t="s">
        <v>990</v>
      </c>
      <c r="N10" s="172" t="s">
        <v>990</v>
      </c>
      <c r="O10" s="172" t="s">
        <v>990</v>
      </c>
      <c r="P10" s="175" t="s">
        <v>991</v>
      </c>
    </row>
    <row r="11" spans="1:17">
      <c r="A11" t="s">
        <v>976</v>
      </c>
      <c r="B11" s="172" t="s">
        <v>990</v>
      </c>
      <c r="C11" s="172" t="s">
        <v>990</v>
      </c>
      <c r="D11" s="172" t="s">
        <v>990</v>
      </c>
      <c r="E11" s="172" t="s">
        <v>990</v>
      </c>
      <c r="F11" s="172" t="s">
        <v>990</v>
      </c>
      <c r="G11" s="172" t="s">
        <v>990</v>
      </c>
      <c r="H11" s="172" t="s">
        <v>990</v>
      </c>
      <c r="I11" s="172" t="s">
        <v>990</v>
      </c>
      <c r="J11" s="172" t="s">
        <v>990</v>
      </c>
      <c r="K11" s="172" t="s">
        <v>990</v>
      </c>
      <c r="L11" s="172" t="s">
        <v>990</v>
      </c>
      <c r="M11" s="172" t="s">
        <v>990</v>
      </c>
      <c r="N11" s="172" t="s">
        <v>990</v>
      </c>
      <c r="O11" s="172" t="s">
        <v>990</v>
      </c>
      <c r="P11" s="175" t="s">
        <v>991</v>
      </c>
    </row>
    <row r="12" spans="1:17">
      <c r="A12" t="s">
        <v>977</v>
      </c>
      <c r="B12" s="172" t="s">
        <v>990</v>
      </c>
      <c r="C12" s="172" t="s">
        <v>990</v>
      </c>
      <c r="D12" s="172" t="s">
        <v>990</v>
      </c>
      <c r="E12" s="172" t="s">
        <v>990</v>
      </c>
      <c r="F12" s="172" t="s">
        <v>990</v>
      </c>
      <c r="G12" s="172" t="s">
        <v>990</v>
      </c>
      <c r="H12" s="172" t="s">
        <v>990</v>
      </c>
      <c r="I12" s="172" t="s">
        <v>990</v>
      </c>
      <c r="J12" s="172" t="s">
        <v>990</v>
      </c>
      <c r="K12" s="172" t="s">
        <v>990</v>
      </c>
      <c r="L12" s="172" t="s">
        <v>990</v>
      </c>
      <c r="M12" s="172" t="s">
        <v>990</v>
      </c>
      <c r="N12" s="172" t="s">
        <v>990</v>
      </c>
      <c r="O12" s="172" t="s">
        <v>990</v>
      </c>
      <c r="P12" s="175" t="s">
        <v>991</v>
      </c>
    </row>
    <row r="13" spans="1:17">
      <c r="A13" t="s">
        <v>978</v>
      </c>
      <c r="B13" s="172" t="s">
        <v>990</v>
      </c>
      <c r="C13" s="172" t="s">
        <v>990</v>
      </c>
      <c r="D13" s="172" t="s">
        <v>990</v>
      </c>
      <c r="E13" s="172" t="s">
        <v>990</v>
      </c>
      <c r="F13" s="172" t="s">
        <v>990</v>
      </c>
      <c r="G13" s="172" t="s">
        <v>990</v>
      </c>
      <c r="H13" s="172" t="s">
        <v>990</v>
      </c>
      <c r="I13" s="172" t="s">
        <v>990</v>
      </c>
      <c r="J13" s="172" t="s">
        <v>990</v>
      </c>
      <c r="K13" s="172" t="s">
        <v>990</v>
      </c>
      <c r="L13" s="172" t="s">
        <v>990</v>
      </c>
      <c r="M13" s="172" t="s">
        <v>990</v>
      </c>
      <c r="N13" s="172" t="s">
        <v>990</v>
      </c>
      <c r="O13" s="172" t="s">
        <v>990</v>
      </c>
      <c r="P13" s="175" t="s">
        <v>991</v>
      </c>
    </row>
    <row r="14" spans="1:17">
      <c r="A14" t="s">
        <v>979</v>
      </c>
      <c r="B14" s="172" t="s">
        <v>990</v>
      </c>
      <c r="C14" s="172" t="s">
        <v>990</v>
      </c>
      <c r="D14" s="172" t="s">
        <v>990</v>
      </c>
      <c r="E14" s="172" t="s">
        <v>990</v>
      </c>
      <c r="F14" s="172" t="s">
        <v>990</v>
      </c>
      <c r="G14" s="172" t="s">
        <v>990</v>
      </c>
      <c r="H14" s="172" t="s">
        <v>990</v>
      </c>
      <c r="I14" s="172" t="s">
        <v>990</v>
      </c>
      <c r="J14" s="172" t="s">
        <v>990</v>
      </c>
      <c r="K14" s="172" t="s">
        <v>990</v>
      </c>
      <c r="L14" s="172" t="s">
        <v>990</v>
      </c>
      <c r="M14" s="172" t="s">
        <v>990</v>
      </c>
      <c r="N14" s="172" t="s">
        <v>990</v>
      </c>
      <c r="O14" s="172" t="s">
        <v>990</v>
      </c>
      <c r="P14" s="175" t="s">
        <v>991</v>
      </c>
    </row>
    <row r="15" spans="1:17">
      <c r="A15" t="s">
        <v>980</v>
      </c>
      <c r="B15" s="172" t="s">
        <v>990</v>
      </c>
      <c r="C15" s="172" t="s">
        <v>990</v>
      </c>
      <c r="D15" s="172" t="s">
        <v>990</v>
      </c>
      <c r="E15" s="172" t="s">
        <v>990</v>
      </c>
      <c r="F15" s="172" t="s">
        <v>990</v>
      </c>
      <c r="G15" s="172" t="s">
        <v>990</v>
      </c>
      <c r="H15" s="172" t="s">
        <v>990</v>
      </c>
      <c r="I15" s="172" t="s">
        <v>990</v>
      </c>
      <c r="J15" s="172" t="s">
        <v>990</v>
      </c>
      <c r="K15" s="172" t="s">
        <v>990</v>
      </c>
      <c r="L15" s="172" t="s">
        <v>990</v>
      </c>
      <c r="M15" s="172" t="s">
        <v>990</v>
      </c>
      <c r="N15" s="172" t="s">
        <v>990</v>
      </c>
      <c r="O15" s="172" t="s">
        <v>990</v>
      </c>
      <c r="P15" s="175" t="s">
        <v>991</v>
      </c>
    </row>
    <row r="16" spans="1:17">
      <c r="A16" t="s">
        <v>981</v>
      </c>
      <c r="B16" s="172" t="s">
        <v>990</v>
      </c>
      <c r="C16" s="172" t="s">
        <v>990</v>
      </c>
      <c r="D16" s="172" t="s">
        <v>990</v>
      </c>
      <c r="E16" s="172" t="s">
        <v>990</v>
      </c>
      <c r="F16" s="172" t="s">
        <v>990</v>
      </c>
      <c r="G16" s="172" t="s">
        <v>990</v>
      </c>
      <c r="H16" s="172" t="s">
        <v>990</v>
      </c>
      <c r="I16" s="172" t="s">
        <v>990</v>
      </c>
      <c r="J16" s="172" t="s">
        <v>990</v>
      </c>
      <c r="K16" s="172" t="s">
        <v>990</v>
      </c>
      <c r="L16" s="172" t="s">
        <v>990</v>
      </c>
      <c r="M16" s="172" t="s">
        <v>990</v>
      </c>
      <c r="N16" s="172" t="s">
        <v>990</v>
      </c>
      <c r="O16" s="172" t="s">
        <v>990</v>
      </c>
      <c r="P16" s="175" t="s">
        <v>991</v>
      </c>
    </row>
    <row r="17" spans="1:16">
      <c r="A17" t="s">
        <v>982</v>
      </c>
      <c r="B17" s="172" t="s">
        <v>990</v>
      </c>
      <c r="C17" s="172" t="s">
        <v>990</v>
      </c>
      <c r="D17" s="172" t="s">
        <v>990</v>
      </c>
      <c r="E17" s="172" t="s">
        <v>990</v>
      </c>
      <c r="F17" s="172" t="s">
        <v>990</v>
      </c>
      <c r="G17" s="172" t="s">
        <v>990</v>
      </c>
      <c r="H17" s="172" t="s">
        <v>990</v>
      </c>
      <c r="I17" s="172" t="s">
        <v>990</v>
      </c>
      <c r="J17" s="172" t="s">
        <v>990</v>
      </c>
      <c r="K17" s="172" t="s">
        <v>990</v>
      </c>
      <c r="L17" s="172" t="s">
        <v>990</v>
      </c>
      <c r="M17" s="172" t="s">
        <v>990</v>
      </c>
      <c r="N17" s="172" t="s">
        <v>990</v>
      </c>
      <c r="O17" s="172" t="s">
        <v>990</v>
      </c>
      <c r="P17" s="175" t="s">
        <v>991</v>
      </c>
    </row>
    <row r="18" spans="1:16">
      <c r="A18" t="s">
        <v>983</v>
      </c>
      <c r="B18" s="172" t="s">
        <v>990</v>
      </c>
      <c r="C18" s="172" t="s">
        <v>990</v>
      </c>
      <c r="D18" s="172" t="s">
        <v>990</v>
      </c>
      <c r="E18" s="172" t="s">
        <v>990</v>
      </c>
      <c r="F18" s="172" t="s">
        <v>990</v>
      </c>
      <c r="G18" s="172" t="s">
        <v>990</v>
      </c>
      <c r="H18" s="172" t="s">
        <v>990</v>
      </c>
      <c r="I18" s="172" t="s">
        <v>990</v>
      </c>
      <c r="J18" s="172" t="s">
        <v>990</v>
      </c>
      <c r="K18" s="172" t="s">
        <v>990</v>
      </c>
      <c r="L18" s="172" t="s">
        <v>990</v>
      </c>
      <c r="M18" s="172" t="s">
        <v>990</v>
      </c>
      <c r="N18" s="172" t="s">
        <v>990</v>
      </c>
      <c r="O18" s="172" t="s">
        <v>990</v>
      </c>
      <c r="P18" s="175" t="s">
        <v>991</v>
      </c>
    </row>
    <row r="19" spans="1:16">
      <c r="A19" t="s">
        <v>984</v>
      </c>
      <c r="B19" s="172" t="s">
        <v>990</v>
      </c>
      <c r="C19" s="172" t="s">
        <v>990</v>
      </c>
      <c r="D19" s="172" t="s">
        <v>990</v>
      </c>
      <c r="E19" s="172" t="s">
        <v>990</v>
      </c>
      <c r="F19" s="172" t="s">
        <v>990</v>
      </c>
      <c r="G19" s="172" t="s">
        <v>990</v>
      </c>
      <c r="H19" s="172" t="s">
        <v>990</v>
      </c>
      <c r="I19" s="172" t="s">
        <v>990</v>
      </c>
      <c r="J19" s="172" t="s">
        <v>990</v>
      </c>
      <c r="K19" s="172" t="s">
        <v>990</v>
      </c>
      <c r="L19" s="172" t="s">
        <v>990</v>
      </c>
      <c r="M19" s="172" t="s">
        <v>990</v>
      </c>
      <c r="N19" s="172" t="s">
        <v>990</v>
      </c>
      <c r="O19" s="172" t="s">
        <v>990</v>
      </c>
      <c r="P19" s="175" t="s">
        <v>991</v>
      </c>
    </row>
    <row r="20" spans="1:16">
      <c r="A20" t="s">
        <v>985</v>
      </c>
      <c r="B20" s="172" t="s">
        <v>990</v>
      </c>
      <c r="C20" s="172" t="s">
        <v>990</v>
      </c>
      <c r="D20" s="172" t="s">
        <v>990</v>
      </c>
      <c r="E20" s="172" t="s">
        <v>990</v>
      </c>
      <c r="F20" s="172" t="s">
        <v>990</v>
      </c>
      <c r="G20" s="172" t="s">
        <v>990</v>
      </c>
      <c r="H20" s="172" t="s">
        <v>990</v>
      </c>
      <c r="I20" s="172" t="s">
        <v>990</v>
      </c>
      <c r="J20" s="172" t="s">
        <v>990</v>
      </c>
      <c r="K20" s="172" t="s">
        <v>990</v>
      </c>
      <c r="L20" s="172" t="s">
        <v>990</v>
      </c>
      <c r="M20" s="172" t="s">
        <v>990</v>
      </c>
      <c r="N20" s="172" t="s">
        <v>990</v>
      </c>
      <c r="O20" s="172" t="s">
        <v>990</v>
      </c>
      <c r="P20" s="175" t="s">
        <v>991</v>
      </c>
    </row>
    <row r="21" spans="1:16">
      <c r="A21" t="s">
        <v>986</v>
      </c>
      <c r="B21" s="172" t="s">
        <v>990</v>
      </c>
      <c r="C21" s="172" t="s">
        <v>990</v>
      </c>
      <c r="D21" s="172" t="s">
        <v>990</v>
      </c>
      <c r="E21" s="172" t="s">
        <v>990</v>
      </c>
      <c r="F21" s="172" t="s">
        <v>990</v>
      </c>
      <c r="G21" s="172" t="s">
        <v>990</v>
      </c>
      <c r="H21" s="172" t="s">
        <v>990</v>
      </c>
      <c r="I21" s="172" t="s">
        <v>990</v>
      </c>
      <c r="J21" s="172" t="s">
        <v>990</v>
      </c>
      <c r="K21" s="172" t="s">
        <v>990</v>
      </c>
      <c r="L21" s="172" t="s">
        <v>990</v>
      </c>
      <c r="M21" s="172" t="s">
        <v>990</v>
      </c>
      <c r="N21" s="172" t="s">
        <v>990</v>
      </c>
      <c r="O21" s="172" t="s">
        <v>990</v>
      </c>
      <c r="P21" s="175" t="s">
        <v>991</v>
      </c>
    </row>
    <row r="22" spans="1:16">
      <c r="A22" t="s">
        <v>987</v>
      </c>
      <c r="B22" s="172" t="s">
        <v>990</v>
      </c>
      <c r="C22" s="172" t="s">
        <v>990</v>
      </c>
      <c r="D22" s="172" t="s">
        <v>990</v>
      </c>
      <c r="E22" s="172" t="s">
        <v>990</v>
      </c>
      <c r="F22" s="172" t="s">
        <v>990</v>
      </c>
      <c r="G22" s="172" t="s">
        <v>990</v>
      </c>
      <c r="H22" s="172" t="s">
        <v>990</v>
      </c>
      <c r="I22" s="172" t="s">
        <v>990</v>
      </c>
      <c r="J22" s="172" t="s">
        <v>990</v>
      </c>
      <c r="K22" s="172" t="s">
        <v>990</v>
      </c>
      <c r="L22" s="172" t="s">
        <v>990</v>
      </c>
      <c r="M22" s="172" t="s">
        <v>990</v>
      </c>
      <c r="N22" s="172" t="s">
        <v>990</v>
      </c>
      <c r="O22" s="172" t="s">
        <v>990</v>
      </c>
      <c r="P22" s="175" t="s">
        <v>991</v>
      </c>
    </row>
    <row r="23" spans="1:16">
      <c r="A23" t="s">
        <v>988</v>
      </c>
      <c r="B23" s="172" t="s">
        <v>990</v>
      </c>
      <c r="C23" s="172" t="s">
        <v>990</v>
      </c>
      <c r="D23" s="172" t="s">
        <v>990</v>
      </c>
      <c r="E23" s="172" t="s">
        <v>990</v>
      </c>
      <c r="F23" s="172" t="s">
        <v>990</v>
      </c>
      <c r="G23" s="172" t="s">
        <v>990</v>
      </c>
      <c r="H23" s="172" t="s">
        <v>990</v>
      </c>
      <c r="I23" s="172" t="s">
        <v>990</v>
      </c>
      <c r="J23" s="172" t="s">
        <v>990</v>
      </c>
      <c r="K23" s="172" t="s">
        <v>990</v>
      </c>
      <c r="L23" s="172" t="s">
        <v>990</v>
      </c>
      <c r="M23" s="172" t="s">
        <v>990</v>
      </c>
      <c r="N23" s="172" t="s">
        <v>990</v>
      </c>
      <c r="O23" s="172" t="s">
        <v>990</v>
      </c>
      <c r="P23" s="175" t="s">
        <v>991</v>
      </c>
    </row>
    <row r="24" spans="1:16">
      <c r="A24" t="s">
        <v>989</v>
      </c>
      <c r="B24" s="172" t="s">
        <v>990</v>
      </c>
      <c r="C24" s="172" t="s">
        <v>990</v>
      </c>
      <c r="D24" s="172" t="s">
        <v>990</v>
      </c>
      <c r="E24" s="172" t="s">
        <v>990</v>
      </c>
      <c r="F24" s="172" t="s">
        <v>990</v>
      </c>
      <c r="G24" s="172" t="s">
        <v>990</v>
      </c>
      <c r="H24" s="172" t="s">
        <v>990</v>
      </c>
      <c r="I24" s="172" t="s">
        <v>990</v>
      </c>
      <c r="J24" s="172" t="s">
        <v>990</v>
      </c>
      <c r="K24" s="172" t="s">
        <v>990</v>
      </c>
      <c r="L24" s="172" t="s">
        <v>990</v>
      </c>
      <c r="M24" s="172" t="s">
        <v>990</v>
      </c>
      <c r="N24" s="172" t="s">
        <v>990</v>
      </c>
      <c r="O24" s="172" t="s">
        <v>990</v>
      </c>
      <c r="P24" s="175" t="s">
        <v>991</v>
      </c>
    </row>
    <row r="25" spans="1:16">
      <c r="A25" s="162"/>
      <c r="B25" s="172"/>
      <c r="C25" s="172"/>
      <c r="D25" s="172"/>
      <c r="E25" s="172"/>
      <c r="F25" s="172"/>
      <c r="G25" s="175"/>
      <c r="I25" s="174"/>
      <c r="J25" s="172"/>
    </row>
    <row r="26" spans="1:16">
      <c r="A26" s="162"/>
      <c r="B26" s="172"/>
      <c r="C26" s="172"/>
      <c r="D26" s="172"/>
      <c r="E26" s="172"/>
      <c r="F26" s="172"/>
      <c r="G26" s="175"/>
      <c r="I26" s="174"/>
      <c r="J26" s="172"/>
    </row>
    <row r="27" spans="1:16">
      <c r="A27" s="162"/>
      <c r="B27" s="172"/>
      <c r="C27" s="172"/>
      <c r="D27" s="172"/>
      <c r="E27" s="172"/>
      <c r="F27" s="172"/>
      <c r="G27" s="175"/>
      <c r="I27" s="174"/>
      <c r="J27" s="172"/>
    </row>
    <row r="28" spans="1:16">
      <c r="A28" s="162"/>
      <c r="B28" s="172"/>
      <c r="C28" s="172"/>
      <c r="D28" s="172"/>
      <c r="E28" s="172"/>
      <c r="F28" s="172"/>
      <c r="G28" s="175"/>
      <c r="I28" s="174"/>
      <c r="J28" s="172"/>
    </row>
    <row r="29" spans="1:16">
      <c r="A29" s="162"/>
      <c r="B29" s="172"/>
      <c r="C29" s="172"/>
      <c r="D29" s="172"/>
      <c r="E29" s="172"/>
      <c r="F29" s="172"/>
      <c r="G29" s="175"/>
      <c r="I29" s="174"/>
      <c r="J29" s="172"/>
    </row>
    <row r="30" spans="1:16">
      <c r="A30" s="162"/>
      <c r="B30" s="172"/>
      <c r="C30" s="172"/>
      <c r="D30" s="172"/>
      <c r="E30" s="172"/>
      <c r="F30" s="172"/>
      <c r="G30" s="175"/>
      <c r="I30" s="174"/>
      <c r="J30" s="172"/>
    </row>
    <row r="31" spans="1:16">
      <c r="A31" s="162"/>
      <c r="B31" s="172"/>
      <c r="C31" s="172"/>
      <c r="D31" s="172"/>
      <c r="E31" s="172"/>
      <c r="F31" s="172"/>
      <c r="G31" s="175"/>
      <c r="I31" s="174"/>
      <c r="J31" s="172"/>
    </row>
    <row r="32" spans="1:16">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5:O4777 B25:G4777 B2:O24">
    <cfRule type="cellIs" dxfId="1510" priority="5" operator="equal">
      <formula>"nok"</formula>
    </cfRule>
  </conditionalFormatting>
  <conditionalFormatting sqref="B4737:G4783 I4737:J4783">
    <cfRule type="cellIs" dxfId="1509" priority="4" operator="equal">
      <formula>"nok"</formula>
    </cfRule>
  </conditionalFormatting>
  <conditionalFormatting sqref="I25:J4736 B25:G4736 B2:O24">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25:O2860 C2:O24 B2:B2860 C25:F2860" xr:uid="{EAC82F2A-DD00-4CE8-9A11-1C7D5D006183}">
      <formula1>"OK,NOK,FIXED,WILL NOT FIX"</formula1>
    </dataValidation>
    <dataValidation type="list" showInputMessage="1" showErrorMessage="1" sqref="I25:O5023 C2:O24 B2:B5023 C25:F5023" xr:uid="{A6C36F29-91D5-479C-8CA2-20043354BD8C}">
      <formula1>"OK,NOK,FIXED,WILL NOT FIX"</formula1>
    </dataValidation>
    <dataValidation type="list" showInputMessage="1" showErrorMessage="1" sqref="C25:F4736 C2:O24 B2:B4736 I25: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G2" sqref="G2"/>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992</v>
      </c>
      <c r="C2" s="221" t="s">
        <v>967</v>
      </c>
      <c r="D2" s="163">
        <v>1.1000000000000001</v>
      </c>
      <c r="E2" s="163" t="s">
        <v>993</v>
      </c>
      <c r="F2" s="163" t="s">
        <v>994</v>
      </c>
      <c r="G2" s="165"/>
      <c r="H2" s="165"/>
      <c r="I2" s="165"/>
      <c r="J2" s="165"/>
      <c r="K2" s="165"/>
      <c r="L2" s="166"/>
      <c r="M2" s="163"/>
      <c r="N2" s="167"/>
      <c r="O2" s="165"/>
      <c r="P2" s="163"/>
      <c r="Q2" s="163">
        <v>1</v>
      </c>
    </row>
    <row r="3" spans="1:17">
      <c r="A3" s="163">
        <v>2</v>
      </c>
      <c r="B3" s="163" t="s">
        <v>992</v>
      </c>
      <c r="C3" s="221" t="s">
        <v>968</v>
      </c>
      <c r="D3" s="163">
        <v>1.1000000000000001</v>
      </c>
      <c r="E3" s="163" t="s">
        <v>993</v>
      </c>
      <c r="F3" s="163" t="s">
        <v>994</v>
      </c>
      <c r="G3" s="165"/>
      <c r="H3" s="165"/>
      <c r="I3" s="165"/>
      <c r="J3" s="165"/>
      <c r="K3" s="165"/>
      <c r="L3" s="166"/>
      <c r="M3" s="163"/>
      <c r="N3" s="167"/>
      <c r="O3" s="165"/>
      <c r="P3" s="163"/>
      <c r="Q3" s="163">
        <v>2</v>
      </c>
    </row>
    <row r="4" spans="1:17">
      <c r="A4" s="163">
        <v>3</v>
      </c>
      <c r="B4" s="163" t="s">
        <v>992</v>
      </c>
      <c r="C4" s="221" t="s">
        <v>969</v>
      </c>
      <c r="D4" s="163">
        <v>1.1000000000000001</v>
      </c>
      <c r="E4" s="163" t="s">
        <v>993</v>
      </c>
      <c r="F4" s="163" t="s">
        <v>994</v>
      </c>
      <c r="G4" s="165"/>
      <c r="H4" s="165"/>
      <c r="I4" s="165"/>
      <c r="J4" s="165"/>
      <c r="K4" s="165"/>
      <c r="L4" s="166"/>
      <c r="M4" s="163"/>
      <c r="N4" s="167"/>
      <c r="O4" s="165"/>
      <c r="P4" s="163"/>
      <c r="Q4" s="163">
        <v>3</v>
      </c>
    </row>
    <row r="5" spans="1:17">
      <c r="A5" s="163">
        <v>4</v>
      </c>
      <c r="B5" s="163" t="s">
        <v>992</v>
      </c>
      <c r="C5" s="221" t="s">
        <v>970</v>
      </c>
      <c r="D5" s="163">
        <v>1.1000000000000001</v>
      </c>
      <c r="E5" s="163" t="s">
        <v>993</v>
      </c>
      <c r="F5" s="163" t="s">
        <v>994</v>
      </c>
      <c r="G5" s="165"/>
      <c r="H5" s="165"/>
      <c r="I5" s="165"/>
      <c r="J5" s="165"/>
      <c r="K5" s="165"/>
      <c r="L5" s="166"/>
      <c r="M5" s="163"/>
      <c r="N5" s="167"/>
      <c r="O5" s="165"/>
      <c r="P5" s="163"/>
      <c r="Q5" s="163">
        <v>4</v>
      </c>
    </row>
    <row r="6" spans="1:17">
      <c r="A6" s="163">
        <v>5</v>
      </c>
      <c r="B6" s="163" t="s">
        <v>992</v>
      </c>
      <c r="C6" s="221" t="s">
        <v>971</v>
      </c>
      <c r="D6" s="163">
        <v>1.1000000000000001</v>
      </c>
      <c r="E6" s="163" t="s">
        <v>993</v>
      </c>
      <c r="F6" s="163" t="s">
        <v>994</v>
      </c>
      <c r="G6" s="165"/>
      <c r="H6" s="165"/>
      <c r="I6" s="165"/>
      <c r="J6" s="165"/>
      <c r="K6" s="165"/>
      <c r="L6" s="166"/>
      <c r="M6" s="163"/>
      <c r="N6" s="167"/>
      <c r="O6" s="165"/>
      <c r="P6" s="163"/>
      <c r="Q6" s="163">
        <v>5</v>
      </c>
    </row>
    <row r="7" spans="1:17">
      <c r="A7" s="163">
        <v>6</v>
      </c>
      <c r="B7" s="163" t="s">
        <v>992</v>
      </c>
      <c r="C7" s="221" t="s">
        <v>972</v>
      </c>
      <c r="D7" s="163">
        <v>1.1000000000000001</v>
      </c>
      <c r="E7" s="163" t="s">
        <v>993</v>
      </c>
      <c r="F7" s="163" t="s">
        <v>994</v>
      </c>
      <c r="G7" s="165"/>
      <c r="H7" s="165"/>
      <c r="I7" s="165"/>
      <c r="J7" s="165"/>
      <c r="K7" s="165"/>
      <c r="L7" s="166"/>
      <c r="M7" s="163"/>
      <c r="N7" s="167"/>
      <c r="O7" s="165"/>
      <c r="P7" s="163"/>
      <c r="Q7" s="163">
        <v>6</v>
      </c>
    </row>
    <row r="8" spans="1:17">
      <c r="A8" s="163">
        <v>7</v>
      </c>
      <c r="B8" s="163" t="s">
        <v>992</v>
      </c>
      <c r="C8" s="221" t="s">
        <v>973</v>
      </c>
      <c r="D8" s="163">
        <v>1.1000000000000001</v>
      </c>
      <c r="E8" s="163" t="s">
        <v>993</v>
      </c>
      <c r="F8" s="163" t="s">
        <v>994</v>
      </c>
      <c r="G8" s="165"/>
      <c r="H8" s="165"/>
      <c r="I8" s="165"/>
      <c r="J8" s="165"/>
      <c r="K8" s="165"/>
      <c r="L8" s="166"/>
      <c r="M8" s="163"/>
      <c r="N8" s="167"/>
      <c r="O8" s="165"/>
      <c r="P8" s="163"/>
      <c r="Q8" s="163">
        <v>7</v>
      </c>
    </row>
    <row r="9" spans="1:17">
      <c r="A9" s="163">
        <v>8</v>
      </c>
      <c r="B9" s="163" t="s">
        <v>992</v>
      </c>
      <c r="C9" s="221" t="s">
        <v>974</v>
      </c>
      <c r="D9" s="163">
        <v>1.1000000000000001</v>
      </c>
      <c r="E9" s="163" t="s">
        <v>993</v>
      </c>
      <c r="F9" s="163" t="s">
        <v>994</v>
      </c>
      <c r="G9" s="165"/>
      <c r="H9" s="165"/>
      <c r="I9" s="165"/>
      <c r="J9" s="165"/>
      <c r="K9" s="165"/>
      <c r="L9" s="166"/>
      <c r="M9" s="163"/>
      <c r="N9" s="167"/>
      <c r="O9" s="165"/>
      <c r="P9" s="163"/>
      <c r="Q9" s="163">
        <v>8</v>
      </c>
    </row>
    <row r="10" spans="1:17">
      <c r="A10" s="163">
        <v>9</v>
      </c>
      <c r="B10" s="163" t="s">
        <v>992</v>
      </c>
      <c r="C10" s="221" t="s">
        <v>975</v>
      </c>
      <c r="D10" s="163">
        <v>1.1000000000000001</v>
      </c>
      <c r="E10" s="163" t="s">
        <v>993</v>
      </c>
      <c r="F10" s="163" t="s">
        <v>994</v>
      </c>
      <c r="G10" s="165"/>
      <c r="H10" s="165"/>
      <c r="I10" s="165"/>
      <c r="J10" s="165"/>
      <c r="K10" s="165"/>
      <c r="L10" s="166"/>
      <c r="M10" s="163"/>
      <c r="N10" s="167"/>
      <c r="O10" s="165"/>
      <c r="P10" s="163"/>
      <c r="Q10" s="163">
        <v>9</v>
      </c>
    </row>
    <row r="11" spans="1:17">
      <c r="A11" s="163">
        <v>10</v>
      </c>
      <c r="B11" s="163" t="s">
        <v>992</v>
      </c>
      <c r="C11" s="221" t="s">
        <v>976</v>
      </c>
      <c r="D11" s="163">
        <v>1.1000000000000001</v>
      </c>
      <c r="E11" s="163" t="s">
        <v>993</v>
      </c>
      <c r="F11" s="163" t="s">
        <v>994</v>
      </c>
      <c r="G11" s="165"/>
      <c r="H11" s="165"/>
      <c r="I11" s="165"/>
      <c r="J11" s="165"/>
      <c r="K11" s="165"/>
      <c r="L11" s="166"/>
      <c r="M11" s="163"/>
      <c r="N11" s="167"/>
      <c r="O11" s="165"/>
      <c r="P11" s="163"/>
      <c r="Q11" s="163">
        <v>10</v>
      </c>
    </row>
    <row r="12" spans="1:17">
      <c r="A12" s="163">
        <v>11</v>
      </c>
      <c r="B12" s="163" t="s">
        <v>992</v>
      </c>
      <c r="C12" s="221" t="s">
        <v>977</v>
      </c>
      <c r="D12" s="163">
        <v>1.1000000000000001</v>
      </c>
      <c r="E12" s="163" t="s">
        <v>993</v>
      </c>
      <c r="F12" s="163" t="s">
        <v>994</v>
      </c>
      <c r="G12" s="165"/>
      <c r="H12" s="165"/>
      <c r="I12" s="165"/>
      <c r="J12" s="165"/>
      <c r="K12" s="165"/>
      <c r="L12" s="166"/>
      <c r="M12" s="163"/>
      <c r="N12" s="167"/>
      <c r="O12" s="165"/>
      <c r="P12" s="163"/>
      <c r="Q12" s="163">
        <v>11</v>
      </c>
    </row>
    <row r="13" spans="1:17">
      <c r="A13" s="163">
        <v>12</v>
      </c>
      <c r="B13" s="163" t="s">
        <v>992</v>
      </c>
      <c r="C13" s="221" t="s">
        <v>978</v>
      </c>
      <c r="D13" s="163">
        <v>1.1000000000000001</v>
      </c>
      <c r="E13" s="163" t="s">
        <v>993</v>
      </c>
      <c r="F13" s="163" t="s">
        <v>994</v>
      </c>
      <c r="G13" s="165"/>
      <c r="H13" s="165"/>
      <c r="I13" s="165"/>
      <c r="J13" s="165"/>
      <c r="K13" s="165"/>
      <c r="L13" s="166"/>
      <c r="M13" s="163"/>
      <c r="N13" s="167"/>
      <c r="O13" s="165"/>
      <c r="P13" s="163"/>
      <c r="Q13" s="163">
        <v>12</v>
      </c>
    </row>
    <row r="14" spans="1:17">
      <c r="A14" s="163">
        <v>13</v>
      </c>
      <c r="B14" s="163" t="s">
        <v>992</v>
      </c>
      <c r="C14" s="221" t="s">
        <v>979</v>
      </c>
      <c r="D14" s="163">
        <v>1.1000000000000001</v>
      </c>
      <c r="E14" s="163" t="s">
        <v>993</v>
      </c>
      <c r="F14" s="163" t="s">
        <v>994</v>
      </c>
      <c r="G14" s="165"/>
      <c r="H14" s="165"/>
      <c r="I14" s="165"/>
      <c r="J14" s="165"/>
      <c r="K14" s="165"/>
      <c r="L14" s="166"/>
      <c r="M14" s="163"/>
      <c r="N14" s="167"/>
      <c r="O14" s="165"/>
      <c r="P14" s="163"/>
      <c r="Q14" s="163">
        <v>13</v>
      </c>
    </row>
    <row r="15" spans="1:17">
      <c r="A15" s="163">
        <v>14</v>
      </c>
      <c r="B15" s="163" t="s">
        <v>992</v>
      </c>
      <c r="C15" s="221" t="s">
        <v>980</v>
      </c>
      <c r="D15" s="163">
        <v>1.1000000000000001</v>
      </c>
      <c r="E15" s="163" t="s">
        <v>993</v>
      </c>
      <c r="F15" s="163" t="s">
        <v>994</v>
      </c>
      <c r="G15" s="165"/>
      <c r="H15" s="165"/>
      <c r="I15" s="165"/>
      <c r="J15" s="165"/>
      <c r="K15" s="165"/>
      <c r="L15" s="166"/>
      <c r="M15" s="163"/>
      <c r="N15" s="167"/>
      <c r="O15" s="165"/>
      <c r="P15" s="163"/>
      <c r="Q15" s="163">
        <v>14</v>
      </c>
    </row>
    <row r="16" spans="1:17">
      <c r="A16" s="163">
        <v>15</v>
      </c>
      <c r="B16" s="163" t="s">
        <v>992</v>
      </c>
      <c r="C16" s="221" t="s">
        <v>981</v>
      </c>
      <c r="D16" s="163">
        <v>1.1000000000000001</v>
      </c>
      <c r="E16" s="163" t="s">
        <v>993</v>
      </c>
      <c r="F16" s="163" t="s">
        <v>994</v>
      </c>
      <c r="G16" s="165"/>
      <c r="H16" s="165"/>
      <c r="I16" s="165"/>
      <c r="J16" s="165"/>
      <c r="K16" s="165"/>
      <c r="L16" s="166"/>
      <c r="M16" s="163"/>
      <c r="N16" s="167"/>
      <c r="O16" s="165"/>
      <c r="P16" s="163"/>
      <c r="Q16" s="163">
        <v>15</v>
      </c>
    </row>
    <row r="17" spans="1:17">
      <c r="A17" s="163">
        <v>16</v>
      </c>
      <c r="B17" s="163" t="s">
        <v>992</v>
      </c>
      <c r="C17" s="221" t="s">
        <v>982</v>
      </c>
      <c r="D17" s="163">
        <v>1.1000000000000001</v>
      </c>
      <c r="E17" s="163" t="s">
        <v>993</v>
      </c>
      <c r="F17" s="163" t="s">
        <v>994</v>
      </c>
      <c r="G17" s="165"/>
      <c r="H17" s="165"/>
      <c r="I17" s="165"/>
      <c r="J17" s="165"/>
      <c r="K17" s="165"/>
      <c r="L17" s="166"/>
      <c r="M17" s="163"/>
      <c r="N17" s="167"/>
      <c r="O17" s="165"/>
      <c r="P17" s="163"/>
      <c r="Q17" s="163">
        <v>16</v>
      </c>
    </row>
    <row r="18" spans="1:17">
      <c r="A18" s="163">
        <v>17</v>
      </c>
      <c r="B18" s="163" t="s">
        <v>992</v>
      </c>
      <c r="C18" s="221" t="s">
        <v>983</v>
      </c>
      <c r="D18" s="163">
        <v>1.1000000000000001</v>
      </c>
      <c r="E18" s="163" t="s">
        <v>993</v>
      </c>
      <c r="F18" s="163" t="s">
        <v>994</v>
      </c>
      <c r="G18" s="165"/>
      <c r="H18" s="165"/>
      <c r="I18" s="165"/>
      <c r="J18" s="165"/>
      <c r="K18" s="165"/>
      <c r="L18" s="166"/>
      <c r="M18" s="163"/>
      <c r="N18" s="167"/>
      <c r="O18" s="165"/>
      <c r="P18" s="163"/>
      <c r="Q18" s="163">
        <v>17</v>
      </c>
    </row>
    <row r="19" spans="1:17">
      <c r="A19" s="163">
        <v>18</v>
      </c>
      <c r="B19" s="163" t="s">
        <v>992</v>
      </c>
      <c r="C19" s="221" t="s">
        <v>984</v>
      </c>
      <c r="D19" s="163">
        <v>1.1000000000000001</v>
      </c>
      <c r="E19" s="163" t="s">
        <v>993</v>
      </c>
      <c r="F19" s="163" t="s">
        <v>994</v>
      </c>
      <c r="G19" s="165"/>
      <c r="H19" s="165"/>
      <c r="I19" s="165"/>
      <c r="J19" s="165"/>
      <c r="K19" s="165"/>
      <c r="L19" s="166"/>
      <c r="M19" s="163"/>
      <c r="N19" s="167"/>
      <c r="O19" s="165"/>
      <c r="P19" s="163"/>
      <c r="Q19" s="163">
        <v>18</v>
      </c>
    </row>
    <row r="20" spans="1:17">
      <c r="A20" s="163">
        <v>19</v>
      </c>
      <c r="B20" s="163" t="s">
        <v>992</v>
      </c>
      <c r="C20" s="221" t="s">
        <v>985</v>
      </c>
      <c r="D20" s="163">
        <v>1.1000000000000001</v>
      </c>
      <c r="E20" s="163" t="s">
        <v>993</v>
      </c>
      <c r="F20" s="163" t="s">
        <v>994</v>
      </c>
      <c r="G20" s="165"/>
      <c r="H20" s="165"/>
      <c r="I20" s="165"/>
      <c r="J20" s="165"/>
      <c r="K20" s="165"/>
      <c r="L20" s="166"/>
      <c r="M20" s="163"/>
      <c r="N20" s="167"/>
      <c r="O20" s="165"/>
      <c r="P20" s="163"/>
      <c r="Q20" s="163">
        <v>19</v>
      </c>
    </row>
    <row r="21" spans="1:17">
      <c r="A21" s="163">
        <v>20</v>
      </c>
      <c r="B21" s="163" t="s">
        <v>992</v>
      </c>
      <c r="C21" s="221" t="s">
        <v>986</v>
      </c>
      <c r="D21" s="163">
        <v>1.1000000000000001</v>
      </c>
      <c r="E21" s="163" t="s">
        <v>993</v>
      </c>
      <c r="F21" s="163" t="s">
        <v>994</v>
      </c>
      <c r="G21" s="165"/>
      <c r="H21" s="165"/>
      <c r="I21" s="165"/>
      <c r="J21" s="165"/>
      <c r="K21" s="165"/>
      <c r="L21" s="166"/>
      <c r="M21" s="163"/>
      <c r="N21" s="167"/>
      <c r="O21" s="165"/>
      <c r="P21" s="163"/>
      <c r="Q21" s="163">
        <v>20</v>
      </c>
    </row>
    <row r="22" spans="1:17">
      <c r="A22" s="163">
        <v>21</v>
      </c>
      <c r="B22" s="163" t="s">
        <v>992</v>
      </c>
      <c r="C22" s="221" t="s">
        <v>987</v>
      </c>
      <c r="D22" s="163">
        <v>1.1000000000000001</v>
      </c>
      <c r="E22" s="163" t="s">
        <v>993</v>
      </c>
      <c r="F22" s="163" t="s">
        <v>994</v>
      </c>
      <c r="G22" s="165"/>
      <c r="H22" s="165"/>
      <c r="I22" s="165"/>
      <c r="J22" s="165"/>
      <c r="K22" s="165"/>
      <c r="L22" s="166"/>
      <c r="M22" s="163"/>
      <c r="N22" s="167"/>
      <c r="O22" s="165"/>
      <c r="P22" s="163"/>
      <c r="Q22" s="163">
        <v>21</v>
      </c>
    </row>
    <row r="23" spans="1:17">
      <c r="A23" s="163">
        <v>22</v>
      </c>
      <c r="B23" s="163" t="s">
        <v>992</v>
      </c>
      <c r="C23" s="221" t="s">
        <v>988</v>
      </c>
      <c r="D23" s="163">
        <v>1.1000000000000001</v>
      </c>
      <c r="E23" s="163" t="s">
        <v>993</v>
      </c>
      <c r="F23" s="163" t="s">
        <v>994</v>
      </c>
      <c r="G23" s="165"/>
      <c r="H23" s="165"/>
      <c r="I23" s="165"/>
      <c r="J23" s="165"/>
      <c r="K23" s="165"/>
      <c r="L23" s="166"/>
      <c r="M23" s="163"/>
      <c r="N23" s="167"/>
      <c r="O23" s="165"/>
      <c r="P23" s="163"/>
      <c r="Q23" s="163">
        <v>22</v>
      </c>
    </row>
    <row r="24" spans="1:17">
      <c r="A24" s="163">
        <v>23</v>
      </c>
      <c r="B24" s="163" t="s">
        <v>992</v>
      </c>
      <c r="C24" s="221" t="s">
        <v>989</v>
      </c>
      <c r="D24" s="163">
        <v>1.1000000000000001</v>
      </c>
      <c r="E24" s="163" t="s">
        <v>993</v>
      </c>
      <c r="F24" s="163" t="s">
        <v>994</v>
      </c>
      <c r="G24" s="165"/>
      <c r="H24" s="165"/>
      <c r="I24" s="165"/>
      <c r="J24" s="165"/>
      <c r="K24" s="165"/>
      <c r="L24" s="166"/>
      <c r="M24" s="163"/>
      <c r="N24" s="167"/>
      <c r="O24" s="165"/>
      <c r="P24" s="163"/>
      <c r="Q24" s="163">
        <v>23</v>
      </c>
    </row>
    <row r="25" spans="1:17">
      <c r="A25" s="163">
        <v>24</v>
      </c>
      <c r="B25" s="163" t="str">
        <f t="shared" ref="B25:B66" si="0">IF(ISNA(D25),"NotApplicable","Applicable")</f>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0"/>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0"/>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0"/>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0"/>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0"/>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0"/>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0"/>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0"/>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0"/>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0"/>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0"/>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0"/>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0"/>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0"/>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0"/>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0"/>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0"/>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0"/>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0"/>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0"/>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0"/>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0"/>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0"/>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0"/>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0"/>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0"/>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0"/>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0"/>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0"/>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0"/>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0"/>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0"/>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0"/>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0"/>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0"/>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0"/>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A2:Q2 Q5:Q344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2"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6"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6.xml><?xml version="1.0" encoding="utf-8"?>
<ds:datastoreItem xmlns:ds="http://schemas.openxmlformats.org/officeDocument/2006/customXml" ds:itemID="{D8C8863F-213A-45D9-8B70-ACB11E809557}">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