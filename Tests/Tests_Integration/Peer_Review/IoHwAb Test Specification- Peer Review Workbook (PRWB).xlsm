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D5F1F0B7-B8E7-4167-9E55-54E3A17B0C79}"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0" i="42" l="1"/>
  <c r="E21" i="42"/>
  <c r="E22" i="42"/>
  <c r="E23" i="42"/>
  <c r="E24" i="42"/>
  <c r="E25" i="42"/>
  <c r="E26" i="42"/>
  <c r="E27" i="42"/>
  <c r="E28" i="42"/>
  <c r="E29" i="42"/>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s="1"/>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s="1"/>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s="1"/>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s="1"/>
  <c r="D269" i="258"/>
  <c r="B269" i="258" s="1"/>
  <c r="D268" i="258"/>
  <c r="B268" i="258"/>
  <c r="D267" i="258"/>
  <c r="B267" i="258" s="1"/>
  <c r="D266" i="258"/>
  <c r="B266" i="258" s="1"/>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s="1"/>
  <c r="D171" i="258"/>
  <c r="B171" i="258" s="1"/>
  <c r="D170" i="258"/>
  <c r="B170" i="258" s="1"/>
  <c r="D169" i="258"/>
  <c r="B169" i="258" s="1"/>
  <c r="D168" i="258"/>
  <c r="B168" i="258" s="1"/>
  <c r="D167" i="258"/>
  <c r="B167" i="258" s="1"/>
  <c r="D166" i="258"/>
  <c r="B166" i="258" s="1"/>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s="1"/>
  <c r="D155" i="258"/>
  <c r="B155" i="258" s="1"/>
  <c r="D154" i="258"/>
  <c r="B154" i="258" s="1"/>
  <c r="D153" i="258"/>
  <c r="B153" i="258" s="1"/>
  <c r="D152" i="258"/>
  <c r="B152" i="258" s="1"/>
  <c r="D151" i="258"/>
  <c r="B151" i="258" s="1"/>
  <c r="D150" i="258"/>
  <c r="B150" i="258" s="1"/>
  <c r="D149" i="258"/>
  <c r="B149" i="258" s="1"/>
  <c r="D148" i="258"/>
  <c r="B148" i="258" s="1"/>
  <c r="D147" i="258"/>
  <c r="B147" i="258" s="1"/>
  <c r="D146" i="258"/>
  <c r="B146" i="258" s="1"/>
  <c r="D145" i="258"/>
  <c r="B145" i="258" s="1"/>
  <c r="D144" i="258"/>
  <c r="B144" i="258" s="1"/>
  <c r="D143" i="258"/>
  <c r="B143" i="258" s="1"/>
  <c r="D142" i="258"/>
  <c r="B142" i="258"/>
  <c r="D141" i="258"/>
  <c r="B141" i="258" s="1"/>
  <c r="D140" i="258"/>
  <c r="B140" i="258"/>
  <c r="D139" i="258"/>
  <c r="B139" i="258" s="1"/>
  <c r="D138" i="258"/>
  <c r="B138" i="258" s="1"/>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s="1"/>
  <c r="D123" i="258"/>
  <c r="B123" i="258" s="1"/>
  <c r="D122" i="258"/>
  <c r="B122" i="258" s="1"/>
  <c r="D121" i="258"/>
  <c r="B121" i="258" s="1"/>
  <c r="D120" i="258"/>
  <c r="B120" i="258" s="1"/>
  <c r="D119" i="258"/>
  <c r="B119" i="258" s="1"/>
  <c r="D118" i="258"/>
  <c r="B118" i="258" s="1"/>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F10" i="38"/>
  <c r="AB7" i="38"/>
  <c r="A5" i="38"/>
  <c r="AE7" i="38"/>
  <c r="AB5" i="38"/>
  <c r="W7" i="38"/>
  <c r="W5" i="38"/>
  <c r="A7" i="38"/>
  <c r="E7"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<sst xmlns="http://schemas.openxmlformats.org/spreadsheetml/2006/main" count="2803" uniqueCount="1003">
  <si>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</si>
  <si>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</si>
  <si>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</si>
  <si>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</si>
  <si>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</si>
  <si>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</si>
  <si>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</si>
  <si>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</si>
  <si>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</si>
  <si>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</si>
  <si>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</si>
  <si>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</si>
  <si>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</si>
  <si>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</si>
  <si>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</si>
  <si>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</si>
  <si>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</si>
  <si>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</si>
  <si>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</si>
  <si>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</si>
  <si>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</si>
  <si>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</si>
  <si>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</si>
  <si>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</si>
  <si>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</si>
  <si>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</si>
  <si>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</si>
  <si>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</si>
  <si>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</si>
  <si>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</si>
  <si>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</si>
  <si>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</si>
  <si>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</si>
  <si>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</si>
  <si>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</si>
  <si>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</si>
  <si>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</si>
  <si>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</si>
  <si>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</si>
  <si>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</si>
  <si>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</si>
  <si>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</si>
  <si>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</si>
  <si>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</si>
  <si>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</si>
  <si>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</si>
  <si>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</si>
  <si>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</si>
  <si>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</si>
  <si>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</si>
  <si>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</si>
  <si>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</si>
  <si>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</si>
  <si>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</si>
  <si>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</si>
  <si>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</si>
  <si>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</si>
  <si>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</si>
  <si>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</si>
  <si>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</si>
  <si>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</si>
  <si>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</si>
  <si>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</si>
  <si>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</si>
  <si>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</si>
  <si>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</si>
  <si>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</si>
  <si>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</si>
  <si>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</si>
  <si>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</si>
  <si>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</si>
  <si>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</si>
  <si>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</si>
  <si>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</si>
  <si>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</si>
  <si>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</si>
  <si>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</si>
  <si>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</si>
  <si>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</si>
  <si>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</si>
  <si>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</si>
  <si>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</si>
  <si>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</si>
  <si>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</si>
  <si>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</si>
  <si>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</si>
  <si>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</si>
  <si>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</si>
  <si>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</si>
  <si>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</si>
  <si>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</si>
  <si>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</si>
  <si>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</si>
  <si>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</si>
  <si>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</si>
  <si>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</si>
  <si>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</si>
  <si>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</si>
  <si>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</si>
  <si>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</si>
  <si>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</si>
  <si>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</si>
  <si>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</si>
  <si>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</si>
  <si>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</si>
  <si>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</si>
  <si>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</si>
  <si>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</si>
  <si>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</si>
  <si>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</si>
  <si>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</si>
  <si>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</si>
  <si>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</si>
  <si>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</si>
  <si>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</si>
  <si>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</si>
  <si>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</si>
  <si>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</si>
  <si>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</si>
  <si>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</si>
  <si>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</si>
  <si>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</si>
  <si>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</si>
  <si>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</si>
  <si>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</si>
  <si>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</si>
  <si>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</si>
  <si>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</si>
  <si>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</si>
  <si>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</si>
  <si>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</si>
  <si>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</si>
  <si>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</si>
  <si>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</si>
  <si>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</si>
  <si>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</si>
  <si>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</si>
  <si>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</si>
  <si>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</si>
  <si>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</si>
  <si>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</si>
  <si>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</si>
  <si>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</si>
  <si>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</si>
  <si>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</si>
  <si>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</si>
  <si>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</si>
  <si>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</si>
  <si>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</si>
  <si>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</si>
  <si>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</si>
  <si>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</si>
  <si>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</si>
  <si>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</si>
  <si>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</si>
  <si>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</si>
  <si>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</si>
  <si>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</si>
  <si>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</si>
  <si>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</si>
  <si>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</si>
  <si>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</si>
  <si>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</si>
  <si>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</si>
  <si>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</si>
  <si>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</si>
  <si>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</si>
  <si>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</si>
  <si>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</si>
  <si>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</si>
  <si>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</si>
  <si>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</si>
  <si>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</si>
  <si>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</si>
  <si>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</si>
  <si>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</si>
  <si>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</si>
  <si>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</si>
  <si>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</si>
  <si>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</si>
  <si>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</si>
  <si>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</si>
  <si>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</si>
  <si>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</si>
  <si>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</si>
  <si>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</si>
  <si>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</si>
  <si>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</si>
  <si>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</si>
  <si>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</si>
  <si>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</si>
  <si>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</si>
  <si>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</si>
  <si>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</si>
  <si>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</si>
  <si>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</si>
  <si>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</si>
  <si>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</si>
  <si>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</si>
  <si>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</si>
  <si>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</si>
  <si>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</si>
  <si>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</si>
  <si>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</si>
  <si>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</si>
  <si>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</si>
  <si>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</si>
  <si>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</si>
  <si>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</si>
  <si>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</si>
  <si>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</si>
  <si>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</si>
  <si>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</si>
  <si>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</si>
  <si>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</si>
  <si>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</si>
  <si>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</si>
  <si>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</si>
  <si>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</si>
  <si>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</si>
  <si>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</si>
  <si>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</si>
  <si>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</si>
  <si>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</si>
  <si>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</si>
  <si>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</si>
  <si>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</si>
  <si>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</si>
  <si>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</si>
  <si>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</si>
  <si>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</si>
  <si>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</si>
  <si>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</si>
  <si>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</si>
  <si>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</si>
  <si>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</si>
  <si>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</si>
  <si>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</si>
  <si>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</si>
  <si>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</si>
  <si>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</si>
  <si>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</si>
  <si>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</si>
  <si>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</si>
  <si>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</si>
  <si>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</si>
  <si>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</si>
  <si>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</si>
  <si>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</si>
  <si>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</si>
  <si>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</si>
  <si>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</si>
  <si>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</si>
  <si>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</si>
  <si>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</si>
  <si>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</si>
  <si>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</si>
  <si>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</si>
  <si>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</si>
  <si>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</si>
  <si>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</si>
  <si>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</si>
  <si>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</si>
  <si>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</si>
  <si>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</si>
  <si>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</si>
  <si>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</si>
  <si>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</si>
  <si>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</si>
  <si>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</si>
  <si>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</si>
  <si>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</si>
  <si>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</si>
  <si>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</si>
  <si>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</si>
  <si>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</si>
  <si>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</si>
  <si>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</si>
  <si>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</si>
  <si>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</si>
  <si>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</si>
  <si>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</si>
  <si>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</si>
  <si>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</si>
  <si>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</si>
  <si>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</si>
  <si>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</si>
  <si>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</si>
  <si>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</si>
  <si>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</si>
  <si>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</si>
  <si>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</si>
  <si>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</si>
  <si>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</si>
  <si>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</si>
  <si>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</si>
  <si>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</si>
  <si>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</si>
  <si>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</si>
  <si>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</si>
  <si>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</si>
  <si>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</si>
  <si>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</si>
  <si>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</si>
  <si>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</si>
  <si>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</si>
  <si>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</si>
  <si>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</si>
  <si>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</si>
  <si>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</si>
  <si>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</si>
  <si>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</si>
  <si>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</si>
  <si>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</si>
  <si>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</si>
  <si>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</si>
  <si>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</si>
  <si>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</si>
  <si>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</si>
  <si>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</si>
  <si>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</si>
  <si>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</si>
  <si>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</si>
  <si>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</si>
  <si>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</si>
  <si>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</si>
  <si>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</si>
  <si>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</si>
  <si>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</si>
  <si>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</si>
  <si>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</si>
  <si>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</si>
  <si>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</si>
  <si>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</si>
  <si>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</si>
  <si>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</si>
  <si>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</si>
  <si>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</si>
  <si>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</si>
  <si>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</si>
  <si>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</si>
  <si>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</si>
  <si>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</si>
  <si>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</si>
  <si>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</si>
  <si>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</si>
  <si>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</si>
  <si>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</si>
  <si>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</si>
  <si>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</si>
  <si>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</si>
  <si>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</si>
  <si>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</si>
  <si>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</si>
  <si>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</si>
  <si>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</si>
  <si>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</si>
  <si>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</si>
  <si>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</si>
  <si>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</si>
  <si>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</si>
  <si>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</si>
  <si>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</si>
  <si>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</si>
  <si>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</si>
  <si>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</si>
  <si>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</si>
  <si>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</si>
  <si>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</si>
  <si>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</si>
  <si>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</si>
  <si>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</si>
  <si>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</si>
  <si>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</si>
  <si>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</si>
  <si>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</si>
  <si>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</si>
  <si>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</si>
  <si>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</si>
  <si>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</si>
  <si>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</si>
  <si>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</si>
  <si>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</si>
  <si>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</si>
  <si>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</si>
  <si>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</si>
  <si>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</si>
  <si>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</si>
  <si>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</si>
  <si>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</si>
  <si>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</si>
  <si>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</si>
  <si>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</si>
  <si>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</si>
  <si>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</si>
  <si>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</si>
  <si>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</si>
  <si>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</si>
  <si>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</si>
  <si>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</si>
  <si>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</si>
  <si>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</si>
  <si>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</si>
  <si>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</si>
  <si>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</si>
  <si>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</si>
  <si>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</si>
  <si>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</si>
  <si>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</si>
  <si>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</si>
  <si>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</si>
  <si>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</si>
  <si>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</si>
  <si>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</si>
  <si>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</si>
  <si>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</si>
  <si>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</si>
  <si>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</si>
  <si>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</si>
  <si>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</si>
  <si>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</si>
  <si>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</si>
  <si>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</si>
  <si>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</si>
  <si>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</si>
  <si>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</si>
  <si>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</si>
  <si>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</si>
  <si>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</si>
  <si>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</si>
  <si>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</si>
  <si>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</si>
  <si>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</si>
  <si>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</si>
  <si>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</si>
  <si>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</si>
  <si>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</si>
  <si>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</si>
  <si>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</si>
  <si>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</si>
  <si>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</si>
  <si>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</si>
  <si>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</si>
  <si>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</si>
  <si>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</si>
  <si>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</si>
  <si>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</si>
  <si>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</si>
  <si>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</si>
  <si>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</si>
  <si>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</si>
  <si>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</si>
  <si>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</si>
  <si>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</si>
  <si>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</si>
  <si>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</si>
  <si>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</si>
  <si>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</si>
  <si>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</si>
  <si>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</si>
  <si>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</si>
  <si>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</si>
  <si>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</si>
  <si>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</si>
  <si>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</si>
  <si>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</si>
  <si>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</si>
  <si>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</si>
  <si>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</si>
  <si>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</si>
  <si>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</si>
  <si>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</si>
  <si>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</si>
  <si>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</si>
  <si>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</si>
  <si>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</si>
  <si>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</si>
  <si>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</si>
  <si>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</si>
  <si>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</si>
  <si>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</si>
  <si>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</si>
  <si>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</si>
  <si>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</si>
  <si>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</si>
  <si>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</si>
  <si>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</si>
  <si>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</si>
  <si>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</si>
  <si>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</si>
  <si>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</si>
  <si>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</si>
  <si>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</si>
  <si>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</si>
  <si>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</si>
  <si>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</si>
  <si>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</si>
  <si>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</si>
  <si>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</si>
  <si>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</si>
  <si>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</si>
  <si>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</si>
  <si>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</si>
  <si>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</si>
  <si>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</si>
  <si>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</si>
  <si>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</si>
  <si>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</si>
  <si>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</si>
  <si>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</si>
  <si>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</si>
  <si>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</si>
  <si>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</si>
  <si>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</si>
  <si>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</si>
  <si>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</si>
  <si>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</si>
  <si>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</si>
  <si>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</si>
  <si>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</si>
  <si>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</si>
  <si>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</si>
  <si>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</si>
  <si>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</si>
  <si>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</si>
  <si>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</si>
  <si>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</si>
  <si>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</si>
  <si>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</si>
  <si>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</si>
  <si>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</si>
  <si>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</si>
  <si>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</si>
  <si>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</si>
  <si>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</si>
  <si>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</si>
  <si>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</si>
  <si>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</si>
  <si>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</si>
  <si>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</si>
  <si>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</si>
  <si>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</si>
  <si>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</si>
  <si>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</si>
  <si>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</si>
  <si>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</si>
  <si>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</si>
  <si>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</si>
  <si>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</si>
  <si>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</si>
  <si>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</si>
  <si>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</si>
  <si>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</si>
  <si>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</si>
  <si>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</si>
  <si>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</si>
  <si>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</si>
  <si>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</si>
  <si>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</si>
  <si>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</si>
  <si>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</si>
  <si>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</si>
  <si>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</si>
  <si>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</si>
  <si>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</si>
  <si>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</si>
  <si>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</si>
  <si>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</si>
  <si>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</si>
  <si>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</si>
  <si>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</si>
  <si>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</si>
  <si>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</si>
  <si>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</si>
  <si>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</si>
  <si>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</si>
  <si>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</si>
  <si>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</si>
  <si>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</si>
  <si>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</si>
  <si>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</si>
  <si>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</si>
  <si>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</si>
  <si>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</si>
  <si>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</si>
  <si>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</si>
  <si>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</si>
  <si>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</si>
  <si>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</si>
  <si>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</si>
  <si>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</si>
  <si>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</si>
  <si>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</si>
  <si>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</si>
  <si>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</si>
  <si>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</si>
  <si>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</si>
  <si>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</si>
  <si>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</si>
  <si>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</si>
  <si>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</si>
  <si>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</si>
  <si>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</si>
  <si>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</si>
  <si>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</si>
  <si>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</si>
  <si>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</si>
  <si>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</si>
  <si>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</si>
  <si>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</si>
  <si>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</si>
  <si>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</si>
  <si>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</si>
  <si>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</si>
  <si>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</si>
  <si>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</si>
  <si>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</si>
  <si>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</si>
  <si>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</si>
  <si>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</si>
  <si>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</si>
  <si>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</si>
  <si>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</si>
  <si>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</si>
  <si>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</si>
  <si>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</si>
  <si>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</si>
  <si>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</si>
  <si>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</si>
  <si>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</si>
  <si>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</si>
  <si>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</si>
  <si>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</si>
  <si>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</si>
  <si>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</si>
  <si>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</si>
  <si>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</si>
  <si>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</si>
  <si>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</si>
  <si>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</si>
  <si>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</si>
  <si>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</si>
  <si>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</si>
  <si>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</si>
  <si>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</si>
  <si>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</si>
  <si>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</si>
  <si>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</si>
  <si>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</si>
  <si>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</si>
  <si>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</si>
  <si>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</si>
  <si>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</si>
  <si>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</si>
  <si>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</si>
  <si>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</si>
  <si>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</si>
  <si>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</si>
  <si>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</si>
  <si>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</si>
  <si>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</si>
  <si>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</si>
  <si>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</si>
  <si>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</si>
  <si>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</si>
  <si>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</si>
  <si>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</si>
  <si>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</si>
  <si>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</si>
  <si>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</si>
  <si>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</si>
  <si>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</si>
  <si>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</si>
  <si>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</si>
  <si>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</si>
  <si>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</si>
  <si>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</si>
  <si>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</si>
  <si>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</si>
  <si>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</si>
  <si>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</si>
  <si>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</si>
  <si>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</si>
  <si>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</si>
  <si>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</si>
  <si>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</si>
  <si>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</si>
  <si>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</si>
  <si>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</si>
  <si>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</si>
  <si>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</si>
  <si>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</si>
  <si>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</si>
  <si>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</si>
  <si>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</si>
  <si>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</si>
  <si>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</si>
  <si>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</si>
  <si>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</si>
  <si>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</si>
  <si>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</si>
  <si>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</si>
  <si>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</si>
  <si>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</si>
  <si>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</si>
  <si>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</si>
  <si>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</si>
  <si>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</si>
  <si>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</si>
  <si>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</si>
  <si>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</si>
  <si>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</si>
  <si>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</si>
  <si>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</si>
  <si>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</si>
  <si>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</si>
  <si>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</si>
  <si>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</si>
  <si>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</si>
  <si>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</si>
  <si>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</si>
  <si>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</si>
  <si>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</si>
  <si>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</si>
  <si>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</si>
  <si>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</si>
  <si>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</si>
  <si>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</si>
  <si>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</si>
  <si>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</si>
  <si>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</si>
  <si>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</si>
  <si>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</si>
  <si>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</si>
  <si>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</si>
  <si>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</si>
  <si>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</si>
  <si>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</si>
  <si>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</si>
  <si>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</si>
  <si>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</si>
  <si>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</si>
  <si>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</si>
  <si>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</si>
  <si>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</si>
  <si>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</si>
  <si>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</si>
  <si>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</si>
  <si>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</si>
  <si>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</si>
  <si>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</si>
  <si>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</si>
  <si>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</si>
  <si>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</si>
  <si>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</si>
  <si>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</si>
  <si>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</si>
  <si>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</si>
  <si>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</si>
  <si>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</si>
  <si>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</si>
  <si>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</si>
  <si>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</si>
  <si>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</si>
  <si>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</si>
  <si>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</si>
  <si>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</si>
  <si>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</si>
  <si>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</si>
  <si>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</si>
  <si>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</si>
  <si>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</si>
  <si>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</si>
  <si>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</si>
  <si>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</si>
  <si>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</si>
  <si>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</si>
  <si>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</si>
  <si>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</si>
  <si>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</si>
  <si>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</si>
  <si>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</si>
  <si>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</si>
  <si>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</si>
  <si>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</si>
  <si>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</si>
  <si>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</si>
  <si>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</si>
  <si>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</si>
  <si>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</si>
  <si>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</si>
  <si>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</si>
  <si>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</si>
  <si>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</si>
  <si>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</si>
  <si>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</si>
  <si>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</si>
  <si>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</si>
  <si>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</si>
  <si>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</si>
  <si>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</si>
  <si>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</si>
  <si>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</si>
  <si>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</si>
  <si>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</si>
  <si>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</si>
  <si>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</si>
  <si>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</si>
  <si>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</si>
  <si>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</si>
  <si>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</si>
  <si>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</si>
  <si>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</si>
  <si>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</si>
  <si>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</si>
  <si>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</si>
  <si>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</si>
  <si>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</si>
  <si>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</si>
  <si>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</si>
  <si>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</si>
  <si>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</si>
  <si>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</si>
  <si>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</si>
  <si>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</si>
  <si>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</si>
  <si>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</si>
  <si>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</si>
  <si>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</si>
  <si>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</si>
  <si>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</si>
  <si>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</si>
  <si>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</si>
  <si>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</si>
  <si>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</si>
  <si>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</si>
  <si>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</si>
  <si>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</si>
  <si>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</si>
  <si>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</si>
  <si>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</si>
  <si>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</si>
  <si>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</si>
  <si>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</si>
  <si>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</si>
  <si>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</si>
  <si>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</si>
  <si>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</si>
  <si>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</si>
  <si>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</si>
  <si>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</si>
  <si>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</si>
  <si>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</si>
  <si>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</si>
  <si>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</si>
  <si>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</si>
  <si>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</si>
  <si>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</si>
  <si>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</si>
  <si>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</si>
  <si>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</si>
  <si>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</si>
  <si>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</si>
  <si>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</si>
  <si>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</si>
  <si>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</si>
  <si>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</si>
  <si>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</si>
  <si>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</si>
  <si>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</si>
  <si>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</si>
  <si>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</si>
  <si>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</si>
  <si>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</si>
  <si>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</si>
  <si>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</si>
  <si>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</si>
  <si>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</si>
  <si>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</si>
  <si>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</si>
  <si>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</si>
  <si>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</si>
  <si>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</si>
  <si>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</si>
  <si>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</si>
  <si>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</si>
  <si>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</si>
  <si>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</si>
  <si>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</si>
  <si>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</si>
  <si>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</si>
  <si>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</si>
  <si>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</si>
  <si>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</si>
  <si>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</si>
  <si>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</si>
  <si>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</si>
  <si>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</si>
  <si>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</si>
  <si>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</si>
  <si>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</si>
  <si>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</si>
  <si>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</si>
  <si>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</si>
  <si>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</si>
  <si>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</si>
  <si>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</si>
  <si>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</si>
  <si>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</si>
  <si>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</si>
  <si>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</si>
  <si>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</si>
  <si>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</si>
  <si>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</si>
  <si>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</si>
  <si>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</si>
  <si>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</si>
  <si>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</si>
  <si>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</si>
  <si>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</si>
  <si>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</si>
  <si>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</si>
  <si>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</si>
  <si>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</si>
  <si>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</si>
  <si>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</si>
  <si>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</si>
  <si>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</si>
  <si>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</si>
  <si>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</si>
  <si>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</si>
  <si>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</si>
  <si>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</si>
  <si>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</si>
  <si>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</si>
  <si>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</si>
  <si>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</si>
  <si>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</si>
  <si>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</si>
  <si>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</si>
  <si>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</si>
  <si>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</si>
  <si>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</si>
  <si>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</si>
  <si>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</si>
  <si>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</si>
  <si>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</si>
  <si>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</si>
  <si>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</si>
  <si>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</si>
  <si>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</si>
  <si>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</si>
  <si>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</si>
  <si>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</si>
  <si>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</si>
  <si>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</si>
  <si>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</si>
  <si>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</si>
  <si>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</si>
  <si>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</si>
  <si>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</si>
  <si>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</si>
  <si>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</si>
  <si>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</si>
  <si>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</si>
  <si>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</si>
  <si>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</si>
  <si>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</si>
  <si>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</si>
  <si>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</si>
  <si>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VCH</t>
  </si>
  <si>
    <t>CGA</t>
  </si>
  <si>
    <t>OK</t>
  </si>
  <si>
    <t>IoHwAb Test Specification- Peer Review Workbook (PRWB).xlsm</t>
  </si>
  <si>
    <t>Sw_Int_IoHwAb_pclAccSpiData_01.txt</t>
  </si>
  <si>
    <t>Sw_Int_IoHwAb_pclAutotestServices_01.txt</t>
  </si>
  <si>
    <t>Sw_Int_IoHwAb_pclAutotestServices_02.txt</t>
  </si>
  <si>
    <t>Sw_Int_IoHwAb_pclAutotestServices_03.txt</t>
  </si>
  <si>
    <t>Sw_Int_IoHwAb_pclEfxServices_01.txt</t>
  </si>
  <si>
    <t>Sw_Int_IoHwAb_prrSolenoidPwm_01.txt</t>
  </si>
  <si>
    <t>Sw_Int_IoHwAb_pseAccSensor_01.txt</t>
  </si>
  <si>
    <t>Sw_Int_IoHwAb_pseAccSensor_02.txt</t>
  </si>
  <si>
    <t>Sw_Int_IoHwAb_pseCheckPowerSupplyOV_01.txt</t>
  </si>
  <si>
    <t>Sw_Int_IoHwAb_pseCheckPowerSupplyOV_02.txt</t>
  </si>
  <si>
    <t>Sw_Int_IoHwAb_pseCheckPowerSupplyOV_03.txt</t>
  </si>
  <si>
    <t>Sw_Int_IoHwAb_pseCheckPowerSupplyUV_01.txt</t>
  </si>
  <si>
    <t>Sw_Int_IoHwAb_pseCheckPowerSupplyUV_02.txt</t>
  </si>
  <si>
    <t>Sw_Int_IoHwAb_pseCheckPowerSupplyUV_03.txt</t>
  </si>
  <si>
    <t>Sw_Int_IoHwAb_pseConvAdcServicer_01.txt</t>
  </si>
  <si>
    <t>Sw_Int_IoHwAb_pseConvAdcServicer_02.txt</t>
  </si>
  <si>
    <t>Sw_Int_IoHwAb_pseEcuCharacteristics_01.txt</t>
  </si>
  <si>
    <t>Sw_Int_IoHwAb_pseEcuOverTemperature_01.txt</t>
  </si>
  <si>
    <t>Sw_Int_IoHwAb_pseEcuOverTemperature_02.txt</t>
  </si>
  <si>
    <t>Sw_Int_IoHwAb_pseEcuOverTemperature_03.txt</t>
  </si>
  <si>
    <t>Sw_Int_IoHwAb_pseLowPowerWakeUp_01.txt</t>
  </si>
  <si>
    <t>Sw_Int_IoHwAb_psePtcSensor_01.txt</t>
  </si>
  <si>
    <t>Sw_Int_IoHwAb_psePtcSensor_02.txt</t>
  </si>
  <si>
    <t>Sw_Int_IoHwAb_pseSolenoidCharacterstics_01.txt</t>
  </si>
  <si>
    <t>Sw_Int_IoHwAb_psrBuckleStatus_01.txt</t>
  </si>
  <si>
    <t>Sw_Int_IoHwAb_psrSeatOccupancySensorStatus_01.txt</t>
  </si>
  <si>
    <t>Sw_Int_IoHwAb_psrSolenoidConfirmation_01.txt</t>
  </si>
  <si>
    <t>05.04.2023</t>
  </si>
  <si>
    <t>Cornel Albu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</si>
</sst>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71">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9" totalsRowShown="0" headerRowDxfId="1570" headerRowBorderDxfId="1569" tableBorderDxfId="1568" headerRowCellStyle="40% - Accent5" dataCellStyle="Normal 4">
  <autoFilter ref="A2:O2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SUM(F3:O29)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A23" sqref="A23:AG23"/>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973</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IFERROR(IF([1]!alvDocProperty("MXTitle")="","IoHwAb Test Specification - Peer Review Workbook (PRWB)",[1]!alvDocProperty("MXTitle")),"IoHwAb Test Specification - Peer Review Workbook (PRWB)")</f>
        <v>IoHwAb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IoHwAb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7" priority="21" operator="equal">
      <formula>"draft"</formula>
    </cfRule>
  </conditionalFormatting>
  <conditionalFormatting sqref="W5:AA5">
    <cfRule type="cellIs" dxfId="1566" priority="1" operator="equal">
      <formula>"In-Work"</formula>
    </cfRule>
    <cfRule type="cellIs" dxfId="1565" priority="2" stopIfTrue="1" operator="equal">
      <formula>"draft"</formula>
    </cfRule>
    <cfRule type="cellIs" dxfId="1564" priority="3" operator="equal">
      <formula>"In-Work"</formula>
    </cfRule>
    <cfRule type="cellIs" dxfId="1563" priority="4" stopIfTrue="1" operator="equal">
      <formula>"draft"</formula>
    </cfRule>
    <cfRule type="cellIs" dxfId="1562" priority="5" operator="equal">
      <formula>"In-Work"</formula>
    </cfRule>
    <cfRule type="cellIs" dxfId="1561" priority="6" stopIfTrue="1" operator="equal">
      <formula>"draft"</formula>
    </cfRule>
    <cfRule type="cellIs" dxfId="1560" priority="7" operator="equal">
      <formula>"In-Work"</formula>
    </cfRule>
    <cfRule type="cellIs" dxfId="1559" priority="8" stopIfTrue="1" operator="equal">
      <formula>"draft"</formula>
    </cfRule>
    <cfRule type="cellIs" dxfId="1558" priority="9" operator="equal">
      <formula>"In-Work"</formula>
    </cfRule>
    <cfRule type="cellIs" dxfId="1557" priority="10" stopIfTrue="1" operator="equal">
      <formula>"draft"</formula>
    </cfRule>
    <cfRule type="cellIs" dxfId="1556" priority="11" operator="equal">
      <formula>"In-Work"</formula>
    </cfRule>
    <cfRule type="cellIs" dxfId="1555" priority="12" stopIfTrue="1" operator="equal">
      <formula>"draft"</formula>
    </cfRule>
    <cfRule type="cellIs" dxfId="1554" priority="13" operator="equal">
      <formula>"In-Work"</formula>
    </cfRule>
    <cfRule type="cellIs" dxfId="1553" priority="14" stopIfTrue="1" operator="equal">
      <formula>"draft"</formula>
    </cfRule>
    <cfRule type="cellIs" dxfId="1552" priority="15" operator="equal">
      <formula>"In-Work"</formula>
    </cfRule>
    <cfRule type="cellIs" dxfId="1551" priority="16" stopIfTrue="1" operator="equal">
      <formula>"draft"</formula>
    </cfRule>
    <cfRule type="cellIs" dxfId="1550" priority="17" operator="equal">
      <formula>"In-Work"</formula>
    </cfRule>
    <cfRule type="cellIs" dxfId="1549" priority="18" stopIfTrue="1" operator="equal">
      <formula>"draft"</formula>
    </cfRule>
    <cfRule type="cellIs" dxfId="1548" priority="19" operator="equal">
      <formula>"In-Work"</formula>
    </cfRule>
    <cfRule type="cellIs" dxfId="1547" priority="20"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IoHwAb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9"/>
  <sheetViews>
    <sheetView showGridLines="0" zoomScaleNormal="100" workbookViewId="0">
      <selection activeCell="F25" sqref="F25"/>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970</v>
      </c>
      <c r="G2" s="140" t="s">
        <v>971</v>
      </c>
      <c r="H2" s="140" t="s">
        <v>226</v>
      </c>
      <c r="I2" s="140" t="s">
        <v>227</v>
      </c>
      <c r="J2" s="140" t="s">
        <v>228</v>
      </c>
      <c r="K2" s="140" t="s">
        <v>229</v>
      </c>
      <c r="L2" s="140" t="s">
        <v>230</v>
      </c>
      <c r="M2" s="140" t="s">
        <v>231</v>
      </c>
      <c r="N2" s="140" t="s">
        <v>232</v>
      </c>
      <c r="O2" s="140" t="s">
        <v>233</v>
      </c>
    </row>
    <row r="3" spans="1:15">
      <c r="A3" t="s">
        <v>974</v>
      </c>
      <c r="B3" s="129" t="s">
        <v>150</v>
      </c>
      <c r="C3" s="329" t="s">
        <v>1001</v>
      </c>
      <c r="D3" s="329" t="s">
        <v>1001</v>
      </c>
      <c r="E3" s="221">
        <f>SUM(F3:O3)</f>
        <v>30</v>
      </c>
      <c r="F3" s="129">
        <v>15</v>
      </c>
      <c r="G3" s="129">
        <v>15</v>
      </c>
    </row>
    <row r="4" spans="1:15">
      <c r="A4" t="s">
        <v>975</v>
      </c>
      <c r="B4" s="129" t="s">
        <v>150</v>
      </c>
      <c r="C4" s="329" t="s">
        <v>1001</v>
      </c>
      <c r="D4" s="329" t="s">
        <v>1001</v>
      </c>
      <c r="E4" s="138">
        <f t="shared" ref="E4:E29" si="0">SUM(F4:O4)</f>
        <v>30</v>
      </c>
      <c r="F4" s="129">
        <v>15</v>
      </c>
      <c r="G4" s="129">
        <v>15</v>
      </c>
      <c r="H4" s="222"/>
      <c r="I4" s="222"/>
      <c r="J4" s="222"/>
      <c r="K4" s="222"/>
      <c r="L4" s="222"/>
      <c r="M4" s="222"/>
      <c r="N4" s="222"/>
      <c r="O4" s="222"/>
    </row>
    <row r="5" spans="1:15">
      <c r="A5" t="s">
        <v>976</v>
      </c>
      <c r="B5" s="129" t="s">
        <v>150</v>
      </c>
      <c r="C5" s="329" t="s">
        <v>1001</v>
      </c>
      <c r="D5" s="329" t="s">
        <v>1001</v>
      </c>
      <c r="E5" s="138">
        <f t="shared" si="0"/>
        <v>30</v>
      </c>
      <c r="F5" s="129">
        <v>15</v>
      </c>
      <c r="G5" s="129">
        <v>15</v>
      </c>
      <c r="H5" s="222"/>
      <c r="I5" s="222"/>
      <c r="J5" s="222"/>
      <c r="K5" s="222"/>
      <c r="L5" s="222"/>
      <c r="M5" s="222"/>
      <c r="N5" s="222"/>
      <c r="O5" s="222"/>
    </row>
    <row r="6" spans="1:15">
      <c r="A6" t="s">
        <v>977</v>
      </c>
      <c r="B6" s="129" t="s">
        <v>150</v>
      </c>
      <c r="C6" s="329" t="s">
        <v>1001</v>
      </c>
      <c r="D6" s="329" t="s">
        <v>1001</v>
      </c>
      <c r="E6" s="138">
        <f t="shared" si="0"/>
        <v>30</v>
      </c>
      <c r="F6" s="129">
        <v>15</v>
      </c>
      <c r="G6" s="129">
        <v>15</v>
      </c>
      <c r="H6" s="222"/>
      <c r="I6" s="222"/>
      <c r="J6" s="222"/>
      <c r="K6" s="222"/>
      <c r="L6" s="222"/>
      <c r="M6" s="222"/>
      <c r="N6" s="222"/>
      <c r="O6" s="222"/>
    </row>
    <row r="7" spans="1:15">
      <c r="A7" t="s">
        <v>978</v>
      </c>
      <c r="B7" s="129" t="s">
        <v>150</v>
      </c>
      <c r="C7" s="329" t="s">
        <v>1001</v>
      </c>
      <c r="D7" s="329" t="s">
        <v>1001</v>
      </c>
      <c r="E7" s="138">
        <f t="shared" si="0"/>
        <v>30</v>
      </c>
      <c r="F7" s="129">
        <v>15</v>
      </c>
      <c r="G7" s="129">
        <v>15</v>
      </c>
      <c r="H7" s="222"/>
      <c r="I7" s="222"/>
      <c r="J7" s="222"/>
      <c r="K7" s="222"/>
      <c r="L7" s="222"/>
      <c r="M7" s="222"/>
      <c r="N7" s="222"/>
      <c r="O7" s="222"/>
    </row>
    <row r="8" spans="1:15">
      <c r="A8" t="s">
        <v>979</v>
      </c>
      <c r="B8" s="129" t="s">
        <v>150</v>
      </c>
      <c r="C8" s="329" t="s">
        <v>1001</v>
      </c>
      <c r="D8" s="329" t="s">
        <v>1001</v>
      </c>
      <c r="E8" s="138">
        <f t="shared" si="0"/>
        <v>30</v>
      </c>
      <c r="F8" s="129">
        <v>15</v>
      </c>
      <c r="G8" s="129">
        <v>15</v>
      </c>
      <c r="H8" s="222"/>
      <c r="I8" s="222"/>
      <c r="J8" s="222"/>
      <c r="K8" s="222"/>
      <c r="L8" s="222"/>
      <c r="M8" s="222"/>
      <c r="N8" s="222"/>
      <c r="O8" s="222"/>
    </row>
    <row r="9" spans="1:15">
      <c r="A9" t="s">
        <v>980</v>
      </c>
      <c r="B9" s="129" t="s">
        <v>150</v>
      </c>
      <c r="C9" s="329" t="s">
        <v>1001</v>
      </c>
      <c r="D9" s="329" t="s">
        <v>1001</v>
      </c>
      <c r="E9" s="138">
        <f t="shared" si="0"/>
        <v>30</v>
      </c>
      <c r="F9" s="129">
        <v>15</v>
      </c>
      <c r="G9" s="129">
        <v>15</v>
      </c>
      <c r="H9" s="222"/>
      <c r="I9" s="222"/>
      <c r="J9" s="222"/>
      <c r="K9" s="222"/>
      <c r="L9" s="222"/>
      <c r="M9" s="222"/>
      <c r="N9" s="222"/>
      <c r="O9" s="222"/>
    </row>
    <row r="10" spans="1:15">
      <c r="A10" t="s">
        <v>981</v>
      </c>
      <c r="B10" s="129" t="s">
        <v>150</v>
      </c>
      <c r="C10" s="329" t="s">
        <v>1001</v>
      </c>
      <c r="D10" s="329" t="s">
        <v>1001</v>
      </c>
      <c r="E10" s="138">
        <f t="shared" si="0"/>
        <v>30</v>
      </c>
      <c r="F10" s="129">
        <v>15</v>
      </c>
      <c r="G10" s="129">
        <v>15</v>
      </c>
      <c r="H10" s="222"/>
      <c r="I10" s="222"/>
      <c r="J10" s="222"/>
      <c r="K10" s="222"/>
      <c r="L10" s="222"/>
      <c r="M10" s="222"/>
      <c r="N10" s="222"/>
      <c r="O10" s="222"/>
    </row>
    <row r="11" spans="1:15">
      <c r="A11" t="s">
        <v>982</v>
      </c>
      <c r="B11" s="129" t="s">
        <v>150</v>
      </c>
      <c r="C11" s="329" t="s">
        <v>1001</v>
      </c>
      <c r="D11" s="329" t="s">
        <v>1001</v>
      </c>
      <c r="E11" s="138">
        <f t="shared" si="0"/>
        <v>30</v>
      </c>
      <c r="F11" s="129">
        <v>15</v>
      </c>
      <c r="G11" s="129">
        <v>15</v>
      </c>
      <c r="H11" s="222"/>
      <c r="I11" s="222"/>
      <c r="J11" s="222"/>
      <c r="K11" s="222"/>
      <c r="L11" s="222"/>
      <c r="M11" s="222"/>
      <c r="N11" s="222"/>
      <c r="O11" s="222"/>
    </row>
    <row r="12" spans="1:15">
      <c r="A12" t="s">
        <v>983</v>
      </c>
      <c r="B12" s="129" t="s">
        <v>150</v>
      </c>
      <c r="C12" s="329" t="s">
        <v>1001</v>
      </c>
      <c r="D12" s="329" t="s">
        <v>1001</v>
      </c>
      <c r="E12" s="138">
        <f t="shared" si="0"/>
        <v>30</v>
      </c>
      <c r="F12" s="129">
        <v>15</v>
      </c>
      <c r="G12" s="129">
        <v>15</v>
      </c>
      <c r="H12" s="222"/>
      <c r="I12" s="222"/>
      <c r="J12" s="222"/>
      <c r="K12" s="222"/>
      <c r="L12" s="222"/>
      <c r="M12" s="222"/>
      <c r="N12" s="222"/>
      <c r="O12" s="222"/>
    </row>
    <row r="13" spans="1:15">
      <c r="A13" t="s">
        <v>984</v>
      </c>
      <c r="B13" s="129" t="s">
        <v>150</v>
      </c>
      <c r="C13" s="329" t="s">
        <v>1001</v>
      </c>
      <c r="D13" s="329" t="s">
        <v>1001</v>
      </c>
      <c r="E13" s="138">
        <f t="shared" si="0"/>
        <v>30</v>
      </c>
      <c r="F13" s="129">
        <v>15</v>
      </c>
      <c r="G13" s="129">
        <v>15</v>
      </c>
      <c r="H13" s="222"/>
      <c r="I13" s="222"/>
      <c r="J13" s="222"/>
      <c r="K13" s="222"/>
      <c r="L13" s="222"/>
      <c r="M13" s="222"/>
      <c r="N13" s="222"/>
      <c r="O13" s="222"/>
    </row>
    <row r="14" spans="1:15">
      <c r="A14" t="s">
        <v>985</v>
      </c>
      <c r="B14" s="129" t="s">
        <v>150</v>
      </c>
      <c r="C14" s="329" t="s">
        <v>1001</v>
      </c>
      <c r="D14" s="329" t="s">
        <v>1001</v>
      </c>
      <c r="E14" s="138">
        <f t="shared" si="0"/>
        <v>30</v>
      </c>
      <c r="F14" s="129">
        <v>15</v>
      </c>
      <c r="G14" s="129">
        <v>15</v>
      </c>
      <c r="H14" s="222"/>
      <c r="I14" s="222"/>
      <c r="J14" s="222"/>
      <c r="K14" s="222"/>
      <c r="L14" s="222"/>
      <c r="M14" s="222"/>
      <c r="N14" s="222"/>
      <c r="O14" s="222"/>
    </row>
    <row r="15" spans="1:15">
      <c r="A15" t="s">
        <v>986</v>
      </c>
      <c r="B15" s="129" t="s">
        <v>150</v>
      </c>
      <c r="C15" s="329" t="s">
        <v>1001</v>
      </c>
      <c r="D15" s="329" t="s">
        <v>1001</v>
      </c>
      <c r="E15" s="138">
        <f t="shared" si="0"/>
        <v>30</v>
      </c>
      <c r="F15" s="129">
        <v>15</v>
      </c>
      <c r="G15" s="129">
        <v>15</v>
      </c>
      <c r="H15" s="222"/>
      <c r="I15" s="222"/>
      <c r="J15" s="222"/>
      <c r="K15" s="222"/>
      <c r="L15" s="222"/>
      <c r="M15" s="222"/>
      <c r="N15" s="222"/>
      <c r="O15" s="222"/>
    </row>
    <row r="16" spans="1:15">
      <c r="A16" t="s">
        <v>987</v>
      </c>
      <c r="B16" s="129" t="s">
        <v>150</v>
      </c>
      <c r="C16" s="329" t="s">
        <v>1001</v>
      </c>
      <c r="D16" s="329" t="s">
        <v>1001</v>
      </c>
      <c r="E16" s="138">
        <f t="shared" si="0"/>
        <v>30</v>
      </c>
      <c r="F16" s="129">
        <v>15</v>
      </c>
      <c r="G16" s="129">
        <v>15</v>
      </c>
      <c r="H16" s="222"/>
      <c r="I16" s="222"/>
      <c r="J16" s="222"/>
      <c r="K16" s="222"/>
      <c r="L16" s="222"/>
      <c r="M16" s="222"/>
      <c r="N16" s="222"/>
      <c r="O16" s="222"/>
    </row>
    <row r="17" spans="1:15">
      <c r="A17" t="s">
        <v>988</v>
      </c>
      <c r="B17" s="129" t="s">
        <v>150</v>
      </c>
      <c r="C17" s="329" t="s">
        <v>1001</v>
      </c>
      <c r="D17" s="329" t="s">
        <v>1001</v>
      </c>
      <c r="E17" s="138">
        <f t="shared" si="0"/>
        <v>30</v>
      </c>
      <c r="F17" s="129">
        <v>15</v>
      </c>
      <c r="G17" s="129">
        <v>15</v>
      </c>
      <c r="H17" s="222"/>
      <c r="I17" s="222"/>
      <c r="J17" s="222"/>
      <c r="K17" s="222"/>
      <c r="L17" s="222"/>
      <c r="M17" s="222"/>
      <c r="N17" s="222"/>
      <c r="O17" s="222"/>
    </row>
    <row r="18" spans="1:15">
      <c r="A18" t="s">
        <v>989</v>
      </c>
      <c r="B18" s="129" t="s">
        <v>150</v>
      </c>
      <c r="C18" s="329" t="s">
        <v>1001</v>
      </c>
      <c r="D18" s="329" t="s">
        <v>1001</v>
      </c>
      <c r="E18" s="138">
        <f t="shared" si="0"/>
        <v>30</v>
      </c>
      <c r="F18" s="129">
        <v>15</v>
      </c>
      <c r="G18" s="129">
        <v>15</v>
      </c>
      <c r="H18" s="222"/>
      <c r="I18" s="222"/>
      <c r="J18" s="222"/>
      <c r="K18" s="222"/>
      <c r="L18" s="222"/>
      <c r="M18" s="222"/>
      <c r="N18" s="222"/>
      <c r="O18" s="222"/>
    </row>
    <row r="19" spans="1:15">
      <c r="A19" t="s">
        <v>990</v>
      </c>
      <c r="B19" s="129" t="s">
        <v>150</v>
      </c>
      <c r="C19" s="329" t="s">
        <v>1001</v>
      </c>
      <c r="D19" s="329" t="s">
        <v>1001</v>
      </c>
      <c r="E19" s="138">
        <f t="shared" si="0"/>
        <v>30</v>
      </c>
      <c r="F19" s="129">
        <v>15</v>
      </c>
      <c r="G19" s="129">
        <v>15</v>
      </c>
      <c r="H19" s="222"/>
      <c r="I19" s="222"/>
      <c r="J19" s="222"/>
      <c r="K19" s="222"/>
      <c r="L19" s="222"/>
      <c r="M19" s="222"/>
      <c r="N19" s="222"/>
      <c r="O19" s="222"/>
    </row>
    <row r="20" spans="1:15">
      <c r="A20" t="s">
        <v>991</v>
      </c>
      <c r="B20" s="129" t="s">
        <v>150</v>
      </c>
      <c r="C20" s="329" t="s">
        <v>1001</v>
      </c>
      <c r="D20" s="329" t="s">
        <v>1001</v>
      </c>
      <c r="E20" s="138">
        <f t="shared" si="0"/>
        <v>30</v>
      </c>
      <c r="F20" s="129">
        <v>15</v>
      </c>
      <c r="G20" s="129">
        <v>15</v>
      </c>
      <c r="H20" s="222"/>
      <c r="I20" s="222"/>
      <c r="J20" s="222"/>
      <c r="K20" s="222"/>
      <c r="L20" s="222"/>
      <c r="M20" s="222"/>
      <c r="N20" s="222"/>
      <c r="O20" s="222"/>
    </row>
    <row r="21" spans="1:15">
      <c r="A21" t="s">
        <v>992</v>
      </c>
      <c r="B21" s="129" t="s">
        <v>150</v>
      </c>
      <c r="C21" s="329" t="s">
        <v>1001</v>
      </c>
      <c r="D21" s="329" t="s">
        <v>1001</v>
      </c>
      <c r="E21" s="138">
        <f t="shared" si="0"/>
        <v>30</v>
      </c>
      <c r="F21" s="129">
        <v>15</v>
      </c>
      <c r="G21" s="129">
        <v>15</v>
      </c>
      <c r="H21" s="222"/>
      <c r="I21" s="222"/>
      <c r="J21" s="222"/>
      <c r="K21" s="222"/>
      <c r="L21" s="222"/>
      <c r="M21" s="222"/>
      <c r="N21" s="222"/>
      <c r="O21" s="222"/>
    </row>
    <row r="22" spans="1:15">
      <c r="A22" t="s">
        <v>993</v>
      </c>
      <c r="B22" s="129" t="s">
        <v>150</v>
      </c>
      <c r="C22" s="329" t="s">
        <v>1001</v>
      </c>
      <c r="D22" s="329" t="s">
        <v>1001</v>
      </c>
      <c r="E22" s="138">
        <f t="shared" si="0"/>
        <v>30</v>
      </c>
      <c r="F22" s="129">
        <v>15</v>
      </c>
      <c r="G22" s="129">
        <v>15</v>
      </c>
      <c r="H22" s="222"/>
      <c r="I22" s="222"/>
      <c r="J22" s="222"/>
      <c r="K22" s="222"/>
      <c r="L22" s="222"/>
      <c r="M22" s="222"/>
      <c r="N22" s="222"/>
      <c r="O22" s="222"/>
    </row>
    <row r="23" spans="1:15">
      <c r="A23" t="s">
        <v>994</v>
      </c>
      <c r="B23" s="129" t="s">
        <v>150</v>
      </c>
      <c r="C23" s="329" t="s">
        <v>1001</v>
      </c>
      <c r="D23" s="329" t="s">
        <v>1001</v>
      </c>
      <c r="E23" s="138">
        <f t="shared" si="0"/>
        <v>30</v>
      </c>
      <c r="F23" s="129">
        <v>15</v>
      </c>
      <c r="G23" s="129">
        <v>15</v>
      </c>
      <c r="H23" s="222"/>
      <c r="I23" s="222"/>
      <c r="J23" s="222"/>
      <c r="K23" s="222"/>
      <c r="L23" s="222"/>
      <c r="M23" s="222"/>
      <c r="N23" s="222"/>
      <c r="O23" s="222"/>
    </row>
    <row r="24" spans="1:15">
      <c r="A24" t="s">
        <v>995</v>
      </c>
      <c r="B24" s="129" t="s">
        <v>150</v>
      </c>
      <c r="C24" s="329" t="s">
        <v>1001</v>
      </c>
      <c r="D24" s="329" t="s">
        <v>1001</v>
      </c>
      <c r="E24" s="138">
        <f t="shared" si="0"/>
        <v>30</v>
      </c>
      <c r="F24" s="129">
        <v>15</v>
      </c>
      <c r="G24" s="129">
        <v>15</v>
      </c>
      <c r="H24" s="222"/>
      <c r="I24" s="222"/>
      <c r="J24" s="222"/>
      <c r="K24" s="222"/>
      <c r="L24" s="222"/>
      <c r="M24" s="222"/>
      <c r="N24" s="222"/>
      <c r="O24" s="222"/>
    </row>
    <row r="25" spans="1:15">
      <c r="A25" t="s">
        <v>996</v>
      </c>
      <c r="B25" s="129" t="s">
        <v>150</v>
      </c>
      <c r="C25" s="329" t="s">
        <v>1001</v>
      </c>
      <c r="D25" s="329" t="s">
        <v>1001</v>
      </c>
      <c r="E25" s="138">
        <f t="shared" si="0"/>
        <v>30</v>
      </c>
      <c r="F25" s="129">
        <v>15</v>
      </c>
      <c r="G25" s="129">
        <v>15</v>
      </c>
      <c r="H25" s="222"/>
      <c r="I25" s="222"/>
      <c r="J25" s="222"/>
      <c r="K25" s="222"/>
      <c r="L25" s="222"/>
      <c r="M25" s="222"/>
      <c r="N25" s="222"/>
      <c r="O25" s="222"/>
    </row>
    <row r="26" spans="1:15">
      <c r="A26" t="s">
        <v>997</v>
      </c>
      <c r="B26" s="129" t="s">
        <v>150</v>
      </c>
      <c r="C26" s="329" t="s">
        <v>1001</v>
      </c>
      <c r="D26" s="329" t="s">
        <v>1001</v>
      </c>
      <c r="E26" s="138">
        <f t="shared" si="0"/>
        <v>30</v>
      </c>
      <c r="F26" s="129">
        <v>15</v>
      </c>
      <c r="G26" s="129">
        <v>15</v>
      </c>
      <c r="H26" s="222"/>
      <c r="I26" s="222"/>
      <c r="J26" s="222"/>
      <c r="K26" s="222"/>
      <c r="L26" s="222"/>
      <c r="M26" s="222"/>
      <c r="N26" s="222"/>
      <c r="O26" s="222"/>
    </row>
    <row r="27" spans="1:15">
      <c r="A27" t="s">
        <v>998</v>
      </c>
      <c r="B27" s="129" t="s">
        <v>150</v>
      </c>
      <c r="C27" s="329" t="s">
        <v>1001</v>
      </c>
      <c r="D27" s="329" t="s">
        <v>1001</v>
      </c>
      <c r="E27" s="138">
        <f t="shared" si="0"/>
        <v>30</v>
      </c>
      <c r="F27" s="129">
        <v>15</v>
      </c>
      <c r="G27" s="129">
        <v>15</v>
      </c>
      <c r="H27" s="222"/>
      <c r="I27" s="222"/>
      <c r="J27" s="222"/>
      <c r="K27" s="222"/>
      <c r="L27" s="222"/>
      <c r="M27" s="222"/>
      <c r="N27" s="222"/>
      <c r="O27" s="222"/>
    </row>
    <row r="28" spans="1:15">
      <c r="A28" t="s">
        <v>999</v>
      </c>
      <c r="B28" s="129" t="s">
        <v>150</v>
      </c>
      <c r="C28" s="329" t="s">
        <v>1001</v>
      </c>
      <c r="D28" s="329" t="s">
        <v>1001</v>
      </c>
      <c r="E28" s="138">
        <f t="shared" si="0"/>
        <v>30</v>
      </c>
      <c r="F28" s="129">
        <v>15</v>
      </c>
      <c r="G28" s="129">
        <v>15</v>
      </c>
      <c r="H28" s="222"/>
      <c r="I28" s="222"/>
      <c r="J28" s="222"/>
      <c r="K28" s="222"/>
      <c r="L28" s="222"/>
      <c r="M28" s="222"/>
      <c r="N28" s="222"/>
      <c r="O28" s="222"/>
    </row>
    <row r="29" spans="1:15">
      <c r="A29" t="s">
        <v>1000</v>
      </c>
      <c r="B29" s="129" t="s">
        <v>150</v>
      </c>
      <c r="C29" s="329" t="s">
        <v>1001</v>
      </c>
      <c r="D29" s="329" t="s">
        <v>1001</v>
      </c>
      <c r="E29" s="138">
        <f t="shared" si="0"/>
        <v>30</v>
      </c>
      <c r="F29" s="129">
        <v>15</v>
      </c>
      <c r="G29" s="129">
        <v>15</v>
      </c>
      <c r="H29" s="222"/>
      <c r="I29" s="222"/>
      <c r="J29" s="222"/>
      <c r="K29" s="222"/>
      <c r="L29" s="222"/>
      <c r="M29" s="222"/>
      <c r="N29" s="222"/>
      <c r="O2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CCF6D-F27E-437E-B5AF-06EB56376CD3}">
          <x14:formula1>
            <xm:f>Help!$B$13:$B$15</xm:f>
          </x14:formula1>
          <xm:sqref>B3:B29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6" priority="7" stopIfTrue="1" operator="equal">
      <formula>"Fixed"</formula>
    </cfRule>
    <cfRule type="cellIs" dxfId="1545" priority="8" stopIfTrue="1" operator="equal">
      <formula>"Open"</formula>
    </cfRule>
  </conditionalFormatting>
  <conditionalFormatting sqref="L4">
    <cfRule type="cellIs" dxfId="1544" priority="9" stopIfTrue="1" operator="equal">
      <formula>"Open"</formula>
    </cfRule>
    <cfRule type="cellIs" dxfId="1543" priority="10" stopIfTrue="1" operator="equal">
      <formula>"Fixed"</formula>
    </cfRule>
  </conditionalFormatting>
  <conditionalFormatting sqref="L5:L204">
    <cfRule type="expression" dxfId="1542" priority="11" stopIfTrue="1">
      <formula>AND($M5="Approved",$L5="Fixed")</formula>
    </cfRule>
    <cfRule type="cellIs" dxfId="1541" priority="12" stopIfTrue="1" operator="equal">
      <formula>"Fixed"</formula>
    </cfRule>
    <cfRule type="cellIs" dxfId="1540" priority="13" stopIfTrue="1" operator="equal">
      <formula>"Open"</formula>
    </cfRule>
  </conditionalFormatting>
  <conditionalFormatting sqref="M5:M204">
    <cfRule type="expression" dxfId="1539" priority="14" stopIfTrue="1">
      <formula>OR(M5="Fixed",M5="Approved")</formula>
    </cfRule>
    <cfRule type="cellIs" dxfId="1538" priority="15" stopIfTrue="1" operator="equal">
      <formula>"Rejected"</formula>
    </cfRule>
  </conditionalFormatting>
  <conditionalFormatting sqref="A3">
    <cfRule type="expression" dxfId="1537" priority="1" stopIfTrue="1">
      <formula>$X$2=1</formula>
    </cfRule>
    <cfRule type="expression" dxfId="1536" priority="2" stopIfTrue="1">
      <formula>$Y$2=1</formula>
    </cfRule>
    <cfRule type="expression" dxfId="1535" priority="4" stopIfTrue="1">
      <formula>$AA$2=1</formula>
    </cfRule>
  </conditionalFormatting>
  <conditionalFormatting sqref="A3:C3">
    <cfRule type="expression" dxfId="1534" priority="3" stopIfTrue="1">
      <formula>$Z$2=1</formula>
    </cfRule>
  </conditionalFormatting>
  <conditionalFormatting sqref="A5:K204">
    <cfRule type="expression" dxfId="1533"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32" priority="5" operator="equal">
      <formula>"nok"</formula>
    </cfRule>
  </conditionalFormatting>
  <conditionalFormatting sqref="B4737:G4783 I4737:J4783">
    <cfRule type="cellIs" dxfId="1531" priority="4" operator="equal">
      <formula>"nok"</formula>
    </cfRule>
  </conditionalFormatting>
  <conditionalFormatting sqref="B2:G4736 I2:J4736">
    <cfRule type="cellIs" dxfId="1530" priority="3" operator="equal">
      <formula>"OK"</formula>
    </cfRule>
  </conditionalFormatting>
  <conditionalFormatting sqref="B4737:G4777 I4737:J4777">
    <cfRule type="cellIs" dxfId="1529" priority="2" operator="equal">
      <formula>"OK"</formula>
    </cfRule>
  </conditionalFormatting>
  <conditionalFormatting sqref="A2:O7000">
    <cfRule type="cellIs" dxfId="1528"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7" priority="7">
      <formula>AND($M2="Fixed",$N2="Approved")</formula>
    </cfRule>
  </conditionalFormatting>
  <conditionalFormatting sqref="N2:N344">
    <cfRule type="expression" dxfId="1526" priority="6">
      <formula>$N2="Approved"</formula>
    </cfRule>
    <cfRule type="expression" dxfId="1525"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24" priority="8">
      <formula>$M2="Open"</formula>
    </cfRule>
    <cfRule type="expression" dxfId="1523" priority="9">
      <formula>$M2="Fixed"</formula>
    </cfRule>
    <cfRule type="expression" dxfId="1522" priority="10">
      <formula>$M2="Postponed"</formula>
    </cfRule>
    <cfRule type="expression" dxfId="1521"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20"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9" priority="2">
      <formula>$M4="Open"</formula>
    </cfRule>
    <cfRule type="expression" dxfId="1518" priority="3">
      <formula>$M4="Fixed"</formula>
    </cfRule>
    <cfRule type="expression" dxfId="1517" priority="4">
      <formula>$M4="Postponed"</formula>
    </cfRule>
    <cfRule type="expression" dxfId="1516"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topLeftCell="F1" zoomScaleNormal="100" workbookViewId="0">
      <selection activeCell="P13" sqref="P13"/>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27</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974</v>
      </c>
      <c r="B2" s="172" t="s">
        <v>972</v>
      </c>
      <c r="C2" s="172" t="s">
        <v>972</v>
      </c>
      <c r="D2" s="172" t="s">
        <v>972</v>
      </c>
      <c r="E2" s="172" t="s">
        <v>972</v>
      </c>
      <c r="F2" s="172" t="s">
        <v>972</v>
      </c>
      <c r="G2" s="172" t="s">
        <v>972</v>
      </c>
      <c r="H2" s="172" t="s">
        <v>972</v>
      </c>
      <c r="I2" s="172" t="s">
        <v>972</v>
      </c>
      <c r="J2" s="172" t="s">
        <v>972</v>
      </c>
      <c r="K2" s="172" t="s">
        <v>972</v>
      </c>
      <c r="L2" s="172" t="s">
        <v>972</v>
      </c>
      <c r="M2" s="172" t="s">
        <v>972</v>
      </c>
      <c r="N2" s="172" t="s">
        <v>972</v>
      </c>
      <c r="O2" s="172" t="s">
        <v>972</v>
      </c>
      <c r="P2" s="175" t="s">
        <v>1002</v>
      </c>
    </row>
    <row r="3" spans="1:17">
      <c r="A3" t="s">
        <v>975</v>
      </c>
      <c r="B3" s="172" t="s">
        <v>972</v>
      </c>
      <c r="C3" s="172" t="s">
        <v>972</v>
      </c>
      <c r="D3" s="172" t="s">
        <v>972</v>
      </c>
      <c r="E3" s="172" t="s">
        <v>972</v>
      </c>
      <c r="F3" s="172" t="s">
        <v>972</v>
      </c>
      <c r="G3" s="172" t="s">
        <v>972</v>
      </c>
      <c r="H3" s="172" t="s">
        <v>972</v>
      </c>
      <c r="I3" s="172" t="s">
        <v>972</v>
      </c>
      <c r="J3" s="172" t="s">
        <v>972</v>
      </c>
      <c r="K3" s="172" t="s">
        <v>972</v>
      </c>
      <c r="L3" s="172" t="s">
        <v>972</v>
      </c>
      <c r="M3" s="172" t="s">
        <v>972</v>
      </c>
      <c r="N3" s="172" t="s">
        <v>972</v>
      </c>
      <c r="O3" s="172" t="s">
        <v>972</v>
      </c>
      <c r="P3" s="175" t="s">
        <v>1002</v>
      </c>
    </row>
    <row r="4" spans="1:17">
      <c r="A4" t="s">
        <v>976</v>
      </c>
      <c r="B4" s="172" t="s">
        <v>972</v>
      </c>
      <c r="C4" s="172" t="s">
        <v>972</v>
      </c>
      <c r="D4" s="172" t="s">
        <v>972</v>
      </c>
      <c r="E4" s="172" t="s">
        <v>972</v>
      </c>
      <c r="F4" s="172" t="s">
        <v>972</v>
      </c>
      <c r="G4" s="172" t="s">
        <v>972</v>
      </c>
      <c r="H4" s="172" t="s">
        <v>972</v>
      </c>
      <c r="I4" s="172" t="s">
        <v>972</v>
      </c>
      <c r="J4" s="172" t="s">
        <v>972</v>
      </c>
      <c r="K4" s="172" t="s">
        <v>972</v>
      </c>
      <c r="L4" s="172" t="s">
        <v>972</v>
      </c>
      <c r="M4" s="172" t="s">
        <v>972</v>
      </c>
      <c r="N4" s="172" t="s">
        <v>972</v>
      </c>
      <c r="O4" s="172" t="s">
        <v>972</v>
      </c>
      <c r="P4" s="175" t="s">
        <v>1002</v>
      </c>
    </row>
    <row r="5" spans="1:17">
      <c r="A5" t="s">
        <v>977</v>
      </c>
      <c r="B5" s="172" t="s">
        <v>972</v>
      </c>
      <c r="C5" s="172" t="s">
        <v>972</v>
      </c>
      <c r="D5" s="172" t="s">
        <v>972</v>
      </c>
      <c r="E5" s="172" t="s">
        <v>972</v>
      </c>
      <c r="F5" s="172" t="s">
        <v>972</v>
      </c>
      <c r="G5" s="172" t="s">
        <v>972</v>
      </c>
      <c r="H5" s="172" t="s">
        <v>972</v>
      </c>
      <c r="I5" s="172" t="s">
        <v>972</v>
      </c>
      <c r="J5" s="172" t="s">
        <v>972</v>
      </c>
      <c r="K5" s="172" t="s">
        <v>972</v>
      </c>
      <c r="L5" s="172" t="s">
        <v>972</v>
      </c>
      <c r="M5" s="172" t="s">
        <v>972</v>
      </c>
      <c r="N5" s="172" t="s">
        <v>972</v>
      </c>
      <c r="O5" s="172" t="s">
        <v>972</v>
      </c>
      <c r="P5" s="175" t="s">
        <v>1002</v>
      </c>
    </row>
    <row r="6" spans="1:17">
      <c r="A6" t="s">
        <v>978</v>
      </c>
      <c r="B6" s="172" t="s">
        <v>972</v>
      </c>
      <c r="C6" s="172" t="s">
        <v>972</v>
      </c>
      <c r="D6" s="172" t="s">
        <v>972</v>
      </c>
      <c r="E6" s="172" t="s">
        <v>972</v>
      </c>
      <c r="F6" s="172" t="s">
        <v>972</v>
      </c>
      <c r="G6" s="172" t="s">
        <v>972</v>
      </c>
      <c r="H6" s="172" t="s">
        <v>972</v>
      </c>
      <c r="I6" s="172" t="s">
        <v>972</v>
      </c>
      <c r="J6" s="172" t="s">
        <v>972</v>
      </c>
      <c r="K6" s="172" t="s">
        <v>972</v>
      </c>
      <c r="L6" s="172" t="s">
        <v>972</v>
      </c>
      <c r="M6" s="172" t="s">
        <v>972</v>
      </c>
      <c r="N6" s="172" t="s">
        <v>972</v>
      </c>
      <c r="O6" s="172" t="s">
        <v>972</v>
      </c>
      <c r="P6" s="175" t="s">
        <v>1002</v>
      </c>
    </row>
    <row r="7" spans="1:17">
      <c r="A7" t="s">
        <v>979</v>
      </c>
      <c r="B7" s="172" t="s">
        <v>972</v>
      </c>
      <c r="C7" s="172" t="s">
        <v>972</v>
      </c>
      <c r="D7" s="172" t="s">
        <v>972</v>
      </c>
      <c r="E7" s="172" t="s">
        <v>972</v>
      </c>
      <c r="F7" s="172" t="s">
        <v>972</v>
      </c>
      <c r="G7" s="172" t="s">
        <v>972</v>
      </c>
      <c r="H7" s="172" t="s">
        <v>972</v>
      </c>
      <c r="I7" s="172" t="s">
        <v>972</v>
      </c>
      <c r="J7" s="172" t="s">
        <v>972</v>
      </c>
      <c r="K7" s="172" t="s">
        <v>972</v>
      </c>
      <c r="L7" s="172" t="s">
        <v>972</v>
      </c>
      <c r="M7" s="172" t="s">
        <v>972</v>
      </c>
      <c r="N7" s="172" t="s">
        <v>972</v>
      </c>
      <c r="O7" s="172" t="s">
        <v>972</v>
      </c>
      <c r="P7" s="175" t="s">
        <v>1002</v>
      </c>
    </row>
    <row r="8" spans="1:17">
      <c r="A8" t="s">
        <v>980</v>
      </c>
      <c r="B8" s="172" t="s">
        <v>972</v>
      </c>
      <c r="C8" s="172" t="s">
        <v>972</v>
      </c>
      <c r="D8" s="172" t="s">
        <v>972</v>
      </c>
      <c r="E8" s="172" t="s">
        <v>972</v>
      </c>
      <c r="F8" s="172" t="s">
        <v>972</v>
      </c>
      <c r="G8" s="172" t="s">
        <v>972</v>
      </c>
      <c r="H8" s="172" t="s">
        <v>972</v>
      </c>
      <c r="I8" s="172" t="s">
        <v>972</v>
      </c>
      <c r="J8" s="172" t="s">
        <v>972</v>
      </c>
      <c r="K8" s="172" t="s">
        <v>972</v>
      </c>
      <c r="L8" s="172" t="s">
        <v>972</v>
      </c>
      <c r="M8" s="172" t="s">
        <v>972</v>
      </c>
      <c r="N8" s="172" t="s">
        <v>972</v>
      </c>
      <c r="O8" s="172" t="s">
        <v>972</v>
      </c>
      <c r="P8" s="175" t="s">
        <v>1002</v>
      </c>
    </row>
    <row r="9" spans="1:17">
      <c r="A9" t="s">
        <v>981</v>
      </c>
      <c r="B9" s="172" t="s">
        <v>972</v>
      </c>
      <c r="C9" s="172" t="s">
        <v>972</v>
      </c>
      <c r="D9" s="172" t="s">
        <v>972</v>
      </c>
      <c r="E9" s="172" t="s">
        <v>972</v>
      </c>
      <c r="F9" s="172" t="s">
        <v>972</v>
      </c>
      <c r="G9" s="172" t="s">
        <v>972</v>
      </c>
      <c r="H9" s="172" t="s">
        <v>972</v>
      </c>
      <c r="I9" s="172" t="s">
        <v>972</v>
      </c>
      <c r="J9" s="172" t="s">
        <v>972</v>
      </c>
      <c r="K9" s="172" t="s">
        <v>972</v>
      </c>
      <c r="L9" s="172" t="s">
        <v>972</v>
      </c>
      <c r="M9" s="172" t="s">
        <v>972</v>
      </c>
      <c r="N9" s="172" t="s">
        <v>972</v>
      </c>
      <c r="O9" s="172" t="s">
        <v>972</v>
      </c>
      <c r="P9" s="175" t="s">
        <v>1002</v>
      </c>
    </row>
    <row r="10" spans="1:17">
      <c r="A10" t="s">
        <v>982</v>
      </c>
      <c r="B10" s="172" t="s">
        <v>972</v>
      </c>
      <c r="C10" s="172" t="s">
        <v>972</v>
      </c>
      <c r="D10" s="172" t="s">
        <v>972</v>
      </c>
      <c r="E10" s="172" t="s">
        <v>972</v>
      </c>
      <c r="F10" s="172" t="s">
        <v>972</v>
      </c>
      <c r="G10" s="172" t="s">
        <v>972</v>
      </c>
      <c r="H10" s="172" t="s">
        <v>972</v>
      </c>
      <c r="I10" s="172" t="s">
        <v>972</v>
      </c>
      <c r="J10" s="172" t="s">
        <v>972</v>
      </c>
      <c r="K10" s="172" t="s">
        <v>972</v>
      </c>
      <c r="L10" s="172" t="s">
        <v>972</v>
      </c>
      <c r="M10" s="172" t="s">
        <v>972</v>
      </c>
      <c r="N10" s="172" t="s">
        <v>972</v>
      </c>
      <c r="O10" s="172" t="s">
        <v>972</v>
      </c>
      <c r="P10" s="175" t="s">
        <v>1002</v>
      </c>
    </row>
    <row r="11" spans="1:17">
      <c r="A11" t="s">
        <v>983</v>
      </c>
      <c r="B11" s="172" t="s">
        <v>972</v>
      </c>
      <c r="C11" s="172" t="s">
        <v>972</v>
      </c>
      <c r="D11" s="172" t="s">
        <v>972</v>
      </c>
      <c r="E11" s="172" t="s">
        <v>972</v>
      </c>
      <c r="F11" s="172" t="s">
        <v>972</v>
      </c>
      <c r="G11" s="172" t="s">
        <v>972</v>
      </c>
      <c r="H11" s="172" t="s">
        <v>972</v>
      </c>
      <c r="I11" s="172" t="s">
        <v>972</v>
      </c>
      <c r="J11" s="172" t="s">
        <v>972</v>
      </c>
      <c r="K11" s="172" t="s">
        <v>972</v>
      </c>
      <c r="L11" s="172" t="s">
        <v>972</v>
      </c>
      <c r="M11" s="172" t="s">
        <v>972</v>
      </c>
      <c r="N11" s="172" t="s">
        <v>972</v>
      </c>
      <c r="O11" s="172" t="s">
        <v>972</v>
      </c>
      <c r="P11" s="175" t="s">
        <v>1002</v>
      </c>
    </row>
    <row r="12" spans="1:17">
      <c r="A12" t="s">
        <v>984</v>
      </c>
      <c r="B12" s="172" t="s">
        <v>972</v>
      </c>
      <c r="C12" s="172" t="s">
        <v>972</v>
      </c>
      <c r="D12" s="172" t="s">
        <v>972</v>
      </c>
      <c r="E12" s="172" t="s">
        <v>972</v>
      </c>
      <c r="F12" s="172" t="s">
        <v>972</v>
      </c>
      <c r="G12" s="172" t="s">
        <v>972</v>
      </c>
      <c r="H12" s="172" t="s">
        <v>972</v>
      </c>
      <c r="I12" s="172" t="s">
        <v>972</v>
      </c>
      <c r="J12" s="172" t="s">
        <v>972</v>
      </c>
      <c r="K12" s="172" t="s">
        <v>972</v>
      </c>
      <c r="L12" s="172" t="s">
        <v>972</v>
      </c>
      <c r="M12" s="172" t="s">
        <v>972</v>
      </c>
      <c r="N12" s="172" t="s">
        <v>972</v>
      </c>
      <c r="O12" s="172" t="s">
        <v>972</v>
      </c>
      <c r="P12" s="175" t="s">
        <v>1002</v>
      </c>
    </row>
    <row r="13" spans="1:17">
      <c r="A13" t="s">
        <v>985</v>
      </c>
      <c r="B13" s="172" t="s">
        <v>972</v>
      </c>
      <c r="C13" s="172" t="s">
        <v>972</v>
      </c>
      <c r="D13" s="172" t="s">
        <v>972</v>
      </c>
      <c r="E13" s="172" t="s">
        <v>972</v>
      </c>
      <c r="F13" s="172" t="s">
        <v>972</v>
      </c>
      <c r="G13" s="172" t="s">
        <v>972</v>
      </c>
      <c r="H13" s="172" t="s">
        <v>972</v>
      </c>
      <c r="I13" s="172" t="s">
        <v>972</v>
      </c>
      <c r="J13" s="172" t="s">
        <v>972</v>
      </c>
      <c r="K13" s="172" t="s">
        <v>972</v>
      </c>
      <c r="L13" s="172" t="s">
        <v>972</v>
      </c>
      <c r="M13" s="172" t="s">
        <v>972</v>
      </c>
      <c r="N13" s="172" t="s">
        <v>972</v>
      </c>
      <c r="O13" s="172" t="s">
        <v>972</v>
      </c>
      <c r="P13" s="175" t="s">
        <v>1002</v>
      </c>
    </row>
    <row r="14" spans="1:17">
      <c r="A14" t="s">
        <v>986</v>
      </c>
      <c r="B14" s="172" t="s">
        <v>972</v>
      </c>
      <c r="C14" s="172" t="s">
        <v>972</v>
      </c>
      <c r="D14" s="172" t="s">
        <v>972</v>
      </c>
      <c r="E14" s="172" t="s">
        <v>972</v>
      </c>
      <c r="F14" s="172" t="s">
        <v>972</v>
      </c>
      <c r="G14" s="172" t="s">
        <v>972</v>
      </c>
      <c r="H14" s="172" t="s">
        <v>972</v>
      </c>
      <c r="I14" s="172" t="s">
        <v>972</v>
      </c>
      <c r="J14" s="172" t="s">
        <v>972</v>
      </c>
      <c r="K14" s="172" t="s">
        <v>972</v>
      </c>
      <c r="L14" s="172" t="s">
        <v>972</v>
      </c>
      <c r="M14" s="172" t="s">
        <v>972</v>
      </c>
      <c r="N14" s="172" t="s">
        <v>972</v>
      </c>
      <c r="O14" s="172" t="s">
        <v>972</v>
      </c>
      <c r="P14" s="175" t="s">
        <v>1002</v>
      </c>
    </row>
    <row r="15" spans="1:17">
      <c r="A15" t="s">
        <v>987</v>
      </c>
      <c r="B15" s="172" t="s">
        <v>972</v>
      </c>
      <c r="C15" s="172" t="s">
        <v>972</v>
      </c>
      <c r="D15" s="172" t="s">
        <v>972</v>
      </c>
      <c r="E15" s="172" t="s">
        <v>972</v>
      </c>
      <c r="F15" s="172" t="s">
        <v>972</v>
      </c>
      <c r="G15" s="172" t="s">
        <v>972</v>
      </c>
      <c r="H15" s="172" t="s">
        <v>972</v>
      </c>
      <c r="I15" s="172" t="s">
        <v>972</v>
      </c>
      <c r="J15" s="172" t="s">
        <v>972</v>
      </c>
      <c r="K15" s="172" t="s">
        <v>972</v>
      </c>
      <c r="L15" s="172" t="s">
        <v>972</v>
      </c>
      <c r="M15" s="172" t="s">
        <v>972</v>
      </c>
      <c r="N15" s="172" t="s">
        <v>972</v>
      </c>
      <c r="O15" s="172" t="s">
        <v>972</v>
      </c>
      <c r="P15" s="175" t="s">
        <v>1002</v>
      </c>
    </row>
    <row r="16" spans="1:17">
      <c r="A16" t="s">
        <v>988</v>
      </c>
      <c r="B16" s="172" t="s">
        <v>972</v>
      </c>
      <c r="C16" s="172" t="s">
        <v>972</v>
      </c>
      <c r="D16" s="172" t="s">
        <v>972</v>
      </c>
      <c r="E16" s="172" t="s">
        <v>972</v>
      </c>
      <c r="F16" s="172" t="s">
        <v>972</v>
      </c>
      <c r="G16" s="172" t="s">
        <v>972</v>
      </c>
      <c r="H16" s="172" t="s">
        <v>972</v>
      </c>
      <c r="I16" s="172" t="s">
        <v>972</v>
      </c>
      <c r="J16" s="172" t="s">
        <v>972</v>
      </c>
      <c r="K16" s="172" t="s">
        <v>972</v>
      </c>
      <c r="L16" s="172" t="s">
        <v>972</v>
      </c>
      <c r="M16" s="172" t="s">
        <v>972</v>
      </c>
      <c r="N16" s="172" t="s">
        <v>972</v>
      </c>
      <c r="O16" s="172" t="s">
        <v>972</v>
      </c>
      <c r="P16" s="175" t="s">
        <v>1002</v>
      </c>
    </row>
    <row r="17" spans="1:16">
      <c r="A17" t="s">
        <v>989</v>
      </c>
      <c r="B17" s="172" t="s">
        <v>972</v>
      </c>
      <c r="C17" s="172" t="s">
        <v>972</v>
      </c>
      <c r="D17" s="172" t="s">
        <v>972</v>
      </c>
      <c r="E17" s="172" t="s">
        <v>972</v>
      </c>
      <c r="F17" s="172" t="s">
        <v>972</v>
      </c>
      <c r="G17" s="172" t="s">
        <v>972</v>
      </c>
      <c r="H17" s="172" t="s">
        <v>972</v>
      </c>
      <c r="I17" s="172" t="s">
        <v>972</v>
      </c>
      <c r="J17" s="172" t="s">
        <v>972</v>
      </c>
      <c r="K17" s="172" t="s">
        <v>972</v>
      </c>
      <c r="L17" s="172" t="s">
        <v>972</v>
      </c>
      <c r="M17" s="172" t="s">
        <v>972</v>
      </c>
      <c r="N17" s="172" t="s">
        <v>972</v>
      </c>
      <c r="O17" s="172" t="s">
        <v>972</v>
      </c>
      <c r="P17" s="175" t="s">
        <v>1002</v>
      </c>
    </row>
    <row r="18" spans="1:16">
      <c r="A18" t="s">
        <v>990</v>
      </c>
      <c r="B18" s="172" t="s">
        <v>972</v>
      </c>
      <c r="C18" s="172" t="s">
        <v>972</v>
      </c>
      <c r="D18" s="172" t="s">
        <v>972</v>
      </c>
      <c r="E18" s="172" t="s">
        <v>972</v>
      </c>
      <c r="F18" s="172" t="s">
        <v>972</v>
      </c>
      <c r="G18" s="172" t="s">
        <v>972</v>
      </c>
      <c r="H18" s="172" t="s">
        <v>972</v>
      </c>
      <c r="I18" s="172" t="s">
        <v>972</v>
      </c>
      <c r="J18" s="172" t="s">
        <v>972</v>
      </c>
      <c r="K18" s="172" t="s">
        <v>972</v>
      </c>
      <c r="L18" s="172" t="s">
        <v>972</v>
      </c>
      <c r="M18" s="172" t="s">
        <v>972</v>
      </c>
      <c r="N18" s="172" t="s">
        <v>972</v>
      </c>
      <c r="O18" s="172" t="s">
        <v>972</v>
      </c>
      <c r="P18" s="175" t="s">
        <v>1002</v>
      </c>
    </row>
    <row r="19" spans="1:16">
      <c r="A19" t="s">
        <v>991</v>
      </c>
      <c r="B19" s="172" t="s">
        <v>972</v>
      </c>
      <c r="C19" s="172" t="s">
        <v>972</v>
      </c>
      <c r="D19" s="172" t="s">
        <v>972</v>
      </c>
      <c r="E19" s="172" t="s">
        <v>972</v>
      </c>
      <c r="F19" s="172" t="s">
        <v>972</v>
      </c>
      <c r="G19" s="172" t="s">
        <v>972</v>
      </c>
      <c r="H19" s="172" t="s">
        <v>972</v>
      </c>
      <c r="I19" s="172" t="s">
        <v>972</v>
      </c>
      <c r="J19" s="172" t="s">
        <v>972</v>
      </c>
      <c r="K19" s="172" t="s">
        <v>972</v>
      </c>
      <c r="L19" s="172" t="s">
        <v>972</v>
      </c>
      <c r="M19" s="172" t="s">
        <v>972</v>
      </c>
      <c r="N19" s="172" t="s">
        <v>972</v>
      </c>
      <c r="O19" s="172" t="s">
        <v>972</v>
      </c>
      <c r="P19" s="175" t="s">
        <v>1002</v>
      </c>
    </row>
    <row r="20" spans="1:16">
      <c r="A20" t="s">
        <v>992</v>
      </c>
      <c r="B20" s="172" t="s">
        <v>972</v>
      </c>
      <c r="C20" s="172" t="s">
        <v>972</v>
      </c>
      <c r="D20" s="172" t="s">
        <v>972</v>
      </c>
      <c r="E20" s="172" t="s">
        <v>972</v>
      </c>
      <c r="F20" s="172" t="s">
        <v>972</v>
      </c>
      <c r="G20" s="172" t="s">
        <v>972</v>
      </c>
      <c r="H20" s="172" t="s">
        <v>972</v>
      </c>
      <c r="I20" s="172" t="s">
        <v>972</v>
      </c>
      <c r="J20" s="172" t="s">
        <v>972</v>
      </c>
      <c r="K20" s="172" t="s">
        <v>972</v>
      </c>
      <c r="L20" s="172" t="s">
        <v>972</v>
      </c>
      <c r="M20" s="172" t="s">
        <v>972</v>
      </c>
      <c r="N20" s="172" t="s">
        <v>972</v>
      </c>
      <c r="O20" s="172" t="s">
        <v>972</v>
      </c>
      <c r="P20" s="175" t="s">
        <v>1002</v>
      </c>
    </row>
    <row r="21" spans="1:16">
      <c r="A21" t="s">
        <v>993</v>
      </c>
      <c r="B21" s="172" t="s">
        <v>972</v>
      </c>
      <c r="C21" s="172" t="s">
        <v>972</v>
      </c>
      <c r="D21" s="172" t="s">
        <v>972</v>
      </c>
      <c r="E21" s="172" t="s">
        <v>972</v>
      </c>
      <c r="F21" s="172" t="s">
        <v>972</v>
      </c>
      <c r="G21" s="172" t="s">
        <v>972</v>
      </c>
      <c r="H21" s="172" t="s">
        <v>972</v>
      </c>
      <c r="I21" s="172" t="s">
        <v>972</v>
      </c>
      <c r="J21" s="172" t="s">
        <v>972</v>
      </c>
      <c r="K21" s="172" t="s">
        <v>972</v>
      </c>
      <c r="L21" s="172" t="s">
        <v>972</v>
      </c>
      <c r="M21" s="172" t="s">
        <v>972</v>
      </c>
      <c r="N21" s="172" t="s">
        <v>972</v>
      </c>
      <c r="O21" s="172" t="s">
        <v>972</v>
      </c>
      <c r="P21" s="175" t="s">
        <v>1002</v>
      </c>
    </row>
    <row r="22" spans="1:16">
      <c r="A22" t="s">
        <v>994</v>
      </c>
      <c r="B22" s="172" t="s">
        <v>972</v>
      </c>
      <c r="C22" s="172" t="s">
        <v>972</v>
      </c>
      <c r="D22" s="172" t="s">
        <v>972</v>
      </c>
      <c r="E22" s="172" t="s">
        <v>972</v>
      </c>
      <c r="F22" s="172" t="s">
        <v>972</v>
      </c>
      <c r="G22" s="172" t="s">
        <v>972</v>
      </c>
      <c r="H22" s="172" t="s">
        <v>972</v>
      </c>
      <c r="I22" s="172" t="s">
        <v>972</v>
      </c>
      <c r="J22" s="172" t="s">
        <v>972</v>
      </c>
      <c r="K22" s="172" t="s">
        <v>972</v>
      </c>
      <c r="L22" s="172" t="s">
        <v>972</v>
      </c>
      <c r="M22" s="172" t="s">
        <v>972</v>
      </c>
      <c r="N22" s="172" t="s">
        <v>972</v>
      </c>
      <c r="O22" s="172" t="s">
        <v>972</v>
      </c>
      <c r="P22" s="175" t="s">
        <v>1002</v>
      </c>
    </row>
    <row r="23" spans="1:16">
      <c r="A23" t="s">
        <v>995</v>
      </c>
      <c r="B23" s="172" t="s">
        <v>972</v>
      </c>
      <c r="C23" s="172" t="s">
        <v>972</v>
      </c>
      <c r="D23" s="172" t="s">
        <v>972</v>
      </c>
      <c r="E23" s="172" t="s">
        <v>972</v>
      </c>
      <c r="F23" s="172" t="s">
        <v>972</v>
      </c>
      <c r="G23" s="172" t="s">
        <v>972</v>
      </c>
      <c r="H23" s="172" t="s">
        <v>972</v>
      </c>
      <c r="I23" s="172" t="s">
        <v>972</v>
      </c>
      <c r="J23" s="172" t="s">
        <v>972</v>
      </c>
      <c r="K23" s="172" t="s">
        <v>972</v>
      </c>
      <c r="L23" s="172" t="s">
        <v>972</v>
      </c>
      <c r="M23" s="172" t="s">
        <v>972</v>
      </c>
      <c r="N23" s="172" t="s">
        <v>972</v>
      </c>
      <c r="O23" s="172" t="s">
        <v>972</v>
      </c>
      <c r="P23" s="175" t="s">
        <v>1002</v>
      </c>
    </row>
    <row r="24" spans="1:16">
      <c r="A24" t="s">
        <v>996</v>
      </c>
      <c r="B24" s="172" t="s">
        <v>972</v>
      </c>
      <c r="C24" s="172" t="s">
        <v>972</v>
      </c>
      <c r="D24" s="172" t="s">
        <v>972</v>
      </c>
      <c r="E24" s="172" t="s">
        <v>972</v>
      </c>
      <c r="F24" s="172" t="s">
        <v>972</v>
      </c>
      <c r="G24" s="172" t="s">
        <v>972</v>
      </c>
      <c r="H24" s="172" t="s">
        <v>972</v>
      </c>
      <c r="I24" s="172" t="s">
        <v>972</v>
      </c>
      <c r="J24" s="172" t="s">
        <v>972</v>
      </c>
      <c r="K24" s="172" t="s">
        <v>972</v>
      </c>
      <c r="L24" s="172" t="s">
        <v>972</v>
      </c>
      <c r="M24" s="172" t="s">
        <v>972</v>
      </c>
      <c r="N24" s="172" t="s">
        <v>972</v>
      </c>
      <c r="O24" s="172" t="s">
        <v>972</v>
      </c>
      <c r="P24" s="175" t="s">
        <v>1002</v>
      </c>
    </row>
    <row r="25" spans="1:16">
      <c r="A25" t="s">
        <v>997</v>
      </c>
      <c r="B25" s="172" t="s">
        <v>972</v>
      </c>
      <c r="C25" s="172" t="s">
        <v>972</v>
      </c>
      <c r="D25" s="172" t="s">
        <v>972</v>
      </c>
      <c r="E25" s="172" t="s">
        <v>972</v>
      </c>
      <c r="F25" s="172" t="s">
        <v>972</v>
      </c>
      <c r="G25" s="172" t="s">
        <v>972</v>
      </c>
      <c r="H25" s="172" t="s">
        <v>972</v>
      </c>
      <c r="I25" s="172" t="s">
        <v>972</v>
      </c>
      <c r="J25" s="172" t="s">
        <v>972</v>
      </c>
      <c r="K25" s="172" t="s">
        <v>972</v>
      </c>
      <c r="L25" s="172" t="s">
        <v>972</v>
      </c>
      <c r="M25" s="172" t="s">
        <v>972</v>
      </c>
      <c r="N25" s="172" t="s">
        <v>972</v>
      </c>
      <c r="O25" s="172" t="s">
        <v>972</v>
      </c>
      <c r="P25" s="175" t="s">
        <v>1002</v>
      </c>
    </row>
    <row r="26" spans="1:16">
      <c r="A26" t="s">
        <v>998</v>
      </c>
      <c r="B26" s="172" t="s">
        <v>972</v>
      </c>
      <c r="C26" s="172" t="s">
        <v>972</v>
      </c>
      <c r="D26" s="172" t="s">
        <v>972</v>
      </c>
      <c r="E26" s="172" t="s">
        <v>972</v>
      </c>
      <c r="F26" s="172" t="s">
        <v>972</v>
      </c>
      <c r="G26" s="172" t="s">
        <v>972</v>
      </c>
      <c r="H26" s="172" t="s">
        <v>972</v>
      </c>
      <c r="I26" s="172" t="s">
        <v>972</v>
      </c>
      <c r="J26" s="172" t="s">
        <v>972</v>
      </c>
      <c r="K26" s="172" t="s">
        <v>972</v>
      </c>
      <c r="L26" s="172" t="s">
        <v>972</v>
      </c>
      <c r="M26" s="172" t="s">
        <v>972</v>
      </c>
      <c r="N26" s="172" t="s">
        <v>972</v>
      </c>
      <c r="O26" s="172" t="s">
        <v>972</v>
      </c>
      <c r="P26" s="175" t="s">
        <v>1002</v>
      </c>
    </row>
    <row r="27" spans="1:16">
      <c r="A27" t="s">
        <v>999</v>
      </c>
      <c r="B27" s="172" t="s">
        <v>972</v>
      </c>
      <c r="C27" s="172" t="s">
        <v>972</v>
      </c>
      <c r="D27" s="172" t="s">
        <v>972</v>
      </c>
      <c r="E27" s="172" t="s">
        <v>972</v>
      </c>
      <c r="F27" s="172" t="s">
        <v>972</v>
      </c>
      <c r="G27" s="172" t="s">
        <v>972</v>
      </c>
      <c r="H27" s="172" t="s">
        <v>972</v>
      </c>
      <c r="I27" s="172" t="s">
        <v>972</v>
      </c>
      <c r="J27" s="172" t="s">
        <v>972</v>
      </c>
      <c r="K27" s="172" t="s">
        <v>972</v>
      </c>
      <c r="L27" s="172" t="s">
        <v>972</v>
      </c>
      <c r="M27" s="172" t="s">
        <v>972</v>
      </c>
      <c r="N27" s="172" t="s">
        <v>972</v>
      </c>
      <c r="O27" s="172" t="s">
        <v>972</v>
      </c>
      <c r="P27" s="175" t="s">
        <v>1002</v>
      </c>
    </row>
    <row r="28" spans="1:16">
      <c r="A28" t="s">
        <v>1000</v>
      </c>
      <c r="B28" s="172" t="s">
        <v>972</v>
      </c>
      <c r="C28" s="172" t="s">
        <v>972</v>
      </c>
      <c r="D28" s="172" t="s">
        <v>972</v>
      </c>
      <c r="E28" s="172" t="s">
        <v>972</v>
      </c>
      <c r="F28" s="172" t="s">
        <v>972</v>
      </c>
      <c r="G28" s="172" t="s">
        <v>972</v>
      </c>
      <c r="H28" s="172" t="s">
        <v>972</v>
      </c>
      <c r="I28" s="172" t="s">
        <v>972</v>
      </c>
      <c r="J28" s="172" t="s">
        <v>972</v>
      </c>
      <c r="K28" s="172" t="s">
        <v>972</v>
      </c>
      <c r="L28" s="172" t="s">
        <v>972</v>
      </c>
      <c r="M28" s="172" t="s">
        <v>972</v>
      </c>
      <c r="N28" s="172" t="s">
        <v>972</v>
      </c>
      <c r="O28" s="172" t="s">
        <v>972</v>
      </c>
      <c r="P28" s="175" t="s">
        <v>1002</v>
      </c>
    </row>
    <row r="29" spans="1:16">
      <c r="A29" s="162"/>
      <c r="B29" s="172"/>
      <c r="C29" s="172"/>
      <c r="D29" s="172"/>
      <c r="E29" s="172"/>
      <c r="F29" s="172"/>
      <c r="G29" s="175"/>
      <c r="I29" s="174"/>
      <c r="J29" s="172"/>
    </row>
    <row r="30" spans="1:16">
      <c r="A30" s="162"/>
      <c r="B30" s="172"/>
      <c r="C30" s="172"/>
      <c r="D30" s="172"/>
      <c r="E30" s="172"/>
      <c r="F30" s="172"/>
      <c r="G30" s="175"/>
      <c r="I30" s="174"/>
      <c r="J30" s="172"/>
    </row>
    <row r="31" spans="1:16">
      <c r="A31" s="162"/>
      <c r="B31" s="172"/>
      <c r="C31" s="172"/>
      <c r="D31" s="172"/>
      <c r="E31" s="172"/>
      <c r="F31" s="172"/>
      <c r="G31" s="175"/>
      <c r="I31" s="174"/>
      <c r="J31" s="172"/>
    </row>
    <row r="32" spans="1:16">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9:G4777 I29:O4777 B2:O28">
    <cfRule type="cellIs" dxfId="1515" priority="5" operator="equal">
      <formula>"nok"</formula>
    </cfRule>
  </conditionalFormatting>
  <conditionalFormatting sqref="B4737:G4783 I4737:J4783">
    <cfRule type="cellIs" dxfId="1514" priority="4" operator="equal">
      <formula>"nok"</formula>
    </cfRule>
  </conditionalFormatting>
  <conditionalFormatting sqref="B29:G4736 I29:J4736 B2:O28">
    <cfRule type="cellIs" dxfId="1513" priority="3" operator="equal">
      <formula>"OK"</formula>
    </cfRule>
  </conditionalFormatting>
  <conditionalFormatting sqref="B4737:G4777 I4737:J4777">
    <cfRule type="cellIs" dxfId="1512" priority="2" operator="equal">
      <formula>"OK"</formula>
    </cfRule>
  </conditionalFormatting>
  <conditionalFormatting sqref="A2:O7000">
    <cfRule type="cellIs" dxfId="1511" priority="1" operator="equal">
      <formula>"OK"</formula>
    </cfRule>
  </conditionalFormatting>
  <dataValidations count="3">
    <dataValidation type="list" allowBlank="1" showInputMessage="1" showErrorMessage="1" sqref="C2:O28 C29:F2860 B2:B2860 I29:O2860" xr:uid="{EAC82F2A-DD00-4CE8-9A11-1C7D5D006183}">
      <formula1>"OK,NOK,FIXED,WILL NOT FIX"</formula1>
    </dataValidation>
    <dataValidation type="list" showInputMessage="1" showErrorMessage="1" sqref="C2:O28 C29:F5023 B2:B5023 I29:O5023" xr:uid="{A6C36F29-91D5-479C-8CA2-20043354BD8C}">
      <formula1>"OK,NOK,FIXED,WILL NOT FIX"</formula1>
    </dataValidation>
    <dataValidation type="list" showInputMessage="1" showErrorMessage="1" sqref="C2:O28 I29:J4736 B2:B4736 C29:F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H31" sqref="H31"/>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974</v>
      </c>
      <c r="D2" s="163">
        <v>1.1000000000000001</v>
      </c>
      <c r="E2" s="163" t="s">
        <v>967</v>
      </c>
      <c r="F2" s="163" t="s">
        <v>968</v>
      </c>
      <c r="G2" s="165" t="s">
        <v>109</v>
      </c>
      <c r="H2" s="165" t="s">
        <v>109</v>
      </c>
      <c r="I2" s="165" t="s">
        <v>109</v>
      </c>
      <c r="J2" s="165" t="s">
        <v>109</v>
      </c>
      <c r="K2" s="165" t="s">
        <v>109</v>
      </c>
      <c r="L2" s="166" t="s">
        <v>969</v>
      </c>
      <c r="M2" s="163" t="s">
        <v>1002</v>
      </c>
      <c r="N2" s="167"/>
      <c r="O2" s="165"/>
      <c r="P2" s="163"/>
      <c r="Q2" s="163">
        <v>1</v>
      </c>
    </row>
    <row r="3" spans="1:17">
      <c r="A3" s="163">
        <v>2</v>
      </c>
      <c r="B3" s="163" t="s">
        <v>966</v>
      </c>
      <c r="C3" s="223" t="s">
        <v>975</v>
      </c>
      <c r="D3" s="163">
        <v>1.1000000000000001</v>
      </c>
      <c r="E3" s="163" t="s">
        <v>967</v>
      </c>
      <c r="F3" s="163" t="s">
        <v>968</v>
      </c>
      <c r="G3" s="165" t="s">
        <v>109</v>
      </c>
      <c r="H3" s="165" t="s">
        <v>109</v>
      </c>
      <c r="I3" s="165" t="s">
        <v>109</v>
      </c>
      <c r="J3" s="165" t="s">
        <v>109</v>
      </c>
      <c r="K3" s="165" t="s">
        <v>109</v>
      </c>
      <c r="L3" s="166" t="s">
        <v>969</v>
      </c>
      <c r="M3" s="163" t="s">
        <v>1002</v>
      </c>
      <c r="N3" s="167"/>
      <c r="O3" s="165"/>
      <c r="P3" s="163"/>
      <c r="Q3" s="163">
        <v>2</v>
      </c>
    </row>
    <row r="4" spans="1:17">
      <c r="A4" s="163">
        <v>3</v>
      </c>
      <c r="B4" s="163" t="s">
        <v>966</v>
      </c>
      <c r="C4" s="223" t="s">
        <v>976</v>
      </c>
      <c r="D4" s="163">
        <v>1.1000000000000001</v>
      </c>
      <c r="E4" s="163" t="s">
        <v>967</v>
      </c>
      <c r="F4" s="163" t="s">
        <v>968</v>
      </c>
      <c r="G4" s="165" t="s">
        <v>109</v>
      </c>
      <c r="H4" s="165" t="s">
        <v>109</v>
      </c>
      <c r="I4" s="165" t="s">
        <v>109</v>
      </c>
      <c r="J4" s="165" t="s">
        <v>109</v>
      </c>
      <c r="K4" s="165" t="s">
        <v>109</v>
      </c>
      <c r="L4" s="166" t="s">
        <v>969</v>
      </c>
      <c r="M4" s="163" t="s">
        <v>1002</v>
      </c>
      <c r="N4" s="167"/>
      <c r="O4" s="165"/>
      <c r="P4" s="163"/>
      <c r="Q4" s="163">
        <v>3</v>
      </c>
    </row>
    <row r="5" spans="1:17">
      <c r="A5" s="163">
        <v>4</v>
      </c>
      <c r="B5" s="163" t="s">
        <v>966</v>
      </c>
      <c r="C5" s="223" t="s">
        <v>977</v>
      </c>
      <c r="D5" s="163">
        <v>1.1000000000000001</v>
      </c>
      <c r="E5" s="163" t="s">
        <v>967</v>
      </c>
      <c r="F5" s="163" t="s">
        <v>968</v>
      </c>
      <c r="G5" s="165" t="s">
        <v>109</v>
      </c>
      <c r="H5" s="165" t="s">
        <v>109</v>
      </c>
      <c r="I5" s="165" t="s">
        <v>109</v>
      </c>
      <c r="J5" s="165" t="s">
        <v>109</v>
      </c>
      <c r="K5" s="165" t="s">
        <v>109</v>
      </c>
      <c r="L5" s="166" t="s">
        <v>969</v>
      </c>
      <c r="M5" s="163" t="s">
        <v>1002</v>
      </c>
      <c r="N5" s="167"/>
      <c r="O5" s="165"/>
      <c r="P5" s="163"/>
      <c r="Q5" s="163">
        <v>4</v>
      </c>
    </row>
    <row r="6" spans="1:17">
      <c r="A6" s="163">
        <v>5</v>
      </c>
      <c r="B6" s="163" t="s">
        <v>966</v>
      </c>
      <c r="C6" s="223" t="s">
        <v>978</v>
      </c>
      <c r="D6" s="163">
        <v>1.1000000000000001</v>
      </c>
      <c r="E6" s="163" t="s">
        <v>967</v>
      </c>
      <c r="F6" s="163" t="s">
        <v>968</v>
      </c>
      <c r="G6" s="165" t="s">
        <v>109</v>
      </c>
      <c r="H6" s="165" t="s">
        <v>109</v>
      </c>
      <c r="I6" s="165" t="s">
        <v>109</v>
      </c>
      <c r="J6" s="165" t="s">
        <v>109</v>
      </c>
      <c r="K6" s="165" t="s">
        <v>109</v>
      </c>
      <c r="L6" s="166" t="s">
        <v>969</v>
      </c>
      <c r="M6" s="163" t="s">
        <v>1002</v>
      </c>
      <c r="N6" s="167"/>
      <c r="O6" s="165"/>
      <c r="P6" s="163"/>
      <c r="Q6" s="163">
        <v>5</v>
      </c>
    </row>
    <row r="7" spans="1:17">
      <c r="A7" s="163">
        <v>6</v>
      </c>
      <c r="B7" s="163" t="s">
        <v>966</v>
      </c>
      <c r="C7" s="223" t="s">
        <v>979</v>
      </c>
      <c r="D7" s="163">
        <v>1.1000000000000001</v>
      </c>
      <c r="E7" s="163" t="s">
        <v>967</v>
      </c>
      <c r="F7" s="163" t="s">
        <v>968</v>
      </c>
      <c r="G7" s="165" t="s">
        <v>109</v>
      </c>
      <c r="H7" s="165" t="s">
        <v>109</v>
      </c>
      <c r="I7" s="165" t="s">
        <v>109</v>
      </c>
      <c r="J7" s="165" t="s">
        <v>109</v>
      </c>
      <c r="K7" s="165" t="s">
        <v>109</v>
      </c>
      <c r="L7" s="166" t="s">
        <v>969</v>
      </c>
      <c r="M7" s="163" t="s">
        <v>1002</v>
      </c>
      <c r="N7" s="167"/>
      <c r="O7" s="165"/>
      <c r="P7" s="163"/>
      <c r="Q7" s="163">
        <v>6</v>
      </c>
    </row>
    <row r="8" spans="1:17">
      <c r="A8" s="163">
        <v>7</v>
      </c>
      <c r="B8" s="163" t="s">
        <v>966</v>
      </c>
      <c r="C8" s="223" t="s">
        <v>980</v>
      </c>
      <c r="D8" s="163">
        <v>1.1000000000000001</v>
      </c>
      <c r="E8" s="163" t="s">
        <v>967</v>
      </c>
      <c r="F8" s="163" t="s">
        <v>968</v>
      </c>
      <c r="G8" s="165" t="s">
        <v>109</v>
      </c>
      <c r="H8" s="165" t="s">
        <v>109</v>
      </c>
      <c r="I8" s="165" t="s">
        <v>109</v>
      </c>
      <c r="J8" s="165" t="s">
        <v>109</v>
      </c>
      <c r="K8" s="165" t="s">
        <v>109</v>
      </c>
      <c r="L8" s="166" t="s">
        <v>969</v>
      </c>
      <c r="M8" s="163" t="s">
        <v>1002</v>
      </c>
      <c r="N8" s="167"/>
      <c r="O8" s="165"/>
      <c r="P8" s="163"/>
      <c r="Q8" s="163">
        <v>7</v>
      </c>
    </row>
    <row r="9" spans="1:17">
      <c r="A9" s="163">
        <v>8</v>
      </c>
      <c r="B9" s="163" t="s">
        <v>966</v>
      </c>
      <c r="C9" s="223" t="s">
        <v>981</v>
      </c>
      <c r="D9" s="163">
        <v>1.1000000000000001</v>
      </c>
      <c r="E9" s="163" t="s">
        <v>967</v>
      </c>
      <c r="F9" s="163" t="s">
        <v>968</v>
      </c>
      <c r="G9" s="165" t="s">
        <v>109</v>
      </c>
      <c r="H9" s="165" t="s">
        <v>109</v>
      </c>
      <c r="I9" s="165" t="s">
        <v>109</v>
      </c>
      <c r="J9" s="165" t="s">
        <v>109</v>
      </c>
      <c r="K9" s="165" t="s">
        <v>109</v>
      </c>
      <c r="L9" s="166" t="s">
        <v>969</v>
      </c>
      <c r="M9" s="163" t="s">
        <v>1002</v>
      </c>
      <c r="N9" s="167"/>
      <c r="O9" s="165"/>
      <c r="P9" s="163"/>
      <c r="Q9" s="163">
        <v>8</v>
      </c>
    </row>
    <row r="10" spans="1:17">
      <c r="A10" s="163">
        <v>9</v>
      </c>
      <c r="B10" s="163" t="s">
        <v>966</v>
      </c>
      <c r="C10" s="223" t="s">
        <v>982</v>
      </c>
      <c r="D10" s="163">
        <v>1.1000000000000001</v>
      </c>
      <c r="E10" s="163" t="s">
        <v>967</v>
      </c>
      <c r="F10" s="163" t="s">
        <v>968</v>
      </c>
      <c r="G10" s="165" t="s">
        <v>109</v>
      </c>
      <c r="H10" s="165" t="s">
        <v>109</v>
      </c>
      <c r="I10" s="165" t="s">
        <v>109</v>
      </c>
      <c r="J10" s="165" t="s">
        <v>109</v>
      </c>
      <c r="K10" s="165" t="s">
        <v>109</v>
      </c>
      <c r="L10" s="166" t="s">
        <v>969</v>
      </c>
      <c r="M10" s="163" t="s">
        <v>1002</v>
      </c>
      <c r="N10" s="167"/>
      <c r="O10" s="165"/>
      <c r="P10" s="163"/>
      <c r="Q10" s="163">
        <v>9</v>
      </c>
    </row>
    <row r="11" spans="1:17">
      <c r="A11" s="163">
        <v>10</v>
      </c>
      <c r="B11" s="163" t="s">
        <v>966</v>
      </c>
      <c r="C11" s="223" t="s">
        <v>983</v>
      </c>
      <c r="D11" s="163">
        <v>1.1000000000000001</v>
      </c>
      <c r="E11" s="163" t="s">
        <v>967</v>
      </c>
      <c r="F11" s="163" t="s">
        <v>968</v>
      </c>
      <c r="G11" s="165" t="s">
        <v>109</v>
      </c>
      <c r="H11" s="165" t="s">
        <v>109</v>
      </c>
      <c r="I11" s="165" t="s">
        <v>109</v>
      </c>
      <c r="J11" s="165" t="s">
        <v>109</v>
      </c>
      <c r="K11" s="165" t="s">
        <v>109</v>
      </c>
      <c r="L11" s="166" t="s">
        <v>969</v>
      </c>
      <c r="M11" s="163" t="s">
        <v>1002</v>
      </c>
      <c r="N11" s="167"/>
      <c r="O11" s="165"/>
      <c r="P11" s="163"/>
      <c r="Q11" s="163">
        <v>10</v>
      </c>
    </row>
    <row r="12" spans="1:17">
      <c r="A12" s="163">
        <v>11</v>
      </c>
      <c r="B12" s="163" t="s">
        <v>966</v>
      </c>
      <c r="C12" s="223" t="s">
        <v>984</v>
      </c>
      <c r="D12" s="163">
        <v>1.1000000000000001</v>
      </c>
      <c r="E12" s="163" t="s">
        <v>967</v>
      </c>
      <c r="F12" s="163" t="s">
        <v>968</v>
      </c>
      <c r="G12" s="165" t="s">
        <v>109</v>
      </c>
      <c r="H12" s="165" t="s">
        <v>109</v>
      </c>
      <c r="I12" s="165" t="s">
        <v>109</v>
      </c>
      <c r="J12" s="165" t="s">
        <v>109</v>
      </c>
      <c r="K12" s="165" t="s">
        <v>109</v>
      </c>
      <c r="L12" s="166" t="s">
        <v>969</v>
      </c>
      <c r="M12" s="163" t="s">
        <v>1002</v>
      </c>
      <c r="N12" s="167"/>
      <c r="O12" s="165"/>
      <c r="P12" s="163"/>
      <c r="Q12" s="163">
        <v>11</v>
      </c>
    </row>
    <row r="13" spans="1:17">
      <c r="A13" s="163">
        <v>12</v>
      </c>
      <c r="B13" s="163" t="s">
        <v>966</v>
      </c>
      <c r="C13" s="223" t="s">
        <v>985</v>
      </c>
      <c r="D13" s="163">
        <v>1.1000000000000001</v>
      </c>
      <c r="E13" s="163" t="s">
        <v>967</v>
      </c>
      <c r="F13" s="163" t="s">
        <v>968</v>
      </c>
      <c r="G13" s="165" t="s">
        <v>109</v>
      </c>
      <c r="H13" s="165" t="s">
        <v>109</v>
      </c>
      <c r="I13" s="165" t="s">
        <v>109</v>
      </c>
      <c r="J13" s="165" t="s">
        <v>109</v>
      </c>
      <c r="K13" s="165" t="s">
        <v>109</v>
      </c>
      <c r="L13" s="166" t="s">
        <v>969</v>
      </c>
      <c r="M13" s="163" t="s">
        <v>1002</v>
      </c>
      <c r="N13" s="167"/>
      <c r="O13" s="165"/>
      <c r="P13" s="163"/>
      <c r="Q13" s="163">
        <v>12</v>
      </c>
    </row>
    <row r="14" spans="1:17">
      <c r="A14" s="163">
        <v>13</v>
      </c>
      <c r="B14" s="163" t="s">
        <v>966</v>
      </c>
      <c r="C14" s="223" t="s">
        <v>986</v>
      </c>
      <c r="D14" s="163">
        <v>1.1000000000000001</v>
      </c>
      <c r="E14" s="163" t="s">
        <v>967</v>
      </c>
      <c r="F14" s="163" t="s">
        <v>968</v>
      </c>
      <c r="G14" s="165" t="s">
        <v>109</v>
      </c>
      <c r="H14" s="165" t="s">
        <v>109</v>
      </c>
      <c r="I14" s="165" t="s">
        <v>109</v>
      </c>
      <c r="J14" s="165" t="s">
        <v>109</v>
      </c>
      <c r="K14" s="165" t="s">
        <v>109</v>
      </c>
      <c r="L14" s="166" t="s">
        <v>969</v>
      </c>
      <c r="M14" s="163" t="s">
        <v>1002</v>
      </c>
      <c r="N14" s="167"/>
      <c r="O14" s="165"/>
      <c r="P14" s="163"/>
      <c r="Q14" s="163">
        <v>13</v>
      </c>
    </row>
    <row r="15" spans="1:17">
      <c r="A15" s="163">
        <v>14</v>
      </c>
      <c r="B15" s="163" t="s">
        <v>966</v>
      </c>
      <c r="C15" s="223" t="s">
        <v>987</v>
      </c>
      <c r="D15" s="163">
        <v>1.1000000000000001</v>
      </c>
      <c r="E15" s="163" t="s">
        <v>967</v>
      </c>
      <c r="F15" s="163" t="s">
        <v>968</v>
      </c>
      <c r="G15" s="165" t="s">
        <v>109</v>
      </c>
      <c r="H15" s="165" t="s">
        <v>109</v>
      </c>
      <c r="I15" s="165" t="s">
        <v>109</v>
      </c>
      <c r="J15" s="165" t="s">
        <v>109</v>
      </c>
      <c r="K15" s="165" t="s">
        <v>109</v>
      </c>
      <c r="L15" s="166" t="s">
        <v>969</v>
      </c>
      <c r="M15" s="163" t="s">
        <v>1002</v>
      </c>
      <c r="N15" s="167"/>
      <c r="O15" s="165"/>
      <c r="P15" s="163"/>
      <c r="Q15" s="163">
        <v>14</v>
      </c>
    </row>
    <row r="16" spans="1:17">
      <c r="A16" s="163">
        <v>15</v>
      </c>
      <c r="B16" s="163" t="s">
        <v>966</v>
      </c>
      <c r="C16" s="223" t="s">
        <v>988</v>
      </c>
      <c r="D16" s="163">
        <v>1.1000000000000001</v>
      </c>
      <c r="E16" s="163" t="s">
        <v>967</v>
      </c>
      <c r="F16" s="163" t="s">
        <v>968</v>
      </c>
      <c r="G16" s="165" t="s">
        <v>109</v>
      </c>
      <c r="H16" s="165" t="s">
        <v>109</v>
      </c>
      <c r="I16" s="165" t="s">
        <v>109</v>
      </c>
      <c r="J16" s="165" t="s">
        <v>109</v>
      </c>
      <c r="K16" s="165" t="s">
        <v>109</v>
      </c>
      <c r="L16" s="166" t="s">
        <v>969</v>
      </c>
      <c r="M16" s="163" t="s">
        <v>1002</v>
      </c>
      <c r="N16" s="167"/>
      <c r="O16" s="165"/>
      <c r="P16" s="163"/>
      <c r="Q16" s="163">
        <v>15</v>
      </c>
    </row>
    <row r="17" spans="1:17">
      <c r="A17" s="163">
        <v>16</v>
      </c>
      <c r="B17" s="163" t="s">
        <v>966</v>
      </c>
      <c r="C17" s="223" t="s">
        <v>989</v>
      </c>
      <c r="D17" s="163">
        <v>1.1000000000000001</v>
      </c>
      <c r="E17" s="163" t="s">
        <v>967</v>
      </c>
      <c r="F17" s="163" t="s">
        <v>968</v>
      </c>
      <c r="G17" s="165" t="s">
        <v>109</v>
      </c>
      <c r="H17" s="165" t="s">
        <v>109</v>
      </c>
      <c r="I17" s="165" t="s">
        <v>109</v>
      </c>
      <c r="J17" s="165" t="s">
        <v>109</v>
      </c>
      <c r="K17" s="165" t="s">
        <v>109</v>
      </c>
      <c r="L17" s="166" t="s">
        <v>969</v>
      </c>
      <c r="M17" s="163" t="s">
        <v>1002</v>
      </c>
      <c r="N17" s="167"/>
      <c r="O17" s="165"/>
      <c r="P17" s="163"/>
      <c r="Q17" s="163">
        <v>16</v>
      </c>
    </row>
    <row r="18" spans="1:17">
      <c r="A18" s="163">
        <v>17</v>
      </c>
      <c r="B18" s="163" t="s">
        <v>966</v>
      </c>
      <c r="C18" s="223" t="s">
        <v>990</v>
      </c>
      <c r="D18" s="163">
        <v>1.1000000000000001</v>
      </c>
      <c r="E18" s="163" t="s">
        <v>967</v>
      </c>
      <c r="F18" s="163" t="s">
        <v>968</v>
      </c>
      <c r="G18" s="165" t="s">
        <v>109</v>
      </c>
      <c r="H18" s="165" t="s">
        <v>109</v>
      </c>
      <c r="I18" s="165" t="s">
        <v>109</v>
      </c>
      <c r="J18" s="165" t="s">
        <v>109</v>
      </c>
      <c r="K18" s="165" t="s">
        <v>109</v>
      </c>
      <c r="L18" s="166" t="s">
        <v>969</v>
      </c>
      <c r="M18" s="163" t="s">
        <v>1002</v>
      </c>
      <c r="N18" s="167"/>
      <c r="O18" s="165"/>
      <c r="P18" s="163"/>
      <c r="Q18" s="163">
        <v>17</v>
      </c>
    </row>
    <row r="19" spans="1:17">
      <c r="A19" s="163">
        <v>18</v>
      </c>
      <c r="B19" s="163" t="s">
        <v>966</v>
      </c>
      <c r="C19" s="223" t="s">
        <v>991</v>
      </c>
      <c r="D19" s="163">
        <v>1.1000000000000001</v>
      </c>
      <c r="E19" s="163" t="s">
        <v>967</v>
      </c>
      <c r="F19" s="163" t="s">
        <v>968</v>
      </c>
      <c r="G19" s="165" t="s">
        <v>109</v>
      </c>
      <c r="H19" s="165" t="s">
        <v>109</v>
      </c>
      <c r="I19" s="165" t="s">
        <v>109</v>
      </c>
      <c r="J19" s="165" t="s">
        <v>109</v>
      </c>
      <c r="K19" s="165" t="s">
        <v>109</v>
      </c>
      <c r="L19" s="166" t="s">
        <v>969</v>
      </c>
      <c r="M19" s="163" t="s">
        <v>1002</v>
      </c>
      <c r="N19" s="167"/>
      <c r="O19" s="165"/>
      <c r="P19" s="163"/>
      <c r="Q19" s="163">
        <v>18</v>
      </c>
    </row>
    <row r="20" spans="1:17">
      <c r="A20" s="163">
        <v>19</v>
      </c>
      <c r="B20" s="163" t="s">
        <v>966</v>
      </c>
      <c r="C20" s="223" t="s">
        <v>992</v>
      </c>
      <c r="D20" s="163">
        <v>1.1000000000000001</v>
      </c>
      <c r="E20" s="163" t="s">
        <v>967</v>
      </c>
      <c r="F20" s="163" t="s">
        <v>968</v>
      </c>
      <c r="G20" s="165" t="s">
        <v>109</v>
      </c>
      <c r="H20" s="165" t="s">
        <v>109</v>
      </c>
      <c r="I20" s="165" t="s">
        <v>109</v>
      </c>
      <c r="J20" s="165" t="s">
        <v>109</v>
      </c>
      <c r="K20" s="165" t="s">
        <v>109</v>
      </c>
      <c r="L20" s="166" t="s">
        <v>969</v>
      </c>
      <c r="M20" s="163" t="s">
        <v>1002</v>
      </c>
      <c r="N20" s="167"/>
      <c r="O20" s="165"/>
      <c r="P20" s="163"/>
      <c r="Q20" s="163">
        <v>19</v>
      </c>
    </row>
    <row r="21" spans="1:17">
      <c r="A21" s="163">
        <v>20</v>
      </c>
      <c r="B21" s="163" t="s">
        <v>966</v>
      </c>
      <c r="C21" s="223" t="s">
        <v>993</v>
      </c>
      <c r="D21" s="163">
        <v>1.1000000000000001</v>
      </c>
      <c r="E21" s="163" t="s">
        <v>967</v>
      </c>
      <c r="F21" s="163" t="s">
        <v>968</v>
      </c>
      <c r="G21" s="165" t="s">
        <v>109</v>
      </c>
      <c r="H21" s="165" t="s">
        <v>109</v>
      </c>
      <c r="I21" s="165" t="s">
        <v>109</v>
      </c>
      <c r="J21" s="165" t="s">
        <v>109</v>
      </c>
      <c r="K21" s="165" t="s">
        <v>109</v>
      </c>
      <c r="L21" s="166" t="s">
        <v>969</v>
      </c>
      <c r="M21" s="163" t="s">
        <v>1002</v>
      </c>
      <c r="N21" s="167"/>
      <c r="O21" s="165"/>
      <c r="P21" s="163"/>
      <c r="Q21" s="163">
        <v>20</v>
      </c>
    </row>
    <row r="22" spans="1:17">
      <c r="A22" s="163">
        <v>21</v>
      </c>
      <c r="B22" s="163" t="s">
        <v>966</v>
      </c>
      <c r="C22" s="223" t="s">
        <v>994</v>
      </c>
      <c r="D22" s="163">
        <v>1.1000000000000001</v>
      </c>
      <c r="E22" s="163" t="s">
        <v>967</v>
      </c>
      <c r="F22" s="163" t="s">
        <v>968</v>
      </c>
      <c r="G22" s="165" t="s">
        <v>109</v>
      </c>
      <c r="H22" s="165" t="s">
        <v>109</v>
      </c>
      <c r="I22" s="165" t="s">
        <v>109</v>
      </c>
      <c r="J22" s="165" t="s">
        <v>109</v>
      </c>
      <c r="K22" s="165" t="s">
        <v>109</v>
      </c>
      <c r="L22" s="166" t="s">
        <v>969</v>
      </c>
      <c r="M22" s="163" t="s">
        <v>1002</v>
      </c>
      <c r="N22" s="167"/>
      <c r="O22" s="165"/>
      <c r="P22" s="163"/>
      <c r="Q22" s="163">
        <v>21</v>
      </c>
    </row>
    <row r="23" spans="1:17">
      <c r="A23" s="163">
        <v>22</v>
      </c>
      <c r="B23" s="163" t="s">
        <v>966</v>
      </c>
      <c r="C23" s="223" t="s">
        <v>995</v>
      </c>
      <c r="D23" s="163">
        <v>1.1000000000000001</v>
      </c>
      <c r="E23" s="163" t="s">
        <v>967</v>
      </c>
      <c r="F23" s="163" t="s">
        <v>968</v>
      </c>
      <c r="G23" s="165" t="s">
        <v>109</v>
      </c>
      <c r="H23" s="165" t="s">
        <v>109</v>
      </c>
      <c r="I23" s="165" t="s">
        <v>109</v>
      </c>
      <c r="J23" s="165" t="s">
        <v>109</v>
      </c>
      <c r="K23" s="165" t="s">
        <v>109</v>
      </c>
      <c r="L23" s="166" t="s">
        <v>969</v>
      </c>
      <c r="M23" s="163" t="s">
        <v>1002</v>
      </c>
      <c r="N23" s="167"/>
      <c r="O23" s="165"/>
      <c r="P23" s="163"/>
      <c r="Q23" s="163">
        <v>22</v>
      </c>
    </row>
    <row r="24" spans="1:17">
      <c r="A24" s="163">
        <v>23</v>
      </c>
      <c r="B24" s="163" t="s">
        <v>966</v>
      </c>
      <c r="C24" s="223" t="s">
        <v>996</v>
      </c>
      <c r="D24" s="163">
        <v>1.1000000000000001</v>
      </c>
      <c r="E24" s="163" t="s">
        <v>967</v>
      </c>
      <c r="F24" s="163" t="s">
        <v>968</v>
      </c>
      <c r="G24" s="165" t="s">
        <v>109</v>
      </c>
      <c r="H24" s="165" t="s">
        <v>109</v>
      </c>
      <c r="I24" s="165" t="s">
        <v>109</v>
      </c>
      <c r="J24" s="165" t="s">
        <v>109</v>
      </c>
      <c r="K24" s="165" t="s">
        <v>109</v>
      </c>
      <c r="L24" s="166" t="s">
        <v>969</v>
      </c>
      <c r="M24" s="163" t="s">
        <v>1002</v>
      </c>
      <c r="N24" s="167"/>
      <c r="O24" s="165"/>
      <c r="P24" s="163"/>
      <c r="Q24" s="163">
        <v>23</v>
      </c>
    </row>
    <row r="25" spans="1:17">
      <c r="A25" s="163">
        <v>24</v>
      </c>
      <c r="B25" s="163" t="s">
        <v>966</v>
      </c>
      <c r="C25" s="223" t="s">
        <v>997</v>
      </c>
      <c r="D25" s="163">
        <v>1.1000000000000001</v>
      </c>
      <c r="E25" s="163" t="s">
        <v>967</v>
      </c>
      <c r="F25" s="163" t="s">
        <v>968</v>
      </c>
      <c r="G25" s="165" t="s">
        <v>109</v>
      </c>
      <c r="H25" s="165" t="s">
        <v>109</v>
      </c>
      <c r="I25" s="165" t="s">
        <v>109</v>
      </c>
      <c r="J25" s="165" t="s">
        <v>109</v>
      </c>
      <c r="K25" s="165" t="s">
        <v>109</v>
      </c>
      <c r="L25" s="166" t="s">
        <v>969</v>
      </c>
      <c r="M25" s="163" t="s">
        <v>1002</v>
      </c>
      <c r="N25" s="167"/>
      <c r="O25" s="165"/>
      <c r="P25" s="163"/>
      <c r="Q25" s="163">
        <v>24</v>
      </c>
    </row>
    <row r="26" spans="1:17">
      <c r="A26" s="163">
        <v>25</v>
      </c>
      <c r="B26" s="163" t="s">
        <v>966</v>
      </c>
      <c r="C26" s="223" t="s">
        <v>998</v>
      </c>
      <c r="D26" s="163">
        <v>1.1000000000000001</v>
      </c>
      <c r="E26" s="163" t="s">
        <v>967</v>
      </c>
      <c r="F26" s="163" t="s">
        <v>968</v>
      </c>
      <c r="G26" s="165" t="s">
        <v>109</v>
      </c>
      <c r="H26" s="165" t="s">
        <v>109</v>
      </c>
      <c r="I26" s="165" t="s">
        <v>109</v>
      </c>
      <c r="J26" s="165" t="s">
        <v>109</v>
      </c>
      <c r="K26" s="165" t="s">
        <v>109</v>
      </c>
      <c r="L26" s="166" t="s">
        <v>969</v>
      </c>
      <c r="M26" s="163" t="s">
        <v>1002</v>
      </c>
      <c r="N26" s="167"/>
      <c r="O26" s="165"/>
      <c r="P26" s="163"/>
      <c r="Q26" s="163">
        <v>25</v>
      </c>
    </row>
    <row r="27" spans="1:17">
      <c r="A27" s="163">
        <v>26</v>
      </c>
      <c r="B27" s="163" t="s">
        <v>966</v>
      </c>
      <c r="C27" s="223" t="s">
        <v>999</v>
      </c>
      <c r="D27" s="163">
        <v>1.1000000000000001</v>
      </c>
      <c r="E27" s="163" t="s">
        <v>967</v>
      </c>
      <c r="F27" s="163" t="s">
        <v>968</v>
      </c>
      <c r="G27" s="165" t="s">
        <v>109</v>
      </c>
      <c r="H27" s="165" t="s">
        <v>109</v>
      </c>
      <c r="I27" s="165" t="s">
        <v>109</v>
      </c>
      <c r="J27" s="165" t="s">
        <v>109</v>
      </c>
      <c r="K27" s="165" t="s">
        <v>109</v>
      </c>
      <c r="L27" s="166" t="s">
        <v>969</v>
      </c>
      <c r="M27" s="163" t="s">
        <v>1002</v>
      </c>
      <c r="N27" s="167"/>
      <c r="O27" s="165"/>
      <c r="P27" s="163"/>
      <c r="Q27" s="163">
        <v>26</v>
      </c>
    </row>
    <row r="28" spans="1:17">
      <c r="A28" s="163">
        <v>27</v>
      </c>
      <c r="B28" s="163" t="s">
        <v>966</v>
      </c>
      <c r="C28" s="223" t="s">
        <v>1000</v>
      </c>
      <c r="D28" s="163">
        <v>1.1000000000000001</v>
      </c>
      <c r="E28" s="163" t="s">
        <v>967</v>
      </c>
      <c r="F28" s="163" t="s">
        <v>968</v>
      </c>
      <c r="G28" s="165" t="s">
        <v>109</v>
      </c>
      <c r="H28" s="165" t="s">
        <v>109</v>
      </c>
      <c r="I28" s="165" t="s">
        <v>109</v>
      </c>
      <c r="J28" s="165" t="s">
        <v>109</v>
      </c>
      <c r="K28" s="165" t="s">
        <v>109</v>
      </c>
      <c r="L28" s="166" t="s">
        <v>969</v>
      </c>
      <c r="M28" s="163" t="s">
        <v>1002</v>
      </c>
      <c r="N28" s="167"/>
      <c r="O28" s="165"/>
      <c r="P28" s="163"/>
      <c r="Q28" s="163">
        <v>27</v>
      </c>
    </row>
    <row r="29" spans="1:17">
      <c r="A29" s="163">
        <v>28</v>
      </c>
      <c r="B29" s="163" t="str">
        <f t="shared" ref="B29:B66" si="0">IF(ISNA(D29),"NotApplicable","Applicable")</f>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0"/>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0"/>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0"/>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0"/>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0"/>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0"/>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0"/>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0"/>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0"/>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0"/>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0"/>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0"/>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0"/>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0"/>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0"/>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0"/>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0"/>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0"/>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0"/>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0"/>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0"/>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0"/>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0"/>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0"/>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0"/>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0"/>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0"/>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0"/>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0"/>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0"/>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0"/>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0"/>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0"/>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0"/>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0"/>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0"/>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0"/>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1">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1"/>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1"/>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1"/>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1"/>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1"/>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1"/>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1"/>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1"/>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1"/>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1"/>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1"/>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1"/>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1"/>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1"/>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1"/>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1"/>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1"/>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1"/>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1"/>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1"/>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1"/>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1"/>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1"/>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1"/>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1"/>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1"/>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1"/>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1"/>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1"/>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1"/>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1"/>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1"/>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1"/>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1"/>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1"/>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1"/>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1"/>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1"/>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1"/>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1"/>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1"/>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1"/>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1"/>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1"/>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1"/>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1"/>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1"/>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1"/>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1"/>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1"/>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1"/>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1"/>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1"/>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1"/>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1"/>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1"/>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1"/>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1"/>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1"/>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1"/>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1"/>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1"/>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1"/>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2">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2"/>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2"/>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2"/>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2"/>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2"/>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2"/>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2"/>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2"/>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2"/>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2"/>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2"/>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2"/>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2"/>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2"/>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2"/>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2"/>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2"/>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2"/>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2"/>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2"/>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2"/>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2"/>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2"/>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2"/>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2"/>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2"/>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2"/>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2"/>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2"/>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2"/>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2"/>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2"/>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2"/>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2"/>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2"/>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2"/>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2"/>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2"/>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2"/>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2"/>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2"/>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2"/>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2"/>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2"/>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2"/>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2"/>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2"/>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2"/>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2"/>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2"/>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2"/>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2"/>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2"/>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2"/>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2"/>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2"/>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2"/>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2"/>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2"/>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2"/>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2"/>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2"/>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2"/>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3">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3"/>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3"/>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3"/>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3"/>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3"/>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3"/>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3"/>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3"/>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3"/>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3"/>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3"/>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3"/>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3"/>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3"/>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3"/>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3"/>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3"/>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3"/>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3"/>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3"/>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3"/>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3"/>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3"/>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3"/>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3"/>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3"/>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3"/>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3"/>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3"/>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3"/>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3"/>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3"/>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3"/>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3"/>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3"/>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3"/>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3"/>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3"/>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3"/>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3"/>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3"/>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3"/>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3"/>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3"/>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3"/>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3"/>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3"/>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3"/>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3"/>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3"/>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3"/>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3"/>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3"/>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3"/>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3"/>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3"/>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3"/>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3"/>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3"/>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3"/>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3"/>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3"/>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3"/>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4">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4"/>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4"/>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4"/>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4"/>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4"/>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4"/>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4"/>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4"/>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4"/>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4"/>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4"/>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4"/>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4"/>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4"/>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4"/>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4"/>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4"/>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4"/>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4"/>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4"/>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4"/>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4"/>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4"/>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4"/>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4"/>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4"/>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4"/>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4"/>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4"/>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4"/>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4"/>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4"/>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4"/>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4"/>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4"/>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4"/>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4"/>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4"/>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4"/>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4"/>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4"/>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4"/>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4"/>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4"/>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4"/>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4"/>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4"/>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4"/>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4"/>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4"/>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4"/>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4"/>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4"/>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4"/>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4"/>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4"/>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4"/>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4"/>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4"/>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4"/>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4"/>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4"/>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4"/>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5">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5"/>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5"/>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5"/>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5"/>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5"/>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5"/>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5"/>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5"/>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5"/>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5"/>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5"/>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5"/>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5"/>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5"/>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5"/>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5"/>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5"/>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5"/>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5"/>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5"/>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5"/>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10" priority="7">
      <formula>AND($O2="Fixed",$P2="Approved")</formula>
    </cfRule>
  </conditionalFormatting>
  <conditionalFormatting sqref="P2:P344">
    <cfRule type="expression" dxfId="1509" priority="6">
      <formula>$P2="Approved"</formula>
    </cfRule>
    <cfRule type="expression" dxfId="1508" priority="11">
      <formula>$P2="Rejected"</formula>
    </cfRule>
  </conditionalFormatting>
  <conditionalFormatting sqref="Q2:Q3 Q5:Q344 A2:O344">
    <cfRule type="expression" dxfId="1507" priority="8">
      <formula>$O2="Open"</formula>
    </cfRule>
    <cfRule type="expression" dxfId="1506" priority="9">
      <formula>$O2="Fixed"</formula>
    </cfRule>
    <cfRule type="expression" dxfId="1505" priority="10">
      <formula>$O2="Postponed"</formula>
    </cfRule>
    <cfRule type="expression" dxfId="1504" priority="12">
      <formula>$O2="Will not fix"</formula>
    </cfRule>
  </conditionalFormatting>
  <conditionalFormatting sqref="Q4">
    <cfRule type="expression" dxfId="1503" priority="1">
      <formula>AND($O4="Fixed",$P4="Approved")</formula>
    </cfRule>
  </conditionalFormatting>
  <conditionalFormatting sqref="Q4">
    <cfRule type="expression" dxfId="1502" priority="2">
      <formula>$O4="Open"</formula>
    </cfRule>
    <cfRule type="expression" dxfId="1501" priority="3">
      <formula>$O4="Fixed"</formula>
    </cfRule>
    <cfRule type="expression" dxfId="1500" priority="4">
      <formula>$O4="Postponed"</formula>
    </cfRule>
    <cfRule type="expression" dxfId="1499" priority="5">
      <formula>$O4="Will not fix"</formula>
    </cfRule>
  </conditionalFormatting>
  <dataValidations count="4">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28" xr:uid="{1537C4D6-98A8-40C3-A503-010C590E2B89}">
      <formula1>"Yes, No"</formula1>
    </dataValidation>
    <dataValidation type="list" allowBlank="1" showInputMessage="1" showErrorMessage="1" sqref="E2:E344" xr:uid="{E0719B4A-7013-4001-B41F-AF45EAA841F5}">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D8C8863F-213A-45D9-8B70-ACB11E809557}">
  <ds:schemaRefs>
    <ds:schemaRef ds:uri="http://schemas.microsoft.com/sharepoint/v3/contenttype/forms/url"/>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5.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6.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2023-04-05T11:54:50Z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