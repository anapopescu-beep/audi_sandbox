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embeddings/oleObject2.bin" ContentType="application/vnd.openxmlformats-officedocument.oleObject"/>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eCS\Phase_01\View_Test\Tests\Tests_Integration\Peer_Review\"/>
    </mc:Choice>
  </mc:AlternateContent>
  <xr:revisionPtr revIDLastSave="0" documentId="13_ncr:1_{079C211E-1C23-4FF1-A691-5DB1BF4B0A7D}" xr6:coauthVersionLast="47" xr6:coauthVersionMax="47" xr10:uidLastSave="{00000000-0000-0000-0000-000000000000}"/>
  <bookViews>
    <workbookView xWindow="-28920" yWindow="-120" windowWidth="29040" windowHeight="16440" tabRatio="750" xr2:uid="{00000000-000D-0000-FFFF-FFFF00000000}"/>
  </bookViews>
  <sheets>
    <sheet name="FrontPage" sheetId="38" r:id="rId1"/>
    <sheet name="General info" sheetId="39" r:id="rId2"/>
    <sheet name="Help" sheetId="15" r:id="rId3"/>
    <sheet name="Metrics" sheetId="16" r:id="rId4"/>
    <sheet name="Overview" sheetId="42" r:id="rId5"/>
    <sheet name="Review" sheetId="18" state="hidden" r:id="rId6"/>
    <sheet name="QT First level review" sheetId="164" state="hidden" r:id="rId7"/>
    <sheet name="QT Second level review" sheetId="162" state="hidden" r:id="rId8"/>
    <sheet name="IT First level review" sheetId="257" r:id="rId9"/>
    <sheet name="IT Second level review" sheetId="258" r:id="rId10"/>
    <sheet name="QT Import for PTC" sheetId="163" state="hidden" r:id="rId11"/>
    <sheet name="SDP checklist" sheetId="232" state="hidden" r:id="rId12"/>
    <sheet name="QAP checklist" sheetId="233" state="hidden" r:id="rId13"/>
    <sheet name="PDP checklist" sheetId="234" state="hidden" r:id="rId14"/>
    <sheet name="CMP checklist" sheetId="235" state="hidden" r:id="rId15"/>
    <sheet name="QP checklist" sheetId="236" state="hidden" r:id="rId16"/>
    <sheet name="ITP checklist" sheetId="237" state="hidden" r:id="rId17"/>
    <sheet name="REQ checklist" sheetId="238" state="hidden" r:id="rId18"/>
    <sheet name="SyAD checklist" sheetId="239" state="hidden" r:id="rId19"/>
    <sheet name="SAD checklist" sheetId="240" state="hidden" r:id="rId20"/>
    <sheet name="Reuse checklist" sheetId="241" state="hidden" r:id="rId21"/>
    <sheet name="PS - DS - SPS - QS checklist" sheetId="242" state="hidden" r:id="rId22"/>
    <sheet name="OTH checklist" sheetId="243" state="hidden" r:id="rId23"/>
    <sheet name="MBD checklist" sheetId="244" state="hidden" r:id="rId24"/>
    <sheet name="SDD checklist" sheetId="245" state="hidden" r:id="rId25"/>
    <sheet name="CODE checklist" sheetId="246" state="hidden" r:id="rId26"/>
    <sheet name="ITSR checklist" sheetId="247" state="hidden" r:id="rId27"/>
    <sheet name="UTSR checklist" sheetId="248" state="hidden" r:id="rId28"/>
    <sheet name="QSR checklist" sheetId="249" state="hidden" r:id="rId29"/>
    <sheet name="SWPF checklist" sheetId="250" state="hidden" r:id="rId30"/>
    <sheet name="PA checklist" sheetId="251" state="hidden" r:id="rId31"/>
    <sheet name="Backlog checklist" sheetId="252" state="hidden" r:id="rId32"/>
    <sheet name="TARA checklist" sheetId="254" state="hidden" r:id="rId33"/>
    <sheet name="CIA checklist" sheetId="255" state="hidden" r:id="rId34"/>
    <sheet name="CSItemDef checklist" sheetId="256" state="hidden" r:id="rId35"/>
  </sheets>
  <functionGroups builtInGroupCount="19"/>
  <externalReferences>
    <externalReference r:id="rId36"/>
    <externalReference r:id="rId37"/>
  </externalReferences>
  <definedNames>
    <definedName name="_xlnm._FilterDatabase" localSheetId="10" hidden="1">'QT Import for PTC'!$A$1:$S$1</definedName>
    <definedName name="_xlnm._FilterDatabase" localSheetId="5" hidden="1">Review!$A$4:$M$204</definedName>
    <definedName name="ActorName">Review!$J$4</definedName>
    <definedName name="ApprovalStatus">Metrics!$C$40</definedName>
    <definedName name="AuthorStatus">Review!$L$4</definedName>
    <definedName name="Autofill">Review!$AX$1</definedName>
    <definedName name="ChecklistSelection">FrontPage!$E$18</definedName>
    <definedName name="ChecklistsSheetNameList">'General info'!$AJ$87:$AJ$112</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ManualFill">Review!$AY$1</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OpenDate">Review!$E$4</definedName>
    <definedName name="Option_ReviewEvaluationScale">'General info'!$AI$87:$AI$91</definedName>
    <definedName name="Review.QuestionIds" localSheetId="31">'Backlog checklist'!$A$5:$A$16</definedName>
    <definedName name="Review.QuestionIds" localSheetId="33">'CIA checklist'!$A$5:$A$25</definedName>
    <definedName name="Review.QuestionIds" localSheetId="14">'CMP checklist'!$A$5:$A$34</definedName>
    <definedName name="Review.QuestionIds" localSheetId="25">'CODE checklist'!$A$5:$A$36</definedName>
    <definedName name="Review.QuestionIds" localSheetId="34">'CSItemDef checklist'!$A$5:$A$24</definedName>
    <definedName name="Review.QuestionIds" localSheetId="16">'ITP checklist'!$A$5:$A$26</definedName>
    <definedName name="Review.QuestionIds" localSheetId="26">'ITSR checklist'!$A$5:$A$36</definedName>
    <definedName name="Review.QuestionIds" localSheetId="23">'MBD checklist'!$A$5:$A$50</definedName>
    <definedName name="Review.QuestionIds" localSheetId="22">'OTH checklist'!$A$5:$A$19</definedName>
    <definedName name="Review.QuestionIds" localSheetId="30">'PA checklist'!$A$5:$A$28</definedName>
    <definedName name="Review.QuestionIds" localSheetId="13">'PDP checklist'!$A$5:$A$39</definedName>
    <definedName name="Review.QuestionIds" localSheetId="21">'PS - DS - SPS - QS checklist'!$A$5:$A$46</definedName>
    <definedName name="Review.QuestionIds" localSheetId="12">'QAP checklist'!$A$5:$A$40</definedName>
    <definedName name="Review.QuestionIds" localSheetId="15">'QP checklist'!$A$5:$A$27</definedName>
    <definedName name="Review.QuestionIds" localSheetId="28">'QSR checklist'!$A$5:$A$28</definedName>
    <definedName name="Review.QuestionIds" localSheetId="17">'REQ checklist'!$A$5:$A$42</definedName>
    <definedName name="Review.QuestionIds" localSheetId="20">'Reuse checklist'!$A$5:$A$28</definedName>
    <definedName name="Review.QuestionIds" localSheetId="19">'SAD checklist'!$A$5:$A$51</definedName>
    <definedName name="Review.QuestionIds" localSheetId="24">'SDD checklist'!$A$5:$A$35</definedName>
    <definedName name="Review.QuestionIds" localSheetId="11">'SDP checklist'!$A$5:$A$47</definedName>
    <definedName name="Review.QuestionIds" localSheetId="29">'SWPF checklist'!$A$5:$A$22</definedName>
    <definedName name="Review.QuestionIds" localSheetId="18">'SyAD checklist'!$A$5:$A$44</definedName>
    <definedName name="Review.QuestionIds" localSheetId="32">'TARA checklist'!$A$5:$A$30</definedName>
    <definedName name="Review.QuestionIds" localSheetId="27">'UTSR checklist'!$A$5:$A$38</definedName>
    <definedName name="Review.ratings" localSheetId="31">'Backlog checklist'!$C$5:$C$16</definedName>
    <definedName name="Review.ratings" localSheetId="33">'CIA checklist'!$C$5:$C$25</definedName>
    <definedName name="Review.ratings" localSheetId="14">'CMP checklist'!$C$5:$C$34</definedName>
    <definedName name="Review.ratings" localSheetId="25">'CODE checklist'!$C$5:$C$36</definedName>
    <definedName name="Review.ratings" localSheetId="34">'CSItemDef checklist'!$C$5:$C$24</definedName>
    <definedName name="Review.ratings" localSheetId="16">'ITP checklist'!$C$5:$C$26</definedName>
    <definedName name="Review.ratings" localSheetId="26">'ITSR checklist'!$C$5:$C$36</definedName>
    <definedName name="Review.ratings" localSheetId="23">'MBD checklist'!$C$5:$C$50</definedName>
    <definedName name="Review.ratings" localSheetId="22">'OTH checklist'!$C$5:$C$19</definedName>
    <definedName name="Review.ratings" localSheetId="30">'PA checklist'!$C$5:$C$28</definedName>
    <definedName name="Review.ratings" localSheetId="13">'PDP checklist'!$C$5:$C$39</definedName>
    <definedName name="Review.ratings" localSheetId="21">'PS - DS - SPS - QS checklist'!$C$5:$C$46</definedName>
    <definedName name="Review.ratings" localSheetId="12">'QAP checklist'!$C$5:$C$40</definedName>
    <definedName name="Review.ratings" localSheetId="15">'QP checklist'!$C$5:$C$27</definedName>
    <definedName name="Review.ratings" localSheetId="28">'QSR checklist'!$C$5:$C$28</definedName>
    <definedName name="Review.ratings" localSheetId="17">'REQ checklist'!$C$5:$C$42</definedName>
    <definedName name="Review.ratings" localSheetId="20">'Reuse checklist'!$C$5:$C$28</definedName>
    <definedName name="Review.ratings" localSheetId="19">'SAD checklist'!$C$5:$C$51</definedName>
    <definedName name="Review.ratings" localSheetId="24">'SDD checklist'!$C$5:$C$35</definedName>
    <definedName name="Review.ratings" localSheetId="11">'SDP checklist'!$C$5:$C$47</definedName>
    <definedName name="Review.ratings" localSheetId="29">'SWPF checklist'!$C$5:$C$22</definedName>
    <definedName name="Review.ratings" localSheetId="18">'SyAD checklist'!$C$5:$C$44</definedName>
    <definedName name="Review.ratings" localSheetId="32">'TARA checklist'!$C$5:$C$30</definedName>
    <definedName name="Review.ratings" localSheetId="27">'UTSR checklist'!$C$5:$C$38</definedName>
    <definedName name="ReviewerStatus">Review!$M$4</definedName>
    <definedName name="Sheet.ReviewTempate" localSheetId="31">'Backlog checklist'!$A$1</definedName>
    <definedName name="Sheet.ReviewTempate" localSheetId="33">'CIA checklist'!$A$1</definedName>
    <definedName name="Sheet.ReviewTempate" localSheetId="14">'CMP checklist'!$A$1</definedName>
    <definedName name="Sheet.ReviewTempate" localSheetId="25">'CODE checklist'!$A$1</definedName>
    <definedName name="Sheet.ReviewTempate" localSheetId="34">'CSItemDef checklist'!$A$1</definedName>
    <definedName name="Sheet.ReviewTempate" localSheetId="16">'ITP checklist'!$A$1</definedName>
    <definedName name="Sheet.ReviewTempate" localSheetId="26">'ITSR checklist'!$A$1</definedName>
    <definedName name="Sheet.ReviewTempate" localSheetId="23">'MBD checklist'!$A$1</definedName>
    <definedName name="Sheet.ReviewTempate" localSheetId="22">'OTH checklist'!$A$1</definedName>
    <definedName name="Sheet.ReviewTempate" localSheetId="30">'PA checklist'!$A$1</definedName>
    <definedName name="Sheet.ReviewTempate" localSheetId="13">'PDP checklist'!$A$1</definedName>
    <definedName name="Sheet.ReviewTempate" localSheetId="21">'PS - DS - SPS - QS checklist'!$A$1</definedName>
    <definedName name="Sheet.ReviewTempate" localSheetId="12">'QAP checklist'!$A$1</definedName>
    <definedName name="Sheet.ReviewTempate" localSheetId="15">'QP checklist'!$A$1</definedName>
    <definedName name="Sheet.ReviewTempate" localSheetId="28">'QSR checklist'!$A$1</definedName>
    <definedName name="Sheet.ReviewTempate" localSheetId="17">'REQ checklist'!$A$1</definedName>
    <definedName name="Sheet.ReviewTempate" localSheetId="20">'Reuse checklist'!$A$1</definedName>
    <definedName name="Sheet.ReviewTempate" localSheetId="19">'SAD checklist'!$A$1</definedName>
    <definedName name="Sheet.ReviewTempate" localSheetId="24">'SDD checklist'!$A$1</definedName>
    <definedName name="Sheet.ReviewTempate" localSheetId="11">'SDP checklist'!$A$1</definedName>
    <definedName name="Sheet.ReviewTempate" localSheetId="29">'SWPF checklist'!$A$1</definedName>
    <definedName name="Sheet.ReviewTempate" localSheetId="18">'SyAD checklist'!$A$1</definedName>
    <definedName name="Sheet.ReviewTempate" localSheetId="32">'TARA checklist'!$A$1</definedName>
    <definedName name="Sheet.ReviewTempate" localSheetId="27">'UTSR checklist'!$A$1</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31">'Backlog checklist'!$B$2</definedName>
    <definedName name="Template.Name" localSheetId="33">'CIA checklist'!$B$2</definedName>
    <definedName name="Template.Name" localSheetId="14">'CMP checklist'!$B$2</definedName>
    <definedName name="Template.Name" localSheetId="25">'CODE checklist'!$B$2</definedName>
    <definedName name="Template.Name" localSheetId="34">'CSItemDef checklist'!$B$2</definedName>
    <definedName name="Template.Name" localSheetId="16">'ITP checklist'!$B$2</definedName>
    <definedName name="Template.Name" localSheetId="26">'ITSR checklist'!$B$2</definedName>
    <definedName name="Template.Name" localSheetId="23">'MBD checklist'!$B$2</definedName>
    <definedName name="Template.Name" localSheetId="22">'OTH checklist'!$B$2</definedName>
    <definedName name="Template.Name" localSheetId="30">'PA checklist'!$B$2</definedName>
    <definedName name="Template.Name" localSheetId="13">'PDP checklist'!$B$2</definedName>
    <definedName name="Template.Name" localSheetId="21">'PS - DS - SPS - QS checklist'!$B$2</definedName>
    <definedName name="Template.Name" localSheetId="12">'QAP checklist'!$B$2</definedName>
    <definedName name="Template.Name" localSheetId="15">'QP checklist'!$B$2</definedName>
    <definedName name="Template.Name" localSheetId="28">'QSR checklist'!$B$2</definedName>
    <definedName name="Template.Name" localSheetId="17">'REQ checklist'!$B$2</definedName>
    <definedName name="Template.Name" localSheetId="20">'Reuse checklist'!$B$2</definedName>
    <definedName name="Template.Name" localSheetId="19">'SAD checklist'!$B$2</definedName>
    <definedName name="Template.Name" localSheetId="24">'SDD checklist'!$B$2</definedName>
    <definedName name="Template.Name" localSheetId="11">'SDP checklist'!$B$2</definedName>
    <definedName name="Template.Name" localSheetId="29">'SWPF checklist'!$B$2</definedName>
    <definedName name="Template.Name" localSheetId="18">'SyAD checklist'!$B$2</definedName>
    <definedName name="Template.Name" localSheetId="32">'TARA checklist'!$B$2</definedName>
    <definedName name="Template.Name" localSheetId="27">'UTSR checklist'!$B$2</definedName>
    <definedName name="TemplateColumn">Metrics!$B:$B</definedName>
    <definedName name="TemplateRef">FrontPage!$W$7</definedName>
    <definedName name="Text_AllChecklists">'General info'!$AJ$87</definedName>
    <definedName name="Title.Checklist.Actions.Description" localSheetId="31">'Backlog checklist'!$B$2</definedName>
    <definedName name="Title.Checklist.Actions.Description" localSheetId="33">'CIA checklist'!$B$2</definedName>
    <definedName name="Title.Checklist.Actions.Description" localSheetId="14">'CMP checklist'!$B$2</definedName>
    <definedName name="Title.Checklist.Actions.Description" localSheetId="25">'CODE checklist'!$B$2</definedName>
    <definedName name="Title.Checklist.Actions.Description" localSheetId="34">'CSItemDef checklist'!$B$2</definedName>
    <definedName name="Title.Checklist.Actions.Description" localSheetId="16">'ITP checklist'!$B$2</definedName>
    <definedName name="Title.Checklist.Actions.Description" localSheetId="26">'ITSR checklist'!$B$2</definedName>
    <definedName name="Title.Checklist.Actions.Description" localSheetId="23">'MBD checklist'!$B$2</definedName>
    <definedName name="Title.Checklist.Actions.Description" localSheetId="22">'OTH checklist'!$B$2</definedName>
    <definedName name="Title.Checklist.Actions.Description" localSheetId="30">'PA checklist'!$B$2</definedName>
    <definedName name="Title.Checklist.Actions.Description" localSheetId="13">'PDP checklist'!$B$2</definedName>
    <definedName name="Title.Checklist.Actions.Description" localSheetId="21">'PS - DS - SPS - QS checklist'!$B$2</definedName>
    <definedName name="Title.Checklist.Actions.Description" localSheetId="12">'QAP checklist'!$B$2</definedName>
    <definedName name="Title.Checklist.Actions.Description" localSheetId="15">'QP checklist'!$B$2</definedName>
    <definedName name="Title.Checklist.Actions.Description" localSheetId="28">'QSR checklist'!$B$2</definedName>
    <definedName name="Title.Checklist.Actions.Description" localSheetId="17">'REQ checklist'!$B$2</definedName>
    <definedName name="Title.Checklist.Actions.Description" localSheetId="20">'Reuse checklist'!$B$2</definedName>
    <definedName name="Title.Checklist.Actions.Description" localSheetId="19">'SAD checklist'!$B$2</definedName>
    <definedName name="Title.Checklist.Actions.Description" localSheetId="24">'SDD checklist'!$B$2</definedName>
    <definedName name="Title.Checklist.Actions.Description" localSheetId="11">'SDP checklist'!$B$2</definedName>
    <definedName name="Title.Checklist.Actions.Description" localSheetId="29">'SWPF checklist'!$B$2</definedName>
    <definedName name="Title.Checklist.Actions.Description" localSheetId="18">'SyAD checklist'!$B$2</definedName>
    <definedName name="Title.Checklist.Actions.Description" localSheetId="32">'TARA checklist'!$B$2</definedName>
    <definedName name="Title.Checklist.Actions.Description" localSheetId="27">'UTSR checklist'!$B$2</definedName>
    <definedName name="Title.Checklist.Guide.HowToRate" localSheetId="31">'Backlog checklist'!$F$3</definedName>
    <definedName name="Title.Checklist.Guide.HowToRate" localSheetId="33">'CIA checklist'!$F$3</definedName>
    <definedName name="Title.Checklist.Guide.HowToRate" localSheetId="14">'CMP checklist'!$F$3</definedName>
    <definedName name="Title.Checklist.Guide.HowToRate" localSheetId="25">'CODE checklist'!$F$3</definedName>
    <definedName name="Title.Checklist.Guide.HowToRate" localSheetId="34">'CSItemDef checklist'!$F$3</definedName>
    <definedName name="Title.Checklist.Guide.HowToRate" localSheetId="16">'ITP checklist'!$F$3</definedName>
    <definedName name="Title.Checklist.Guide.HowToRate" localSheetId="26">'ITSR checklist'!$F$3</definedName>
    <definedName name="Title.Checklist.Guide.HowToRate" localSheetId="23">'MBD checklist'!$F$3</definedName>
    <definedName name="Title.Checklist.Guide.HowToRate" localSheetId="22">'OTH checklist'!$F$3</definedName>
    <definedName name="Title.Checklist.Guide.HowToRate" localSheetId="30">'PA checklist'!$F$3</definedName>
    <definedName name="Title.Checklist.Guide.HowToRate" localSheetId="13">'PDP checklist'!$F$3</definedName>
    <definedName name="Title.Checklist.Guide.HowToRate" localSheetId="21">'PS - DS - SPS - QS checklist'!$F$3</definedName>
    <definedName name="Title.Checklist.Guide.HowToRate" localSheetId="12">'QAP checklist'!$F$3</definedName>
    <definedName name="Title.Checklist.Guide.HowToRate" localSheetId="15">'QP checklist'!$F$3</definedName>
    <definedName name="Title.Checklist.Guide.HowToRate" localSheetId="28">'QSR checklist'!$F$3</definedName>
    <definedName name="Title.Checklist.Guide.HowToRate" localSheetId="17">'REQ checklist'!$F$3</definedName>
    <definedName name="Title.Checklist.Guide.HowToRate" localSheetId="20">'Reuse checklist'!$F$3</definedName>
    <definedName name="Title.Checklist.Guide.HowToRate" localSheetId="19">'SAD checklist'!$F$3</definedName>
    <definedName name="Title.Checklist.Guide.HowToRate" localSheetId="24">'SDD checklist'!$F$3</definedName>
    <definedName name="Title.Checklist.Guide.HowToRate" localSheetId="11">'SDP checklist'!$F$3</definedName>
    <definedName name="Title.Checklist.Guide.HowToRate" localSheetId="29">'SWPF checklist'!$F$3</definedName>
    <definedName name="Title.Checklist.Guide.HowToRate" localSheetId="18">'SyAD checklist'!$F$3</definedName>
    <definedName name="Title.Checklist.Guide.HowToRate" localSheetId="32">'TARA checklist'!$F$3</definedName>
    <definedName name="Title.Checklist.Guide.HowToRate" localSheetId="27">'UTSR checklist'!$F$3</definedName>
    <definedName name="Title.Checklist.Guide.WhatToCheck" localSheetId="31">'Backlog checklist'!$E$3</definedName>
    <definedName name="Title.Checklist.Guide.WhatToCheck" localSheetId="33">'CIA checklist'!$E$3</definedName>
    <definedName name="Title.Checklist.Guide.WhatToCheck" localSheetId="14">'CMP checklist'!$E$3</definedName>
    <definedName name="Title.Checklist.Guide.WhatToCheck" localSheetId="25">'CODE checklist'!$E$3</definedName>
    <definedName name="Title.Checklist.Guide.WhatToCheck" localSheetId="34">'CSItemDef checklist'!$E$3</definedName>
    <definedName name="Title.Checklist.Guide.WhatToCheck" localSheetId="16">'ITP checklist'!$E$3</definedName>
    <definedName name="Title.Checklist.Guide.WhatToCheck" localSheetId="26">'ITSR checklist'!$E$3</definedName>
    <definedName name="Title.Checklist.Guide.WhatToCheck" localSheetId="23">'MBD checklist'!$E$3</definedName>
    <definedName name="Title.Checklist.Guide.WhatToCheck" localSheetId="22">'OTH checklist'!$E$3</definedName>
    <definedName name="Title.Checklist.Guide.WhatToCheck" localSheetId="30">'PA checklist'!$E$3</definedName>
    <definedName name="Title.Checklist.Guide.WhatToCheck" localSheetId="13">'PDP checklist'!$E$3</definedName>
    <definedName name="Title.Checklist.Guide.WhatToCheck" localSheetId="21">'PS - DS - SPS - QS checklist'!$E$3</definedName>
    <definedName name="Title.Checklist.Guide.WhatToCheck" localSheetId="12">'QAP checklist'!$E$3</definedName>
    <definedName name="Title.Checklist.Guide.WhatToCheck" localSheetId="15">'QP checklist'!$E$3</definedName>
    <definedName name="Title.Checklist.Guide.WhatToCheck" localSheetId="28">'QSR checklist'!$E$3</definedName>
    <definedName name="Title.Checklist.Guide.WhatToCheck" localSheetId="17">'REQ checklist'!$E$3</definedName>
    <definedName name="Title.Checklist.Guide.WhatToCheck" localSheetId="20">'Reuse checklist'!$E$3</definedName>
    <definedName name="Title.Checklist.Guide.WhatToCheck" localSheetId="19">'SAD checklist'!$E$3</definedName>
    <definedName name="Title.Checklist.Guide.WhatToCheck" localSheetId="24">'SDD checklist'!$E$3</definedName>
    <definedName name="Title.Checklist.Guide.WhatToCheck" localSheetId="11">'SDP checklist'!$E$3</definedName>
    <definedName name="Title.Checklist.Guide.WhatToCheck" localSheetId="29">'SWPF checklist'!$E$3</definedName>
    <definedName name="Title.Checklist.Guide.WhatToCheck" localSheetId="18">'SyAD checklist'!$E$3</definedName>
    <definedName name="Title.Checklist.Guide.WhatToCheck" localSheetId="32">'TARA checklist'!$E$3</definedName>
    <definedName name="Title.Checklist.Guide.WhatToCheck" localSheetId="27">'UTSR checklist'!$E$3</definedName>
    <definedName name="Title.Checklist.ManualQuestion" localSheetId="31">'Backlog checklist'!$B$6</definedName>
    <definedName name="Title.Checklist.ManualQuestion" localSheetId="33">'CIA checklist'!$B$23</definedName>
    <definedName name="Title.Checklist.ManualQuestion" localSheetId="14">'CMP checklist'!$B$32</definedName>
    <definedName name="Title.Checklist.ManualQuestion" localSheetId="25">'CODE checklist'!$B$34</definedName>
    <definedName name="Title.Checklist.ManualQuestion" localSheetId="34">'CSItemDef checklist'!$B$22</definedName>
    <definedName name="Title.Checklist.ManualQuestion" localSheetId="16">'ITP checklist'!$B$24</definedName>
    <definedName name="Title.Checklist.ManualQuestion" localSheetId="26">'ITSR checklist'!$B$34</definedName>
    <definedName name="Title.Checklist.ManualQuestion" localSheetId="23">'MBD checklist'!$B$48</definedName>
    <definedName name="Title.Checklist.ManualQuestion" localSheetId="22">'OTH checklist'!$B$17</definedName>
    <definedName name="Title.Checklist.ManualQuestion" localSheetId="30">'PA checklist'!$B$26</definedName>
    <definedName name="Title.Checklist.ManualQuestion" localSheetId="13">'PDP checklist'!$B$37</definedName>
    <definedName name="Title.Checklist.ManualQuestion" localSheetId="21">'PS - DS - SPS - QS checklist'!$B$44</definedName>
    <definedName name="Title.Checklist.ManualQuestion" localSheetId="12">'QAP checklist'!$B$38</definedName>
    <definedName name="Title.Checklist.ManualQuestion" localSheetId="15">'QP checklist'!$B$25</definedName>
    <definedName name="Title.Checklist.ManualQuestion" localSheetId="28">'QSR checklist'!$B$26</definedName>
    <definedName name="Title.Checklist.ManualQuestion" localSheetId="17">'REQ checklist'!$B$40</definedName>
    <definedName name="Title.Checklist.ManualQuestion" localSheetId="20">'Reuse checklist'!$B$26</definedName>
    <definedName name="Title.Checklist.ManualQuestion" localSheetId="19">'SAD checklist'!$B$49</definedName>
    <definedName name="Title.Checklist.ManualQuestion" localSheetId="24">'SDD checklist'!$B$33</definedName>
    <definedName name="Title.Checklist.ManualQuestion" localSheetId="11">'SDP checklist'!$B$45</definedName>
    <definedName name="Title.Checklist.ManualQuestion" localSheetId="29">'SWPF checklist'!$B$20</definedName>
    <definedName name="Title.Checklist.ManualQuestion" localSheetId="18">'SyAD checklist'!$B$42</definedName>
    <definedName name="Title.Checklist.ManualQuestion" localSheetId="32">'TARA checklist'!$B$28</definedName>
    <definedName name="Title.Checklist.ManualQuestion" localSheetId="27">'UTSR checklist'!$B$36</definedName>
    <definedName name="Title.Checklist.NoteForAuditor" localSheetId="31">'Backlog checklist'!$E$2</definedName>
    <definedName name="Title.Checklist.NoteForAuditor" localSheetId="33">'CIA checklist'!$E$2</definedName>
    <definedName name="Title.Checklist.NoteForAuditor" localSheetId="14">'CMP checklist'!$E$2</definedName>
    <definedName name="Title.Checklist.NoteForAuditor" localSheetId="25">'CODE checklist'!$E$2</definedName>
    <definedName name="Title.Checklist.NoteForAuditor" localSheetId="34">'CSItemDef checklist'!$E$2</definedName>
    <definedName name="Title.Checklist.NoteForAuditor" localSheetId="16">'ITP checklist'!$E$2</definedName>
    <definedName name="Title.Checklist.NoteForAuditor" localSheetId="26">'ITSR checklist'!$E$2</definedName>
    <definedName name="Title.Checklist.NoteForAuditor" localSheetId="23">'MBD checklist'!$E$2</definedName>
    <definedName name="Title.Checklist.NoteForAuditor" localSheetId="22">'OTH checklist'!$E$2</definedName>
    <definedName name="Title.Checklist.NoteForAuditor" localSheetId="30">'PA checklist'!$E$2</definedName>
    <definedName name="Title.Checklist.NoteForAuditor" localSheetId="13">'PDP checklist'!$E$2</definedName>
    <definedName name="Title.Checklist.NoteForAuditor" localSheetId="21">'PS - DS - SPS - QS checklist'!$E$2</definedName>
    <definedName name="Title.Checklist.NoteForAuditor" localSheetId="12">'QAP checklist'!$E$2</definedName>
    <definedName name="Title.Checklist.NoteForAuditor" localSheetId="15">'QP checklist'!$E$2</definedName>
    <definedName name="Title.Checklist.NoteForAuditor" localSheetId="28">'QSR checklist'!$E$2</definedName>
    <definedName name="Title.Checklist.NoteForAuditor" localSheetId="17">'REQ checklist'!$E$2</definedName>
    <definedName name="Title.Checklist.NoteForAuditor" localSheetId="20">'Reuse checklist'!$E$2</definedName>
    <definedName name="Title.Checklist.NoteForAuditor" localSheetId="19">'SAD checklist'!$E$2</definedName>
    <definedName name="Title.Checklist.NoteForAuditor" localSheetId="24">'SDD checklist'!$E$2</definedName>
    <definedName name="Title.Checklist.NoteForAuditor" localSheetId="11">'SDP checklist'!$E$2</definedName>
    <definedName name="Title.Checklist.NoteForAuditor" localSheetId="29">'SWPF checklist'!$E$2</definedName>
    <definedName name="Title.Checklist.NoteForAuditor" localSheetId="18">'SyAD checklist'!$E$2</definedName>
    <definedName name="Title.Checklist.NoteForAuditor" localSheetId="32">'TARA checklist'!$E$2</definedName>
    <definedName name="Title.Checklist.NoteForAuditor" localSheetId="27">'UTSR checklist'!$E$2</definedName>
    <definedName name="Title.Checklist.Question" localSheetId="31">'Backlog checklist'!$B$4</definedName>
    <definedName name="Title.Checklist.Question" localSheetId="33">'CIA checklist'!$B$4</definedName>
    <definedName name="Title.Checklist.Question" localSheetId="14">'CMP checklist'!$B$4</definedName>
    <definedName name="Title.Checklist.Question" localSheetId="25">'CODE checklist'!$B$4</definedName>
    <definedName name="Title.Checklist.Question" localSheetId="34">'CSItemDef checklist'!$B$4</definedName>
    <definedName name="Title.Checklist.Question" localSheetId="16">'ITP checklist'!$B$4</definedName>
    <definedName name="Title.Checklist.Question" localSheetId="26">'ITSR checklist'!$B$4</definedName>
    <definedName name="Title.Checklist.Question" localSheetId="23">'MBD checklist'!$B$4</definedName>
    <definedName name="Title.Checklist.Question" localSheetId="22">'OTH checklist'!$B$4</definedName>
    <definedName name="Title.Checklist.Question" localSheetId="30">'PA checklist'!$B$4</definedName>
    <definedName name="Title.Checklist.Question" localSheetId="13">'PDP checklist'!$B$4</definedName>
    <definedName name="Title.Checklist.Question" localSheetId="21">'PS - DS - SPS - QS checklist'!$B$4</definedName>
    <definedName name="Title.Checklist.Question" localSheetId="12">'QAP checklist'!$B$4</definedName>
    <definedName name="Title.Checklist.Question" localSheetId="15">'QP checklist'!$B$4</definedName>
    <definedName name="Title.Checklist.Question" localSheetId="28">'QSR checklist'!$B$4</definedName>
    <definedName name="Title.Checklist.Question" localSheetId="17">'REQ checklist'!$B$4</definedName>
    <definedName name="Title.Checklist.Question" localSheetId="20">'Reuse checklist'!$B$4</definedName>
    <definedName name="Title.Checklist.Question" localSheetId="19">'SAD checklist'!$B$4</definedName>
    <definedName name="Title.Checklist.Question" localSheetId="24">'SDD checklist'!$B$4</definedName>
    <definedName name="Title.Checklist.Question" localSheetId="11">'SDP checklist'!$B$4</definedName>
    <definedName name="Title.Checklist.Question" localSheetId="29">'SWPF checklist'!$B$4</definedName>
    <definedName name="Title.Checklist.Question" localSheetId="18">'SyAD checklist'!$B$4</definedName>
    <definedName name="Title.Checklist.Question" localSheetId="32">'TARA checklist'!$B$4</definedName>
    <definedName name="Title.Checklist.Question" localSheetId="27">'UTSR checklist'!$B$4</definedName>
    <definedName name="Title.Checklist.QuestionReference" localSheetId="31">'Backlog checklist'!$A$2</definedName>
    <definedName name="Title.Checklist.QuestionReference" localSheetId="33">'CIA checklist'!$A$2</definedName>
    <definedName name="Title.Checklist.QuestionReference" localSheetId="14">'CMP checklist'!$A$2</definedName>
    <definedName name="Title.Checklist.QuestionReference" localSheetId="25">'CODE checklist'!$A$2</definedName>
    <definedName name="Title.Checklist.QuestionReference" localSheetId="34">'CSItemDef checklist'!$A$2</definedName>
    <definedName name="Title.Checklist.QuestionReference" localSheetId="16">'ITP checklist'!$A$2</definedName>
    <definedName name="Title.Checklist.QuestionReference" localSheetId="26">'ITSR checklist'!$A$2</definedName>
    <definedName name="Title.Checklist.QuestionReference" localSheetId="23">'MBD checklist'!$A$2</definedName>
    <definedName name="Title.Checklist.QuestionReference" localSheetId="22">'OTH checklist'!$A$2</definedName>
    <definedName name="Title.Checklist.QuestionReference" localSheetId="30">'PA checklist'!$A$2</definedName>
    <definedName name="Title.Checklist.QuestionReference" localSheetId="13">'PDP checklist'!$A$2</definedName>
    <definedName name="Title.Checklist.QuestionReference" localSheetId="21">'PS - DS - SPS - QS checklist'!$A$2</definedName>
    <definedName name="Title.Checklist.QuestionReference" localSheetId="12">'QAP checklist'!$A$2</definedName>
    <definedName name="Title.Checklist.QuestionReference" localSheetId="15">'QP checklist'!$A$2</definedName>
    <definedName name="Title.Checklist.QuestionReference" localSheetId="28">'QSR checklist'!$A$2</definedName>
    <definedName name="Title.Checklist.QuestionReference" localSheetId="17">'REQ checklist'!$A$2</definedName>
    <definedName name="Title.Checklist.QuestionReference" localSheetId="20">'Reuse checklist'!$A$2</definedName>
    <definedName name="Title.Checklist.QuestionReference" localSheetId="19">'SAD checklist'!$A$2</definedName>
    <definedName name="Title.Checklist.QuestionReference" localSheetId="24">'SDD checklist'!$A$2</definedName>
    <definedName name="Title.Checklist.QuestionReference" localSheetId="11">'SDP checklist'!$A$2</definedName>
    <definedName name="Title.Checklist.QuestionReference" localSheetId="29">'SWPF checklist'!$A$2</definedName>
    <definedName name="Title.Checklist.QuestionReference" localSheetId="18">'SyAD checklist'!$A$2</definedName>
    <definedName name="Title.Checklist.QuestionReference" localSheetId="32">'TARA checklist'!$A$2</definedName>
    <definedName name="Title.Checklist.QuestionReference" localSheetId="27">'UTSR checklist'!$A$2</definedName>
    <definedName name="Title.Checklist.Rate" localSheetId="31">'Backlog checklist'!$C$2</definedName>
    <definedName name="Title.Checklist.Rate" localSheetId="33">'CIA checklist'!$C$2</definedName>
    <definedName name="Title.Checklist.Rate" localSheetId="14">'CMP checklist'!$C$2</definedName>
    <definedName name="Title.Checklist.Rate" localSheetId="25">'CODE checklist'!$C$2</definedName>
    <definedName name="Title.Checklist.Rate" localSheetId="34">'CSItemDef checklist'!$C$2</definedName>
    <definedName name="Title.Checklist.Rate" localSheetId="16">'ITP checklist'!$C$2</definedName>
    <definedName name="Title.Checklist.Rate" localSheetId="26">'ITSR checklist'!$C$2</definedName>
    <definedName name="Title.Checklist.Rate" localSheetId="23">'MBD checklist'!$C$2</definedName>
    <definedName name="Title.Checklist.Rate" localSheetId="22">'OTH checklist'!$C$2</definedName>
    <definedName name="Title.Checklist.Rate" localSheetId="30">'PA checklist'!$C$2</definedName>
    <definedName name="Title.Checklist.Rate" localSheetId="13">'PDP checklist'!$C$2</definedName>
    <definedName name="Title.Checklist.Rate" localSheetId="21">'PS - DS - SPS - QS checklist'!$C$2</definedName>
    <definedName name="Title.Checklist.Rate" localSheetId="12">'QAP checklist'!$C$2</definedName>
    <definedName name="Title.Checklist.Rate" localSheetId="15">'QP checklist'!$C$2</definedName>
    <definedName name="Title.Checklist.Rate" localSheetId="28">'QSR checklist'!$C$2</definedName>
    <definedName name="Title.Checklist.Rate" localSheetId="17">'REQ checklist'!$C$2</definedName>
    <definedName name="Title.Checklist.Rate" localSheetId="20">'Reuse checklist'!$C$2</definedName>
    <definedName name="Title.Checklist.Rate" localSheetId="19">'SAD checklist'!$C$2</definedName>
    <definedName name="Title.Checklist.Rate" localSheetId="24">'SDD checklist'!$C$2</definedName>
    <definedName name="Title.Checklist.Rate" localSheetId="11">'SDP checklist'!$C$2</definedName>
    <definedName name="Title.Checklist.Rate" localSheetId="29">'SWPF checklist'!$C$2</definedName>
    <definedName name="Title.Checklist.Rate" localSheetId="18">'SyAD checklist'!$C$2</definedName>
    <definedName name="Title.Checklist.Rate" localSheetId="32">'TARA checklist'!$C$2</definedName>
    <definedName name="Title.Checklist.Rate" localSheetId="27">'UTSR checklist'!$C$2</definedName>
    <definedName name="TitleRow" localSheetId="31">'Backlog checklist'!$2:$2</definedName>
    <definedName name="TitleRow" localSheetId="33">'CIA checklist'!$2:$2</definedName>
    <definedName name="TitleRow" localSheetId="14">'CMP checklist'!$2:$2</definedName>
    <definedName name="TitleRow" localSheetId="25">'CODE checklist'!$2:$2</definedName>
    <definedName name="TitleRow" localSheetId="34">'CSItemDef checklist'!$2:$2</definedName>
    <definedName name="TitleRow" localSheetId="16">'ITP checklist'!$2:$2</definedName>
    <definedName name="TitleRow" localSheetId="26">'ITSR checklist'!$2:$2</definedName>
    <definedName name="TitleRow" localSheetId="23">'MBD checklist'!$2:$2</definedName>
    <definedName name="TitleRow" localSheetId="22">'OTH checklist'!$2:$2</definedName>
    <definedName name="TitleRow" localSheetId="30">'PA checklist'!$2:$2</definedName>
    <definedName name="TitleRow" localSheetId="13">'PDP checklist'!$2:$2</definedName>
    <definedName name="TitleRow" localSheetId="21">'PS - DS - SPS - QS checklist'!$2:$2</definedName>
    <definedName name="TitleRow" localSheetId="12">'QAP checklist'!$2:$2</definedName>
    <definedName name="TitleRow" localSheetId="15">'QP checklist'!$2:$2</definedName>
    <definedName name="TitleRow" localSheetId="28">'QSR checklist'!$2:$2</definedName>
    <definedName name="TitleRow" localSheetId="17">'REQ checklist'!$2:$2</definedName>
    <definedName name="TitleRow" localSheetId="20">'Reuse checklist'!$2:$2</definedName>
    <definedName name="TitleRow" localSheetId="19">'SAD checklist'!$2:$2</definedName>
    <definedName name="TitleRow" localSheetId="24">'SDD checklist'!$2:$2</definedName>
    <definedName name="TitleRow" localSheetId="11">'SDP checklist'!$2:$2</definedName>
    <definedName name="TitleRow" localSheetId="29">'SWPF checklist'!$2:$2</definedName>
    <definedName name="TitleRow" localSheetId="18">'SyAD checklist'!$2:$2</definedName>
    <definedName name="TitleRow" localSheetId="32">'TARA checklist'!$2:$2</definedName>
    <definedName name="TitleRow" localSheetId="27">'UTSR checklist'!$2:$2</definedName>
  </definedNames>
  <calcPr calcId="191028"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258" l="1"/>
  <c r="D7" i="258"/>
  <c r="D8" i="258"/>
  <c r="D9" i="258"/>
  <c r="B9" i="258" s="1"/>
  <c r="D10" i="258"/>
  <c r="D11" i="258"/>
  <c r="B11" i="258" s="1"/>
  <c r="D12" i="258"/>
  <c r="D13" i="258"/>
  <c r="B13" i="258" s="1"/>
  <c r="D14" i="258"/>
  <c r="D15" i="258"/>
  <c r="D16" i="258"/>
  <c r="D17" i="258"/>
  <c r="D18" i="258"/>
  <c r="B6" i="258"/>
  <c r="B7" i="258"/>
  <c r="B8" i="258"/>
  <c r="B10" i="258"/>
  <c r="B12" i="258"/>
  <c r="B14" i="258"/>
  <c r="B15" i="258"/>
  <c r="B16" i="258"/>
  <c r="B17" i="258"/>
  <c r="B18" i="258"/>
  <c r="E3" i="42"/>
  <c r="E4" i="42"/>
  <c r="E5" i="42"/>
  <c r="E6" i="42"/>
  <c r="E7" i="42"/>
  <c r="E8" i="42"/>
  <c r="E9" i="42"/>
  <c r="E10" i="42"/>
  <c r="E11" i="42"/>
  <c r="E12" i="42"/>
  <c r="E13" i="42"/>
  <c r="E14" i="42"/>
  <c r="E15" i="42"/>
  <c r="E16" i="42"/>
  <c r="E17" i="42"/>
  <c r="E18" i="42"/>
  <c r="E19" i="42"/>
  <c r="I1" i="257"/>
  <c r="D344" i="258"/>
  <c r="B344" i="258" s="1"/>
  <c r="D343" i="258"/>
  <c r="B343" i="258" s="1"/>
  <c r="D342" i="258"/>
  <c r="B342" i="258" s="1"/>
  <c r="D341" i="258"/>
  <c r="B341" i="258" s="1"/>
  <c r="D340" i="258"/>
  <c r="B340" i="258" s="1"/>
  <c r="D339" i="258"/>
  <c r="B339" i="258" s="1"/>
  <c r="D338" i="258"/>
  <c r="B338" i="258" s="1"/>
  <c r="D337" i="258"/>
  <c r="B337" i="258" s="1"/>
  <c r="D336" i="258"/>
  <c r="B336" i="258" s="1"/>
  <c r="D335" i="258"/>
  <c r="B335" i="258" s="1"/>
  <c r="D334" i="258"/>
  <c r="B334" i="258" s="1"/>
  <c r="D333" i="258"/>
  <c r="B333" i="258" s="1"/>
  <c r="D332" i="258"/>
  <c r="B332" i="258" s="1"/>
  <c r="D331" i="258"/>
  <c r="B331" i="258" s="1"/>
  <c r="D330" i="258"/>
  <c r="B330" i="258"/>
  <c r="D329" i="258"/>
  <c r="B329" i="258" s="1"/>
  <c r="D328" i="258"/>
  <c r="B328" i="258" s="1"/>
  <c r="D327" i="258"/>
  <c r="B327" i="258" s="1"/>
  <c r="D326" i="258"/>
  <c r="B326" i="258" s="1"/>
  <c r="D325" i="258"/>
  <c r="B325" i="258" s="1"/>
  <c r="D324" i="258"/>
  <c r="B324" i="258" s="1"/>
  <c r="D323" i="258"/>
  <c r="B323" i="258" s="1"/>
  <c r="D322" i="258"/>
  <c r="B322" i="258"/>
  <c r="D321" i="258"/>
  <c r="B321" i="258" s="1"/>
  <c r="D320" i="258"/>
  <c r="B320" i="258" s="1"/>
  <c r="D319" i="258"/>
  <c r="B319" i="258" s="1"/>
  <c r="D318" i="258"/>
  <c r="B318" i="258" s="1"/>
  <c r="D317" i="258"/>
  <c r="B317" i="258" s="1"/>
  <c r="D316" i="258"/>
  <c r="B316" i="258" s="1"/>
  <c r="D315" i="258"/>
  <c r="B315" i="258" s="1"/>
  <c r="D314" i="258"/>
  <c r="B314" i="258" s="1"/>
  <c r="D313" i="258"/>
  <c r="B313" i="258" s="1"/>
  <c r="D312" i="258"/>
  <c r="B312" i="258" s="1"/>
  <c r="D311" i="258"/>
  <c r="B311" i="258" s="1"/>
  <c r="D310" i="258"/>
  <c r="B310" i="258" s="1"/>
  <c r="D309" i="258"/>
  <c r="B309" i="258" s="1"/>
  <c r="D308" i="258"/>
  <c r="B308" i="258" s="1"/>
  <c r="D307" i="258"/>
  <c r="B307" i="258" s="1"/>
  <c r="D306" i="258"/>
  <c r="B306" i="258" s="1"/>
  <c r="D305" i="258"/>
  <c r="B305" i="258" s="1"/>
  <c r="D304" i="258"/>
  <c r="B304" i="258" s="1"/>
  <c r="D303" i="258"/>
  <c r="B303" i="258" s="1"/>
  <c r="D302" i="258"/>
  <c r="B302" i="258" s="1"/>
  <c r="D301" i="258"/>
  <c r="B301" i="258" s="1"/>
  <c r="D300" i="258"/>
  <c r="B300" i="258" s="1"/>
  <c r="D299" i="258"/>
  <c r="B299" i="258" s="1"/>
  <c r="D298" i="258"/>
  <c r="B298" i="258"/>
  <c r="D297" i="258"/>
  <c r="B297" i="258" s="1"/>
  <c r="D296" i="258"/>
  <c r="B296" i="258" s="1"/>
  <c r="D295" i="258"/>
  <c r="B295" i="258" s="1"/>
  <c r="D294" i="258"/>
  <c r="B294" i="258" s="1"/>
  <c r="D293" i="258"/>
  <c r="B293" i="258" s="1"/>
  <c r="D292" i="258"/>
  <c r="B292" i="258" s="1"/>
  <c r="D291" i="258"/>
  <c r="B291" i="258" s="1"/>
  <c r="D290" i="258"/>
  <c r="B290" i="258" s="1"/>
  <c r="D289" i="258"/>
  <c r="B289" i="258" s="1"/>
  <c r="D288" i="258"/>
  <c r="B288" i="258" s="1"/>
  <c r="D287" i="258"/>
  <c r="B287" i="258" s="1"/>
  <c r="D286" i="258"/>
  <c r="B286" i="258" s="1"/>
  <c r="D285" i="258"/>
  <c r="B285" i="258" s="1"/>
  <c r="D284" i="258"/>
  <c r="B284" i="258"/>
  <c r="D283" i="258"/>
  <c r="B283" i="258" s="1"/>
  <c r="D282" i="258"/>
  <c r="B282" i="258" s="1"/>
  <c r="D281" i="258"/>
  <c r="B281" i="258" s="1"/>
  <c r="D280" i="258"/>
  <c r="B280" i="258" s="1"/>
  <c r="D279" i="258"/>
  <c r="B279" i="258" s="1"/>
  <c r="D278" i="258"/>
  <c r="B278" i="258" s="1"/>
  <c r="D277" i="258"/>
  <c r="B277" i="258" s="1"/>
  <c r="D276" i="258"/>
  <c r="B276" i="258" s="1"/>
  <c r="D275" i="258"/>
  <c r="B275" i="258" s="1"/>
  <c r="D274" i="258"/>
  <c r="B274" i="258"/>
  <c r="D273" i="258"/>
  <c r="B273" i="258" s="1"/>
  <c r="D272" i="258"/>
  <c r="B272" i="258" s="1"/>
  <c r="D271" i="258"/>
  <c r="B271" i="258" s="1"/>
  <c r="D270" i="258"/>
  <c r="B270" i="258"/>
  <c r="D269" i="258"/>
  <c r="B269" i="258" s="1"/>
  <c r="D268" i="258"/>
  <c r="B268" i="258"/>
  <c r="D267" i="258"/>
  <c r="B267" i="258" s="1"/>
  <c r="D266" i="258"/>
  <c r="B266" i="258"/>
  <c r="D265" i="258"/>
  <c r="B265" i="258" s="1"/>
  <c r="D264" i="258"/>
  <c r="B264" i="258" s="1"/>
  <c r="D263" i="258"/>
  <c r="B263" i="258" s="1"/>
  <c r="D262" i="258"/>
  <c r="B262" i="258" s="1"/>
  <c r="D261" i="258"/>
  <c r="B261" i="258" s="1"/>
  <c r="D260" i="258"/>
  <c r="B260" i="258" s="1"/>
  <c r="D259" i="258"/>
  <c r="B259" i="258" s="1"/>
  <c r="D258" i="258"/>
  <c r="B258" i="258" s="1"/>
  <c r="D257" i="258"/>
  <c r="B257" i="258" s="1"/>
  <c r="D256" i="258"/>
  <c r="B256" i="258" s="1"/>
  <c r="D255" i="258"/>
  <c r="B255" i="258" s="1"/>
  <c r="D254" i="258"/>
  <c r="B254" i="258" s="1"/>
  <c r="D253" i="258"/>
  <c r="B253" i="258" s="1"/>
  <c r="D252" i="258"/>
  <c r="B252" i="258"/>
  <c r="D251" i="258"/>
  <c r="B251" i="258" s="1"/>
  <c r="D250" i="258"/>
  <c r="B250" i="258" s="1"/>
  <c r="D249" i="258"/>
  <c r="B249" i="258" s="1"/>
  <c r="D248" i="258"/>
  <c r="B248" i="258" s="1"/>
  <c r="D247" i="258"/>
  <c r="B247" i="258" s="1"/>
  <c r="D246" i="258"/>
  <c r="B246" i="258" s="1"/>
  <c r="D245" i="258"/>
  <c r="B245" i="258" s="1"/>
  <c r="D244" i="258"/>
  <c r="B244" i="258" s="1"/>
  <c r="D243" i="258"/>
  <c r="B243" i="258" s="1"/>
  <c r="D242" i="258"/>
  <c r="B242" i="258" s="1"/>
  <c r="D241" i="258"/>
  <c r="B241" i="258" s="1"/>
  <c r="D240" i="258"/>
  <c r="B240" i="258" s="1"/>
  <c r="D239" i="258"/>
  <c r="B239" i="258" s="1"/>
  <c r="D238" i="258"/>
  <c r="B238" i="258" s="1"/>
  <c r="D237" i="258"/>
  <c r="B237" i="258" s="1"/>
  <c r="D236" i="258"/>
  <c r="B236" i="258" s="1"/>
  <c r="D235" i="258"/>
  <c r="B235" i="258" s="1"/>
  <c r="D234" i="258"/>
  <c r="B234" i="258" s="1"/>
  <c r="D233" i="258"/>
  <c r="B233" i="258" s="1"/>
  <c r="D232" i="258"/>
  <c r="B232" i="258" s="1"/>
  <c r="D231" i="258"/>
  <c r="B231" i="258" s="1"/>
  <c r="D230" i="258"/>
  <c r="B230" i="258" s="1"/>
  <c r="D229" i="258"/>
  <c r="B229" i="258" s="1"/>
  <c r="D228" i="258"/>
  <c r="B228" i="258" s="1"/>
  <c r="D227" i="258"/>
  <c r="B227" i="258" s="1"/>
  <c r="D226" i="258"/>
  <c r="B226" i="258" s="1"/>
  <c r="D225" i="258"/>
  <c r="B225" i="258" s="1"/>
  <c r="D224" i="258"/>
  <c r="B224" i="258" s="1"/>
  <c r="D223" i="258"/>
  <c r="B223" i="258" s="1"/>
  <c r="D222" i="258"/>
  <c r="B222" i="258" s="1"/>
  <c r="D221" i="258"/>
  <c r="B221" i="258" s="1"/>
  <c r="D220" i="258"/>
  <c r="B220" i="258" s="1"/>
  <c r="D219" i="258"/>
  <c r="B219" i="258" s="1"/>
  <c r="D218" i="258"/>
  <c r="B218" i="258" s="1"/>
  <c r="D217" i="258"/>
  <c r="B217" i="258" s="1"/>
  <c r="D216" i="258"/>
  <c r="B216" i="258" s="1"/>
  <c r="D215" i="258"/>
  <c r="B215" i="258" s="1"/>
  <c r="D214" i="258"/>
  <c r="B214" i="258" s="1"/>
  <c r="D213" i="258"/>
  <c r="B213" i="258" s="1"/>
  <c r="D212" i="258"/>
  <c r="B212" i="258" s="1"/>
  <c r="D211" i="258"/>
  <c r="B211" i="258" s="1"/>
  <c r="D210" i="258"/>
  <c r="B210" i="258" s="1"/>
  <c r="D209" i="258"/>
  <c r="B209" i="258" s="1"/>
  <c r="D208" i="258"/>
  <c r="B208" i="258" s="1"/>
  <c r="D207" i="258"/>
  <c r="B207" i="258" s="1"/>
  <c r="D206" i="258"/>
  <c r="B206" i="258"/>
  <c r="D205" i="258"/>
  <c r="B205" i="258" s="1"/>
  <c r="D204" i="258"/>
  <c r="B204" i="258" s="1"/>
  <c r="D203" i="258"/>
  <c r="B203" i="258" s="1"/>
  <c r="D202" i="258"/>
  <c r="B202" i="258"/>
  <c r="D201" i="258"/>
  <c r="B201" i="258" s="1"/>
  <c r="D200" i="258"/>
  <c r="B200" i="258" s="1"/>
  <c r="D199" i="258"/>
  <c r="B199" i="258" s="1"/>
  <c r="D198" i="258"/>
  <c r="B198" i="258" s="1"/>
  <c r="D197" i="258"/>
  <c r="B197" i="258" s="1"/>
  <c r="D196" i="258"/>
  <c r="B196" i="258" s="1"/>
  <c r="D195" i="258"/>
  <c r="B195" i="258" s="1"/>
  <c r="D194" i="258"/>
  <c r="B194" i="258" s="1"/>
  <c r="D193" i="258"/>
  <c r="B193" i="258" s="1"/>
  <c r="D192" i="258"/>
  <c r="B192" i="258"/>
  <c r="D191" i="258"/>
  <c r="B191" i="258" s="1"/>
  <c r="D190" i="258"/>
  <c r="B190" i="258" s="1"/>
  <c r="D189" i="258"/>
  <c r="B189" i="258" s="1"/>
  <c r="D188" i="258"/>
  <c r="B188" i="258"/>
  <c r="D187" i="258"/>
  <c r="B187" i="258" s="1"/>
  <c r="D186" i="258"/>
  <c r="B186" i="258" s="1"/>
  <c r="D185" i="258"/>
  <c r="B185" i="258" s="1"/>
  <c r="D184" i="258"/>
  <c r="B184" i="258" s="1"/>
  <c r="D183" i="258"/>
  <c r="B183" i="258" s="1"/>
  <c r="D182" i="258"/>
  <c r="B182" i="258" s="1"/>
  <c r="D181" i="258"/>
  <c r="B181" i="258" s="1"/>
  <c r="D180" i="258"/>
  <c r="B180" i="258" s="1"/>
  <c r="D179" i="258"/>
  <c r="B179" i="258" s="1"/>
  <c r="D178" i="258"/>
  <c r="B178" i="258" s="1"/>
  <c r="D177" i="258"/>
  <c r="B177" i="258" s="1"/>
  <c r="D176" i="258"/>
  <c r="B176" i="258"/>
  <c r="D175" i="258"/>
  <c r="B175" i="258" s="1"/>
  <c r="D174" i="258"/>
  <c r="B174" i="258"/>
  <c r="D173" i="258"/>
  <c r="B173" i="258" s="1"/>
  <c r="D172" i="258"/>
  <c r="B172" i="258"/>
  <c r="D171" i="258"/>
  <c r="B171" i="258" s="1"/>
  <c r="D170" i="258"/>
  <c r="B170" i="258" s="1"/>
  <c r="D169" i="258"/>
  <c r="B169" i="258" s="1"/>
  <c r="D168" i="258"/>
  <c r="B168" i="258" s="1"/>
  <c r="D167" i="258"/>
  <c r="B167" i="258" s="1"/>
  <c r="D166" i="258"/>
  <c r="B166" i="258"/>
  <c r="D165" i="258"/>
  <c r="B165" i="258" s="1"/>
  <c r="D164" i="258"/>
  <c r="B164" i="258" s="1"/>
  <c r="D163" i="258"/>
  <c r="B163" i="258" s="1"/>
  <c r="D162" i="258"/>
  <c r="B162" i="258" s="1"/>
  <c r="D161" i="258"/>
  <c r="B161" i="258" s="1"/>
  <c r="D160" i="258"/>
  <c r="B160" i="258"/>
  <c r="D159" i="258"/>
  <c r="B159" i="258" s="1"/>
  <c r="D158" i="258"/>
  <c r="B158" i="258"/>
  <c r="D157" i="258"/>
  <c r="B157" i="258" s="1"/>
  <c r="D156" i="258"/>
  <c r="B156" i="258"/>
  <c r="D155" i="258"/>
  <c r="B155" i="258" s="1"/>
  <c r="D154" i="258"/>
  <c r="B154" i="258"/>
  <c r="D153" i="258"/>
  <c r="B153" i="258" s="1"/>
  <c r="D152" i="258"/>
  <c r="B152" i="258" s="1"/>
  <c r="D151" i="258"/>
  <c r="B151" i="258" s="1"/>
  <c r="D150" i="258"/>
  <c r="B150" i="258"/>
  <c r="D149" i="258"/>
  <c r="B149" i="258" s="1"/>
  <c r="D148" i="258"/>
  <c r="B148" i="258" s="1"/>
  <c r="D147" i="258"/>
  <c r="B147" i="258" s="1"/>
  <c r="D146" i="258"/>
  <c r="B146" i="258" s="1"/>
  <c r="D145" i="258"/>
  <c r="B145" i="258" s="1"/>
  <c r="D144" i="258"/>
  <c r="B144" i="258"/>
  <c r="D143" i="258"/>
  <c r="B143" i="258" s="1"/>
  <c r="D142" i="258"/>
  <c r="B142" i="258"/>
  <c r="D141" i="258"/>
  <c r="B141" i="258" s="1"/>
  <c r="D140" i="258"/>
  <c r="B140" i="258"/>
  <c r="D139" i="258"/>
  <c r="B139" i="258" s="1"/>
  <c r="D138" i="258"/>
  <c r="B138" i="258"/>
  <c r="D137" i="258"/>
  <c r="B137" i="258" s="1"/>
  <c r="D136" i="258"/>
  <c r="B136" i="258" s="1"/>
  <c r="D135" i="258"/>
  <c r="B135" i="258" s="1"/>
  <c r="D134" i="258"/>
  <c r="B134" i="258"/>
  <c r="D133" i="258"/>
  <c r="B133" i="258" s="1"/>
  <c r="D132" i="258"/>
  <c r="B132" i="258" s="1"/>
  <c r="D131" i="258"/>
  <c r="B131" i="258" s="1"/>
  <c r="D130" i="258"/>
  <c r="B130" i="258" s="1"/>
  <c r="D129" i="258"/>
  <c r="B129" i="258" s="1"/>
  <c r="D128" i="258"/>
  <c r="B128" i="258" s="1"/>
  <c r="D127" i="258"/>
  <c r="B127" i="258" s="1"/>
  <c r="D126" i="258"/>
  <c r="B126" i="258" s="1"/>
  <c r="D125" i="258"/>
  <c r="B125" i="258" s="1"/>
  <c r="D124" i="258"/>
  <c r="B124" i="258"/>
  <c r="D123" i="258"/>
  <c r="B123" i="258" s="1"/>
  <c r="D122" i="258"/>
  <c r="B122" i="258"/>
  <c r="D121" i="258"/>
  <c r="B121" i="258" s="1"/>
  <c r="D120" i="258"/>
  <c r="B120" i="258" s="1"/>
  <c r="D119" i="258"/>
  <c r="B119" i="258" s="1"/>
  <c r="D118" i="258"/>
  <c r="B118" i="258"/>
  <c r="D117" i="258"/>
  <c r="B117" i="258" s="1"/>
  <c r="D116" i="258"/>
  <c r="B116" i="258" s="1"/>
  <c r="D115" i="258"/>
  <c r="B115" i="258" s="1"/>
  <c r="D114" i="258"/>
  <c r="B114" i="258" s="1"/>
  <c r="D113" i="258"/>
  <c r="B113" i="258" s="1"/>
  <c r="D112" i="258"/>
  <c r="B112" i="258" s="1"/>
  <c r="D111" i="258"/>
  <c r="B111" i="258" s="1"/>
  <c r="D110" i="258"/>
  <c r="B110" i="258" s="1"/>
  <c r="D109" i="258"/>
  <c r="B109" i="258" s="1"/>
  <c r="D108" i="258"/>
  <c r="B108" i="258" s="1"/>
  <c r="D107" i="258"/>
  <c r="B107" i="258" s="1"/>
  <c r="D106" i="258"/>
  <c r="B106" i="258" s="1"/>
  <c r="D105" i="258"/>
  <c r="B105" i="258" s="1"/>
  <c r="D104" i="258"/>
  <c r="B104" i="258" s="1"/>
  <c r="D103" i="258"/>
  <c r="B103" i="258" s="1"/>
  <c r="D102" i="258"/>
  <c r="B102" i="258" s="1"/>
  <c r="D101" i="258"/>
  <c r="B101" i="258" s="1"/>
  <c r="D100" i="258"/>
  <c r="B100" i="258" s="1"/>
  <c r="D99" i="258"/>
  <c r="B99" i="258" s="1"/>
  <c r="D98" i="258"/>
  <c r="B98" i="258" s="1"/>
  <c r="D97" i="258"/>
  <c r="B97" i="258" s="1"/>
  <c r="D96" i="258"/>
  <c r="B96" i="258" s="1"/>
  <c r="D95" i="258"/>
  <c r="B95" i="258" s="1"/>
  <c r="D94" i="258"/>
  <c r="B94" i="258" s="1"/>
  <c r="D93" i="258"/>
  <c r="B93" i="258" s="1"/>
  <c r="D92" i="258"/>
  <c r="B92" i="258" s="1"/>
  <c r="D91" i="258"/>
  <c r="B91" i="258" s="1"/>
  <c r="D90" i="258"/>
  <c r="B90" i="258" s="1"/>
  <c r="D89" i="258"/>
  <c r="B89" i="258" s="1"/>
  <c r="D88" i="258"/>
  <c r="B88" i="258" s="1"/>
  <c r="D87" i="258"/>
  <c r="B87" i="258" s="1"/>
  <c r="D86" i="258"/>
  <c r="B86" i="258" s="1"/>
  <c r="D85" i="258"/>
  <c r="B85" i="258" s="1"/>
  <c r="D84" i="258"/>
  <c r="B84" i="258" s="1"/>
  <c r="D83" i="258"/>
  <c r="B83" i="258" s="1"/>
  <c r="D82" i="258"/>
  <c r="B82" i="258" s="1"/>
  <c r="D81" i="258"/>
  <c r="B81" i="258" s="1"/>
  <c r="D80" i="258"/>
  <c r="B80" i="258" s="1"/>
  <c r="D79" i="258"/>
  <c r="B79" i="258" s="1"/>
  <c r="D78" i="258"/>
  <c r="B78" i="258" s="1"/>
  <c r="D77" i="258"/>
  <c r="B77" i="258" s="1"/>
  <c r="D76" i="258"/>
  <c r="B76" i="258" s="1"/>
  <c r="D75" i="258"/>
  <c r="B75" i="258" s="1"/>
  <c r="D74" i="258"/>
  <c r="B74" i="258" s="1"/>
  <c r="D73" i="258"/>
  <c r="B73" i="258" s="1"/>
  <c r="D72" i="258"/>
  <c r="B72" i="258" s="1"/>
  <c r="D71" i="258"/>
  <c r="B71" i="258" s="1"/>
  <c r="D70" i="258"/>
  <c r="B70" i="258" s="1"/>
  <c r="D69" i="258"/>
  <c r="B69" i="258" s="1"/>
  <c r="D68" i="258"/>
  <c r="B68" i="258" s="1"/>
  <c r="D67" i="258"/>
  <c r="B67" i="258" s="1"/>
  <c r="D66" i="258"/>
  <c r="B66" i="258" s="1"/>
  <c r="D65" i="258"/>
  <c r="B65" i="258" s="1"/>
  <c r="D64" i="258"/>
  <c r="B64" i="258" s="1"/>
  <c r="D63" i="258"/>
  <c r="B63" i="258" s="1"/>
  <c r="D62" i="258"/>
  <c r="B62" i="258" s="1"/>
  <c r="D61" i="258"/>
  <c r="B61" i="258" s="1"/>
  <c r="D60" i="258"/>
  <c r="B60" i="258" s="1"/>
  <c r="D59" i="258"/>
  <c r="B59" i="258" s="1"/>
  <c r="D58" i="258"/>
  <c r="B58" i="258" s="1"/>
  <c r="D57" i="258"/>
  <c r="B57" i="258" s="1"/>
  <c r="D56" i="258"/>
  <c r="B56" i="258" s="1"/>
  <c r="D55" i="258"/>
  <c r="B55" i="258" s="1"/>
  <c r="D54" i="258"/>
  <c r="B54" i="258" s="1"/>
  <c r="D53" i="258"/>
  <c r="B53" i="258" s="1"/>
  <c r="D52" i="258"/>
  <c r="B52" i="258" s="1"/>
  <c r="D51" i="258"/>
  <c r="B51" i="258" s="1"/>
  <c r="D50" i="258"/>
  <c r="B50" i="258" s="1"/>
  <c r="D49" i="258"/>
  <c r="B49" i="258" s="1"/>
  <c r="D48" i="258"/>
  <c r="B48" i="258" s="1"/>
  <c r="D47" i="258"/>
  <c r="B47" i="258" s="1"/>
  <c r="D46" i="258"/>
  <c r="B46" i="258" s="1"/>
  <c r="D45" i="258"/>
  <c r="B45" i="258" s="1"/>
  <c r="D44" i="258"/>
  <c r="B44" i="258" s="1"/>
  <c r="D43" i="258"/>
  <c r="B43" i="258" s="1"/>
  <c r="D42" i="258"/>
  <c r="B42" i="258"/>
  <c r="D41" i="258"/>
  <c r="B41" i="258" s="1"/>
  <c r="D40" i="258"/>
  <c r="B40" i="258" s="1"/>
  <c r="D39" i="258"/>
  <c r="B39" i="258" s="1"/>
  <c r="D38" i="258"/>
  <c r="B38" i="258" s="1"/>
  <c r="D37" i="258"/>
  <c r="B37" i="258" s="1"/>
  <c r="D36" i="258"/>
  <c r="B36" i="258" s="1"/>
  <c r="D35" i="258"/>
  <c r="B35" i="258" s="1"/>
  <c r="D34" i="258"/>
  <c r="B34" i="258" s="1"/>
  <c r="D33" i="258"/>
  <c r="B33" i="258" s="1"/>
  <c r="D32" i="258"/>
  <c r="B32" i="258" s="1"/>
  <c r="D31" i="258"/>
  <c r="B31" i="258" s="1"/>
  <c r="D30" i="258"/>
  <c r="B30" i="258" s="1"/>
  <c r="D29" i="258"/>
  <c r="B29" i="258" s="1"/>
  <c r="D28" i="258"/>
  <c r="B28" i="258" s="1"/>
  <c r="D27" i="258"/>
  <c r="B27" i="258" s="1"/>
  <c r="D26" i="258"/>
  <c r="B26" i="258" s="1"/>
  <c r="D25" i="258"/>
  <c r="B25" i="258" s="1"/>
  <c r="D24" i="258"/>
  <c r="B24" i="258" s="1"/>
  <c r="D23" i="258"/>
  <c r="B23" i="258" s="1"/>
  <c r="D22" i="258"/>
  <c r="B22" i="258" s="1"/>
  <c r="D21" i="258"/>
  <c r="B21" i="258" s="1"/>
  <c r="D20" i="258"/>
  <c r="B20" i="258" s="1"/>
  <c r="D19" i="258"/>
  <c r="B19" i="258" s="1"/>
  <c r="O1" i="257"/>
  <c r="N1" i="257"/>
  <c r="M1" i="257"/>
  <c r="L1" i="257"/>
  <c r="K1" i="257"/>
  <c r="J1" i="257"/>
  <c r="F1" i="257"/>
  <c r="E1" i="257"/>
  <c r="D1" i="257"/>
  <c r="C1" i="257"/>
  <c r="B1" i="257"/>
  <c r="A1" i="257"/>
  <c r="C3" i="256"/>
  <c r="C3" i="255"/>
  <c r="C3" i="254"/>
  <c r="C3" i="252"/>
  <c r="C3" i="251"/>
  <c r="C3" i="250"/>
  <c r="C3" i="249"/>
  <c r="C3" i="248"/>
  <c r="C3" i="247"/>
  <c r="C3" i="246"/>
  <c r="C3" i="245"/>
  <c r="C3" i="244"/>
  <c r="C3" i="243"/>
  <c r="C3" i="242"/>
  <c r="C3" i="241"/>
  <c r="C3" i="240"/>
  <c r="C3" i="239"/>
  <c r="C3" i="238"/>
  <c r="C3" i="237"/>
  <c r="C3" i="236"/>
  <c r="C3" i="235"/>
  <c r="C3" i="234"/>
  <c r="C3" i="233"/>
  <c r="C3" i="232"/>
  <c r="E7" i="38"/>
  <c r="F10" i="38"/>
  <c r="A5" i="38"/>
  <c r="AE7" i="38"/>
  <c r="AB7" i="38"/>
  <c r="AB5" i="38"/>
  <c r="W7" i="38"/>
  <c r="W5" i="38"/>
  <c r="A7" i="38"/>
  <c r="A23" i="38" l="1"/>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X2" i="18" s="1"/>
  <c r="N2" i="18"/>
  <c r="D44" i="16" l="1"/>
  <c r="D37" i="16"/>
  <c r="D27" i="16"/>
  <c r="Y2" i="18"/>
  <c r="Z2" i="18" s="1"/>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AEM_PROCESS_2.28.00
Last change : AEM_PROCESS_2.28.00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9"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9" authorId="0" shapeId="0" xr:uid="{7D629A74-735C-4D9E-8E9C-382A2172CF1C}">
      <text>
        <r>
          <rPr>
            <sz val="8"/>
            <color indexed="81"/>
            <rFont val="Tahoma"/>
            <family val="2"/>
          </rPr>
          <t>Title of reference documents.</t>
        </r>
      </text>
    </comment>
    <comment ref="Y49" authorId="0" shapeId="0" xr:uid="{327A4027-E374-46EE-8F41-AAE7F5A68063}">
      <text>
        <r>
          <rPr>
            <sz val="8"/>
            <color indexed="81"/>
            <rFont val="Tahoma"/>
            <family val="2"/>
          </rPr>
          <t>Reference number, e.g. E123456 and revision of the reference.</t>
        </r>
      </text>
    </comment>
    <comment ref="B55"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5" authorId="0" shapeId="0" xr:uid="{EAF8F54A-6162-4D53-AD9B-58CDCD7A1B4D}">
      <text>
        <r>
          <rPr>
            <sz val="8"/>
            <color indexed="81"/>
            <rFont val="Tahoma"/>
            <family val="2"/>
          </rPr>
          <t>Title of reference documents.</t>
        </r>
      </text>
    </comment>
    <comment ref="Y55" authorId="0" shapeId="0" xr:uid="{AF9ABC4C-2372-4875-B9F9-B60698EAB986}">
      <text>
        <r>
          <rPr>
            <sz val="8"/>
            <color indexed="81"/>
            <rFont val="Tahoma"/>
            <family val="2"/>
          </rPr>
          <t>Reference number, e.g. E123456 and revision of the reference.</t>
        </r>
      </text>
    </comment>
    <comment ref="AJ86"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7" authorId="1" shapeId="0" xr:uid="{F17275A0-61EC-48C5-83D6-7710F1FB268A}">
      <text>
        <r>
          <rPr>
            <b/>
            <sz val="9"/>
            <color indexed="81"/>
            <rFont val="Tahoma"/>
            <family val="2"/>
          </rPr>
          <t>Don't change this cell</t>
        </r>
      </text>
    </comment>
    <comment ref="AJ87"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91" authorId="1" shapeId="0" xr:uid="{7EBCCB23-C7DD-49AE-A0C3-608CFE3FF3EB}">
      <text>
        <r>
          <rPr>
            <b/>
            <sz val="9"/>
            <color indexed="81"/>
            <rFont val="Tahoma"/>
            <family val="2"/>
          </rPr>
          <t>Don't change this cell</t>
        </r>
      </text>
    </comment>
    <comment ref="AJ112"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2815BBA-0C6A-4F40-BFBE-7B99AC1064BF}">
      <text>
        <r>
          <rPr>
            <b/>
            <sz val="9"/>
            <color indexed="81"/>
            <rFont val="Tahoma"/>
            <family val="2"/>
          </rPr>
          <t>Overview :</t>
        </r>
        <r>
          <rPr>
            <sz val="9"/>
            <color indexed="81"/>
            <rFont val="Tahoma"/>
            <family val="2"/>
          </rPr>
          <t xml:space="preserve">
Pourcentage of "yes" answers out of applicable answers</t>
        </r>
      </text>
    </comment>
    <comment ref="B6" authorId="0" shapeId="0" xr:uid="{24723429-C9B6-4C3C-ABCD-2B0690EC98EE}">
      <text>
        <r>
          <rPr>
            <b/>
            <sz val="9"/>
            <color indexed="81"/>
            <rFont val="Tahoma"/>
            <family val="2"/>
          </rPr>
          <t xml:space="preserve">Everything above this row is generated by Question Library (TEM486 - Master questions library.xlsm) </t>
        </r>
      </text>
    </comment>
    <comment ref="A16" authorId="0" shapeId="0" xr:uid="{96A099E0-5B7E-49FF-B099-5A7DC439564A}">
      <text>
        <r>
          <rPr>
            <b/>
            <sz val="9"/>
            <color indexed="81"/>
            <rFont val="Tahoma"/>
            <family val="2"/>
          </rPr>
          <t>This cell must be blank</t>
        </r>
      </text>
    </comment>
    <comment ref="C16" authorId="0" shapeId="0" xr:uid="{69AE89B1-DAC5-44C4-B703-0E976DC8C2E2}">
      <text>
        <r>
          <rPr>
            <b/>
            <sz val="9"/>
            <color indexed="81"/>
            <rFont val="Tahoma"/>
            <family val="2"/>
          </rPr>
          <t>This cell must be blank</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B55C5E07-D06B-4919-92B2-65B437488929}">
      <text>
        <r>
          <rPr>
            <b/>
            <sz val="9"/>
            <color indexed="81"/>
            <rFont val="Tahoma"/>
            <family val="2"/>
          </rPr>
          <t>Overview :</t>
        </r>
        <r>
          <rPr>
            <sz val="9"/>
            <color indexed="81"/>
            <rFont val="Tahoma"/>
            <family val="2"/>
          </rPr>
          <t xml:space="preserve">
Pourcentage of "yes" answers out of applicable answers</t>
        </r>
      </text>
    </comment>
    <comment ref="B28" authorId="0" shapeId="0" xr:uid="{A9E3D944-3D2C-4543-AC70-855FF5B21AFF}">
      <text>
        <r>
          <rPr>
            <b/>
            <sz val="9"/>
            <color indexed="81"/>
            <rFont val="Tahoma"/>
            <family val="2"/>
          </rPr>
          <t xml:space="preserve">Everything above this row is generated by Question Library (TEM486 - Master questions library.xlsm) </t>
        </r>
      </text>
    </comment>
    <comment ref="A30" authorId="0" shapeId="0" xr:uid="{EB145C36-E5CC-4A2E-8695-00433344D281}">
      <text>
        <r>
          <rPr>
            <b/>
            <sz val="9"/>
            <color indexed="81"/>
            <rFont val="Tahoma"/>
            <family val="2"/>
          </rPr>
          <t>This cell must be blank</t>
        </r>
      </text>
    </comment>
    <comment ref="C30" authorId="0" shapeId="0" xr:uid="{972CE411-E5EF-4CC0-8691-84488D367810}">
      <text>
        <r>
          <rPr>
            <b/>
            <sz val="9"/>
            <color indexed="81"/>
            <rFont val="Tahoma"/>
            <family val="2"/>
          </rPr>
          <t>This cell must be blank</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C92A27E-DE29-4879-B075-9E2CA4F09C6B}">
      <text>
        <r>
          <rPr>
            <b/>
            <sz val="9"/>
            <color indexed="81"/>
            <rFont val="Tahoma"/>
            <family val="2"/>
          </rPr>
          <t>Overview :</t>
        </r>
        <r>
          <rPr>
            <sz val="9"/>
            <color indexed="81"/>
            <rFont val="Tahoma"/>
            <family val="2"/>
          </rPr>
          <t xml:space="preserve">
Pourcentage of "yes" answers out of applicable answers</t>
        </r>
      </text>
    </comment>
    <comment ref="B23" authorId="0" shapeId="0" xr:uid="{82A7E259-FACD-4C66-A6E0-8C945F445C12}">
      <text>
        <r>
          <rPr>
            <b/>
            <sz val="9"/>
            <color indexed="81"/>
            <rFont val="Tahoma"/>
            <family val="2"/>
          </rPr>
          <t xml:space="preserve">Everything above this row is generated by Question Library (TEM486 - Master questions library.xlsm) </t>
        </r>
      </text>
    </comment>
    <comment ref="A25" authorId="0" shapeId="0" xr:uid="{071852E6-1040-41E3-9722-41B53220B8BD}">
      <text>
        <r>
          <rPr>
            <b/>
            <sz val="9"/>
            <color indexed="81"/>
            <rFont val="Tahoma"/>
            <family val="2"/>
          </rPr>
          <t>This cell must be blank</t>
        </r>
      </text>
    </comment>
    <comment ref="C25" authorId="0" shapeId="0" xr:uid="{FC61A330-91FC-4154-8335-7F11A2227688}">
      <text>
        <r>
          <rPr>
            <b/>
            <sz val="9"/>
            <color indexed="81"/>
            <rFont val="Tahoma"/>
            <family val="2"/>
          </rPr>
          <t>This cell must be blank</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9757D3E-E85B-41BA-B6F9-65031B00C07C}">
      <text>
        <r>
          <rPr>
            <b/>
            <sz val="9"/>
            <color indexed="81"/>
            <rFont val="Tahoma"/>
            <family val="2"/>
          </rPr>
          <t>Overview :</t>
        </r>
        <r>
          <rPr>
            <sz val="9"/>
            <color indexed="81"/>
            <rFont val="Tahoma"/>
            <family val="2"/>
          </rPr>
          <t xml:space="preserve">
Pourcentage of "yes" answers out of applicable answers</t>
        </r>
      </text>
    </comment>
    <comment ref="B22" authorId="0" shapeId="0" xr:uid="{1E26EEA2-1DB4-4005-B651-02F4DA05709E}">
      <text>
        <r>
          <rPr>
            <b/>
            <sz val="9"/>
            <color indexed="81"/>
            <rFont val="Tahoma"/>
            <family val="2"/>
          </rPr>
          <t xml:space="preserve">Everything above this row is generated by Question Library (TEM486 - Master questions library.xlsm) </t>
        </r>
      </text>
    </comment>
    <comment ref="A24" authorId="0" shapeId="0" xr:uid="{2E80319A-E83D-46B1-8398-2CAFAD5E6227}">
      <text>
        <r>
          <rPr>
            <b/>
            <sz val="9"/>
            <color indexed="81"/>
            <rFont val="Tahoma"/>
            <family val="2"/>
          </rPr>
          <t>This cell must be blank</t>
        </r>
      </text>
    </comment>
    <comment ref="C24" authorId="0" shapeId="0" xr:uid="{1D4E422B-259F-4919-A256-608FD8FE79C3}">
      <text>
        <r>
          <rPr>
            <b/>
            <sz val="9"/>
            <color indexed="81"/>
            <rFont val="Tahoma"/>
            <family val="2"/>
          </rPr>
          <t>This cell must be blank</t>
        </r>
      </text>
    </comment>
  </commentList>
</comments>
</file>

<file path=xl/sharedStrings.xml><?xml version="1.0" encoding="utf-8"?>
<sst xmlns="http://schemas.openxmlformats.org/spreadsheetml/2006/main" count="2090" uniqueCount="980">
  <si>
    <t>Project Number &amp; Name</t>
  </si>
  <si>
    <t>Review</t>
  </si>
  <si>
    <t>Document state</t>
  </si>
  <si>
    <t>Date of release</t>
  </si>
  <si>
    <t>To be fullfilled</t>
  </si>
  <si>
    <t>Document id</t>
  </si>
  <si>
    <t>Document title</t>
  </si>
  <si>
    <t>Template</t>
  </si>
  <si>
    <t>Revision</t>
  </si>
  <si>
    <t>Version</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</si>
  <si>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</si>
  <si>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</si>
  <si>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</si>
  <si>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</si>
  <si>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</si>
  <si>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</si>
  <si>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</si>
  <si>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</si>
  <si>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</si>
  <si>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</si>
  <si>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</si>
  <si>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</si>
  <si>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</si>
  <si>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</si>
  <si>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</si>
  <si>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</si>
  <si>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</si>
  <si>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</si>
  <si>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</si>
  <si>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</si>
  <si>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</si>
  <si>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</si>
  <si>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</si>
  <si>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</si>
  <si>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</si>
  <si>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</si>
  <si>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</si>
  <si>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</si>
  <si>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</si>
  <si>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</si>
  <si>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</si>
  <si>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</si>
  <si>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</si>
  <si>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</si>
  <si>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</si>
  <si>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</si>
  <si>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</si>
  <si>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</si>
  <si>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</si>
  <si>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</si>
  <si>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</si>
  <si>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</si>
  <si>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</si>
  <si>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</si>
  <si>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</si>
  <si>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</si>
  <si>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</si>
  <si>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</si>
  <si>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</si>
  <si>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</si>
  <si>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</si>
  <si>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</si>
  <si>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</si>
  <si>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</si>
  <si>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</si>
  <si>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</si>
  <si>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</si>
  <si>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</si>
  <si>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</si>
  <si>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</si>
  <si>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</si>
  <si>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</si>
  <si>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</si>
  <si>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</si>
  <si>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</si>
  <si>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</si>
  <si>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</si>
  <si>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</si>
  <si>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</si>
  <si>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</si>
  <si>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</si>
  <si>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</si>
  <si>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</si>
  <si>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</si>
  <si>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</si>
  <si>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</si>
  <si>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</si>
  <si>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</si>
  <si>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</si>
  <si>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</si>
  <si>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</si>
  <si>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</si>
  <si>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</si>
  <si>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</si>
  <si>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</si>
  <si>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</si>
  <si>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</si>
  <si>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</si>
  <si>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</si>
  <si>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</si>
  <si>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</si>
  <si>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</si>
  <si>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</si>
  <si>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</si>
  <si>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</si>
  <si>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</si>
  <si>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</si>
  <si>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</si>
  <si>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</si>
  <si>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</si>
  <si>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</si>
  <si>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</si>
  <si>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</si>
  <si>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</si>
  <si>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</si>
  <si>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</si>
  <si>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</si>
  <si>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</si>
  <si>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</si>
  <si>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</si>
  <si>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</si>
  <si>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</si>
  <si>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</si>
  <si>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</si>
  <si>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</si>
  <si>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</si>
  <si>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</si>
  <si>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</si>
  <si>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</si>
  <si>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</si>
  <si>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Backlog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</si>
  <si>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</si>
  <si>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</si>
  <si>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</si>
  <si>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</si>
  <si>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</si>
  <si>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</si>
  <si>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</si>
  <si>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</si>
  <si>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</si>
  <si>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</si>
  <si>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</si>
  <si>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</si>
  <si>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</si>
  <si>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</si>
  <si>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</si>
  <si>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</si>
  <si>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</si>
  <si>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</si>
  <si>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</si>
  <si>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</si>
  <si>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</si>
  <si>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</si>
  <si>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</si>
  <si>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General rules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</si>
  <si>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</si>
  <si>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</si>
  <si>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</si>
  <si>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</si>
  <si>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</si>
  <si>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</si>
  <si>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</si>
  <si>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</si>
  <si>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</si>
  <si>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</si>
  <si>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</si>
  <si>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</si>
  <si>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</si>
  <si>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</si>
  <si>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</si>
  <si>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</si>
  <si>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</si>
  <si>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</si>
  <si>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</si>
  <si>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</si>
  <si>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</si>
  <si>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</si>
  <si>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</si>
  <si>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</si>
  <si>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</si>
  <si>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</si>
  <si>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</si>
  <si>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</si>
  <si>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</si>
  <si>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</si>
  <si>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</si>
  <si>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</si>
  <si>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</si>
  <si>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</si>
  <si>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</si>
  <si>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</si>
  <si>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</si>
  <si>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</si>
  <si>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</si>
  <si>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</si>
  <si>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</si>
  <si>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</si>
  <si>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</si>
  <si>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</si>
  <si>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</si>
  <si>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</si>
  <si>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</si>
  <si>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</si>
  <si>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</si>
  <si>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</si>
  <si>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</si>
  <si>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</si>
  <si>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</si>
  <si>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</si>
  <si>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</si>
  <si>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</si>
  <si>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</si>
  <si>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</si>
  <si>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</si>
  <si>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</si>
  <si>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</si>
  <si>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</si>
  <si>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</si>
  <si>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</si>
  <si>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</si>
  <si>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</si>
  <si>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</si>
  <si>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</si>
  <si>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</si>
  <si>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</si>
  <si>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</si>
  <si>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Reviewer 3</t>
  </si>
  <si>
    <t>Reviewer 4</t>
  </si>
  <si>
    <t>Reviewer 5</t>
  </si>
  <si>
    <t>Reviewer 6</t>
  </si>
  <si>
    <t>Reviewer 7</t>
  </si>
  <si>
    <t>Reviewer 8</t>
  </si>
  <si>
    <t>Reviewer 9</t>
  </si>
  <si>
    <t>Reviewer 10</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</si>
  <si>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</si>
  <si>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</si>
  <si>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</si>
  <si>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</si>
  <si>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</si>
  <si>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</si>
  <si>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</si>
  <si>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</si>
  <si>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</si>
  <si>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</si>
  <si>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</si>
  <si>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</si>
  <si>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</si>
  <si>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</si>
  <si>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</si>
  <si>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</si>
  <si>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</si>
  <si>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</si>
  <si>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</si>
  <si>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</si>
  <si>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</si>
  <si>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</si>
  <si>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</si>
  <si>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</si>
  <si>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</si>
  <si>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</si>
  <si>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</si>
  <si>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</si>
  <si>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</si>
  <si>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</si>
  <si>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Number of commented lines of code</t>
  </si>
  <si>
    <t>Multi Comment lines of code "/*  */"</t>
  </si>
  <si>
    <t>Tester name</t>
  </si>
  <si>
    <t>Tester Comment</t>
  </si>
  <si>
    <t>Project Name</t>
  </si>
  <si>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</si>
  <si>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</si>
  <si>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</si>
  <si>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</si>
  <si>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</si>
  <si>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</si>
  <si>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</si>
  <si>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</si>
  <si>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</si>
  <si>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</si>
  <si>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</si>
  <si>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Review state</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</si>
  <si>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</si>
  <si>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</si>
  <si>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</si>
  <si>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</si>
  <si>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</si>
  <si>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</si>
  <si>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</si>
  <si>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</si>
  <si>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</si>
  <si>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</si>
  <si>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</si>
  <si>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</si>
  <si>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</si>
  <si>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</si>
  <si>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</si>
  <si>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Question
reference</t>
  </si>
  <si>
    <t>Review criteria for
Software development plan (SDP)</t>
  </si>
  <si>
    <t>work-product
identification</t>
  </si>
  <si>
    <r>
      <t xml:space="preserve">Justification
</t>
    </r>
    <r>
      <rPr>
        <sz val="10"/>
        <color theme="0"/>
        <rFont val="Arial"/>
        <family val="2"/>
      </rPr>
      <t>(if not OK)</t>
    </r>
  </si>
  <si>
    <t>What to check</t>
  </si>
  <si>
    <t>How to rate the question</t>
  </si>
  <si>
    <t>Questions generated by questions library tool</t>
  </si>
  <si>
    <t>Document Consistency</t>
  </si>
  <si>
    <t>SW-R-PM-0421</t>
  </si>
  <si>
    <r>
      <rPr>
        <b/>
        <sz val="10"/>
        <rFont val="Arial"/>
        <family val="2"/>
      </rPr>
      <t>Uptodate</t>
    </r>
    <r>
      <rPr>
        <sz val="10"/>
        <rFont val="Arial"/>
        <family val="2"/>
      </rPr>
      <t xml:space="preserve">
Are all chapters fulfilled according to the project status ? (TBD / TBC are possible)</t>
    </r>
  </si>
  <si>
    <t>SW-R-CM-0424</t>
  </si>
  <si>
    <r>
      <rPr>
        <b/>
        <sz val="10"/>
        <rFont val="Arial"/>
        <family val="2"/>
      </rPr>
      <t>Document links</t>
    </r>
    <r>
      <rPr>
        <sz val="10"/>
        <rFont val="Arial"/>
        <family val="2"/>
      </rPr>
      <t xml:space="preserve">
Are all document links established according to the project status? (TBD/TBC are possible)</t>
    </r>
  </si>
  <si>
    <t>SW-R-CM-0425</t>
  </si>
  <si>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</si>
  <si>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</si>
  <si>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Common plan check</t>
  </si>
  <si>
    <t>SW-R-PM-0431</t>
  </si>
  <si>
    <r>
      <rPr>
        <b/>
        <sz val="10"/>
        <rFont val="Arial"/>
        <family val="2"/>
      </rPr>
      <t>Objectives</t>
    </r>
    <r>
      <rPr>
        <sz val="10"/>
        <rFont val="Arial"/>
        <family val="2"/>
      </rPr>
      <t xml:space="preserve">
Are the objectives identified ?
Eg. quality target, customer target, tests metrics, coverage rates, indicators…?</t>
    </r>
  </si>
  <si>
    <t>SW-R-PM-0432</t>
  </si>
  <si>
    <r>
      <rPr>
        <b/>
        <sz val="10"/>
        <rFont val="Arial"/>
        <family val="2"/>
      </rPr>
      <t>KPI</t>
    </r>
    <r>
      <rPr>
        <sz val="10"/>
        <rFont val="Arial"/>
        <family val="2"/>
      </rPr>
      <t xml:space="preserve">
Are all objectives measurable ? Are these metrics definition and how to compute these metrics established ?</t>
    </r>
  </si>
  <si>
    <t>Check :
o The KPIs defined in the process
o The KPIs defined in the projects plans</t>
  </si>
  <si>
    <t>SW-R-PM-0447</t>
  </si>
  <si>
    <r>
      <rPr>
        <b/>
        <sz val="10"/>
        <rFont val="Arial"/>
        <family val="2"/>
      </rPr>
      <t>Strategy</t>
    </r>
    <r>
      <rPr>
        <sz val="10"/>
        <rFont val="Arial"/>
        <family val="2"/>
      </rPr>
      <t xml:space="preserve">
Is the development strategy defined in accordance with the project/customer expectations?</t>
    </r>
  </si>
  <si>
    <t>SW-R-PM-0426</t>
  </si>
  <si>
    <r>
      <rPr>
        <b/>
        <sz val="10"/>
        <rFont val="Arial"/>
        <family val="2"/>
      </rPr>
      <t>Stakeholders</t>
    </r>
    <r>
      <rPr>
        <sz val="10"/>
        <rFont val="Arial"/>
        <family val="2"/>
      </rPr>
      <t xml:space="preserve">
Are all project stakeholders and interfaces identified (Management, SW designers, Supplier, ….) ?</t>
    </r>
  </si>
  <si>
    <t>In case there are stakeholders different from PDP</t>
  </si>
  <si>
    <t>SW-R-PM-0427</t>
  </si>
  <si>
    <r>
      <rPr>
        <b/>
        <sz val="10"/>
        <rFont val="Arial"/>
        <family val="2"/>
      </rPr>
      <t>Delegation</t>
    </r>
    <r>
      <rPr>
        <sz val="10"/>
        <rFont val="Arial"/>
        <family val="2"/>
      </rPr>
      <t xml:space="preserve">
Are delegation rules clearly established and efficient?</t>
    </r>
  </si>
  <si>
    <t>PJ-R-PM-0428</t>
  </si>
  <si>
    <r>
      <rPr>
        <b/>
        <sz val="10"/>
        <rFont val="Arial"/>
        <family val="2"/>
      </rPr>
      <t>Skills</t>
    </r>
    <r>
      <rPr>
        <sz val="10"/>
        <rFont val="Arial"/>
        <family val="2"/>
      </rPr>
      <t xml:space="preserve">
Are needed skills in accordance with project expectations stated in the document?
Are appropriate trainings expected?</t>
    </r>
  </si>
  <si>
    <t>SW-R-PM-0429</t>
  </si>
  <si>
    <r>
      <rPr>
        <b/>
        <sz val="10"/>
        <rFont val="Arial"/>
        <family val="2"/>
      </rPr>
      <t>Tailoring</t>
    </r>
    <r>
      <rPr>
        <sz val="10"/>
        <rFont val="Arial"/>
        <family val="2"/>
      </rPr>
      <t xml:space="preserve">
Are the process tailoring identified and consistent with the project development roadmap ?</t>
    </r>
  </si>
  <si>
    <t>SW-R-PM-0430</t>
  </si>
  <si>
    <r>
      <rPr>
        <b/>
        <sz val="10"/>
        <rFont val="Arial"/>
        <family val="2"/>
      </rPr>
      <t>Tailoring</t>
    </r>
    <r>
      <rPr>
        <sz val="10"/>
        <rFont val="Arial"/>
        <family val="2"/>
      </rPr>
      <t xml:space="preserve">
Are proposed tailoring justified (comments and risks identified) and really needed ?</t>
    </r>
  </si>
  <si>
    <t>SW-R-PM-0404</t>
  </si>
  <si>
    <r>
      <rPr>
        <b/>
        <sz val="10"/>
        <rFont val="Arial"/>
        <family val="2"/>
      </rPr>
      <t xml:space="preserve">Resources/constraints
</t>
    </r>
    <r>
      <rPr>
        <sz val="10"/>
        <rFont val="Arial"/>
        <family val="2"/>
      </rPr>
      <t>Are resources/constraints established and consistent ?</t>
    </r>
  </si>
  <si>
    <t>SW-R-PM-0408</t>
  </si>
  <si>
    <r>
      <rPr>
        <b/>
        <sz val="10"/>
        <rFont val="Arial"/>
        <family val="2"/>
      </rPr>
      <t>Delegation</t>
    </r>
    <r>
      <rPr>
        <sz val="10"/>
        <rFont val="Arial"/>
        <family val="2"/>
      </rPr>
      <t xml:space="preserve">
Are delegation rules clearly established and efficient ?</t>
    </r>
  </si>
  <si>
    <t>SW-R-PM-0414</t>
  </si>
  <si>
    <r>
      <rPr>
        <b/>
        <sz val="10"/>
        <rFont val="Arial"/>
        <family val="2"/>
      </rPr>
      <t>Reviews</t>
    </r>
    <r>
      <rPr>
        <sz val="10"/>
        <rFont val="Arial"/>
        <family val="2"/>
      </rPr>
      <t xml:space="preserve">
Are the review strategies for all work-products defined ?</t>
    </r>
  </si>
  <si>
    <t>SW-R-XX-0581</t>
  </si>
  <si>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</si>
  <si>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</si>
  <si>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t xml:space="preserve"> Software Development Description</t>
  </si>
  <si>
    <t>SW-R-PM-0403</t>
  </si>
  <si>
    <r>
      <rPr>
        <b/>
        <sz val="10"/>
        <rFont val="Arial"/>
        <family val="2"/>
      </rPr>
      <t>Functional parts</t>
    </r>
    <r>
      <rPr>
        <sz val="10"/>
        <rFont val="Arial"/>
        <family val="2"/>
      </rPr>
      <t xml:space="preserve">
Are functional parts that needs to be implemented/modified identified ?</t>
    </r>
  </si>
  <si>
    <t>Supplier management (if supplier is involved)</t>
  </si>
  <si>
    <t>SW-R-PM-0405</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</si>
  <si>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</si>
  <si>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</si>
  <si>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t>SW-R-PM-0407</t>
  </si>
  <si>
    <r>
      <rPr>
        <b/>
        <sz val="10"/>
        <rFont val="Arial"/>
        <family val="2"/>
      </rPr>
      <t>Support interfaces</t>
    </r>
    <r>
      <rPr>
        <sz val="10"/>
        <rFont val="Arial"/>
        <family val="2"/>
      </rPr>
      <t xml:space="preserve">
Is the project team and organization support interfaces 
identified with relevant and consistent workload?</t>
    </r>
  </si>
  <si>
    <t>SW-R-PM-0410</t>
  </si>
  <si>
    <r>
      <rPr>
        <b/>
        <sz val="10"/>
        <rFont val="Arial"/>
        <family val="2"/>
      </rPr>
      <t>Static analysis</t>
    </r>
    <r>
      <rPr>
        <sz val="10"/>
        <rFont val="Arial"/>
        <family val="2"/>
      </rPr>
      <t xml:space="preserve">
Is the static analysis task identified for all AAUs ?</t>
    </r>
  </si>
  <si>
    <t>SW-R-PM-0411</t>
  </si>
  <si>
    <r>
      <t xml:space="preserve">Unit verification
</t>
    </r>
    <r>
      <rPr>
        <sz val="10"/>
        <color rgb="FF00B050"/>
        <rFont val="Arial"/>
        <family val="2"/>
      </rPr>
      <t>Is there a unit verification strategy and plan for managing all AAUs ?</t>
    </r>
  </si>
  <si>
    <t>Development Strategy</t>
  </si>
  <si>
    <t>SW-R-PM-0417</t>
  </si>
  <si>
    <r>
      <rPr>
        <b/>
        <sz val="10"/>
        <color rgb="FFFF0000"/>
        <rFont val="Arial"/>
        <family val="2"/>
      </rPr>
      <t>Reuse strategy</t>
    </r>
    <r>
      <rPr>
        <sz val="10"/>
        <color rgb="FFFF0000"/>
        <rFont val="Arial"/>
        <family val="2"/>
      </rPr>
      <t xml:space="preserve">
Check consistency with Reuse Strategy</t>
    </r>
  </si>
  <si>
    <t>SW-R-PM-0419</t>
  </si>
  <si>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</si>
  <si>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t>Integration test plan</t>
  </si>
  <si>
    <t>SW-R-INT-0569</t>
  </si>
  <si>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</si>
  <si>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</si>
  <si>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</si>
  <si>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</si>
  <si>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</si>
  <si>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</si>
  <si>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</si>
  <si>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</si>
  <si>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</si>
  <si>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</si>
  <si>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</si>
  <si>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</si>
  <si>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</si>
  <si>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</si>
  <si>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</si>
  <si>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</si>
  <si>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</si>
  <si>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</si>
  <si>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</si>
  <si>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</si>
  <si>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Review criteria for
Quality assurance plan (QAP)</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</si>
  <si>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</si>
  <si>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</si>
  <si>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</si>
  <si>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</si>
  <si>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</si>
  <si>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</si>
  <si>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</si>
  <si>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</si>
  <si>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</si>
  <si>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</si>
  <si>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</si>
  <si>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</si>
  <si>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</si>
  <si>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</si>
  <si>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Review criteria for
Project Development Plan (PDP)</t>
  </si>
  <si>
    <t>SW-R-PM-0436</t>
  </si>
  <si>
    <r>
      <rPr>
        <b/>
        <sz val="10"/>
        <rFont val="Arial"/>
        <family val="2"/>
      </rPr>
      <t>Prototype</t>
    </r>
    <r>
      <rPr>
        <sz val="10"/>
        <rFont val="Arial"/>
        <family val="2"/>
      </rPr>
      <t xml:space="preserve">
Are all the prototypes &amp; versions identified and consistent all along the document?</t>
    </r>
  </si>
  <si>
    <t>Review criteria for
Configuration Management Plan (CMP)</t>
  </si>
  <si>
    <t>SW-R-CM-0437</t>
  </si>
  <si>
    <r>
      <rPr>
        <b/>
        <sz val="10"/>
        <rFont val="Arial"/>
        <family val="2"/>
      </rPr>
      <t>Tools list</t>
    </r>
    <r>
      <rPr>
        <sz val="10"/>
        <rFont val="Arial"/>
        <family val="2"/>
      </rPr>
      <t xml:space="preserve">
Are all configuration management tools identified with their version?</t>
    </r>
  </si>
  <si>
    <t>SW-R-CM-0438</t>
  </si>
  <si>
    <r>
      <rPr>
        <b/>
        <sz val="10"/>
        <rFont val="Arial"/>
        <family val="2"/>
      </rPr>
      <t>Branch management</t>
    </r>
    <r>
      <rPr>
        <sz val="10"/>
        <rFont val="Arial"/>
        <family val="2"/>
      </rPr>
      <t xml:space="preserve">
Is the branch management method clearly described for all configuration management tools ?</t>
    </r>
  </si>
  <si>
    <t>SW-R-CM-0439</t>
  </si>
  <si>
    <r>
      <rPr>
        <b/>
        <sz val="10"/>
        <rFont val="Arial"/>
        <family val="2"/>
      </rPr>
      <t>Naming</t>
    </r>
    <r>
      <rPr>
        <sz val="10"/>
        <rFont val="Arial"/>
        <family val="2"/>
      </rPr>
      <t xml:space="preserve">
Are all naming conventions (files, project directory, …) described ?</t>
    </r>
  </si>
  <si>
    <t>SW-R-CM-0440</t>
  </si>
  <si>
    <r>
      <rPr>
        <b/>
        <sz val="10"/>
        <color rgb="FF00B050"/>
        <rFont val="Arial"/>
        <family val="2"/>
      </rPr>
      <t>Software version namings</t>
    </r>
    <r>
      <rPr>
        <sz val="10"/>
        <color rgb="FF00B050"/>
        <rFont val="Arial"/>
        <family val="2"/>
      </rPr>
      <t xml:space="preserve">
Are the internal and customer software version format defined?</t>
    </r>
  </si>
  <si>
    <t>SW-R-CM-0441</t>
  </si>
  <si>
    <r>
      <rPr>
        <b/>
        <sz val="10"/>
        <color rgb="FF00B050"/>
        <rFont val="Arial"/>
        <family val="2"/>
      </rPr>
      <t>Change management</t>
    </r>
    <r>
      <rPr>
        <sz val="10"/>
        <color rgb="FF00B050"/>
        <rFont val="Arial"/>
        <family val="2"/>
      </rPr>
      <t xml:space="preserve">
Are the procedures to control changes identified?</t>
    </r>
  </si>
  <si>
    <t>SW-R-CM-0443</t>
  </si>
  <si>
    <r>
      <rPr>
        <b/>
        <sz val="10"/>
        <color rgb="FF00B050"/>
        <rFont val="Arial"/>
        <family val="2"/>
      </rPr>
      <t>Report configuration status</t>
    </r>
    <r>
      <rPr>
        <sz val="10"/>
        <color rgb="FF00B050"/>
        <rFont val="Arial"/>
        <family val="2"/>
      </rPr>
      <t xml:space="preserve">
Is the status of configuration items recorded and reported</t>
    </r>
  </si>
  <si>
    <t>SW-R-CM-0444</t>
  </si>
  <si>
    <r>
      <rPr>
        <b/>
        <sz val="10"/>
        <color rgb="FF00B050"/>
        <rFont val="Arial"/>
        <family val="2"/>
      </rPr>
      <t>Storage</t>
    </r>
    <r>
      <rPr>
        <sz val="10"/>
        <color rgb="FF00B050"/>
        <rFont val="Arial"/>
        <family val="2"/>
      </rPr>
      <t xml:space="preserve">
Is the storage, handling and delivery (including archival and retrieval) mechanisms specified?</t>
    </r>
  </si>
  <si>
    <t>SW-R-CM-0445</t>
  </si>
  <si>
    <r>
      <rPr>
        <b/>
        <sz val="10"/>
        <color rgb="FF00B050"/>
        <rFont val="Arial"/>
        <family val="2"/>
      </rPr>
      <t>Access rights</t>
    </r>
    <r>
      <rPr>
        <sz val="10"/>
        <color rgb="FF00B050"/>
        <rFont val="Arial"/>
        <family val="2"/>
      </rPr>
      <t xml:space="preserve">
Are the access rights identified for all configuration management tools?</t>
    </r>
  </si>
  <si>
    <t>Review criteria for
Qualification plan (SW/SYS) (QP)</t>
  </si>
  <si>
    <t>Review criteria for
Integration test plan (SW/SYS) (ITP)</t>
  </si>
  <si>
    <t>Stategy</t>
  </si>
  <si>
    <t>XX-R-PM-0484</t>
  </si>
  <si>
    <r>
      <rPr>
        <b/>
        <sz val="10"/>
        <rFont val="Arial"/>
        <family val="2"/>
      </rPr>
      <t>Integration strategy</t>
    </r>
    <r>
      <rPr>
        <sz val="10"/>
        <rFont val="Arial"/>
        <family val="2"/>
      </rPr>
      <t xml:space="preserve">
Is the Integration strategy clearly described ? </t>
    </r>
  </si>
  <si>
    <t>Please check :
o integration trigger - issues states
o functional dependencies
o HW/SW dependencies
o Integration steps which intends to build the release</t>
  </si>
  <si>
    <t>XX-R-PM-0485</t>
  </si>
  <si>
    <r>
      <rPr>
        <b/>
        <sz val="10"/>
        <rFont val="Arial"/>
        <family val="2"/>
      </rPr>
      <t>Test strategy</t>
    </r>
    <r>
      <rPr>
        <sz val="10"/>
        <rFont val="Arial"/>
        <family val="2"/>
      </rPr>
      <t xml:space="preserve">
Is the integration testing strategy clearly described ?</t>
    </r>
  </si>
  <si>
    <t xml:space="preserve">E.g.
frequency - on Every Checkpoint / weekly / Release label; 
goals -  scope, coverage rate; 
approach - prioritization, new units / changed units; </t>
  </si>
  <si>
    <t>XX-R-PM-0486</t>
  </si>
  <si>
    <r>
      <rPr>
        <b/>
        <sz val="10"/>
        <rFont val="Arial"/>
        <family val="2"/>
      </rPr>
      <t>Regression strategy</t>
    </r>
    <r>
      <rPr>
        <sz val="10"/>
        <rFont val="Arial"/>
        <family val="2"/>
      </rPr>
      <t xml:space="preserve">
Is the regression test strategy clearly described ?</t>
    </r>
  </si>
  <si>
    <t>Test definition</t>
  </si>
  <si>
    <t>XX-R-PM-0487</t>
  </si>
  <si>
    <r>
      <rPr>
        <b/>
        <sz val="10"/>
        <rFont val="Arial"/>
        <family val="2"/>
      </rPr>
      <t>Tests criteria</t>
    </r>
    <r>
      <rPr>
        <sz val="10"/>
        <rFont val="Arial"/>
        <family val="2"/>
      </rPr>
      <t xml:space="preserve">
Are pass/ fail criteria described?</t>
    </r>
  </si>
  <si>
    <t>o Check the criteria at high level (not for each tests)</t>
  </si>
  <si>
    <t>XX-R-PM-0488</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</si>
  <si>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</si>
  <si>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</si>
  <si>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</si>
  <si>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XX-R-RQM-0489</t>
  </si>
  <si>
    <r>
      <rPr>
        <b/>
        <sz val="10"/>
        <rFont val="Arial"/>
        <family val="2"/>
      </rPr>
      <t>Non functional</t>
    </r>
    <r>
      <rPr>
        <sz val="10"/>
        <rFont val="Arial"/>
        <family val="2"/>
      </rPr>
      <t xml:space="preserve">
Have all non functional requirements needed for current iteration been specified ?</t>
    </r>
  </si>
  <si>
    <t>XX-R-RQM-0491</t>
  </si>
  <si>
    <r>
      <rPr>
        <b/>
        <sz val="10"/>
        <rFont val="Arial"/>
        <family val="2"/>
      </rPr>
      <t>Verification strategy</t>
    </r>
    <r>
      <rPr>
        <sz val="10"/>
        <rFont val="Arial"/>
        <family val="2"/>
      </rPr>
      <t xml:space="preserve">
Is each requirement verifiable by testing, review, or analysis ?</t>
    </r>
  </si>
  <si>
    <t>XX-R-RQM-0492</t>
  </si>
  <si>
    <r>
      <rPr>
        <b/>
        <sz val="10"/>
        <rFont val="Arial"/>
        <family val="2"/>
      </rPr>
      <t>Design ready</t>
    </r>
    <r>
      <rPr>
        <sz val="10"/>
        <rFont val="Arial"/>
        <family val="2"/>
      </rPr>
      <t xml:space="preserve">
Do the requirements provide an adequate basis for design ?</t>
    </r>
  </si>
  <si>
    <t>XX-R-RQM-0493</t>
  </si>
  <si>
    <r>
      <rPr>
        <b/>
        <sz val="10"/>
        <rFont val="Arial"/>
        <family val="2"/>
      </rPr>
      <t xml:space="preserve">Needs
</t>
    </r>
    <r>
      <rPr>
        <sz val="10"/>
        <rFont val="Arial"/>
        <family val="2"/>
      </rPr>
      <t>Do the requirements include all of the known customer or system needs ?</t>
    </r>
  </si>
  <si>
    <t>XX-R-RQM-0494</t>
  </si>
  <si>
    <r>
      <rPr>
        <b/>
        <sz val="10"/>
        <rFont val="Arial"/>
        <family val="2"/>
      </rPr>
      <t>Traceability : SW vs SYS</t>
    </r>
    <r>
      <rPr>
        <sz val="10"/>
        <rFont val="Arial"/>
        <family val="2"/>
      </rPr>
      <t xml:space="preserve">
Do the SW requirements cover all the system requirements for the current iteration ?</t>
    </r>
  </si>
  <si>
    <t>XX-R-RQM-0495</t>
  </si>
  <si>
    <r>
      <rPr>
        <b/>
        <sz val="10"/>
        <rFont val="Arial"/>
        <family val="2"/>
      </rPr>
      <t>Upward traceability</t>
    </r>
    <r>
      <rPr>
        <sz val="10"/>
        <rFont val="Arial"/>
        <family val="2"/>
      </rPr>
      <t xml:space="preserve">
Consistency check for links to upper level has been performed ?</t>
    </r>
  </si>
  <si>
    <t>Content</t>
  </si>
  <si>
    <t>XX-R-RQM-0496</t>
  </si>
  <si>
    <r>
      <rPr>
        <b/>
        <sz val="10"/>
        <rFont val="Arial"/>
        <family val="2"/>
      </rPr>
      <t>Uniq id</t>
    </r>
    <r>
      <rPr>
        <sz val="10"/>
        <rFont val="Arial"/>
        <family val="2"/>
      </rPr>
      <t xml:space="preserve">
Is each requirement uniquely and correctly identified ?</t>
    </r>
  </si>
  <si>
    <t>XX-R-RQM-0497</t>
  </si>
  <si>
    <r>
      <rPr>
        <b/>
        <sz val="10"/>
        <rFont val="Arial"/>
        <family val="2"/>
      </rPr>
      <t>Clarity</t>
    </r>
    <r>
      <rPr>
        <sz val="10"/>
        <rFont val="Arial"/>
        <family val="2"/>
      </rPr>
      <t xml:space="preserve">
Are all requirements clear, unambiguous, complete and consistent with each other ?</t>
    </r>
  </si>
  <si>
    <t>XX-R-RQM-0498</t>
  </si>
  <si>
    <r>
      <rPr>
        <b/>
        <sz val="10"/>
        <rFont val="Arial"/>
        <family val="2"/>
      </rPr>
      <t>Exhaustivity</t>
    </r>
    <r>
      <rPr>
        <sz val="10"/>
        <rFont val="Arial"/>
        <family val="2"/>
      </rPr>
      <t xml:space="preserve">
Have all functional requirements needed for current iteration been specified ?</t>
    </r>
  </si>
  <si>
    <t>XX-R-RQM-0499</t>
  </si>
  <si>
    <r>
      <rPr>
        <b/>
        <sz val="10"/>
        <rFont val="Arial"/>
        <family val="2"/>
      </rPr>
      <t xml:space="preserve">Feasibility
</t>
    </r>
    <r>
      <rPr>
        <sz val="10"/>
        <rFont val="Arial"/>
        <family val="2"/>
      </rPr>
      <t>Are all requirements feasible from technical point of view ?</t>
    </r>
  </si>
  <si>
    <t>XX-R-RQM-0500</t>
  </si>
  <si>
    <r>
      <rPr>
        <b/>
        <sz val="10"/>
        <rFont val="Arial"/>
        <family val="2"/>
      </rPr>
      <t>English</t>
    </r>
    <r>
      <rPr>
        <sz val="10"/>
        <rFont val="Arial"/>
        <family val="2"/>
      </rPr>
      <t xml:space="preserve">
Are all SW requirements written in English ?</t>
    </r>
  </si>
  <si>
    <t>XX-R-RQM-0501</t>
  </si>
  <si>
    <r>
      <rPr>
        <b/>
        <sz val="10"/>
        <rFont val="Arial"/>
        <family val="2"/>
      </rPr>
      <t>Wording</t>
    </r>
    <r>
      <rPr>
        <sz val="10"/>
        <rFont val="Arial"/>
        <family val="2"/>
      </rPr>
      <t xml:space="preserve">
Are words like "should", "could" and "may" avoided in the requirements definition ?</t>
    </r>
  </si>
  <si>
    <t>Fields</t>
  </si>
  <si>
    <t>XX-R-RQM-0502</t>
  </si>
  <si>
    <r>
      <rPr>
        <b/>
        <sz val="10"/>
        <rFont val="Arial"/>
        <family val="2"/>
      </rPr>
      <t>_Original_Id</t>
    </r>
    <r>
      <rPr>
        <sz val="10"/>
        <rFont val="Arial"/>
        <family val="2"/>
      </rPr>
      <t xml:space="preserve">
Has the _Original_Id been filled in for the requirements ?</t>
    </r>
  </si>
  <si>
    <t>Check also that there is no empty field</t>
  </si>
  <si>
    <t>XX-R-RQM-0503</t>
  </si>
  <si>
    <r>
      <rPr>
        <b/>
        <sz val="10"/>
        <rFont val="Arial"/>
        <family val="2"/>
      </rPr>
      <t xml:space="preserve">_TestType
</t>
    </r>
    <r>
      <rPr>
        <sz val="10"/>
        <rFont val="Arial"/>
        <family val="2"/>
      </rPr>
      <t>Has the proper _TestType been set for the requirements ?</t>
    </r>
  </si>
  <si>
    <t>XX-R-RQM-0504</t>
  </si>
  <si>
    <r>
      <rPr>
        <b/>
        <sz val="10"/>
        <rFont val="Arial"/>
        <family val="2"/>
      </rPr>
      <t>_ImpactedDiscipline</t>
    </r>
    <r>
      <rPr>
        <sz val="10"/>
        <rFont val="Arial"/>
        <family val="2"/>
      </rPr>
      <t xml:space="preserve">
Was the _ImpactedDiscipline set for all the requirements ?</t>
    </r>
  </si>
  <si>
    <t>XX-R-RQM-0505</t>
  </si>
  <si>
    <r>
      <rPr>
        <b/>
        <sz val="10"/>
        <rFont val="Arial"/>
        <family val="2"/>
      </rPr>
      <t xml:space="preserve">_Project_Use
</t>
    </r>
    <r>
      <rPr>
        <sz val="10"/>
        <rFont val="Arial"/>
        <family val="2"/>
      </rPr>
      <t>Was the _Project_Use set for all the requirements? (Applicable or Not Applicable)</t>
    </r>
  </si>
  <si>
    <t>XX-R-RQM-0506</t>
  </si>
  <si>
    <r>
      <rPr>
        <b/>
        <sz val="10"/>
        <rFont val="Arial"/>
        <family val="2"/>
      </rPr>
      <t>Target</t>
    </r>
    <r>
      <rPr>
        <sz val="10"/>
        <rFont val="Arial"/>
        <family val="2"/>
      </rPr>
      <t xml:space="preserve">
Are all requirements planned for current and further iterations? (Target != empty) ?</t>
    </r>
  </si>
  <si>
    <t>XX-R-RQM-0507</t>
  </si>
  <si>
    <r>
      <rPr>
        <b/>
        <sz val="10"/>
        <rFont val="Arial"/>
        <family val="2"/>
      </rPr>
      <t xml:space="preserve">ReqStatus
</t>
    </r>
    <r>
      <rPr>
        <sz val="10"/>
        <rFont val="Arial"/>
        <family val="2"/>
      </rPr>
      <t>Are all requirements applicable to current iteration reviewed? (ReqStatus != InReview_by_Design_Team AND ReqStatus != Init)</t>
    </r>
  </si>
  <si>
    <t>Baseline</t>
  </si>
  <si>
    <t>XX-R-RQM-0508</t>
  </si>
  <si>
    <r>
      <rPr>
        <b/>
        <sz val="10"/>
        <rFont val="Arial"/>
        <family val="2"/>
      </rPr>
      <t>Requirements baselined</t>
    </r>
    <r>
      <rPr>
        <sz val="10"/>
        <rFont val="Arial"/>
        <family val="2"/>
      </rPr>
      <t xml:space="preserve">
Are the requirements baselined for the current iteration ?</t>
    </r>
  </si>
  <si>
    <t>XX-R-CM-0509</t>
  </si>
  <si>
    <r>
      <rPr>
        <b/>
        <sz val="10"/>
        <rFont val="Arial"/>
        <family val="2"/>
      </rPr>
      <t>Naming rules</t>
    </r>
    <r>
      <rPr>
        <sz val="10"/>
        <rFont val="Arial"/>
        <family val="2"/>
      </rPr>
      <t xml:space="preserve">
Is naming rule respected for the baseline ?</t>
    </r>
  </si>
  <si>
    <t>XX-R-PM-0510</t>
  </si>
  <si>
    <r>
      <rPr>
        <b/>
        <sz val="10"/>
        <rFont val="Arial"/>
        <family val="2"/>
      </rPr>
      <t>Communication</t>
    </r>
    <r>
      <rPr>
        <sz val="10"/>
        <rFont val="Arial"/>
        <family val="2"/>
      </rPr>
      <t xml:space="preserve">
Has the baseline been distributed to the affected stakeholders as defined in the PMD ?</t>
    </r>
  </si>
  <si>
    <t>Review criteria for
System architecture (SyAD)</t>
  </si>
  <si>
    <t>Process</t>
  </si>
  <si>
    <t>SY-R-PM-0511</t>
  </si>
  <si>
    <r>
      <rPr>
        <b/>
        <sz val="10"/>
        <rFont val="Arial"/>
        <family val="2"/>
      </rPr>
      <t xml:space="preserve">Process
</t>
    </r>
    <r>
      <rPr>
        <sz val="10"/>
        <rFont val="Arial"/>
        <family val="2"/>
      </rPr>
      <t>Is the system architecture done in accordance with the selected process for the project ?</t>
    </r>
  </si>
  <si>
    <t>XX-R-PM-0578</t>
  </si>
  <si>
    <r>
      <rPr>
        <b/>
        <sz val="10"/>
        <rFont val="Arial"/>
        <family val="2"/>
      </rPr>
      <t xml:space="preserve">Reuse strategy/plan consistent
</t>
    </r>
    <r>
      <rPr>
        <sz val="10"/>
        <rFont val="Arial"/>
        <family val="2"/>
      </rPr>
      <t>Is SAD consistant with reuse strategy / plan ?</t>
    </r>
  </si>
  <si>
    <t>XX-R-PM-0514</t>
  </si>
  <si>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</si>
  <si>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</si>
  <si>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Inputs</t>
  </si>
  <si>
    <t>XX-R-PM-0512</t>
  </si>
  <si>
    <r>
      <rPr>
        <b/>
        <sz val="10"/>
        <rFont val="Arial"/>
        <family val="2"/>
      </rPr>
      <t xml:space="preserve">Reuse strategy/plan available
</t>
    </r>
    <r>
      <rPr>
        <sz val="10"/>
        <rFont val="Arial"/>
        <family val="2"/>
      </rPr>
      <t>Is architecture reuse strategy/plan available and uptodate for the scope of this architecture document ?</t>
    </r>
  </si>
  <si>
    <t>General questions</t>
  </si>
  <si>
    <t>SY-R-ARC-0515</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</si>
  <si>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</si>
  <si>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t>SY-R-ARC-0516</t>
  </si>
  <si>
    <r>
      <rPr>
        <b/>
        <sz val="10"/>
        <rFont val="Arial"/>
        <family val="2"/>
      </rPr>
      <t xml:space="preserve">Requirement definition
</t>
    </r>
    <r>
      <rPr>
        <sz val="10"/>
        <rFont val="Arial"/>
        <family val="2"/>
      </rPr>
      <t>Have System architecture requirements been defined ?</t>
    </r>
  </si>
  <si>
    <t>SY-R-ARC-0517</t>
  </si>
  <si>
    <r>
      <rPr>
        <b/>
        <sz val="10"/>
        <rFont val="Arial"/>
        <family val="2"/>
      </rPr>
      <t xml:space="preserve">Requirement decomposition
</t>
    </r>
    <r>
      <rPr>
        <sz val="10"/>
        <rFont val="Arial"/>
        <family val="2"/>
      </rPr>
      <t>Have the system requirements been decomposed into technical functions ?</t>
    </r>
  </si>
  <si>
    <t>SY-R-ARC-0518</t>
  </si>
  <si>
    <r>
      <rPr>
        <b/>
        <sz val="10"/>
        <rFont val="Arial"/>
        <family val="2"/>
      </rPr>
      <t xml:space="preserve">Logical element
</t>
    </r>
    <r>
      <rPr>
        <sz val="10"/>
        <rFont val="Arial"/>
        <family val="2"/>
      </rPr>
      <t>Have the logical elements been identified or developed that can accomplish those technical functions ?</t>
    </r>
  </si>
  <si>
    <t>SY-R-ARC-0519</t>
  </si>
  <si>
    <r>
      <rPr>
        <b/>
        <sz val="10"/>
        <rFont val="Arial"/>
        <family val="2"/>
      </rPr>
      <t xml:space="preserve">Logical element vs TF
</t>
    </r>
    <r>
      <rPr>
        <sz val="10"/>
        <rFont val="Arial"/>
        <family val="2"/>
      </rPr>
      <t xml:space="preserve">Have those logical elements been linked to the technical functions (TF) ? </t>
    </r>
  </si>
  <si>
    <t>SY-R-ARC-0520</t>
  </si>
  <si>
    <r>
      <rPr>
        <b/>
        <sz val="10"/>
        <rFont val="Arial"/>
        <family val="2"/>
      </rPr>
      <t xml:space="preserve">Technical sub-function
</t>
    </r>
    <r>
      <rPr>
        <sz val="10"/>
        <rFont val="Arial"/>
        <family val="2"/>
      </rPr>
      <t>Have the technical functions been decomposed to technical sub-functions ?</t>
    </r>
  </si>
  <si>
    <t>SY-R-ARC-0521</t>
  </si>
  <si>
    <r>
      <rPr>
        <b/>
        <sz val="10"/>
        <rFont val="Arial"/>
        <family val="2"/>
      </rPr>
      <t xml:space="preserve">Interfaces
</t>
    </r>
    <r>
      <rPr>
        <sz val="10"/>
        <rFont val="Arial"/>
        <family val="2"/>
      </rPr>
      <t>Have the interfaces between those logical elements been identified ?</t>
    </r>
  </si>
  <si>
    <t>SY-R-ARC-0522</t>
  </si>
  <si>
    <r>
      <rPr>
        <b/>
        <sz val="10"/>
        <rFont val="Arial"/>
        <family val="2"/>
      </rPr>
      <t xml:space="preserve">Consistency
</t>
    </r>
    <r>
      <rPr>
        <sz val="10"/>
        <rFont val="Arial"/>
        <family val="2"/>
      </rPr>
      <t>Has the consistency between system requirements and system elements been reviewed ?</t>
    </r>
  </si>
  <si>
    <t>SY-R-INT-0523</t>
  </si>
  <si>
    <r>
      <rPr>
        <b/>
        <sz val="10"/>
        <rFont val="Arial"/>
        <family val="2"/>
      </rPr>
      <t xml:space="preserve">Testability
</t>
    </r>
    <r>
      <rPr>
        <sz val="10"/>
        <rFont val="Arial"/>
        <family val="2"/>
      </rPr>
      <t>Is System architecture testable during system integration testing phase ?</t>
    </r>
  </si>
  <si>
    <t>Sequence diagram</t>
  </si>
  <si>
    <t>XX-R-ARC-0524</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</si>
  <si>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</si>
  <si>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t>XX-R-ARC-0525</t>
  </si>
  <si>
    <r>
      <rPr>
        <b/>
        <sz val="10"/>
        <rFont val="Arial"/>
        <family val="2"/>
      </rPr>
      <t>Dependencies</t>
    </r>
    <r>
      <rPr>
        <sz val="10"/>
        <rFont val="Arial"/>
        <family val="2"/>
      </rPr>
      <t xml:space="preserve">
Do the sequence diagrams create any dependencies from a lower level AAU to a higher level AAU as defined in the layered hierarchy ?</t>
    </r>
  </si>
  <si>
    <t>XX-R-ARC-0526</t>
  </si>
  <si>
    <r>
      <rPr>
        <b/>
        <sz val="10"/>
        <rFont val="Arial"/>
        <family val="2"/>
      </rPr>
      <t xml:space="preserve">Circular dependencies
</t>
    </r>
    <r>
      <rPr>
        <sz val="10"/>
        <rFont val="Arial"/>
        <family val="2"/>
      </rPr>
      <t>Do the sequence diagrams avoid circular dependencies between the AAUs ?</t>
    </r>
  </si>
  <si>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</si>
  <si>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t>Functional safety</t>
  </si>
  <si>
    <t>SY-R-FUSA-0752</t>
  </si>
  <si>
    <r>
      <rPr>
        <b/>
        <sz val="10"/>
        <rFont val="Arial"/>
        <family val="2"/>
      </rPr>
      <t>Requirement decomposition</t>
    </r>
    <r>
      <rPr>
        <sz val="10"/>
        <rFont val="Arial"/>
        <family val="2"/>
      </rPr>
      <t xml:space="preserve">
Are system safety requirements derived from technical safety requirements available ?</t>
    </r>
  </si>
  <si>
    <t>SY-R-FUSA-0753</t>
  </si>
  <si>
    <r>
      <rPr>
        <b/>
        <sz val="10"/>
        <rFont val="Arial"/>
        <family val="2"/>
      </rPr>
      <t>Verifiability</t>
    </r>
    <r>
      <rPr>
        <sz val="10"/>
        <rFont val="Arial"/>
        <family val="2"/>
      </rPr>
      <t xml:space="preserve">
Is the system architectural design verifiable ? </t>
    </r>
  </si>
  <si>
    <t>SY-R-FUSA-0758</t>
  </si>
  <si>
    <r>
      <rPr>
        <b/>
        <sz val="10"/>
        <rFont val="Arial"/>
        <family val="2"/>
      </rPr>
      <t>Safety Requirement</t>
    </r>
    <r>
      <rPr>
        <sz val="10"/>
        <rFont val="Arial"/>
        <family val="2"/>
      </rPr>
      <t xml:space="preserve">
Is the information above consistent with the safety plan and impact analysis report ?</t>
    </r>
  </si>
  <si>
    <t>SW-R-ARC-0766</t>
  </si>
  <si>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</si>
  <si>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t>SA-R-ARC-0918</t>
  </si>
  <si>
    <r>
      <rPr>
        <b/>
        <sz val="10"/>
        <rFont val="Arial"/>
        <family val="2"/>
      </rPr>
      <t>Functional Safety</t>
    </r>
    <r>
      <rPr>
        <sz val="10"/>
        <rFont val="Arial"/>
        <family val="2"/>
      </rPr>
      <t xml:space="preserve">
Is the System-FMEA considering the current System Architecture version?</t>
    </r>
  </si>
  <si>
    <t>SA-R-ARC-0919</t>
  </si>
  <si>
    <r>
      <rPr>
        <b/>
        <sz val="10"/>
        <rFont val="Arial"/>
        <family val="2"/>
      </rPr>
      <t>Functional Safety</t>
    </r>
    <r>
      <rPr>
        <sz val="10"/>
        <rFont val="Arial"/>
        <family val="2"/>
      </rPr>
      <t xml:space="preserve">
Is it clear which ASIL has to be applied for the development process for each architectural component?</t>
    </r>
  </si>
  <si>
    <t>Review criteria for
Software architecture (SAD)</t>
  </si>
  <si>
    <t>SW-R-ARC-0580</t>
  </si>
  <si>
    <r>
      <rPr>
        <b/>
        <sz val="10"/>
        <rFont val="Arial"/>
        <family val="2"/>
      </rPr>
      <t xml:space="preserve">Decomposition and traceability
</t>
    </r>
    <r>
      <rPr>
        <sz val="10"/>
        <rFont val="Arial"/>
        <family val="2"/>
      </rPr>
      <t>Have applicable requirements been decomposed into AAU requirements and traced to appropriate AAUs ?</t>
    </r>
  </si>
  <si>
    <t>SW-R-ARC-0577</t>
  </si>
  <si>
    <r>
      <rPr>
        <b/>
        <sz val="10"/>
        <rFont val="Arial"/>
        <family val="2"/>
      </rPr>
      <t xml:space="preserve">Consistency
</t>
    </r>
    <r>
      <rPr>
        <sz val="10"/>
        <rFont val="Arial"/>
        <family val="2"/>
      </rPr>
      <t>Has the consistency between software requirements (DES) and architecture elements been reviewed ?</t>
    </r>
  </si>
  <si>
    <t>SW-R-ARC-0754</t>
  </si>
  <si>
    <r>
      <rPr>
        <b/>
        <sz val="10"/>
        <rFont val="Arial"/>
        <family val="2"/>
      </rPr>
      <t>AAUs identification</t>
    </r>
    <r>
      <rPr>
        <sz val="10"/>
        <rFont val="Arial"/>
        <family val="2"/>
      </rPr>
      <t xml:space="preserve">
Is the software architectural design developed down to the level where all SW units are identifiable ? </t>
    </r>
  </si>
  <si>
    <t>SW-R-ARC-0755</t>
  </si>
  <si>
    <r>
      <rPr>
        <b/>
        <sz val="10"/>
        <rFont val="Arial"/>
        <family val="2"/>
      </rPr>
      <t>Static design</t>
    </r>
    <r>
      <rPr>
        <sz val="10"/>
        <rFont val="Arial"/>
        <family val="2"/>
      </rPr>
      <t xml:space="preserve">
Are the static design aspects of SW components described ?</t>
    </r>
  </si>
  <si>
    <t>SW-R-ARC-0756</t>
  </si>
  <si>
    <r>
      <rPr>
        <b/>
        <sz val="10"/>
        <rFont val="Arial"/>
        <family val="2"/>
      </rPr>
      <t>Dynamic design</t>
    </r>
    <r>
      <rPr>
        <sz val="10"/>
        <rFont val="Arial"/>
        <family val="2"/>
      </rPr>
      <t xml:space="preserve">
Are the dynamic design aspects of SW components described ?</t>
    </r>
  </si>
  <si>
    <t>SW-R-ARC-0757</t>
  </si>
  <si>
    <r>
      <rPr>
        <b/>
        <sz val="10"/>
        <rFont val="Arial"/>
        <family val="2"/>
      </rPr>
      <t>Categorization</t>
    </r>
    <r>
      <rPr>
        <sz val="10"/>
        <rFont val="Arial"/>
        <family val="2"/>
      </rPr>
      <t xml:space="preserve">
Are SW components categorized as:
- newly developed ?
- reused with modification ?
- reused without modification ?</t>
    </r>
  </si>
  <si>
    <t>AAUs (Atomic Archicture Units)</t>
  </si>
  <si>
    <t>SW-R-ARC-0573</t>
  </si>
  <si>
    <r>
      <rPr>
        <b/>
        <sz val="10"/>
        <rFont val="Arial"/>
        <family val="2"/>
      </rPr>
      <t xml:space="preserve">AAUs identification
</t>
    </r>
    <r>
      <rPr>
        <sz val="10"/>
        <rFont val="Arial"/>
        <family val="2"/>
      </rPr>
      <t>Have the AAUs been identified or developed that can accomplish the scenarios ?</t>
    </r>
  </si>
  <si>
    <t>SW-R-ARC-0574</t>
  </si>
  <si>
    <r>
      <rPr>
        <b/>
        <sz val="10"/>
        <rFont val="Arial"/>
        <family val="2"/>
      </rPr>
      <t xml:space="preserve">Mission
</t>
    </r>
    <r>
      <rPr>
        <sz val="10"/>
        <rFont val="Arial"/>
        <family val="2"/>
      </rPr>
      <t xml:space="preserve">Has the mission of each AAU been clearly defined ? 
Does it encapsulate a well-defined set of functionality ?
</t>
    </r>
  </si>
  <si>
    <t>SW-R-ARC-0575</t>
  </si>
  <si>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</si>
  <si>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XX-R-ARC-0629</t>
  </si>
  <si>
    <t>Interfaces
Are all interfaces defined for a component and well used to cover scenarios defined in SW architecture with only necessary set of information to be exchanged?</t>
  </si>
  <si>
    <t>SW-R-ARC-0576</t>
  </si>
  <si>
    <r>
      <rPr>
        <b/>
        <sz val="10"/>
        <rFont val="Arial"/>
        <family val="2"/>
      </rPr>
      <t xml:space="preserve">Layers
</t>
    </r>
    <r>
      <rPr>
        <sz val="10"/>
        <rFont val="Arial"/>
        <family val="2"/>
      </rPr>
      <t>Have the AAUs been organized in a layered hierarchy ?</t>
    </r>
  </si>
  <si>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</si>
  <si>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</si>
  <si>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</si>
  <si>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r>
      <rPr>
        <b/>
        <sz val="10"/>
        <rFont val="Arial"/>
        <family val="2"/>
      </rPr>
      <t>AAUs identification</t>
    </r>
    <r>
      <rPr>
        <sz val="10"/>
        <rFont val="Arial"/>
        <family val="2"/>
      </rPr>
      <t xml:space="preserve">
Are software safety requirements derived from technical safety requirements available ?</t>
    </r>
  </si>
  <si>
    <t>SW-R-ARC-0761</t>
  </si>
  <si>
    <r>
      <rPr>
        <b/>
        <sz val="10"/>
        <rFont val="Arial"/>
        <family val="2"/>
      </rPr>
      <t>Verifiability</t>
    </r>
    <r>
      <rPr>
        <sz val="10"/>
        <rFont val="Arial"/>
        <family val="2"/>
      </rPr>
      <t xml:space="preserve">
Is the software architectural design verifiable ?</t>
    </r>
  </si>
  <si>
    <t>SW-R-ARC-0762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</si>
  <si>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</si>
  <si>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SW-R-ARC-0763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</si>
  <si>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</si>
  <si>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SW-R-ARC-0764</t>
  </si>
  <si>
    <r>
      <rPr>
        <b/>
        <sz val="10"/>
        <rFont val="Arial"/>
        <family val="2"/>
      </rPr>
      <t>Safety Mechanism</t>
    </r>
    <r>
      <rPr>
        <sz val="10"/>
        <rFont val="Arial"/>
        <family val="2"/>
      </rPr>
      <t xml:space="preserve">
According to safety analysis, are safety mechanisms efficient ?</t>
    </r>
  </si>
  <si>
    <t>SW-R-ARC-0765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</si>
  <si>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</si>
  <si>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SA-R-ARC-0920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</si>
  <si>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</si>
  <si>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SA-R-ARC-0921</t>
  </si>
  <si>
    <r>
      <rPr>
        <b/>
        <sz val="10"/>
        <rFont val="Arial"/>
        <family val="2"/>
      </rPr>
      <t>Functional Safety</t>
    </r>
    <r>
      <rPr>
        <sz val="10"/>
        <rFont val="Arial"/>
        <family val="2"/>
      </rPr>
      <t xml:space="preserve">
Are SW components developed with the highest ASIL of any allocated requirement ?</t>
    </r>
  </si>
  <si>
    <t>SA-R-ARC-0922</t>
  </si>
  <si>
    <r>
      <rPr>
        <b/>
        <sz val="10"/>
        <rFont val="Arial"/>
        <family val="2"/>
      </rPr>
      <t>Functional Safety</t>
    </r>
    <r>
      <rPr>
        <sz val="10"/>
        <rFont val="Arial"/>
        <family val="2"/>
      </rPr>
      <t xml:space="preserve">
Is the Software-FMEA considering the current Software Architecture version?</t>
    </r>
  </si>
  <si>
    <t>SA-R-ARC-0923</t>
  </si>
  <si>
    <r>
      <rPr>
        <b/>
        <sz val="10"/>
        <rFont val="Arial"/>
        <family val="2"/>
      </rPr>
      <t>Functional Safety</t>
    </r>
    <r>
      <rPr>
        <sz val="10"/>
        <rFont val="Arial"/>
        <family val="2"/>
      </rPr>
      <t xml:space="preserve">
Has an appropriate architectural pattern been applied in the SW Safety Concept for each safety goal?</t>
    </r>
  </si>
  <si>
    <t>Review criteria for
Reuse strategy definition / reuse plan (Reuse)</t>
  </si>
  <si>
    <t>SY-R-ARC-0528</t>
  </si>
  <si>
    <r>
      <rPr>
        <b/>
        <sz val="10"/>
        <rFont val="Arial"/>
        <family val="2"/>
      </rPr>
      <t>Completeness</t>
    </r>
    <r>
      <rPr>
        <sz val="10"/>
        <rFont val="Arial"/>
        <family val="2"/>
      </rPr>
      <t xml:space="preserve">
Are all columns in summary tab fulfilled according to Customer and project expectations  ?</t>
    </r>
  </si>
  <si>
    <t>Content / software</t>
  </si>
  <si>
    <t>SY-R-ARC-0529</t>
  </si>
  <si>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</si>
  <si>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t>SY-R-ARC-0532</t>
  </si>
  <si>
    <r>
      <rPr>
        <b/>
        <sz val="10"/>
        <color rgb="FF00B050"/>
        <rFont val="Arial"/>
        <family val="2"/>
      </rPr>
      <t xml:space="preserve">SW requirements
</t>
    </r>
    <r>
      <rPr>
        <sz val="10"/>
        <color rgb="FF00B050"/>
        <rFont val="Arial"/>
        <family val="2"/>
      </rPr>
      <t>Have all reusable SW requirements been identified?</t>
    </r>
  </si>
  <si>
    <t>SY-R-ARC-0533</t>
  </si>
  <si>
    <r>
      <rPr>
        <b/>
        <sz val="10"/>
        <rFont val="Arial"/>
        <family val="2"/>
      </rPr>
      <t xml:space="preserve">SW architecture
</t>
    </r>
    <r>
      <rPr>
        <sz val="10"/>
        <rFont val="Arial"/>
        <family val="2"/>
      </rPr>
      <t>Has the SW Architecture been analyzed and all the reusable SW components been identified?</t>
    </r>
  </si>
  <si>
    <t>Content / system</t>
  </si>
  <si>
    <t>SY-R-ARC-0530</t>
  </si>
  <si>
    <r>
      <rPr>
        <b/>
        <sz val="10"/>
        <rFont val="Arial"/>
        <family val="2"/>
      </rPr>
      <t>System requirements</t>
    </r>
    <r>
      <rPr>
        <sz val="10"/>
        <rFont val="Arial"/>
        <family val="2"/>
      </rPr>
      <t xml:space="preserve">
Have all reusable system specifications (collection of requirements) been identified ?</t>
    </r>
  </si>
  <si>
    <t>SY-R-ARC-0531</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</si>
  <si>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</si>
  <si>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Outputs</t>
  </si>
  <si>
    <t>SY-R-ARC-0534</t>
  </si>
  <si>
    <r>
      <rPr>
        <b/>
        <sz val="10"/>
        <color rgb="FF00B050"/>
        <rFont val="Arial"/>
        <family val="2"/>
      </rPr>
      <t>Change requests</t>
    </r>
    <r>
      <rPr>
        <sz val="10"/>
        <color rgb="FF00B050"/>
        <rFont val="Arial"/>
        <family val="2"/>
      </rPr>
      <t xml:space="preserve">
Are change requests created for modules where reuse strategy isn't 100% ?</t>
    </r>
  </si>
  <si>
    <t>Review criteria for
Schedules (PS, DS, SPS, QS) (PS - DS - SPS - QS)</t>
  </si>
  <si>
    <t>XX-R-PM-0539</t>
  </si>
  <si>
    <r>
      <rPr>
        <b/>
        <sz val="10"/>
        <rFont val="Arial"/>
        <family val="2"/>
      </rPr>
      <t xml:space="preserve">WBS
</t>
    </r>
    <r>
      <rPr>
        <sz val="10"/>
        <rFont val="Arial"/>
        <family val="2"/>
      </rPr>
      <t>Is the schedule created from the WBS (work break-down structure) ?</t>
    </r>
  </si>
  <si>
    <t>XX-R-PM-0540</t>
  </si>
  <si>
    <r>
      <rPr>
        <b/>
        <sz val="10"/>
        <rFont val="Arial"/>
        <family val="2"/>
      </rPr>
      <t xml:space="preserve">Reuse plan
</t>
    </r>
    <r>
      <rPr>
        <sz val="10"/>
        <rFont val="Arial"/>
        <family val="2"/>
      </rPr>
      <t>Is the schedule consistant with the reuse strategy definition document ?</t>
    </r>
  </si>
  <si>
    <t>XX-R-PM-0542</t>
  </si>
  <si>
    <r>
      <rPr>
        <b/>
        <sz val="10"/>
        <rFont val="Arial"/>
        <family val="2"/>
      </rPr>
      <t xml:space="preserve">Development plan(s)
</t>
    </r>
    <r>
      <rPr>
        <sz val="10"/>
        <rFont val="Arial"/>
        <family val="2"/>
      </rPr>
      <t>Are schedule and plan(s) aligned in term of development strategy : review, UT/IT/QT, implementation etc… ?</t>
    </r>
  </si>
  <si>
    <t>XX-R-PM-0554</t>
  </si>
  <si>
    <r>
      <rPr>
        <b/>
        <sz val="10"/>
        <rFont val="Arial"/>
        <family val="2"/>
      </rPr>
      <t xml:space="preserve">Release plan
</t>
    </r>
    <r>
      <rPr>
        <sz val="10"/>
        <rFont val="Arial"/>
        <family val="2"/>
      </rPr>
      <t>Have all tasks been identified according to the requirements / Feature Release Plan ?</t>
    </r>
  </si>
  <si>
    <t>XX-R-PM-0552</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</si>
  <si>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</si>
  <si>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t>XX-R-PM-0561</t>
  </si>
  <si>
    <r>
      <rPr>
        <b/>
        <sz val="10"/>
        <color rgb="FF00B050"/>
        <rFont val="Arial"/>
        <family val="2"/>
      </rPr>
      <t xml:space="preserve">Key dates (for futur iterations)
</t>
    </r>
    <r>
      <rPr>
        <sz val="10"/>
        <color rgb="FF00B050"/>
        <rFont val="Arial"/>
        <family val="2"/>
      </rPr>
      <t>Are the key dates planned for at least the next iteration ?</t>
    </r>
  </si>
  <si>
    <t>XX-R-PM-0543</t>
  </si>
  <si>
    <r>
      <rPr>
        <b/>
        <sz val="10"/>
        <rFont val="Arial"/>
        <family val="2"/>
      </rPr>
      <t xml:space="preserve">Higher schedule
</t>
    </r>
    <r>
      <rPr>
        <sz val="10"/>
        <rFont val="Arial"/>
        <family val="2"/>
      </rPr>
      <t>Are key dates aligned between schedules (customer, project, design, qualification and software)</t>
    </r>
  </si>
  <si>
    <t>Scheduling basis checks</t>
  </si>
  <si>
    <t>XX-R-PM-0541</t>
  </si>
  <si>
    <r>
      <rPr>
        <b/>
        <sz val="10"/>
        <rFont val="Arial"/>
        <family val="2"/>
      </rPr>
      <t xml:space="preserve">Orphan task
</t>
    </r>
    <r>
      <rPr>
        <sz val="10"/>
        <rFont val="Arial"/>
        <family val="2"/>
      </rPr>
      <t>Is each task associated to someone ?</t>
    </r>
  </si>
  <si>
    <t>XX-R-PM-0562</t>
  </si>
  <si>
    <r>
      <rPr>
        <b/>
        <sz val="10"/>
        <color rgb="FF00B050"/>
        <rFont val="Arial"/>
        <family val="2"/>
      </rPr>
      <t xml:space="preserve">Start date
</t>
    </r>
    <r>
      <rPr>
        <sz val="10"/>
        <color rgb="FF00B050"/>
        <rFont val="Arial"/>
        <family val="2"/>
      </rPr>
      <t>Is the start date identified for each task ?</t>
    </r>
  </si>
  <si>
    <t>XX-R-PM-0563</t>
  </si>
  <si>
    <r>
      <rPr>
        <b/>
        <sz val="10"/>
        <color rgb="FF00B050"/>
        <rFont val="Arial"/>
        <family val="2"/>
      </rPr>
      <t xml:space="preserve">End date
</t>
    </r>
    <r>
      <rPr>
        <sz val="10"/>
        <color rgb="FF00B050"/>
        <rFont val="Arial"/>
        <family val="2"/>
      </rPr>
      <t>Is the end date identified for each task ?</t>
    </r>
  </si>
  <si>
    <t>XX-R-PM-0556</t>
  </si>
  <si>
    <r>
      <rPr>
        <b/>
        <sz val="10"/>
        <rFont val="Arial"/>
        <family val="2"/>
      </rPr>
      <t xml:space="preserve">Overload / underutilization
</t>
    </r>
    <r>
      <rPr>
        <sz val="10"/>
        <rFont val="Arial"/>
        <family val="2"/>
      </rPr>
      <t>Is the overload or underutilization of a ressource justified ?</t>
    </r>
  </si>
  <si>
    <t>XX-R-PM-0565</t>
  </si>
  <si>
    <r>
      <rPr>
        <b/>
        <sz val="10"/>
        <rFont val="Arial"/>
        <family val="2"/>
      </rPr>
      <t xml:space="preserve">Critical path
</t>
    </r>
    <r>
      <rPr>
        <sz val="10"/>
        <rFont val="Arial"/>
        <family val="2"/>
      </rPr>
      <t>Is the critical path visible ?</t>
    </r>
  </si>
  <si>
    <t>XX-R-PM-0564</t>
  </si>
  <si>
    <r>
      <rPr>
        <b/>
        <sz val="10"/>
        <color rgb="FF00B050"/>
        <rFont val="Arial"/>
        <family val="2"/>
      </rPr>
      <t xml:space="preserve">Critical tasks
</t>
    </r>
    <r>
      <rPr>
        <sz val="10"/>
        <color rgb="FF00B050"/>
        <rFont val="Arial"/>
        <family val="2"/>
      </rPr>
      <t>Are critical task highlighted in the schedule ?</t>
    </r>
  </si>
  <si>
    <t>Schedule content</t>
  </si>
  <si>
    <t>XX-R-PM-0547</t>
  </si>
  <si>
    <r>
      <rPr>
        <b/>
        <sz val="10"/>
        <rFont val="Arial"/>
        <family val="2"/>
      </rPr>
      <t xml:space="preserve">Milestone consistancy
</t>
    </r>
    <r>
      <rPr>
        <sz val="10"/>
        <rFont val="Arial"/>
        <family val="2"/>
      </rPr>
      <t>Is each task associated to dates in accordance with the milestones ?</t>
    </r>
  </si>
  <si>
    <t>XX-R-PM-0546</t>
  </si>
  <si>
    <r>
      <rPr>
        <b/>
        <sz val="10"/>
        <rFont val="Arial"/>
        <family val="2"/>
      </rPr>
      <t xml:space="preserve">Reviews
</t>
    </r>
    <r>
      <rPr>
        <sz val="10"/>
        <rFont val="Arial"/>
        <family val="2"/>
      </rPr>
      <t>Are reviews scheduled ?</t>
    </r>
  </si>
  <si>
    <t>o Common checks : plans reviews, schedules reviews, requirements reviews, design reviews, tests reviews, supplier delivery reviews…
o For qualification : QP, QS, QTS / test cases, scenario, QTR, …</t>
  </si>
  <si>
    <t>XX-R-PM-0548</t>
  </si>
  <si>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</si>
  <si>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t>XX-R-PM-0550</t>
  </si>
  <si>
    <r>
      <rPr>
        <b/>
        <sz val="10"/>
        <rFont val="Arial"/>
        <family val="2"/>
      </rPr>
      <t xml:space="preserve">Architecture (NA for qualification schedule)
</t>
    </r>
    <r>
      <rPr>
        <sz val="10"/>
        <rFont val="Arial"/>
        <family val="2"/>
      </rPr>
      <t>Is architecture document scheduled ?</t>
    </r>
  </si>
  <si>
    <t>XX-R-PM-0551</t>
  </si>
  <si>
    <r>
      <rPr>
        <b/>
        <sz val="10"/>
        <rFont val="Arial"/>
        <family val="2"/>
      </rPr>
      <t xml:space="preserve">Audits
</t>
    </r>
    <r>
      <rPr>
        <sz val="10"/>
        <rFont val="Arial"/>
        <family val="2"/>
      </rPr>
      <t>Are all audits planned ?</t>
    </r>
  </si>
  <si>
    <t>XX-R-PM-0553</t>
  </si>
  <si>
    <r>
      <rPr>
        <b/>
        <sz val="10"/>
        <rFont val="Arial"/>
        <family val="2"/>
      </rPr>
      <t xml:space="preserve">Vacations and trainings
</t>
    </r>
    <r>
      <rPr>
        <sz val="10"/>
        <rFont val="Arial"/>
        <family val="2"/>
      </rPr>
      <t>Are Vacations and trainings defined ?</t>
    </r>
  </si>
  <si>
    <t>XX-R-PM-0555</t>
  </si>
  <si>
    <r>
      <rPr>
        <b/>
        <sz val="10"/>
        <rFont val="Arial"/>
        <family val="2"/>
      </rPr>
      <t xml:space="preserve">Late tasks
</t>
    </r>
    <r>
      <rPr>
        <sz val="10"/>
        <rFont val="Arial"/>
        <family val="2"/>
      </rPr>
      <t>Unperformed tasks from the previous iteration are planned in the current iteration</t>
    </r>
  </si>
  <si>
    <t>XX-R-PM-0557</t>
  </si>
  <si>
    <r>
      <rPr>
        <b/>
        <sz val="10"/>
        <rFont val="Arial"/>
        <family val="2"/>
      </rPr>
      <t xml:space="preserve">External tasks
</t>
    </r>
    <r>
      <rPr>
        <sz val="10"/>
        <rFont val="Arial"/>
        <family val="2"/>
      </rPr>
      <t>Are all tasks in the different actions lists (QA monitoring, progress minutes, deviations) included ?</t>
    </r>
  </si>
  <si>
    <t>XX-R-PM-0559</t>
  </si>
  <si>
    <r>
      <rPr>
        <b/>
        <sz val="10"/>
        <rFont val="Arial"/>
        <family val="2"/>
      </rPr>
      <t xml:space="preserve">Qualification support (only for software and design schedule)
</t>
    </r>
    <r>
      <rPr>
        <sz val="10"/>
        <rFont val="Arial"/>
        <family val="2"/>
      </rPr>
      <t>Support workload for qualification phase is planned</t>
    </r>
  </si>
  <si>
    <t>Change management, problem resolution and tests</t>
  </si>
  <si>
    <t>XX-R-PM-0558</t>
  </si>
  <si>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</si>
  <si>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t>XX-R-PM-0567</t>
  </si>
  <si>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</si>
  <si>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t>XX-R-PM-0568</t>
  </si>
  <si>
    <r>
      <rPr>
        <b/>
        <sz val="10"/>
        <rFont val="Arial"/>
        <family val="2"/>
      </rPr>
      <t xml:space="preserve">Change request (only for qualification schedule)
</t>
    </r>
    <r>
      <rPr>
        <sz val="10"/>
        <rFont val="Arial"/>
        <family val="2"/>
      </rPr>
      <t>Were all applicable requirements / specifications scheduled ?</t>
    </r>
  </si>
  <si>
    <t>Review criteria for
Other documents (when no specific checklist exists) (OTH)</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</si>
  <si>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</si>
  <si>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</si>
  <si>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</si>
  <si>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</si>
  <si>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Common model rules</t>
  </si>
  <si>
    <t>SW-R-REV-0924</t>
  </si>
  <si>
    <r>
      <rPr>
        <b/>
        <sz val="10"/>
        <rFont val="Arial"/>
        <family val="2"/>
      </rPr>
      <t>Tool Version</t>
    </r>
    <r>
      <rPr>
        <sz val="10"/>
        <rFont val="Arial"/>
        <family val="2"/>
      </rPr>
      <t xml:space="preserve">
Is the tool version consistent with the one selected by the project ?</t>
    </r>
  </si>
  <si>
    <t>SW-R-REV-0925</t>
  </si>
  <si>
    <r>
      <rPr>
        <b/>
        <sz val="10"/>
        <rFont val="Arial"/>
        <family val="2"/>
      </rPr>
      <t>Data Dictionary</t>
    </r>
    <r>
      <rPr>
        <sz val="10"/>
        <rFont val="Arial"/>
        <family val="2"/>
      </rPr>
      <t xml:space="preserve">
Does either a data dictionary associated to the model, or a file creating the workspace, exist ?</t>
    </r>
  </si>
  <si>
    <t>SW-R-REV-0926</t>
  </si>
  <si>
    <r>
      <rPr>
        <b/>
        <sz val="10"/>
        <rFont val="Arial"/>
        <family val="2"/>
      </rPr>
      <t>Naming and prefix</t>
    </r>
    <r>
      <rPr>
        <sz val="10"/>
        <rFont val="Arial"/>
        <family val="2"/>
      </rPr>
      <t xml:space="preserve">
Do the model and its associated files have a name containing the same unique prefix of the component ?</t>
    </r>
  </si>
  <si>
    <t>SW-R-REV-0927</t>
  </si>
  <si>
    <r>
      <rPr>
        <b/>
        <sz val="10"/>
        <rFont val="Arial"/>
        <family val="2"/>
      </rPr>
      <t>Compilation</t>
    </r>
    <r>
      <rPr>
        <sz val="10"/>
        <rFont val="Arial"/>
        <family val="2"/>
      </rPr>
      <t xml:space="preserve">
Can the model and its associated files (stored in the configuration management tool) be compiled again (validated by the tool) ?</t>
    </r>
  </si>
  <si>
    <t>SW-R-REV-0928</t>
  </si>
  <si>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</si>
  <si>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</si>
  <si>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t>SW-R-REV-0929</t>
  </si>
  <si>
    <r>
      <rPr>
        <b/>
        <sz val="10"/>
        <rFont val="Arial"/>
        <family val="2"/>
      </rPr>
      <t>Functional Design</t>
    </r>
    <r>
      <rPr>
        <sz val="10"/>
        <rFont val="Arial"/>
        <family val="2"/>
      </rPr>
      <t xml:space="preserve">
Is the sub system containing the functional design atomic ?</t>
    </r>
  </si>
  <si>
    <t>SW-R-REV-0930</t>
  </si>
  <si>
    <r>
      <rPr>
        <b/>
        <sz val="10"/>
        <rFont val="Arial"/>
        <family val="2"/>
      </rPr>
      <t>Test environment</t>
    </r>
    <r>
      <rPr>
        <sz val="10"/>
        <rFont val="Arial"/>
        <family val="2"/>
      </rPr>
      <t xml:space="preserve">
Is a test environment associated to the design model available ?</t>
    </r>
  </si>
  <si>
    <t>SW-R-REV-0931</t>
  </si>
  <si>
    <r>
      <rPr>
        <b/>
        <sz val="10"/>
        <rFont val="Arial"/>
        <family val="2"/>
      </rPr>
      <t>Naming</t>
    </r>
    <r>
      <rPr>
        <sz val="10"/>
        <rFont val="Arial"/>
        <family val="2"/>
      </rPr>
      <t xml:space="preserve">
Does each important or complex sub system have an explicit name in relation with its role and a note to explain this role ?</t>
    </r>
  </si>
  <si>
    <t>SW-R-REV-0932</t>
  </si>
  <si>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</si>
  <si>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</si>
  <si>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t>SW-R-REV-0933</t>
  </si>
  <si>
    <r>
      <rPr>
        <b/>
        <sz val="10"/>
        <rFont val="Arial"/>
        <family val="2"/>
      </rPr>
      <t>Interfaces</t>
    </r>
    <r>
      <rPr>
        <sz val="10"/>
        <rFont val="Arial"/>
        <family val="2"/>
      </rPr>
      <t xml:space="preserve">
Are the Autosar interfaces consistent with the official architecture .arxml file ?</t>
    </r>
  </si>
  <si>
    <t>SW-R-REV-0934</t>
  </si>
  <si>
    <r>
      <rPr>
        <b/>
        <sz val="10"/>
        <rFont val="Arial"/>
        <family val="2"/>
      </rPr>
      <t>Generated Code</t>
    </r>
    <r>
      <rPr>
        <sz val="10"/>
        <rFont val="Arial"/>
        <family val="2"/>
      </rPr>
      <t xml:space="preserve">
Is the generated code exclusively production embedded code ?</t>
    </r>
  </si>
  <si>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</si>
  <si>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</si>
  <si>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</si>
  <si>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r>
      <rPr>
        <b/>
        <sz val="10"/>
        <rFont val="Arial"/>
        <family val="2"/>
      </rPr>
      <t>Application project needs</t>
    </r>
    <r>
      <rPr>
        <sz val="10"/>
        <rFont val="Arial"/>
        <family val="2"/>
      </rPr>
      <t xml:space="preserve">
Is the code generation type in accordance with the application project needs: non Autosar / Autosar 3 / Autosar 4?</t>
    </r>
  </si>
  <si>
    <t>SW-R-REV-0937</t>
  </si>
  <si>
    <r>
      <rPr>
        <b/>
        <sz val="10"/>
        <rFont val="Arial"/>
        <family val="2"/>
      </rPr>
      <t>Compliance</t>
    </r>
    <r>
      <rPr>
        <sz val="10"/>
        <rFont val="Arial"/>
        <family val="2"/>
      </rPr>
      <t xml:space="preserve">
Does the production code complexity comply with AS150 expectations (check the STCYC rule)?</t>
    </r>
  </si>
  <si>
    <t>SW-R-REV-0938</t>
  </si>
  <si>
    <r>
      <rPr>
        <b/>
        <sz val="10"/>
        <rFont val="Arial"/>
        <family val="2"/>
      </rPr>
      <t>Compliance</t>
    </r>
    <r>
      <rPr>
        <sz val="10"/>
        <rFont val="Arial"/>
        <family val="2"/>
      </rPr>
      <t xml:space="preserve">
If a C function is shared between different models, is it either a referenced model or a S-function?</t>
    </r>
  </si>
  <si>
    <t>SW-R-REV-0939</t>
  </si>
  <si>
    <r>
      <rPr>
        <b/>
        <sz val="10"/>
        <rFont val="Arial"/>
        <family val="2"/>
      </rPr>
      <t>Comments</t>
    </r>
    <r>
      <rPr>
        <sz val="10"/>
        <rFont val="Arial"/>
        <family val="2"/>
      </rPr>
      <t xml:space="preserve">
Do the generated functions contain a comment to describe their role?</t>
    </r>
  </si>
  <si>
    <t>Test of the model</t>
  </si>
  <si>
    <t>SW-R-REV-0940</t>
  </si>
  <si>
    <r>
      <rPr>
        <b/>
        <sz val="10"/>
        <rFont val="Arial"/>
        <family val="2"/>
      </rPr>
      <t>Test scenario</t>
    </r>
    <r>
      <rPr>
        <sz val="10"/>
        <rFont val="Arial"/>
        <family val="2"/>
      </rPr>
      <t xml:space="preserve">
Does the document contain the test scenario and results ?</t>
    </r>
  </si>
  <si>
    <t>SW-R-REV-0941</t>
  </si>
  <si>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</si>
  <si>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t>SW-R-REV-0942</t>
  </si>
  <si>
    <r>
      <rPr>
        <b/>
        <sz val="10"/>
        <rFont val="Arial"/>
        <family val="2"/>
      </rPr>
      <t>Deviation</t>
    </r>
    <r>
      <rPr>
        <sz val="10"/>
        <rFont val="Arial"/>
        <family val="2"/>
      </rPr>
      <t xml:space="preserve">
Is any deviation to the Autoliv MBD test process documented ?</t>
    </r>
  </si>
  <si>
    <t>SW-R-REV-0943</t>
  </si>
  <si>
    <r>
      <rPr>
        <b/>
        <sz val="10"/>
        <rFont val="Arial"/>
        <family val="2"/>
      </rPr>
      <t>Revision</t>
    </r>
    <r>
      <rPr>
        <sz val="10"/>
        <rFont val="Arial"/>
        <family val="2"/>
      </rPr>
      <t xml:space="preserve">
Is the revision used to pass the MBD tests noticed in the results file ? </t>
    </r>
  </si>
  <si>
    <t>SW-R-REV-0944</t>
  </si>
  <si>
    <r>
      <rPr>
        <b/>
        <sz val="10"/>
        <rFont val="Arial"/>
        <family val="2"/>
      </rPr>
      <t>Robustness</t>
    </r>
    <r>
      <rPr>
        <sz val="10"/>
        <rFont val="Arial"/>
        <family val="2"/>
      </rPr>
      <t xml:space="preserve">
Is the robustness of the model design tested ?</t>
    </r>
  </si>
  <si>
    <t>SW-R-REV-0945</t>
  </si>
  <si>
    <r>
      <rPr>
        <b/>
        <sz val="10"/>
        <rFont val="Arial"/>
        <family val="2"/>
      </rPr>
      <t>Test Environment</t>
    </r>
    <r>
      <rPr>
        <sz val="10"/>
        <rFont val="Arial"/>
        <family val="2"/>
      </rPr>
      <t xml:space="preserve">
Is the test environment consistent with the application real time scheduling ?</t>
    </r>
  </si>
  <si>
    <t>Delivery</t>
  </si>
  <si>
    <t>SW-R-REV-0946</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</si>
  <si>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</si>
  <si>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t>Traceability</t>
  </si>
  <si>
    <t>SW-R-REV-0947</t>
  </si>
  <si>
    <r>
      <rPr>
        <b/>
        <sz val="10"/>
        <rFont val="Arial"/>
        <family val="2"/>
      </rPr>
      <t xml:space="preserve">Traceability </t>
    </r>
    <r>
      <rPr>
        <sz val="10"/>
        <rFont val="Arial"/>
        <family val="2"/>
      </rPr>
      <t xml:space="preserve">
Do elements of the model cover SW functional requirements using indirect and/or direct traceability ?
</t>
    </r>
  </si>
  <si>
    <t>SW-R-REV-0948</t>
  </si>
  <si>
    <r>
      <rPr>
        <b/>
        <sz val="10"/>
        <rFont val="Arial"/>
        <family val="2"/>
      </rPr>
      <t>Consistency</t>
    </r>
    <r>
      <rPr>
        <sz val="10"/>
        <rFont val="Arial"/>
        <family val="2"/>
      </rPr>
      <t xml:space="preserve">
Is consistency of the traceability checked ?</t>
    </r>
  </si>
  <si>
    <t>Review criteria for
Software detailed design (SDD)</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</si>
  <si>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</si>
  <si>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</si>
  <si>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</si>
  <si>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</si>
  <si>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</si>
  <si>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</si>
  <si>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</si>
  <si>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</si>
  <si>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</si>
  <si>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</si>
  <si>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</si>
  <si>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</si>
  <si>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</si>
  <si>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</si>
  <si>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</si>
  <si>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</si>
  <si>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</si>
  <si>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</si>
  <si>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</si>
  <si>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</si>
  <si>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</si>
  <si>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</si>
  <si>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</si>
  <si>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</si>
  <si>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</si>
  <si>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</si>
  <si>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</si>
  <si>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</si>
  <si>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</si>
  <si>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</si>
  <si>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Review criteria for
Code (CODE)</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</si>
  <si>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</si>
  <si>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</si>
  <si>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</si>
  <si>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</si>
  <si>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</si>
  <si>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</si>
  <si>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</si>
  <si>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</si>
  <si>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</si>
  <si>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</si>
  <si>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</si>
  <si>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</si>
  <si>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</si>
  <si>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</si>
  <si>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</si>
  <si>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</si>
  <si>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</si>
  <si>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</si>
  <si>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</si>
  <si>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</si>
  <si>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</si>
  <si>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</si>
  <si>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</si>
  <si>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</si>
  <si>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</si>
  <si>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</si>
  <si>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</si>
  <si>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</si>
  <si>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</si>
  <si>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</si>
  <si>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</si>
  <si>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</si>
  <si>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</si>
  <si>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</si>
  <si>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Review criteria for
Integration tests specifications and report (ITSR)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</si>
  <si>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</si>
  <si>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</si>
  <si>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</si>
  <si>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</si>
  <si>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</si>
  <si>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</si>
  <si>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</si>
  <si>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</si>
  <si>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</si>
  <si>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</si>
  <si>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</si>
  <si>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</si>
  <si>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SW-R-XX-0593</t>
  </si>
  <si>
    <r>
      <rPr>
        <b/>
        <sz val="10"/>
        <rFont val="Arial"/>
        <family val="2"/>
      </rPr>
      <t xml:space="preserve">Tests vs purpose
</t>
    </r>
    <r>
      <rPr>
        <sz val="10"/>
        <rFont val="Arial"/>
        <family val="2"/>
      </rPr>
      <t>For each test, are all test steps aligned with the test purpose?</t>
    </r>
  </si>
  <si>
    <t>SW-R-INT-0594</t>
  </si>
  <si>
    <r>
      <rPr>
        <b/>
        <sz val="10"/>
        <rFont val="Arial"/>
        <family val="2"/>
      </rPr>
      <t xml:space="preserve">Tests types
</t>
    </r>
    <r>
      <rPr>
        <sz val="10"/>
        <rFont val="Arial"/>
        <family val="2"/>
      </rPr>
      <t>Are all defined test types used in test cases ?
Note: Nominal, Endurance, Robustness, Qualification…</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</si>
  <si>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</si>
  <si>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</si>
  <si>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</si>
  <si>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</si>
  <si>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</si>
  <si>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</si>
  <si>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</si>
  <si>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</si>
  <si>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</si>
  <si>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</si>
  <si>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</si>
  <si>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</si>
  <si>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</si>
  <si>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</si>
  <si>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</si>
  <si>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</si>
  <si>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</si>
  <si>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</si>
  <si>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</si>
  <si>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Review criteria for
Unit Test specifications and report (UTSR)</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</si>
  <si>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</si>
  <si>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</si>
  <si>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</si>
  <si>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</si>
  <si>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</si>
  <si>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</si>
  <si>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</si>
  <si>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</si>
  <si>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</si>
  <si>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</si>
  <si>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</si>
  <si>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</si>
  <si>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</si>
  <si>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</si>
  <si>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</si>
  <si>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Review criteria for
Qualification Specification and Report (QSR)</t>
  </si>
  <si>
    <t>Review criteria for
Software work-product follow-up (SWPF)</t>
  </si>
  <si>
    <t>XX-R-CM-0599</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</si>
  <si>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</si>
  <si>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t>XX-R-CM-0600</t>
  </si>
  <si>
    <r>
      <rPr>
        <b/>
        <sz val="10"/>
        <rFont val="Arial"/>
        <family val="2"/>
      </rPr>
      <t xml:space="preserve">COTS
</t>
    </r>
    <r>
      <rPr>
        <sz val="10"/>
        <rFont val="Arial"/>
        <family val="2"/>
      </rPr>
      <t>If the COTS revisions is updated then does the customer agree ?</t>
    </r>
  </si>
  <si>
    <t>XX-R-CM-0601</t>
  </si>
  <si>
    <r>
      <rPr>
        <b/>
        <sz val="10"/>
        <rFont val="Arial"/>
        <family val="2"/>
      </rPr>
      <t>Delivery</t>
    </r>
    <r>
      <rPr>
        <sz val="10"/>
        <rFont val="Arial"/>
        <family val="2"/>
      </rPr>
      <t xml:space="preserve">
Is the Customer delivery tab fulfilled ? </t>
    </r>
  </si>
  <si>
    <t>XX-R-CM-0602</t>
  </si>
  <si>
    <r>
      <rPr>
        <b/>
        <sz val="10"/>
        <rFont val="Arial"/>
        <family val="2"/>
      </rPr>
      <t xml:space="preserve">Tools-Sources tabs 
</t>
    </r>
    <r>
      <rPr>
        <sz val="10"/>
        <rFont val="Arial"/>
        <family val="2"/>
      </rPr>
      <t>Are all Tools-Sources tabs fulfilled ?</t>
    </r>
  </si>
  <si>
    <t>Review criteria for
Process assets (procedure, method and template) (PA)</t>
  </si>
  <si>
    <t>ALL-R-CM-0631</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</si>
  <si>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</si>
  <si>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t>ALL-R-CM-0604</t>
  </si>
  <si>
    <r>
      <rPr>
        <b/>
        <sz val="10"/>
        <rFont val="Arial"/>
        <family val="2"/>
      </rPr>
      <t xml:space="preserve">Consistency
</t>
    </r>
    <r>
      <rPr>
        <sz val="10"/>
        <rFont val="Arial"/>
        <family val="2"/>
      </rPr>
      <t>Is this document consistent with other documents ?
Scope and interfaces are clear ?</t>
    </r>
  </si>
  <si>
    <t>ALL-R-CM-0605</t>
  </si>
  <si>
    <r>
      <rPr>
        <b/>
        <sz val="10"/>
        <rFont val="Arial"/>
        <family val="2"/>
      </rPr>
      <t xml:space="preserve">Readability
</t>
    </r>
    <r>
      <rPr>
        <sz val="10"/>
        <rFont val="Arial"/>
        <family val="2"/>
      </rPr>
      <t>is this document easy to read, easy to understand ?</t>
    </r>
  </si>
  <si>
    <t>ALL-R-CM-0606</t>
  </si>
  <si>
    <r>
      <rPr>
        <b/>
        <sz val="10"/>
        <rFont val="Arial"/>
        <family val="2"/>
      </rPr>
      <t xml:space="preserve">Usability
</t>
    </r>
    <r>
      <rPr>
        <sz val="10"/>
        <rFont val="Arial"/>
        <family val="2"/>
      </rPr>
      <t>are the concept inside this document usable and usefull ?</t>
    </r>
  </si>
  <si>
    <t>ALL-R-CM-0607</t>
  </si>
  <si>
    <r>
      <rPr>
        <b/>
        <sz val="10"/>
        <rFont val="Arial"/>
        <family val="2"/>
      </rPr>
      <t xml:space="preserve">Interfaces
</t>
    </r>
    <r>
      <rPr>
        <sz val="10"/>
        <rFont val="Arial"/>
        <family val="2"/>
      </rPr>
      <t>are the interfaces between this document and processes consistent ?</t>
    </r>
  </si>
  <si>
    <t>ALL-R-CM-0608</t>
  </si>
  <si>
    <r>
      <rPr>
        <b/>
        <sz val="10"/>
        <rFont val="Arial"/>
        <family val="2"/>
      </rPr>
      <t xml:space="preserve">CM rules
</t>
    </r>
    <r>
      <rPr>
        <sz val="10"/>
        <rFont val="Arial"/>
        <family val="2"/>
      </rPr>
      <t>are the naming convention respected ?</t>
    </r>
  </si>
  <si>
    <t>ALL-R-CM-0609</t>
  </si>
  <si>
    <r>
      <rPr>
        <b/>
        <sz val="10"/>
        <rFont val="Arial"/>
        <family val="2"/>
      </rPr>
      <t xml:space="preserve">Hyperlinks
</t>
    </r>
    <r>
      <rPr>
        <sz val="10"/>
        <rFont val="Arial"/>
        <family val="2"/>
      </rPr>
      <t>Are the hyperlinks working (no dead link) ?</t>
    </r>
  </si>
  <si>
    <t>ALL-R-CM-0610</t>
  </si>
  <si>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</si>
  <si>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t>ALL-R-CM-0603</t>
  </si>
  <si>
    <r>
      <rPr>
        <b/>
        <sz val="10"/>
        <rFont val="Arial"/>
        <family val="2"/>
      </rPr>
      <t xml:space="preserve">Acronyms
</t>
    </r>
    <r>
      <rPr>
        <sz val="10"/>
        <rFont val="Arial"/>
        <family val="2"/>
      </rPr>
      <t>Are all acronyms updated with the official acronyms list (currently in Sharepoint wiki) ?</t>
    </r>
  </si>
  <si>
    <t>ALL-R-CM-0632</t>
  </si>
  <si>
    <r>
      <rPr>
        <b/>
        <sz val="10"/>
        <rFont val="Arial"/>
        <family val="2"/>
      </rPr>
      <t xml:space="preserve">Spelling &amp; grammar
</t>
    </r>
    <r>
      <rPr>
        <sz val="10"/>
        <rFont val="Arial"/>
        <family val="2"/>
      </rPr>
      <t>Run spelling and grammar check prior to submitting asset for review.</t>
    </r>
  </si>
  <si>
    <t>Review criteria for
(sprint) backlog</t>
  </si>
  <si>
    <t>XX-R-PM-9001</t>
  </si>
  <si>
    <r>
      <rPr>
        <b/>
        <sz val="10"/>
        <rFont val="Arial"/>
        <family val="2"/>
      </rPr>
      <t>Fields completion</t>
    </r>
    <r>
      <rPr>
        <sz val="10"/>
        <rFont val="Arial"/>
        <family val="2"/>
      </rPr>
      <t xml:space="preserve">
All fields are being well documented e.g. estimation, priority, story points, traceability to requirements</t>
    </r>
  </si>
  <si>
    <t>Do a sampling</t>
  </si>
  <si>
    <t>XX-R-PM-9002</t>
  </si>
  <si>
    <r>
      <rPr>
        <b/>
        <sz val="10"/>
        <rFont val="Arial"/>
        <family val="2"/>
      </rPr>
      <t>Task dependency</t>
    </r>
    <r>
      <rPr>
        <sz val="10"/>
        <rFont val="Arial"/>
        <family val="2"/>
      </rPr>
      <t xml:space="preserve">
Dependency between tasks and/or stories are highlighted and managed</t>
    </r>
  </si>
  <si>
    <t>XX-R-PM-9003</t>
  </si>
  <si>
    <r>
      <rPr>
        <b/>
        <sz val="10"/>
        <rFont val="Arial"/>
        <family val="2"/>
      </rPr>
      <t xml:space="preserve">Right priority
</t>
    </r>
    <r>
      <rPr>
        <sz val="10"/>
        <rFont val="Arial"/>
        <family val="2"/>
      </rPr>
      <t>Elements of the backlog corresponds to the priority as defined within the project</t>
    </r>
  </si>
  <si>
    <t>XX-R-PM-9004</t>
  </si>
  <si>
    <r>
      <rPr>
        <b/>
        <sz val="10"/>
        <rFont val="Arial"/>
        <family val="2"/>
      </rPr>
      <t>Sprint feasibility :</t>
    </r>
    <r>
      <rPr>
        <sz val="10"/>
        <rFont val="Arial"/>
        <family val="2"/>
      </rPr>
      <t xml:space="preserve">
If previous sprint accuracy was under 90%, the feasability should be re-inforced by another mechanisme</t>
    </r>
  </si>
  <si>
    <t>Compare the previous sprint accuracy and check if the trend is compatible with this backlog</t>
  </si>
  <si>
    <t>XX-R-PM-9005</t>
  </si>
  <si>
    <r>
      <rPr>
        <b/>
        <sz val="10"/>
        <rFont val="Arial"/>
        <family val="2"/>
      </rPr>
      <t>Buffer for unplanned tasks</t>
    </r>
    <r>
      <rPr>
        <sz val="10"/>
        <rFont val="Arial"/>
        <family val="2"/>
      </rPr>
      <t xml:space="preserve">
Is a buffer mechanism is defined for interruption, unplanned bugs fix, unplanned maintenance, unformal meeting… (best practice : should be 20% of the global workload)</t>
    </r>
  </si>
  <si>
    <t>XX-R-PM-9006</t>
  </si>
  <si>
    <r>
      <rPr>
        <b/>
        <sz val="10"/>
        <rFont val="Arial"/>
        <family val="2"/>
      </rPr>
      <t>Vacation / trainings</t>
    </r>
    <r>
      <rPr>
        <sz val="10"/>
        <rFont val="Arial"/>
        <family val="2"/>
      </rPr>
      <t xml:space="preserve">
a mechanism shall assure that the vacation and trainings are considered</t>
    </r>
  </si>
  <si>
    <t>XX-R-PM-9007</t>
  </si>
  <si>
    <r>
      <rPr>
        <b/>
        <sz val="10"/>
        <rFont val="Arial"/>
        <family val="2"/>
      </rPr>
      <t>Risk</t>
    </r>
    <r>
      <rPr>
        <sz val="10"/>
        <rFont val="Arial"/>
        <family val="2"/>
      </rPr>
      <t xml:space="preserve">
Any risks during sprint planning respectively problems are also part of the backlog as activity</t>
    </r>
  </si>
  <si>
    <t>XX-R-PM-9008</t>
  </si>
  <si>
    <r>
      <rPr>
        <b/>
        <sz val="10"/>
        <rFont val="Arial"/>
        <family val="2"/>
      </rPr>
      <t>Definition of done (DoD)</t>
    </r>
    <r>
      <rPr>
        <sz val="10"/>
        <rFont val="Arial"/>
        <family val="2"/>
      </rPr>
      <t xml:space="preserve">
DoD exists in general (not specific to sprint backlog as such)</t>
    </r>
  </si>
  <si>
    <t>XX-R-PM-9009</t>
  </si>
  <si>
    <r>
      <rPr>
        <b/>
        <sz val="10"/>
        <rFont val="Arial"/>
        <family val="2"/>
      </rPr>
      <t xml:space="preserve">Sprint goal
</t>
    </r>
    <r>
      <rPr>
        <sz val="10"/>
        <rFont val="Arial"/>
        <family val="2"/>
      </rPr>
      <t>Is the sprint goal defined</t>
    </r>
  </si>
  <si>
    <t>Review criteria for
Threat Analysis and Risk Assessment  (TARA)</t>
  </si>
  <si>
    <t>Main</t>
  </si>
  <si>
    <t>CS-R-CS-1005</t>
  </si>
  <si>
    <t>Are assets identified?</t>
  </si>
  <si>
    <t>o Assets are identified and listed.
o Assets in the "1-2 ENISA assets" where analised for relevance and taken into acount if relevant</t>
  </si>
  <si>
    <t>CS-R-CS-1006</t>
  </si>
  <si>
    <t>Are damage scenarios identified?</t>
  </si>
  <si>
    <t>o Damage  Scenarios are identified for  each Security property
o If a security property is not having a damage scenaro identified there is a justification
o Damage scenario follows the sintax " &lt;undesired/ adverse consequence(s)&gt; due to &lt;non-function/ non-service&gt; caused by compromise of asset(s)/ cybersecurity property(ies)"</t>
  </si>
  <si>
    <t>CS-R-CS-1007</t>
  </si>
  <si>
    <t>Are cybersecurity properties C, I, A used as minimum?</t>
  </si>
  <si>
    <t>At least - Confidentiality  , Integrity and Availability are used as Security Property.
This can is to be extended up to Authenticity , Non-repudiation , Authorization or others can be used if directed by the OEM.</t>
  </si>
  <si>
    <t>CS-R-CS-1008</t>
  </si>
  <si>
    <t>Are damage scenarios assessed against potential adverse consequences for stakeholders in the independent impact categories of safety, financial, operational, and privacy (S, F, O, P)?</t>
  </si>
  <si>
    <t>o Damage  Scenarios are assesed and the coresponding scoring is given ( automatically filled)o Damage  Scenarios are identified for  each Security property</t>
  </si>
  <si>
    <t>CS-R-CS-1009</t>
  </si>
  <si>
    <t>Are further impact categories beyond S, F, O and P used? If yes, are those categories documented?</t>
  </si>
  <si>
    <t>CS-R-CS-1010</t>
  </si>
  <si>
    <t>Are safety related impacts classification corelated to HARA?</t>
  </si>
  <si>
    <t>o HARA is available and has been checked that the safety related impacts are matching HARA scoring. This is relavant even for the QM projects.</t>
  </si>
  <si>
    <t>CS-R-CS-1011</t>
  </si>
  <si>
    <t>Are threat scenarios identified and  analyzed to describe possible attack paths?</t>
  </si>
  <si>
    <t>CS-R-CS-1012</t>
  </si>
  <si>
    <t>Is the attack feasibility rating for each attack path determined as one of the following: high, medium, low, very low?</t>
  </si>
  <si>
    <t>o attack feasability vallue is automatically calculated and it is present for all the damage scenarios.</t>
  </si>
  <si>
    <t>CS-R-CS-1013</t>
  </si>
  <si>
    <t>Is the rating method based on one of the following assessment approaches: a) attack potential-based approach; b) CVSS2 based approach; or c) attack vector-based approach?</t>
  </si>
  <si>
    <t>CS-R-CS-1014</t>
  </si>
  <si>
    <t>If an attack potential-based approach is used, it should be determined based on core factors including elapsed time, specialist expertise, knowledge of the item or component, window of opportunity, and equipment. Is this the case?</t>
  </si>
  <si>
    <t>CS-R-CS-1015</t>
  </si>
  <si>
    <t>Is the risk value of a threat scenario determined from the impact of the associated damage scenario and the attack feasibility of the associated attack paths?</t>
  </si>
  <si>
    <t>CS-R-CS-1016</t>
  </si>
  <si>
    <t>Is a risk treatment decision documented for each damage scenario?</t>
  </si>
  <si>
    <t>o check that each damage scenario has a risk treatment decision documented.</t>
  </si>
  <si>
    <t>Review criteria for
Cybersecurity interface agreement  (CIA)</t>
  </si>
  <si>
    <t>CS-R-CS-1017</t>
  </si>
  <si>
    <t>Are responsabilities defined for each activity on both parts ( Customer - Supplier) ?</t>
  </si>
  <si>
    <t>o Check that an "X" is marked for each deliverable on both supplier and customer</t>
  </si>
  <si>
    <t>CS-R-CS-1018</t>
  </si>
  <si>
    <t xml:space="preserve">If a certain actifity is marked as not applicable are the rationaly for tailoring  documentd? </t>
  </si>
  <si>
    <t xml:space="preserve">o Check that justification exists for  deliverable where responsibility is not defient at custoemr or supplie or both  in the column "  " Rationale for tailoring" </t>
  </si>
  <si>
    <t>CS-R-CS-1019</t>
  </si>
  <si>
    <t>Is the level of confidentiality defiend for each deliverable?</t>
  </si>
  <si>
    <t>o Check that each deliverable has assigned a level of confidentiality</t>
  </si>
  <si>
    <t>CS-R-CS-1020</t>
  </si>
  <si>
    <t>Is the Target milestone docuemnted in the CIA?</t>
  </si>
  <si>
    <t>o Check if a milestone or date is defined for each deliverable</t>
  </si>
  <si>
    <t>CS-R-CS-1021</t>
  </si>
  <si>
    <t>Are the detals of the company ( Name , location )  and the responsible persons names identified on both Customer and Supplier?</t>
  </si>
  <si>
    <t>o  Check that contacts and company information exists in the documents . 
At minimum : Company Name and adress  , Name of the persons, Fucntion and contact e-mail,</t>
  </si>
  <si>
    <t>CS-R-CS-1022</t>
  </si>
  <si>
    <t xml:space="preserve">If applicable:  are any other aditional Agreements documented in the sheet " Aditional Agreement" </t>
  </si>
  <si>
    <t>o Chack that is documented if applicable</t>
  </si>
  <si>
    <t>CS-R-CS-1023</t>
  </si>
  <si>
    <t>Is there a proof that both parties have agreed the final version of the CIA? ( writen signature or e-mail confirmations )</t>
  </si>
  <si>
    <t>o Check that evidence for agreements is available</t>
  </si>
  <si>
    <t>Review criteria for
Cybersecurity Item Definition (CSItemDef)</t>
  </si>
  <si>
    <t>CS-R-CS-1024</t>
  </si>
  <si>
    <t>Is the purpose and the functionality of the Item defined?</t>
  </si>
  <si>
    <t>CS-R-CS-1025</t>
  </si>
  <si>
    <t>Is a premilinary system architecture decribed including Communication Architecture and Relevant System elements?</t>
  </si>
  <si>
    <t>CS-R-CS-1026</t>
  </si>
  <si>
    <t xml:space="preserve">Are the system interfaces with  items internal to the vehicle and/or with E/E systems external to the vehicle are described? </t>
  </si>
  <si>
    <t>CS-R-CS-1027</t>
  </si>
  <si>
    <t>Are the elements of the item and item boundary documented?</t>
  </si>
  <si>
    <t>CS-R-CS-1028</t>
  </si>
  <si>
    <t>Are the information about the operational environment of the item relevant to cybersecurity described?</t>
  </si>
  <si>
    <t>CS-R-CS-1029</t>
  </si>
  <si>
    <t>Is the cybersecurity relevancy for the item determined and documented?</t>
  </si>
  <si>
    <t>TARA checklist</t>
  </si>
  <si>
    <t>CIA checklist</t>
  </si>
  <si>
    <t>CSItemDef checklist</t>
  </si>
  <si>
    <t>AEM PROCESS 1.26.00</t>
  </si>
  <si>
    <t>2022-11</t>
  </si>
  <si>
    <t>Process Improvement</t>
  </si>
  <si>
    <t>Add TARA , CIA , Item Definition checklists</t>
  </si>
  <si>
    <t>Review Definition =&gt; more details in : Review methods (in Stages)</t>
  </si>
  <si>
    <t>AEM PROCESS 2.28.00</t>
  </si>
  <si>
    <t>2023-03</t>
  </si>
  <si>
    <t>Rename AEF1007 to TEM107 - Peer Review Workbook (PRWB)</t>
  </si>
  <si>
    <t>Is the test specification created according to the test strategy defined in the plan?</t>
  </si>
  <si>
    <t>Is the correct testing type and technique applied?</t>
  </si>
  <si>
    <t>Are all equipement listed individually for every test bench with assigned owner?</t>
  </si>
  <si>
    <t>Are the names, roles and template version correcly defined?</t>
  </si>
  <si>
    <t>This document is a collection of review checklists for these disciplines :
- Software</t>
  </si>
  <si>
    <t>272502 VW VWA VN 41S1_NAR EL SB</t>
  </si>
  <si>
    <t>eCS_MCC</t>
  </si>
  <si>
    <t>Minor</t>
  </si>
  <si>
    <t>See Overview Tab</t>
  </si>
  <si>
    <t>No findigs</t>
  </si>
  <si>
    <t>VCH</t>
  </si>
  <si>
    <t>CGA</t>
  </si>
  <si>
    <t>OK</t>
  </si>
  <si>
    <t>MIC Test Specification- Peer Review Workbook (PRWB).xlsm</t>
  </si>
  <si>
    <t>Sw_Int_MIC_pclNvmIfServices_01.txt</t>
  </si>
  <si>
    <t>Sw_Int_MIC_pseRunEepromMemoryCorruption_01.txt</t>
  </si>
  <si>
    <t>Sw_Int_MIC_pseRunPFlashMemoryCorruption_01.txt</t>
  </si>
  <si>
    <t>Sw_Int_MIC_pseRunRamMemoryCorruption_01.txt</t>
  </si>
  <si>
    <t>05.04.2023</t>
  </si>
  <si>
    <t>Cornel Albu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</si>
</sst>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amily val="2"/>
    </font>
    <font>
      <b/>
      <sz val="5"/>
      <color theme="0" tint="-0.34998626667073579"/>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s>
  <cellStyleXfs count="37">
    <xf numFmtId="0" fontId="0" fillId="0" borderId="0"/>
    <xf numFmtId="0" fontId="56" fillId="6" borderId="14" applyNumberFormat="0" applyAlignment="0" applyProtection="0"/>
    <xf numFmtId="0" fontId="57" fillId="0" borderId="0" applyNumberFormat="0" applyFill="0" applyBorder="0" applyAlignment="0" applyProtection="0"/>
    <xf numFmtId="0" fontId="25" fillId="0" borderId="0"/>
    <xf numFmtId="0" fontId="51" fillId="0" borderId="0"/>
    <xf numFmtId="0" fontId="55" fillId="0" borderId="0"/>
    <xf numFmtId="0" fontId="25" fillId="0" borderId="0"/>
    <xf numFmtId="0" fontId="31" fillId="0" borderId="0"/>
    <xf numFmtId="0" fontId="58" fillId="6" borderId="15" applyNumberFormat="0" applyAlignment="0" applyProtection="0"/>
    <xf numFmtId="0" fontId="24" fillId="0" borderId="0"/>
    <xf numFmtId="0" fontId="23" fillId="0" borderId="0"/>
    <xf numFmtId="0" fontId="22" fillId="0" borderId="0"/>
    <xf numFmtId="0" fontId="85" fillId="25" borderId="14" applyNumberFormat="0" applyAlignment="0" applyProtection="0"/>
    <xf numFmtId="0" fontId="86" fillId="26" borderId="0" applyNumberFormat="0" applyBorder="0" applyAlignment="0" applyProtection="0"/>
    <xf numFmtId="0" fontId="21" fillId="27" borderId="0" applyNumberFormat="0" applyBorder="0" applyAlignment="0" applyProtection="0"/>
    <xf numFmtId="0" fontId="25" fillId="0" borderId="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0" borderId="0"/>
    <xf numFmtId="0" fontId="86" fillId="33"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106" fillId="0" borderId="0" applyNumberFormat="0" applyFill="0" applyBorder="0" applyAlignment="0" applyProtection="0"/>
    <xf numFmtId="0" fontId="6" fillId="27" borderId="0" applyNumberFormat="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27" borderId="0" applyNumberFormat="0" applyBorder="0" applyAlignment="0" applyProtection="0"/>
    <xf numFmtId="0" fontId="2" fillId="27" borderId="0" applyNumberFormat="0" applyBorder="0" applyAlignment="0" applyProtection="0"/>
  </cellStyleXfs>
  <cellXfs count="330">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6" fillId="3" borderId="12" xfId="0" applyFont="1" applyFill="1" applyBorder="1" applyAlignment="1">
      <alignment horizontal="center" wrapText="1"/>
    </xf>
    <xf numFmtId="0" fontId="0" fillId="2" borderId="0" xfId="0" applyFill="1" applyAlignment="1">
      <alignment horizontal="center"/>
    </xf>
    <xf numFmtId="0" fontId="2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5" fillId="0" borderId="1" xfId="0" applyFont="1" applyBorder="1" applyAlignment="1">
      <alignment vertical="center" wrapText="1"/>
    </xf>
    <xf numFmtId="0" fontId="25" fillId="3" borderId="1" xfId="0" applyFont="1" applyFill="1" applyBorder="1" applyAlignment="1">
      <alignment horizontal="center" vertical="center" wrapText="1"/>
    </xf>
    <xf numFmtId="0" fontId="25" fillId="2" borderId="0" xfId="0" applyFont="1" applyFill="1" applyAlignment="1">
      <alignment wrapText="1"/>
    </xf>
    <xf numFmtId="0" fontId="59" fillId="7" borderId="0" xfId="0" applyFont="1" applyFill="1" applyAlignment="1">
      <alignment horizontal="center" vertical="center" wrapText="1"/>
    </xf>
    <xf numFmtId="0" fontId="59" fillId="0" borderId="0" xfId="0" applyFont="1" applyAlignment="1">
      <alignment horizontal="center" vertical="center" wrapText="1"/>
    </xf>
    <xf numFmtId="0" fontId="59" fillId="0" borderId="0" xfId="0" applyFont="1" applyAlignment="1">
      <alignment vertical="center"/>
    </xf>
    <xf numFmtId="0" fontId="59" fillId="0" borderId="0" xfId="0" applyFont="1" applyAlignment="1">
      <alignment vertical="center" wrapText="1"/>
    </xf>
    <xf numFmtId="0" fontId="46" fillId="2" borderId="2" xfId="0" applyFont="1" applyFill="1" applyBorder="1"/>
    <xf numFmtId="0" fontId="25" fillId="2" borderId="0" xfId="0" applyFont="1" applyFill="1" applyAlignment="1">
      <alignment horizontal="center"/>
    </xf>
    <xf numFmtId="0" fontId="0" fillId="8" borderId="0" xfId="0" applyFill="1" applyAlignment="1">
      <alignment horizontal="center"/>
    </xf>
    <xf numFmtId="0" fontId="25" fillId="2" borderId="1" xfId="0" applyFont="1" applyFill="1" applyBorder="1" applyAlignment="1">
      <alignment horizontal="center" wrapText="1"/>
    </xf>
    <xf numFmtId="0" fontId="25" fillId="2"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0" fillId="2" borderId="5" xfId="0" applyFill="1" applyBorder="1" applyAlignment="1">
      <alignment wrapText="1"/>
    </xf>
    <xf numFmtId="0" fontId="25" fillId="2" borderId="0" xfId="0" applyFont="1" applyFill="1"/>
    <xf numFmtId="0" fontId="26" fillId="9" borderId="1" xfId="0" applyFont="1" applyFill="1" applyBorder="1" applyAlignment="1">
      <alignment horizontal="center" vertical="center" wrapText="1"/>
    </xf>
    <xf numFmtId="0" fontId="25" fillId="2" borderId="10" xfId="0" applyFont="1" applyFill="1" applyBorder="1"/>
    <xf numFmtId="0" fontId="59"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5" fillId="8" borderId="0" xfId="0" applyFont="1" applyFill="1" applyAlignment="1">
      <alignment horizontal="center" vertical="center"/>
    </xf>
    <xf numFmtId="0" fontId="25" fillId="8" borderId="1" xfId="0" applyFont="1" applyFill="1" applyBorder="1" applyAlignment="1">
      <alignment horizontal="center" vertical="center"/>
    </xf>
    <xf numFmtId="0" fontId="25" fillId="13" borderId="1" xfId="0" applyFont="1" applyFill="1" applyBorder="1" applyAlignment="1">
      <alignment horizontal="center" vertical="center" wrapText="1"/>
    </xf>
    <xf numFmtId="0" fontId="25"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9" fillId="8" borderId="0" xfId="0" applyFont="1" applyFill="1" applyAlignment="1">
      <alignment horizontal="center" vertical="center" wrapText="1"/>
    </xf>
    <xf numFmtId="0" fontId="59" fillId="8" borderId="0" xfId="0" applyFont="1" applyFill="1" applyAlignment="1">
      <alignment vertical="center"/>
    </xf>
    <xf numFmtId="0" fontId="0" fillId="8" borderId="0" xfId="0" applyFill="1" applyAlignment="1">
      <alignment vertical="center"/>
    </xf>
    <xf numFmtId="0" fontId="0" fillId="8" borderId="0" xfId="0" applyFill="1"/>
    <xf numFmtId="0" fontId="28" fillId="14" borderId="1" xfId="0" applyFont="1" applyFill="1" applyBorder="1" applyAlignment="1">
      <alignment horizontal="center" vertical="center" wrapText="1"/>
    </xf>
    <xf numFmtId="0" fontId="59" fillId="0" borderId="0" xfId="0" applyFont="1" applyAlignment="1">
      <alignment horizontal="center" vertical="center"/>
    </xf>
    <xf numFmtId="14" fontId="0" fillId="13" borderId="1" xfId="0" applyNumberFormat="1" applyFill="1" applyBorder="1" applyAlignment="1">
      <alignment horizontal="center" vertical="center" wrapText="1"/>
    </xf>
    <xf numFmtId="0" fontId="25" fillId="13" borderId="1" xfId="0" applyFont="1" applyFill="1" applyBorder="1" applyAlignment="1">
      <alignment horizontal="center" vertical="center"/>
    </xf>
    <xf numFmtId="0" fontId="0" fillId="13" borderId="1" xfId="0" applyFill="1" applyBorder="1" applyAlignment="1">
      <alignment horizontal="center" vertical="center"/>
    </xf>
    <xf numFmtId="0" fontId="25" fillId="2" borderId="5" xfId="0" applyFont="1" applyFill="1" applyBorder="1" applyAlignment="1">
      <alignment wrapText="1"/>
    </xf>
    <xf numFmtId="0" fontId="25" fillId="10" borderId="0" xfId="0" applyFont="1" applyFill="1" applyAlignment="1">
      <alignment horizontal="left" vertical="center"/>
    </xf>
    <xf numFmtId="0" fontId="25" fillId="12" borderId="0" xfId="0" applyFont="1" applyFill="1" applyAlignment="1">
      <alignment horizontal="left" vertical="center"/>
    </xf>
    <xf numFmtId="0" fontId="25" fillId="15" borderId="0" xfId="0" applyFont="1" applyFill="1" applyAlignment="1">
      <alignment horizontal="left" vertical="center"/>
    </xf>
    <xf numFmtId="0" fontId="25" fillId="13" borderId="0" xfId="0" applyFont="1" applyFill="1" applyAlignment="1">
      <alignment horizontal="left" vertical="center"/>
    </xf>
    <xf numFmtId="0" fontId="25" fillId="2" borderId="1" xfId="0" applyFont="1" applyFill="1" applyBorder="1"/>
    <xf numFmtId="0" fontId="25" fillId="0" borderId="1" xfId="0" applyFont="1" applyBorder="1" applyAlignment="1">
      <alignment horizontal="center" vertical="center"/>
    </xf>
    <xf numFmtId="14" fontId="25" fillId="0" borderId="1" xfId="0" applyNumberFormat="1" applyFont="1" applyBorder="1" applyAlignment="1">
      <alignment horizontal="center" vertical="center" wrapText="1"/>
    </xf>
    <xf numFmtId="0" fontId="0" fillId="2" borderId="0" xfId="0" applyFill="1" applyAlignment="1">
      <alignment horizontal="center" wrapText="1"/>
    </xf>
    <xf numFmtId="0" fontId="25" fillId="3" borderId="12" xfId="0" applyFont="1" applyFill="1" applyBorder="1" applyAlignment="1">
      <alignment horizontal="center" vertical="center" wrapText="1"/>
    </xf>
    <xf numFmtId="0" fontId="56" fillId="6" borderId="1" xfId="1" applyBorder="1" applyAlignment="1">
      <alignment horizontal="center"/>
    </xf>
    <xf numFmtId="0" fontId="60" fillId="6" borderId="15" xfId="8" applyFont="1" applyAlignment="1">
      <alignment horizontal="center"/>
    </xf>
    <xf numFmtId="0" fontId="60" fillId="6" borderId="17" xfId="8" applyFont="1" applyBorder="1" applyAlignment="1">
      <alignment horizontal="center"/>
    </xf>
    <xf numFmtId="0" fontId="56" fillId="6" borderId="1" xfId="1" applyBorder="1" applyAlignment="1">
      <alignment horizontal="center" vertical="center"/>
    </xf>
    <xf numFmtId="0" fontId="25"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5" fillId="2" borderId="8" xfId="0" applyFont="1" applyFill="1" applyBorder="1" applyAlignment="1">
      <alignment wrapText="1" shrinkToFit="1"/>
    </xf>
    <xf numFmtId="0" fontId="25" fillId="0" borderId="0" xfId="3" applyAlignment="1">
      <alignment vertical="center"/>
    </xf>
    <xf numFmtId="0" fontId="29" fillId="0" borderId="0" xfId="3" applyFont="1" applyAlignment="1">
      <alignment vertical="center" wrapText="1"/>
    </xf>
    <xf numFmtId="164" fontId="29" fillId="0" borderId="0" xfId="3" applyNumberFormat="1" applyFont="1" applyAlignment="1">
      <alignment horizontal="center" vertical="center" wrapText="1"/>
    </xf>
    <xf numFmtId="20" fontId="29" fillId="0" borderId="0" xfId="3" applyNumberFormat="1" applyFont="1" applyAlignment="1">
      <alignment vertical="center" wrapText="1"/>
    </xf>
    <xf numFmtId="0" fontId="29" fillId="0" borderId="0" xfId="3" applyFont="1" applyAlignment="1">
      <alignment horizontal="left" vertical="center" wrapText="1"/>
    </xf>
    <xf numFmtId="0" fontId="61" fillId="0" borderId="0" xfId="3" quotePrefix="1" applyFont="1" applyAlignment="1">
      <alignment horizontal="right" vertical="center"/>
    </xf>
    <xf numFmtId="0" fontId="30" fillId="0" borderId="0" xfId="3" applyFont="1" applyAlignment="1">
      <alignment horizontal="left" vertical="center" wrapText="1"/>
    </xf>
    <xf numFmtId="0" fontId="25" fillId="0" borderId="0" xfId="3" applyAlignment="1">
      <alignment vertical="center" shrinkToFit="1"/>
    </xf>
    <xf numFmtId="0" fontId="63" fillId="0" borderId="0" xfId="3" applyFont="1" applyAlignment="1">
      <alignment horizontal="left" vertical="center" shrinkToFit="1"/>
    </xf>
    <xf numFmtId="0" fontId="26" fillId="0" borderId="0" xfId="3" applyFont="1" applyAlignment="1">
      <alignment horizontal="left" vertical="center" shrinkToFit="1"/>
    </xf>
    <xf numFmtId="0" fontId="25" fillId="0" borderId="0" xfId="3" applyAlignment="1" applyProtection="1">
      <alignment vertical="center"/>
      <protection locked="0"/>
    </xf>
    <xf numFmtId="0" fontId="25" fillId="0" borderId="0" xfId="3" applyAlignment="1" applyProtection="1">
      <alignment vertical="center" shrinkToFit="1"/>
      <protection locked="0"/>
    </xf>
    <xf numFmtId="0" fontId="68" fillId="0" borderId="2" xfId="3" applyFont="1" applyBorder="1" applyAlignment="1" applyProtection="1">
      <alignment horizontal="left" vertical="center" wrapText="1" shrinkToFit="1"/>
      <protection locked="0"/>
    </xf>
    <xf numFmtId="0" fontId="69" fillId="0" borderId="0" xfId="3" applyFont="1" applyAlignment="1" applyProtection="1">
      <alignment horizontal="left" vertical="center" shrinkToFit="1"/>
      <protection locked="0"/>
    </xf>
    <xf numFmtId="0" fontId="68" fillId="0" borderId="0" xfId="3" applyFont="1" applyAlignment="1" applyProtection="1">
      <alignment horizontal="left" vertical="center" wrapText="1" shrinkToFit="1"/>
      <protection locked="0"/>
    </xf>
    <xf numFmtId="0" fontId="69" fillId="0" borderId="3" xfId="3" applyFont="1" applyBorder="1" applyAlignment="1" applyProtection="1">
      <alignment horizontal="left" vertical="center" shrinkToFit="1"/>
      <protection locked="0"/>
    </xf>
    <xf numFmtId="0" fontId="72" fillId="0" borderId="0" xfId="3" applyFont="1" applyAlignment="1" applyProtection="1">
      <alignment vertical="center"/>
      <protection locked="0"/>
    </xf>
    <xf numFmtId="0" fontId="73" fillId="0" borderId="0" xfId="3" applyFont="1" applyAlignment="1" applyProtection="1">
      <alignment horizontal="center" vertical="center"/>
      <protection locked="0"/>
    </xf>
    <xf numFmtId="0" fontId="24" fillId="8" borderId="0" xfId="9" applyFill="1"/>
    <xf numFmtId="0" fontId="74" fillId="0" borderId="0" xfId="3" applyFont="1" applyAlignment="1">
      <alignment horizontal="right" vertical="center"/>
    </xf>
    <xf numFmtId="0" fontId="75" fillId="0" borderId="18" xfId="3" applyFont="1" applyBorder="1" applyAlignment="1" applyProtection="1">
      <alignment vertical="center"/>
      <protection locked="0"/>
    </xf>
    <xf numFmtId="0" fontId="25" fillId="0" borderId="18" xfId="3" applyBorder="1" applyAlignment="1" applyProtection="1">
      <alignment vertical="center"/>
      <protection locked="0"/>
    </xf>
    <xf numFmtId="0" fontId="76" fillId="0" borderId="0" xfId="3" applyFont="1" applyAlignment="1" applyProtection="1">
      <alignment horizontal="left" vertical="center"/>
      <protection locked="0"/>
    </xf>
    <xf numFmtId="0" fontId="33" fillId="0" borderId="0" xfId="3" applyFont="1" applyAlignment="1" applyProtection="1">
      <alignment horizontal="left" vertical="center"/>
      <protection locked="0"/>
    </xf>
    <xf numFmtId="0" fontId="54" fillId="0" borderId="0" xfId="3" applyFont="1" applyAlignment="1" applyProtection="1">
      <alignment vertical="center"/>
      <protection locked="0"/>
    </xf>
    <xf numFmtId="0" fontId="26" fillId="0" borderId="0" xfId="3" applyFont="1" applyAlignment="1" applyProtection="1">
      <alignment vertical="center"/>
      <protection locked="0"/>
    </xf>
    <xf numFmtId="49" fontId="77" fillId="0" borderId="0" xfId="3" applyNumberFormat="1" applyFont="1" applyAlignment="1" applyProtection="1">
      <alignment horizontal="left" vertical="center"/>
      <protection locked="0"/>
    </xf>
    <xf numFmtId="49" fontId="25" fillId="0" borderId="0" xfId="3" applyNumberFormat="1" applyAlignment="1">
      <alignment horizontal="center" vertical="center" wrapText="1"/>
    </xf>
    <xf numFmtId="49" fontId="25" fillId="0" borderId="0" xfId="3" applyNumberFormat="1" applyAlignment="1" applyProtection="1">
      <alignment horizontal="left" vertical="center" wrapText="1"/>
      <protection locked="0"/>
    </xf>
    <xf numFmtId="49" fontId="25" fillId="0" borderId="0" xfId="3" applyNumberFormat="1" applyAlignment="1">
      <alignment horizontal="left" vertical="center" wrapText="1"/>
    </xf>
    <xf numFmtId="14" fontId="25" fillId="0" borderId="0" xfId="3" applyNumberFormat="1" applyAlignment="1" applyProtection="1">
      <alignment vertical="center"/>
      <protection locked="0"/>
    </xf>
    <xf numFmtId="0" fontId="78" fillId="0" borderId="0" xfId="3" applyFont="1" applyAlignment="1" applyProtection="1">
      <alignment horizontal="left" vertical="center"/>
      <protection locked="0"/>
    </xf>
    <xf numFmtId="0" fontId="25" fillId="0" borderId="0" xfId="3" applyAlignment="1">
      <alignment horizontal="left" vertical="center" wrapText="1"/>
    </xf>
    <xf numFmtId="0" fontId="75" fillId="0" borderId="5" xfId="3" applyFont="1" applyBorder="1" applyAlignment="1" applyProtection="1">
      <alignment vertical="center"/>
      <protection locked="0"/>
    </xf>
    <xf numFmtId="49" fontId="25" fillId="0" borderId="5" xfId="3" applyNumberFormat="1" applyBorder="1" applyAlignment="1" applyProtection="1">
      <alignment horizontal="left" vertical="center" wrapText="1"/>
      <protection locked="0"/>
    </xf>
    <xf numFmtId="0" fontId="25" fillId="0" borderId="5" xfId="3" applyBorder="1" applyAlignment="1">
      <alignment horizontal="left" vertical="center" wrapText="1"/>
    </xf>
    <xf numFmtId="0" fontId="75" fillId="0" borderId="0" xfId="3" applyFont="1" applyAlignment="1" applyProtection="1">
      <alignment vertical="center"/>
      <protection locked="0"/>
    </xf>
    <xf numFmtId="49" fontId="25" fillId="0" borderId="0" xfId="3" applyNumberFormat="1" applyAlignment="1" applyProtection="1">
      <alignment horizontal="left" vertical="center"/>
      <protection locked="0"/>
    </xf>
    <xf numFmtId="0" fontId="25" fillId="0" borderId="0" xfId="3" applyAlignment="1">
      <alignment horizontal="left" vertical="center"/>
    </xf>
    <xf numFmtId="0" fontId="26" fillId="2" borderId="1" xfId="0" applyFont="1" applyFill="1" applyBorder="1" applyAlignment="1">
      <alignment horizontal="center" vertical="center"/>
    </xf>
    <xf numFmtId="0" fontId="25" fillId="21" borderId="0" xfId="0" applyFont="1" applyFill="1" applyAlignment="1">
      <alignment horizontal="left" vertical="top" wrapText="1"/>
    </xf>
    <xf numFmtId="0" fontId="25" fillId="21" borderId="0" xfId="0" applyFont="1" applyFill="1" applyAlignment="1">
      <alignment wrapText="1"/>
    </xf>
    <xf numFmtId="0" fontId="0" fillId="21" borderId="0" xfId="0" applyFill="1" applyAlignment="1">
      <alignment wrapText="1"/>
    </xf>
    <xf numFmtId="0" fontId="25" fillId="9" borderId="0" xfId="0" applyFont="1" applyFill="1" applyAlignment="1">
      <alignment wrapText="1"/>
    </xf>
    <xf numFmtId="0" fontId="0" fillId="9" borderId="0" xfId="0" applyFill="1" applyAlignment="1">
      <alignment wrapText="1"/>
    </xf>
    <xf numFmtId="0" fontId="25" fillId="2" borderId="2" xfId="0" applyFont="1" applyFill="1" applyBorder="1" applyAlignment="1">
      <alignment horizontal="right"/>
    </xf>
    <xf numFmtId="0" fontId="0" fillId="2" borderId="4" xfId="0" applyFill="1" applyBorder="1" applyAlignment="1">
      <alignment horizontal="right"/>
    </xf>
    <xf numFmtId="0" fontId="22" fillId="0" borderId="0" xfId="11"/>
    <xf numFmtId="0" fontId="28" fillId="10" borderId="1" xfId="0" applyFont="1" applyFill="1" applyBorder="1" applyAlignment="1">
      <alignment horizontal="center" vertical="center" wrapText="1"/>
    </xf>
    <xf numFmtId="0" fontId="87" fillId="12" borderId="1" xfId="0" applyFont="1" applyFill="1" applyBorder="1" applyAlignment="1">
      <alignment horizontal="center" vertical="center" wrapText="1"/>
    </xf>
    <xf numFmtId="0" fontId="28" fillId="11" borderId="1" xfId="0" applyFont="1" applyFill="1" applyBorder="1" applyAlignment="1">
      <alignment horizontal="center" vertical="center" wrapText="1"/>
    </xf>
    <xf numFmtId="14" fontId="28" fillId="11" borderId="1" xfId="0" applyNumberFormat="1" applyFont="1" applyFill="1" applyBorder="1" applyAlignment="1">
      <alignment horizontal="center" vertical="center" wrapText="1"/>
    </xf>
    <xf numFmtId="0" fontId="48" fillId="8" borderId="0" xfId="0" applyFont="1" applyFill="1" applyAlignment="1">
      <alignment horizontal="center" vertical="center"/>
    </xf>
    <xf numFmtId="0" fontId="48" fillId="8" borderId="0" xfId="0" applyFont="1" applyFill="1" applyAlignment="1">
      <alignment vertical="center"/>
    </xf>
    <xf numFmtId="0" fontId="48" fillId="0" borderId="0" xfId="0" applyFont="1" applyAlignment="1">
      <alignment vertical="center"/>
    </xf>
    <xf numFmtId="0" fontId="28" fillId="0" borderId="0" xfId="0" applyFont="1" applyAlignment="1">
      <alignment vertical="center"/>
    </xf>
    <xf numFmtId="0" fontId="56" fillId="6" borderId="14" xfId="1"/>
    <xf numFmtId="0" fontId="89" fillId="29" borderId="20" xfId="14" applyFont="1" applyFill="1" applyBorder="1" applyAlignment="1" applyProtection="1">
      <alignment horizontal="center" vertical="center" wrapText="1"/>
      <protection locked="0"/>
    </xf>
    <xf numFmtId="0" fontId="90" fillId="13" borderId="20" xfId="14" applyFont="1" applyFill="1" applyBorder="1" applyAlignment="1" applyProtection="1">
      <alignment horizontal="center" vertical="center" wrapText="1"/>
    </xf>
    <xf numFmtId="0" fontId="89" fillId="7" borderId="1" xfId="14" applyFont="1" applyFill="1" applyBorder="1" applyAlignment="1">
      <alignment horizontal="left" vertical="center"/>
    </xf>
    <xf numFmtId="0" fontId="85" fillId="25" borderId="14" xfId="12" applyAlignment="1">
      <alignment horizontal="center" vertical="center"/>
    </xf>
    <xf numFmtId="0" fontId="89" fillId="7" borderId="1" xfId="14" applyFont="1" applyFill="1" applyBorder="1" applyAlignment="1">
      <alignment horizontal="center" vertical="center"/>
    </xf>
    <xf numFmtId="0" fontId="25" fillId="5" borderId="0" xfId="15" applyFill="1" applyAlignment="1">
      <alignment vertical="center"/>
    </xf>
    <xf numFmtId="0" fontId="25" fillId="5" borderId="0" xfId="15" applyFill="1" applyAlignment="1">
      <alignment vertical="center" wrapText="1"/>
    </xf>
    <xf numFmtId="0" fontId="25" fillId="0" borderId="1" xfId="3" applyBorder="1" applyAlignment="1">
      <alignment vertical="center"/>
    </xf>
    <xf numFmtId="0" fontId="27" fillId="5" borderId="0" xfId="15" applyFont="1" applyFill="1" applyAlignment="1">
      <alignment vertical="center"/>
    </xf>
    <xf numFmtId="0" fontId="64" fillId="30" borderId="10" xfId="15" applyFont="1" applyFill="1" applyBorder="1" applyAlignment="1">
      <alignment vertical="center"/>
    </xf>
    <xf numFmtId="0" fontId="95" fillId="30" borderId="19" xfId="15" applyFont="1" applyFill="1" applyBorder="1" applyAlignment="1">
      <alignment vertical="center" wrapText="1"/>
    </xf>
    <xf numFmtId="0" fontId="25" fillId="5" borderId="1" xfId="15" applyFill="1" applyBorder="1" applyAlignment="1">
      <alignment vertical="center"/>
    </xf>
    <xf numFmtId="0" fontId="96" fillId="5" borderId="1" xfId="15" applyFont="1" applyFill="1" applyBorder="1" applyAlignment="1">
      <alignment horizontal="center" vertical="center"/>
    </xf>
    <xf numFmtId="0" fontId="25" fillId="5" borderId="1" xfId="15" applyFill="1" applyBorder="1" applyAlignment="1">
      <alignment vertical="center" wrapText="1"/>
    </xf>
    <xf numFmtId="0" fontId="64" fillId="31" borderId="10" xfId="15" applyFont="1" applyFill="1" applyBorder="1" applyAlignment="1">
      <alignment vertical="center"/>
    </xf>
    <xf numFmtId="0" fontId="34" fillId="31" borderId="8" xfId="15" applyFont="1" applyFill="1" applyBorder="1" applyAlignment="1">
      <alignment horizontal="center" vertical="center" wrapText="1"/>
    </xf>
    <xf numFmtId="0" fontId="95" fillId="31" borderId="19" xfId="15" applyFont="1" applyFill="1" applyBorder="1" applyAlignment="1">
      <alignment vertical="center" wrapText="1"/>
    </xf>
    <xf numFmtId="0" fontId="95" fillId="31" borderId="11" xfId="15" applyFont="1" applyFill="1" applyBorder="1" applyAlignment="1">
      <alignment vertical="center" wrapText="1"/>
    </xf>
    <xf numFmtId="0" fontId="34" fillId="30" borderId="19" xfId="15" applyFont="1" applyFill="1" applyBorder="1" applyAlignment="1">
      <alignment vertical="center" wrapText="1"/>
    </xf>
    <xf numFmtId="0" fontId="0" fillId="0" borderId="0" xfId="0" applyAlignment="1" applyProtection="1">
      <alignment vertical="center"/>
      <protection locked="0"/>
    </xf>
    <xf numFmtId="0" fontId="76" fillId="0" borderId="0" xfId="0" applyFont="1" applyAlignment="1" applyProtection="1">
      <alignment horizontal="left" vertical="center"/>
      <protection locked="0"/>
    </xf>
    <xf numFmtId="0" fontId="25" fillId="0" borderId="1" xfId="15" applyBorder="1" applyAlignment="1">
      <alignment vertical="center" wrapText="1"/>
    </xf>
    <xf numFmtId="0" fontId="102" fillId="32" borderId="21" xfId="3" applyFont="1" applyFill="1" applyBorder="1" applyAlignment="1" applyProtection="1">
      <alignment horizontal="center" vertical="center" textRotation="45" wrapText="1"/>
      <protection locked="0"/>
    </xf>
    <xf numFmtId="0" fontId="25" fillId="0" borderId="0" xfId="3"/>
    <xf numFmtId="0" fontId="25" fillId="0" borderId="1" xfId="3" applyBorder="1" applyAlignment="1" applyProtection="1">
      <alignment horizontal="center" vertical="center"/>
      <protection locked="0"/>
    </xf>
    <xf numFmtId="0" fontId="25" fillId="0" borderId="1" xfId="3" applyBorder="1" applyAlignment="1">
      <alignment vertical="center" wrapText="1"/>
    </xf>
    <xf numFmtId="0" fontId="25" fillId="0" borderId="20" xfId="3" applyBorder="1" applyAlignment="1" applyProtection="1">
      <alignment horizontal="center" vertical="center"/>
      <protection locked="0"/>
    </xf>
    <xf numFmtId="0" fontId="25" fillId="0" borderId="1" xfId="3" applyBorder="1" applyAlignment="1" applyProtection="1">
      <alignment wrapText="1"/>
      <protection locked="0"/>
    </xf>
    <xf numFmtId="0" fontId="25" fillId="0" borderId="1" xfId="3" applyBorder="1" applyAlignment="1" applyProtection="1">
      <alignment horizontal="center" vertical="center" wrapText="1"/>
      <protection locked="0"/>
    </xf>
    <xf numFmtId="0" fontId="25" fillId="0" borderId="0" xfId="3" applyAlignment="1" applyProtection="1">
      <alignment horizontal="center" vertical="center"/>
      <protection locked="0"/>
    </xf>
    <xf numFmtId="0" fontId="25" fillId="0" borderId="0" xfId="3" applyAlignment="1" applyProtection="1">
      <alignment wrapText="1"/>
      <protection locked="0"/>
    </xf>
    <xf numFmtId="0" fontId="25" fillId="0" borderId="0" xfId="3" applyAlignment="1" applyProtection="1">
      <alignment horizontal="center" vertical="center" wrapText="1"/>
      <protection locked="0"/>
    </xf>
    <xf numFmtId="0" fontId="101" fillId="0" borderId="0" xfId="3" applyFont="1" applyAlignment="1">
      <alignment textRotation="45"/>
    </xf>
    <xf numFmtId="0" fontId="25" fillId="0" borderId="28" xfId="3" applyBorder="1" applyAlignment="1">
      <alignment horizontal="center"/>
    </xf>
    <xf numFmtId="0" fontId="25" fillId="0" borderId="29" xfId="3" applyBorder="1"/>
    <xf numFmtId="0" fontId="25" fillId="0" borderId="29" xfId="3" applyBorder="1" applyAlignment="1">
      <alignment horizontal="center"/>
    </xf>
    <xf numFmtId="0" fontId="25" fillId="0" borderId="28" xfId="3" applyBorder="1"/>
    <xf numFmtId="0" fontId="25" fillId="0" borderId="0" xfId="3" applyAlignment="1">
      <alignment horizontal="center"/>
    </xf>
    <xf numFmtId="0" fontId="25" fillId="0" borderId="30" xfId="3" applyBorder="1"/>
    <xf numFmtId="0" fontId="86" fillId="33" borderId="26" xfId="28" applyBorder="1" applyAlignment="1">
      <alignment horizontal="center" vertical="center" textRotation="45" wrapText="1"/>
    </xf>
    <xf numFmtId="0" fontId="86" fillId="33" borderId="27" xfId="28" applyBorder="1" applyAlignment="1">
      <alignment horizontal="center" vertical="center" textRotation="45" wrapText="1"/>
    </xf>
    <xf numFmtId="0" fontId="86" fillId="33" borderId="21" xfId="28" applyBorder="1" applyAlignment="1" applyProtection="1">
      <alignment horizontal="center" vertical="center" textRotation="45" wrapText="1"/>
      <protection locked="0"/>
    </xf>
    <xf numFmtId="0" fontId="86" fillId="33" borderId="22" xfId="28" applyBorder="1" applyAlignment="1" applyProtection="1">
      <alignment horizontal="center" vertical="center" textRotation="45" wrapText="1"/>
      <protection locked="0"/>
    </xf>
    <xf numFmtId="0" fontId="86" fillId="33" borderId="1" xfId="28" applyBorder="1" applyAlignment="1" applyProtection="1">
      <alignment horizontal="center" vertical="center" textRotation="45" wrapText="1"/>
      <protection locked="0"/>
    </xf>
    <xf numFmtId="0" fontId="86" fillId="33" borderId="23" xfId="28" applyBorder="1" applyAlignment="1" applyProtection="1">
      <alignment horizontal="center" vertical="center" textRotation="45" wrapText="1"/>
      <protection locked="0"/>
    </xf>
    <xf numFmtId="0" fontId="86" fillId="33" borderId="24" xfId="28" applyBorder="1" applyAlignment="1" applyProtection="1">
      <alignment horizontal="center" vertical="center" textRotation="45" wrapText="1"/>
      <protection locked="0"/>
    </xf>
    <xf numFmtId="0" fontId="86" fillId="33" borderId="25" xfId="28" applyBorder="1" applyAlignment="1" applyProtection="1">
      <alignment horizontal="center" vertical="center" textRotation="45" wrapText="1"/>
      <protection locked="0"/>
    </xf>
    <xf numFmtId="0" fontId="86" fillId="33" borderId="1" xfId="28" applyBorder="1" applyAlignment="1">
      <alignment horizontal="center" vertical="center"/>
    </xf>
    <xf numFmtId="0" fontId="103" fillId="0" borderId="2" xfId="0" applyFont="1" applyBorder="1" applyAlignment="1">
      <alignment horizontal="right" vertical="center"/>
    </xf>
    <xf numFmtId="0" fontId="105" fillId="0" borderId="0" xfId="0" applyFont="1" applyAlignment="1">
      <alignment wrapText="1"/>
    </xf>
    <xf numFmtId="0" fontId="86" fillId="7" borderId="1" xfId="14" applyFont="1" applyFill="1" applyBorder="1" applyAlignment="1">
      <alignment horizontal="center" vertical="center"/>
    </xf>
    <xf numFmtId="0" fontId="106" fillId="8" borderId="0" xfId="31" applyFill="1" applyAlignment="1">
      <alignment horizontal="center" wrapText="1"/>
    </xf>
    <xf numFmtId="0" fontId="28" fillId="3" borderId="12" xfId="0" applyFont="1" applyFill="1" applyBorder="1" applyAlignment="1">
      <alignment horizontal="center" vertical="center" wrapText="1"/>
    </xf>
    <xf numFmtId="0" fontId="28" fillId="3" borderId="16" xfId="0" applyFont="1" applyFill="1" applyBorder="1" applyAlignment="1">
      <alignment horizontal="center" vertical="center" wrapText="1"/>
    </xf>
    <xf numFmtId="0" fontId="28" fillId="3" borderId="1" xfId="0" applyFont="1" applyFill="1" applyBorder="1" applyAlignment="1">
      <alignment horizontal="center" vertical="center" wrapText="1"/>
    </xf>
    <xf numFmtId="0" fontId="56" fillId="6" borderId="16" xfId="1" applyBorder="1" applyAlignment="1">
      <alignment horizontal="center" vertical="center"/>
    </xf>
    <xf numFmtId="0" fontId="26" fillId="2" borderId="1" xfId="0" applyFont="1" applyFill="1" applyBorder="1" applyAlignment="1">
      <alignment horizontal="center"/>
    </xf>
    <xf numFmtId="0" fontId="64" fillId="35" borderId="12" xfId="15" applyFont="1" applyFill="1" applyBorder="1" applyAlignment="1">
      <alignment horizontal="center" vertical="center" textRotation="45" wrapText="1"/>
    </xf>
    <xf numFmtId="0" fontId="93" fillId="35" borderId="12" xfId="15" applyFont="1" applyFill="1" applyBorder="1" applyAlignment="1">
      <alignment horizontal="center" vertical="center" wrapText="1"/>
    </xf>
    <xf numFmtId="0" fontId="79" fillId="35" borderId="1" xfId="15" applyFont="1" applyFill="1" applyBorder="1" applyAlignment="1">
      <alignment horizontal="center" vertical="center" textRotation="45" wrapText="1"/>
    </xf>
    <xf numFmtId="0" fontId="79" fillId="35" borderId="1" xfId="15" applyFont="1" applyFill="1" applyBorder="1" applyAlignment="1">
      <alignment horizontal="center" vertical="center" wrapText="1"/>
    </xf>
    <xf numFmtId="0" fontId="64" fillId="35" borderId="13" xfId="15" applyFont="1" applyFill="1" applyBorder="1" applyAlignment="1">
      <alignment horizontal="center" vertical="center"/>
    </xf>
    <xf numFmtId="0" fontId="94" fillId="35" borderId="13" xfId="15" applyFont="1" applyFill="1" applyBorder="1" applyAlignment="1">
      <alignment horizontal="center" vertical="center" wrapText="1"/>
    </xf>
    <xf numFmtId="9" fontId="107" fillId="6" borderId="14" xfId="1" applyNumberFormat="1" applyFont="1" applyAlignment="1">
      <alignment horizontal="center" vertical="center" wrapText="1"/>
    </xf>
    <xf numFmtId="0" fontId="64" fillId="35" borderId="7" xfId="15" applyFont="1" applyFill="1" applyBorder="1" applyAlignment="1">
      <alignment horizontal="center" vertical="center"/>
    </xf>
    <xf numFmtId="0" fontId="97" fillId="35" borderId="8" xfId="15" applyFont="1" applyFill="1" applyBorder="1" applyAlignment="1">
      <alignment horizontal="center" vertical="center" wrapText="1"/>
    </xf>
    <xf numFmtId="0" fontId="94" fillId="35" borderId="8" xfId="15" applyFont="1" applyFill="1" applyBorder="1" applyAlignment="1">
      <alignment horizontal="center" vertical="center" wrapText="1"/>
    </xf>
    <xf numFmtId="0" fontId="94"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4" fillId="15" borderId="0" xfId="0" applyFont="1" applyFill="1" applyAlignment="1">
      <alignment horizontal="center" wrapText="1"/>
    </xf>
    <xf numFmtId="0" fontId="46" fillId="15" borderId="0" xfId="0" applyFont="1" applyFill="1" applyAlignment="1">
      <alignment horizontal="center" wrapText="1"/>
    </xf>
    <xf numFmtId="0" fontId="34" fillId="7" borderId="0" xfId="0" applyFont="1" applyFill="1" applyAlignment="1">
      <alignment horizontal="center" wrapText="1"/>
    </xf>
    <xf numFmtId="0" fontId="108" fillId="7" borderId="0" xfId="0" applyFont="1" applyFill="1" applyAlignment="1">
      <alignment horizontal="center" vertical="center" wrapText="1"/>
    </xf>
    <xf numFmtId="0" fontId="89" fillId="29" borderId="12" xfId="35" applyFont="1" applyFill="1" applyBorder="1" applyAlignment="1">
      <alignment horizontal="center" vertical="center" wrapText="1"/>
    </xf>
    <xf numFmtId="0" fontId="34" fillId="7" borderId="0" xfId="3" applyFont="1" applyFill="1" applyAlignment="1">
      <alignment horizontal="center" wrapText="1"/>
    </xf>
    <xf numFmtId="0" fontId="108" fillId="7" borderId="0" xfId="3" applyFont="1" applyFill="1" applyAlignment="1">
      <alignment horizontal="center" vertical="center" wrapText="1"/>
    </xf>
    <xf numFmtId="0" fontId="0" fillId="0" borderId="12" xfId="0" applyBorder="1" applyAlignment="1">
      <alignment vertical="center" wrapText="1"/>
    </xf>
    <xf numFmtId="0" fontId="89" fillId="29" borderId="12" xfId="36" applyFont="1" applyFill="1" applyBorder="1" applyAlignment="1">
      <alignment horizontal="center" vertical="center" wrapText="1"/>
    </xf>
    <xf numFmtId="0" fontId="110" fillId="7" borderId="0" xfId="0" applyFont="1" applyFill="1" applyAlignment="1">
      <alignment horizontal="center" vertical="center" wrapText="1"/>
    </xf>
    <xf numFmtId="0" fontId="0" fillId="6" borderId="14" xfId="1" applyFont="1"/>
    <xf numFmtId="0" fontId="22" fillId="0" borderId="0" xfId="11" applyFill="1"/>
    <xf numFmtId="0" fontId="0" fillId="0" borderId="1" xfId="0" applyBorder="1"/>
    <xf numFmtId="0" fontId="73" fillId="0" borderId="0" xfId="3" applyFont="1" applyAlignment="1" applyProtection="1">
      <alignment horizontal="center" vertical="center" wrapText="1"/>
      <protection locked="0"/>
    </xf>
    <xf numFmtId="0" fontId="25" fillId="0" borderId="0" xfId="3" applyAlignment="1">
      <alignment vertical="center" wrapText="1"/>
    </xf>
    <xf numFmtId="0" fontId="64" fillId="16" borderId="2" xfId="3" applyFont="1" applyFill="1" applyBorder="1" applyAlignment="1" applyProtection="1">
      <alignment horizontal="center" vertical="center" shrinkToFit="1"/>
      <protection locked="0"/>
    </xf>
    <xf numFmtId="0" fontId="64" fillId="16" borderId="0" xfId="3" applyFont="1" applyFill="1" applyAlignment="1" applyProtection="1">
      <alignment horizontal="center" vertical="center" shrinkToFit="1"/>
      <protection locked="0"/>
    </xf>
    <xf numFmtId="0" fontId="64" fillId="16" borderId="3" xfId="3" applyFont="1" applyFill="1" applyBorder="1" applyAlignment="1" applyProtection="1">
      <alignment horizontal="center" vertical="center" shrinkToFit="1"/>
      <protection locked="0"/>
    </xf>
    <xf numFmtId="0" fontId="25" fillId="0" borderId="4" xfId="3" applyBorder="1" applyAlignment="1" applyProtection="1">
      <alignment horizontal="right" vertical="top" wrapText="1" shrinkToFit="1"/>
      <protection locked="0"/>
    </xf>
    <xf numFmtId="0" fontId="25" fillId="0" borderId="5" xfId="3" applyBorder="1" applyAlignment="1" applyProtection="1">
      <alignment horizontal="right" vertical="top" wrapText="1" shrinkToFit="1"/>
      <protection locked="0"/>
    </xf>
    <xf numFmtId="0" fontId="65" fillId="0" borderId="5" xfId="0" applyFont="1" applyBorder="1" applyAlignment="1" applyProtection="1">
      <alignment horizontal="left" vertical="top" wrapText="1" shrinkToFit="1"/>
      <protection locked="0"/>
    </xf>
    <xf numFmtId="0" fontId="65" fillId="0" borderId="6" xfId="0" applyFont="1" applyBorder="1" applyAlignment="1" applyProtection="1">
      <alignment horizontal="left" vertical="top" wrapText="1" shrinkToFit="1"/>
      <protection locked="0"/>
    </xf>
    <xf numFmtId="0" fontId="27" fillId="0" borderId="5" xfId="3" applyFont="1" applyBorder="1" applyAlignment="1" applyProtection="1">
      <alignment horizontal="left" vertical="top" wrapText="1" shrinkToFit="1"/>
      <protection locked="0"/>
    </xf>
    <xf numFmtId="0" fontId="67" fillId="0" borderId="5" xfId="3" applyFont="1" applyBorder="1" applyAlignment="1" applyProtection="1">
      <alignment horizontal="left" vertical="top" shrinkToFit="1"/>
      <protection locked="0"/>
    </xf>
    <xf numFmtId="0" fontId="67" fillId="0" borderId="6" xfId="3" applyFont="1" applyBorder="1" applyAlignment="1" applyProtection="1">
      <alignment horizontal="left" vertical="top" shrinkToFit="1"/>
      <protection locked="0"/>
    </xf>
    <xf numFmtId="0" fontId="64" fillId="16" borderId="7" xfId="3" applyFont="1" applyFill="1" applyBorder="1" applyAlignment="1" applyProtection="1">
      <alignment horizontal="center" vertical="center" shrinkToFit="1"/>
      <protection locked="0"/>
    </xf>
    <xf numFmtId="0" fontId="64" fillId="16" borderId="8" xfId="3" applyFont="1" applyFill="1" applyBorder="1" applyAlignment="1" applyProtection="1">
      <alignment horizontal="center" vertical="center" shrinkToFit="1"/>
      <protection locked="0"/>
    </xf>
    <xf numFmtId="0" fontId="64" fillId="16" borderId="9" xfId="3" applyFont="1" applyFill="1" applyBorder="1" applyAlignment="1" applyProtection="1">
      <alignment horizontal="center" vertical="center" shrinkToFit="1"/>
      <protection locked="0"/>
    </xf>
    <xf numFmtId="0" fontId="25" fillId="0" borderId="4" xfId="3" applyBorder="1" applyAlignment="1" applyProtection="1">
      <alignment horizontal="center" vertical="top" wrapText="1" shrinkToFit="1"/>
      <protection locked="0"/>
    </xf>
    <xf numFmtId="0" fontId="25" fillId="0" borderId="5" xfId="3" applyBorder="1" applyAlignment="1" applyProtection="1">
      <alignment horizontal="center" vertical="top" wrapText="1" shrinkToFit="1"/>
      <protection locked="0"/>
    </xf>
    <xf numFmtId="0" fontId="25" fillId="0" borderId="6" xfId="3" applyBorder="1" applyAlignment="1" applyProtection="1">
      <alignment horizontal="center" vertical="top" wrapText="1" shrinkToFit="1"/>
      <protection locked="0"/>
    </xf>
    <xf numFmtId="0" fontId="64" fillId="16" borderId="8" xfId="3" applyFont="1" applyFill="1" applyBorder="1" applyAlignment="1" applyProtection="1">
      <alignment horizontal="center" vertical="center" wrapText="1"/>
      <protection locked="0"/>
    </xf>
    <xf numFmtId="0" fontId="64" fillId="16" borderId="0" xfId="3" applyFont="1" applyFill="1" applyAlignment="1" applyProtection="1">
      <alignment horizontal="center" vertical="center" wrapText="1"/>
      <protection locked="0"/>
    </xf>
    <xf numFmtId="0" fontId="25" fillId="0" borderId="7" xfId="3" applyBorder="1" applyAlignment="1" applyProtection="1">
      <alignment horizontal="left" vertical="top" wrapText="1"/>
      <protection locked="0"/>
    </xf>
    <xf numFmtId="0" fontId="25" fillId="0" borderId="8" xfId="3" applyBorder="1" applyAlignment="1" applyProtection="1">
      <alignment horizontal="left" vertical="top"/>
      <protection locked="0"/>
    </xf>
    <xf numFmtId="0" fontId="25" fillId="0" borderId="9" xfId="3" applyBorder="1" applyAlignment="1" applyProtection="1">
      <alignment horizontal="left" vertical="top"/>
      <protection locked="0"/>
    </xf>
    <xf numFmtId="0" fontId="25" fillId="0" borderId="4" xfId="3" applyBorder="1" applyAlignment="1" applyProtection="1">
      <alignment horizontal="left" vertical="top"/>
      <protection locked="0"/>
    </xf>
    <xf numFmtId="0" fontId="25" fillId="0" borderId="5" xfId="3" applyBorder="1" applyAlignment="1" applyProtection="1">
      <alignment horizontal="left" vertical="top"/>
      <protection locked="0"/>
    </xf>
    <xf numFmtId="0" fontId="25" fillId="0" borderId="6" xfId="3" applyBorder="1" applyAlignment="1" applyProtection="1">
      <alignment horizontal="left" vertical="top"/>
      <protection locked="0"/>
    </xf>
    <xf numFmtId="0" fontId="64" fillId="16" borderId="2" xfId="3" applyFont="1" applyFill="1" applyBorder="1" applyAlignment="1" applyProtection="1">
      <alignment horizontal="center" vertical="center" wrapText="1" shrinkToFit="1"/>
      <protection locked="0"/>
    </xf>
    <xf numFmtId="0" fontId="64" fillId="16" borderId="0" xfId="3" applyFont="1" applyFill="1" applyAlignment="1" applyProtection="1">
      <alignment horizontal="center" vertical="center" wrapText="1" shrinkToFit="1"/>
      <protection locked="0"/>
    </xf>
    <xf numFmtId="0" fontId="85" fillId="25" borderId="14" xfId="12" applyAlignment="1" applyProtection="1">
      <alignment horizontal="center" vertical="center"/>
      <protection locked="0"/>
    </xf>
    <xf numFmtId="0" fontId="30" fillId="0" borderId="7" xfId="3" applyFont="1" applyBorder="1" applyAlignment="1">
      <alignment horizontal="left" vertical="center" wrapText="1"/>
    </xf>
    <xf numFmtId="0" fontId="30" fillId="0" borderId="8" xfId="3" applyFont="1" applyBorder="1" applyAlignment="1">
      <alignment horizontal="left" vertical="center" wrapText="1"/>
    </xf>
    <xf numFmtId="0" fontId="30" fillId="0" borderId="9" xfId="3" applyFont="1" applyBorder="1" applyAlignment="1">
      <alignment horizontal="left" vertical="center" wrapText="1"/>
    </xf>
    <xf numFmtId="0" fontId="30" fillId="0" borderId="7" xfId="3" applyFont="1" applyBorder="1" applyAlignment="1">
      <alignment horizontal="left" vertical="center" shrinkToFit="1"/>
    </xf>
    <xf numFmtId="0" fontId="30" fillId="0" borderId="8" xfId="3" applyFont="1" applyBorder="1" applyAlignment="1">
      <alignment horizontal="left" vertical="center" shrinkToFit="1"/>
    </xf>
    <xf numFmtId="0" fontId="30" fillId="0" borderId="9" xfId="3" applyFont="1" applyBorder="1" applyAlignment="1">
      <alignment horizontal="left" vertical="center" shrinkToFit="1"/>
    </xf>
    <xf numFmtId="0" fontId="62" fillId="0" borderId="4" xfId="0" applyFont="1" applyBorder="1" applyAlignment="1">
      <alignment horizontal="left" vertical="center" shrinkToFit="1"/>
    </xf>
    <xf numFmtId="0" fontId="62" fillId="0" borderId="5" xfId="0" applyFont="1" applyBorder="1" applyAlignment="1">
      <alignment horizontal="left" vertical="center" shrinkToFit="1"/>
    </xf>
    <xf numFmtId="0" fontId="62" fillId="0" borderId="6" xfId="0" applyFont="1" applyBorder="1" applyAlignment="1">
      <alignment horizontal="left" vertical="center" shrinkToFit="1"/>
    </xf>
    <xf numFmtId="0" fontId="62" fillId="0" borderId="4" xfId="3" applyFont="1" applyBorder="1" applyAlignment="1">
      <alignment horizontal="left" vertical="center" shrinkToFit="1"/>
    </xf>
    <xf numFmtId="0" fontId="62" fillId="0" borderId="5" xfId="3" applyFont="1" applyBorder="1" applyAlignment="1">
      <alignment horizontal="left" vertical="center" shrinkToFit="1"/>
    </xf>
    <xf numFmtId="0" fontId="62" fillId="0" borderId="6" xfId="3" applyFont="1" applyBorder="1" applyAlignment="1">
      <alignment horizontal="left" vertical="center" shrinkToFit="1"/>
    </xf>
    <xf numFmtId="0" fontId="43" fillId="18" borderId="1" xfId="3" applyFont="1" applyFill="1" applyBorder="1" applyAlignment="1" applyProtection="1">
      <alignment horizontal="center" vertical="center" wrapText="1"/>
      <protection locked="0"/>
    </xf>
    <xf numFmtId="0" fontId="25" fillId="0" borderId="1" xfId="3" applyBorder="1" applyAlignment="1">
      <alignment horizontal="center" vertical="center" wrapText="1"/>
    </xf>
    <xf numFmtId="49" fontId="25" fillId="0" borderId="1" xfId="3" applyNumberFormat="1" applyBorder="1" applyAlignment="1" applyProtection="1">
      <alignment vertical="center" wrapText="1"/>
      <protection locked="0"/>
    </xf>
    <xf numFmtId="49" fontId="25" fillId="0" borderId="1" xfId="3" applyNumberFormat="1" applyBorder="1" applyAlignment="1" applyProtection="1">
      <alignment horizontal="left" vertical="center" wrapText="1"/>
      <protection locked="0"/>
    </xf>
    <xf numFmtId="0" fontId="25" fillId="0" borderId="1" xfId="3" applyBorder="1" applyAlignment="1">
      <alignment horizontal="left" vertical="center" wrapText="1"/>
    </xf>
    <xf numFmtId="49" fontId="25" fillId="0" borderId="10" xfId="3" applyNumberFormat="1" applyBorder="1" applyAlignment="1" applyProtection="1">
      <alignment horizontal="center" vertical="center" wrapText="1"/>
      <protection locked="0"/>
    </xf>
    <xf numFmtId="49" fontId="25" fillId="0" borderId="19" xfId="3" applyNumberFormat="1" applyBorder="1" applyAlignment="1" applyProtection="1">
      <alignment horizontal="center" vertical="center" wrapText="1"/>
      <protection locked="0"/>
    </xf>
    <xf numFmtId="49" fontId="25" fillId="0" borderId="11" xfId="3" applyNumberFormat="1" applyBorder="1" applyAlignment="1" applyProtection="1">
      <alignment horizontal="center" vertical="center" wrapText="1"/>
      <protection locked="0"/>
    </xf>
    <xf numFmtId="0" fontId="25" fillId="0" borderId="10" xfId="3" applyBorder="1" applyAlignment="1">
      <alignment horizontal="left" vertical="center" wrapText="1"/>
    </xf>
    <xf numFmtId="0" fontId="25" fillId="0" borderId="19" xfId="3" applyBorder="1" applyAlignment="1">
      <alignment horizontal="left" vertical="center" wrapText="1"/>
    </xf>
    <xf numFmtId="0" fontId="25" fillId="0" borderId="11" xfId="3" applyBorder="1" applyAlignment="1">
      <alignment horizontal="left" vertical="center" wrapText="1"/>
    </xf>
    <xf numFmtId="0" fontId="57" fillId="0" borderId="10" xfId="2" applyBorder="1" applyAlignment="1">
      <alignment horizontal="left" vertical="center" wrapText="1"/>
    </xf>
    <xf numFmtId="49" fontId="25" fillId="0" borderId="1" xfId="3" applyNumberFormat="1" applyBorder="1" applyAlignment="1" applyProtection="1">
      <alignment horizontal="center" vertical="center" wrapText="1"/>
      <protection locked="0"/>
    </xf>
    <xf numFmtId="49" fontId="25" fillId="0" borderId="1" xfId="3" applyNumberFormat="1" applyBorder="1" applyAlignment="1">
      <alignment horizontal="center" vertical="center" wrapText="1"/>
    </xf>
    <xf numFmtId="14" fontId="25" fillId="0" borderId="10" xfId="3" applyNumberFormat="1" applyBorder="1" applyAlignment="1" applyProtection="1">
      <alignment horizontal="left" vertical="center" wrapText="1"/>
      <protection locked="0"/>
    </xf>
    <xf numFmtId="14" fontId="25" fillId="0" borderId="19" xfId="3" applyNumberFormat="1" applyBorder="1" applyAlignment="1" applyProtection="1">
      <alignment horizontal="left" vertical="center" wrapText="1"/>
      <protection locked="0"/>
    </xf>
    <xf numFmtId="14" fontId="25" fillId="0" borderId="11" xfId="3" applyNumberFormat="1" applyBorder="1" applyAlignment="1" applyProtection="1">
      <alignment horizontal="left" vertical="center" wrapText="1"/>
      <protection locked="0"/>
    </xf>
    <xf numFmtId="49" fontId="25" fillId="0" borderId="1" xfId="3" applyNumberFormat="1" applyBorder="1" applyAlignment="1">
      <alignment horizontal="left" vertical="center" wrapText="1"/>
    </xf>
    <xf numFmtId="0" fontId="79" fillId="20" borderId="1" xfId="3" applyFont="1" applyFill="1" applyBorder="1" applyAlignment="1">
      <alignment horizontal="center" vertical="center" wrapText="1"/>
    </xf>
    <xf numFmtId="49" fontId="25" fillId="19" borderId="1" xfId="3" applyNumberFormat="1" applyFill="1" applyBorder="1" applyAlignment="1" applyProtection="1">
      <alignment horizontal="center" vertical="center" wrapText="1"/>
      <protection locked="0"/>
    </xf>
    <xf numFmtId="49" fontId="25" fillId="22" borderId="1" xfId="3" applyNumberFormat="1" applyFill="1" applyBorder="1" applyAlignment="1" applyProtection="1">
      <alignment horizontal="center" vertical="center" wrapText="1"/>
      <protection locked="0"/>
    </xf>
    <xf numFmtId="49" fontId="25" fillId="34" borderId="1" xfId="3" applyNumberFormat="1" applyFill="1" applyBorder="1" applyAlignment="1" applyProtection="1">
      <alignment horizontal="center" vertical="center" wrapText="1"/>
      <protection locked="0"/>
    </xf>
    <xf numFmtId="49" fontId="59" fillId="24" borderId="1" xfId="3" applyNumberFormat="1" applyFont="1" applyFill="1" applyBorder="1" applyAlignment="1" applyProtection="1">
      <alignment horizontal="center" vertical="center" wrapText="1"/>
      <protection locked="0"/>
    </xf>
    <xf numFmtId="49" fontId="25" fillId="23" borderId="1" xfId="3" applyNumberFormat="1" applyFill="1" applyBorder="1" applyAlignment="1" applyProtection="1">
      <alignment horizontal="center" vertical="center" wrapText="1"/>
      <protection locked="0"/>
    </xf>
    <xf numFmtId="0" fontId="30" fillId="17" borderId="7" xfId="3" applyFont="1" applyFill="1" applyBorder="1" applyAlignment="1">
      <alignment horizontal="left" vertical="center" wrapText="1"/>
    </xf>
    <xf numFmtId="0" fontId="30" fillId="17" borderId="8" xfId="3" applyFont="1" applyFill="1" applyBorder="1" applyAlignment="1">
      <alignment horizontal="left" vertical="center" wrapText="1"/>
    </xf>
    <xf numFmtId="0" fontId="30" fillId="17" borderId="9" xfId="3" applyFont="1" applyFill="1" applyBorder="1" applyAlignment="1">
      <alignment horizontal="left" vertical="center" wrapTex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0" fontId="30" fillId="17" borderId="7" xfId="3" applyFont="1" applyFill="1" applyBorder="1" applyAlignment="1">
      <alignment horizontal="left" vertical="center" shrinkToFit="1"/>
    </xf>
    <xf numFmtId="0" fontId="30" fillId="17" borderId="8" xfId="3" applyFont="1" applyFill="1" applyBorder="1" applyAlignment="1">
      <alignment horizontal="left" vertical="center" shrinkToFit="1"/>
    </xf>
    <xf numFmtId="0" fontId="30" fillId="17" borderId="9" xfId="3" applyFont="1" applyFill="1" applyBorder="1" applyAlignment="1">
      <alignment horizontal="left" vertical="center" shrinkToFi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0" fontId="25" fillId="18" borderId="1" xfId="3" applyFill="1" applyBorder="1" applyAlignment="1" applyProtection="1">
      <alignment horizontal="center" vertical="center" wrapText="1"/>
      <protection locked="0"/>
    </xf>
    <xf numFmtId="0" fontId="98" fillId="2" borderId="10" xfId="7" applyFont="1" applyFill="1" applyBorder="1" applyAlignment="1">
      <alignment horizontal="center" vertical="center"/>
    </xf>
    <xf numFmtId="0" fontId="98" fillId="2" borderId="19" xfId="7" applyFont="1" applyFill="1" applyBorder="1" applyAlignment="1">
      <alignment horizontal="center" vertical="center"/>
    </xf>
    <xf numFmtId="0" fontId="98" fillId="2" borderId="11" xfId="7" applyFont="1" applyFill="1" applyBorder="1" applyAlignment="1">
      <alignment horizontal="center" vertical="center"/>
    </xf>
    <xf numFmtId="0" fontId="31" fillId="2" borderId="10" xfId="7" applyFill="1" applyBorder="1" applyAlignment="1">
      <alignment horizontal="justify" vertical="center" wrapText="1"/>
    </xf>
    <xf numFmtId="0" fontId="31" fillId="2" borderId="19" xfId="7" applyFill="1" applyBorder="1" applyAlignment="1">
      <alignment horizontal="justify" vertical="center" wrapText="1"/>
    </xf>
    <xf numFmtId="0" fontId="31" fillId="2" borderId="11" xfId="7" applyFill="1" applyBorder="1" applyAlignment="1">
      <alignment horizontal="justify" vertical="center" wrapText="1"/>
    </xf>
    <xf numFmtId="49" fontId="27" fillId="0" borderId="1" xfId="3" applyNumberFormat="1" applyFont="1" applyBorder="1" applyAlignment="1" applyProtection="1">
      <alignment horizontal="center" vertical="center" wrapText="1"/>
      <protection locked="0"/>
    </xf>
    <xf numFmtId="0" fontId="26" fillId="21" borderId="2" xfId="0" applyFont="1" applyFill="1" applyBorder="1" applyAlignment="1">
      <alignment horizontal="center" vertical="top" textRotation="45"/>
    </xf>
    <xf numFmtId="0" fontId="26" fillId="9" borderId="2" xfId="0" applyFont="1" applyFill="1" applyBorder="1" applyAlignment="1">
      <alignment horizontal="center" vertical="center" textRotation="45"/>
    </xf>
    <xf numFmtId="0" fontId="32" fillId="3" borderId="7" xfId="7" applyFont="1" applyFill="1" applyBorder="1" applyAlignment="1">
      <alignment horizontal="center" vertical="distributed"/>
    </xf>
    <xf numFmtId="0" fontId="32" fillId="3" borderId="8" xfId="7" applyFont="1" applyFill="1" applyBorder="1" applyAlignment="1">
      <alignment horizontal="center" vertical="distributed"/>
    </xf>
    <xf numFmtId="0" fontId="32" fillId="3" borderId="9" xfId="7" applyFont="1" applyFill="1" applyBorder="1" applyAlignment="1">
      <alignment horizontal="center" vertical="distributed"/>
    </xf>
    <xf numFmtId="0" fontId="26" fillId="3" borderId="7" xfId="0" applyFont="1" applyFill="1" applyBorder="1" applyAlignment="1">
      <alignment horizontal="center" wrapText="1"/>
    </xf>
    <xf numFmtId="0" fontId="26" fillId="3" borderId="8" xfId="0" applyFont="1" applyFill="1" applyBorder="1" applyAlignment="1">
      <alignment horizontal="center" wrapText="1"/>
    </xf>
    <xf numFmtId="0" fontId="26" fillId="3" borderId="9" xfId="0" applyFont="1" applyFill="1" applyBorder="1" applyAlignment="1">
      <alignment horizontal="center" wrapText="1"/>
    </xf>
    <xf numFmtId="0" fontId="25" fillId="2" borderId="10" xfId="0" applyFont="1" applyFill="1" applyBorder="1" applyAlignment="1">
      <alignment horizontal="left" vertical="center" wrapText="1" shrinkToFit="1"/>
    </xf>
    <xf numFmtId="0" fontId="25" fillId="2" borderId="11" xfId="0" applyFont="1" applyFill="1" applyBorder="1" applyAlignment="1">
      <alignment horizontal="left" vertical="center" wrapText="1" shrinkToFit="1"/>
    </xf>
    <xf numFmtId="0" fontId="88" fillId="28" borderId="4" xfId="13" applyFont="1" applyFill="1" applyBorder="1" applyAlignment="1" applyProtection="1">
      <alignment horizontal="center" vertical="center" wrapText="1"/>
      <protection locked="0"/>
    </xf>
    <xf numFmtId="0" fontId="88" fillId="28" borderId="5" xfId="13" applyFont="1" applyFill="1" applyBorder="1" applyAlignment="1" applyProtection="1">
      <alignment horizontal="center" vertical="center" wrapText="1"/>
      <protection locked="0"/>
    </xf>
    <xf numFmtId="0" fontId="88" fillId="28" borderId="6" xfId="13" applyFont="1" applyFill="1" applyBorder="1" applyAlignment="1" applyProtection="1">
      <alignment horizontal="center" vertical="center" wrapText="1"/>
      <protection locked="0"/>
    </xf>
    <xf numFmtId="0" fontId="88" fillId="16" borderId="4" xfId="13" applyFont="1" applyFill="1" applyBorder="1" applyAlignment="1" applyProtection="1">
      <alignment horizontal="center" vertical="center" wrapText="1"/>
    </xf>
    <xf numFmtId="0" fontId="88" fillId="16" borderId="5" xfId="13" applyFont="1" applyFill="1" applyBorder="1" applyAlignment="1" applyProtection="1">
      <alignment horizontal="center" vertical="center" wrapText="1"/>
    </xf>
    <xf numFmtId="0" fontId="85" fillId="25" borderId="14" xfId="12" applyAlignment="1">
      <alignment horizontal="left" vertical="center"/>
    </xf>
    <xf numFmtId="0" fontId="34" fillId="8" borderId="5" xfId="0" applyFont="1" applyFill="1" applyBorder="1" applyAlignment="1">
      <alignment horizontal="center" vertical="center"/>
    </xf>
    <xf numFmtId="0" fontId="34" fillId="8" borderId="6" xfId="0" applyFont="1" applyFill="1" applyBorder="1" applyAlignment="1">
      <alignment horizontal="center" vertical="center"/>
    </xf>
    <xf numFmtId="0" fontId="93" fillId="28" borderId="10" xfId="2" applyFont="1" applyFill="1" applyBorder="1" applyAlignment="1" applyProtection="1">
      <alignment horizontal="center" vertical="center" wrapText="1"/>
      <protection locked="0"/>
    </xf>
    <xf numFmtId="0" fontId="93" fillId="28" borderId="11" xfId="2" applyFont="1" applyFill="1" applyBorder="1" applyAlignment="1" applyProtection="1">
      <alignment horizontal="center" vertical="center" wrapText="1"/>
      <protection locked="0"/>
    </xf>
    <xf numFmtId="0" fontId="1" fillId="0" borderId="0" xfId="11" applyFont="1"/>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9" xfId="36" xr:uid="{02DB1118-E6C6-48DD-A19A-9C795D84ECE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566">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sharedStrings" Target="sharedStrings.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48"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26377</xdr:colOff>
      <xdr:row>0</xdr:row>
      <xdr:rowOff>0</xdr:rowOff>
    </xdr:from>
    <xdr:to>
      <xdr:col>5</xdr:col>
      <xdr:colOff>25644</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7" y="0"/>
          <a:ext cx="981075" cy="47718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135489" name="Object 1" hidden="1">
              <a:extLst>
                <a:ext uri="{63B3BB69-23CF-44E3-9099-C40C66FF867C}">
                  <a14:compatExt spid="_x0000_s3135489"/>
                </a:ext>
                <a:ext uri="{FF2B5EF4-FFF2-40B4-BE49-F238E27FC236}">
                  <a16:creationId xmlns:a16="http://schemas.microsoft.com/office/drawing/2014/main" id="{00000000-0008-0000-0800-000001D82F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139893</xdr:colOff>
      <xdr:row>1</xdr:row>
      <xdr:rowOff>498339</xdr:rowOff>
    </xdr:from>
    <xdr:ext cx="8615115" cy="2628220"/>
    <xdr:sp macro="" textlink="">
      <xdr:nvSpPr>
        <xdr:cNvPr id="2" name="Rectangle 1">
          <a:extLst>
            <a:ext uri="{FF2B5EF4-FFF2-40B4-BE49-F238E27FC236}">
              <a16:creationId xmlns:a16="http://schemas.microsoft.com/office/drawing/2014/main" id="{00000000-0008-0000-1F00-000002000000}"/>
            </a:ext>
          </a:extLst>
        </xdr:cNvPr>
        <xdr:cNvSpPr/>
      </xdr:nvSpPr>
      <xdr:spPr>
        <a:xfrm rot="20603488">
          <a:off x="975162" y="659531"/>
          <a:ext cx="8615115" cy="2628220"/>
        </a:xfrm>
        <a:prstGeom prst="rect">
          <a:avLst/>
        </a:prstGeom>
        <a:noFill/>
      </xdr:spPr>
      <xdr:txBody>
        <a:bodyPr wrap="none" lIns="91440" tIns="45720" rIns="91440" bIns="45720">
          <a:spAutoFit/>
        </a:bodyPr>
        <a:lstStyle/>
        <a:p>
          <a:pPr algn="ctr"/>
          <a:r>
            <a:rPr lang="en-US" sz="5400" b="1" cap="none" spc="0">
              <a:ln w="22225">
                <a:solidFill>
                  <a:schemeClr val="accent2"/>
                </a:solidFill>
                <a:prstDash val="solid"/>
              </a:ln>
              <a:solidFill>
                <a:schemeClr val="accent2">
                  <a:lumMod val="40000"/>
                  <a:lumOff val="60000"/>
                </a:schemeClr>
              </a:solidFill>
              <a:effectLst/>
            </a:rPr>
            <a:t>Draft</a:t>
          </a:r>
        </a:p>
        <a:p>
          <a:pPr algn="ctr"/>
          <a:endParaRPr lang="en-US" sz="5400" b="1" cap="none" spc="0">
            <a:ln w="22225">
              <a:solidFill>
                <a:schemeClr val="accent2"/>
              </a:solidFill>
              <a:prstDash val="solid"/>
            </a:ln>
            <a:solidFill>
              <a:schemeClr val="accent2">
                <a:lumMod val="40000"/>
                <a:lumOff val="60000"/>
              </a:schemeClr>
            </a:solidFill>
            <a:effectLst/>
          </a:endParaRPr>
        </a:p>
        <a:p>
          <a:pPr algn="ctr"/>
          <a:r>
            <a:rPr lang="en-US" sz="5400" b="1" cap="none" spc="0">
              <a:ln w="22225">
                <a:solidFill>
                  <a:schemeClr val="accent2"/>
                </a:solidFill>
                <a:prstDash val="solid"/>
              </a:ln>
              <a:solidFill>
                <a:schemeClr val="accent2">
                  <a:lumMod val="40000"/>
                  <a:lumOff val="60000"/>
                </a:schemeClr>
              </a:solidFill>
              <a:effectLst/>
            </a:rPr>
            <a:t>Not yet</a:t>
          </a:r>
          <a:r>
            <a:rPr lang="en-US" sz="5400" b="1" cap="none" spc="0" baseline="0">
              <a:ln w="22225">
                <a:solidFill>
                  <a:schemeClr val="accent2"/>
                </a:solidFill>
                <a:prstDash val="solid"/>
              </a:ln>
              <a:solidFill>
                <a:schemeClr val="accent2">
                  <a:lumMod val="40000"/>
                  <a:lumOff val="60000"/>
                </a:schemeClr>
              </a:solidFill>
              <a:effectLst/>
            </a:rPr>
            <a:t> officially released yet</a:t>
          </a:r>
        </a:p>
      </xdr:txBody>
    </xdr:sp>
    <xdr:clientData/>
  </xdr:oneCellAnchor>
  <xdr:twoCellAnchor>
    <xdr:from>
      <xdr:col>4</xdr:col>
      <xdr:colOff>1648558</xdr:colOff>
      <xdr:row>0</xdr:row>
      <xdr:rowOff>36634</xdr:rowOff>
    </xdr:from>
    <xdr:to>
      <xdr:col>6</xdr:col>
      <xdr:colOff>366347</xdr:colOff>
      <xdr:row>1</xdr:row>
      <xdr:rowOff>688731</xdr:rowOff>
    </xdr:to>
    <xdr:sp macro="" textlink="">
      <xdr:nvSpPr>
        <xdr:cNvPr id="3" name="Rectangle: Single Corner Snipped 2">
          <a:extLst>
            <a:ext uri="{FF2B5EF4-FFF2-40B4-BE49-F238E27FC236}">
              <a16:creationId xmlns:a16="http://schemas.microsoft.com/office/drawing/2014/main" id="{00000000-0008-0000-1F00-000003000000}"/>
            </a:ext>
          </a:extLst>
        </xdr:cNvPr>
        <xdr:cNvSpPr/>
      </xdr:nvSpPr>
      <xdr:spPr>
        <a:xfrm>
          <a:off x="9327173" y="36634"/>
          <a:ext cx="2820866" cy="813289"/>
        </a:xfrm>
        <a:prstGeom prst="snip1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t>Once the agreement is reached on the new questions, they must be migrated to the Question</a:t>
          </a:r>
          <a:r>
            <a:rPr lang="en-US" sz="1100" baseline="0"/>
            <a:t> Library (TEM486 - Master questions library.xlsm)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9" totalsRowShown="0" headerRowDxfId="1565" headerRowBorderDxfId="1564" tableBorderDxfId="1563" headerRowCellStyle="40% - Accent5" dataCellStyle="Normal 4">
  <autoFilter ref="A2:O19"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SUM(F3:O19)</calculatedColumnFormula>
    </tableColumn>
    <tableColumn id="6" xr3:uid="{DD9655BE-E53F-4CA5-885B-7FC10F8D2395}" name="VCH" dataCellStyle="Normal 4"/>
    <tableColumn id="7" xr3:uid="{525D8884-0C8A-4478-BF05-7E1372CD45F9}" name="CGA"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oleObject" Target="../embeddings/oleObject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8.xml"/><Relationship Id="rId1" Type="http://schemas.openxmlformats.org/officeDocument/2006/relationships/printerSettings" Target="../printerSettings/printerSettings32.bin"/><Relationship Id="rId4" Type="http://schemas.openxmlformats.org/officeDocument/2006/relationships/comments" Target="../comments26.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34.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35.v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abSelected="1" zoomScale="130" zoomScaleNormal="130" workbookViewId="0">
      <selection activeCell="E15" sqref="E15:AG15"/>
    </sheetView>
  </sheetViews>
  <sheetFormatPr defaultColWidth="0" defaultRowHeight="12.75" customHeight="1" zeroHeight="1"/>
  <cols>
    <col min="1" max="3" width="2.85546875" style="92" customWidth="1"/>
    <col min="4" max="4" width="3.28515625" style="92" customWidth="1"/>
    <col min="5" max="33" width="2.85546875" style="92" customWidth="1"/>
    <col min="34" max="34" width="1.28515625" style="92" customWidth="1"/>
    <col min="35" max="60" width="3.28515625" style="92" hidden="1" customWidth="1"/>
    <col min="61" max="16384" width="0" style="92" hidden="1"/>
  </cols>
  <sheetData>
    <row r="1" spans="1:37" s="82" customFormat="1">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c r="AI1" s="86"/>
      <c r="AJ1" s="86"/>
      <c r="AK1" s="86"/>
    </row>
    <row r="2" spans="1:37" s="82" customFormat="1"/>
    <row r="3" spans="1:37" s="82" customFormat="1">
      <c r="AD3" s="87" t="s">
        <v>973</v>
      </c>
    </row>
    <row r="4" spans="1:37" s="82" customFormat="1" ht="11.1" customHeight="1">
      <c r="A4" s="256" t="s">
        <v>0</v>
      </c>
      <c r="B4" s="257"/>
      <c r="C4" s="257"/>
      <c r="D4" s="257"/>
      <c r="E4" s="257"/>
      <c r="F4" s="257"/>
      <c r="G4" s="257"/>
      <c r="H4" s="257"/>
      <c r="I4" s="257"/>
      <c r="J4" s="257"/>
      <c r="K4" s="257"/>
      <c r="L4" s="257"/>
      <c r="M4" s="257"/>
      <c r="N4" s="257"/>
      <c r="O4" s="257"/>
      <c r="P4" s="257"/>
      <c r="Q4" s="258"/>
      <c r="R4" s="253" t="s">
        <v>1</v>
      </c>
      <c r="S4" s="254"/>
      <c r="T4" s="254"/>
      <c r="U4" s="254"/>
      <c r="V4" s="255"/>
      <c r="W4" s="253" t="s">
        <v>2</v>
      </c>
      <c r="X4" s="254"/>
      <c r="Y4" s="254"/>
      <c r="Z4" s="254"/>
      <c r="AA4" s="255"/>
      <c r="AB4" s="256" t="s">
        <v>3</v>
      </c>
      <c r="AC4" s="257"/>
      <c r="AD4" s="257"/>
      <c r="AE4" s="257"/>
      <c r="AF4" s="257"/>
      <c r="AG4" s="258"/>
      <c r="AH4" s="88"/>
      <c r="AI4" s="88"/>
      <c r="AJ4" s="88"/>
    </row>
    <row r="5" spans="1:37" s="89" customFormat="1" ht="12.75" customHeight="1">
      <c r="A5" s="259" t="str">
        <f ca="1" xml:space="preserve"> IFERROR(IF([1]!alvDocProperty("MXAuthority")="","272502 VW VWA VN 41S1_NAR EL SB",[1]!alvDocProperty("MXAuthority")),"272502 VW VWA VN 41S1_NAR EL SB")</f>
        <v>272502 VW VWA VN 41S1_NAR EL SB</v>
      </c>
      <c r="B5" s="260"/>
      <c r="C5" s="260"/>
      <c r="D5" s="260"/>
      <c r="E5" s="260"/>
      <c r="F5" s="260"/>
      <c r="G5" s="260"/>
      <c r="H5" s="260"/>
      <c r="I5" s="260"/>
      <c r="J5" s="260"/>
      <c r="K5" s="260"/>
      <c r="L5" s="260"/>
      <c r="M5" s="260"/>
      <c r="N5" s="260"/>
      <c r="O5" s="260"/>
      <c r="P5" s="260"/>
      <c r="Q5" s="261"/>
      <c r="R5" s="259" t="s">
        <v>4</v>
      </c>
      <c r="S5" s="260"/>
      <c r="T5" s="260"/>
      <c r="U5" s="260"/>
      <c r="V5" s="261"/>
      <c r="W5" s="259" t="str">
        <f ca="1" xml:space="preserve"> IFERROR(IF([1]!alvDocProperty("MXCurrent.Localized")="","Template released",[1]!alvDocProperty("MXCurrent.Localized")),"Template released")</f>
        <v>Template released</v>
      </c>
      <c r="X5" s="260"/>
      <c r="Y5" s="260"/>
      <c r="Z5" s="260"/>
      <c r="AA5" s="261"/>
      <c r="AB5" s="259" t="str">
        <f ca="1" xml:space="preserve"> IFERROR(IF([1]!alvDocProperty("MXActual_state_Released")="","TBD",[1]!alvDocProperty("MXActual_state_Released")),"TBD")</f>
        <v>TBD</v>
      </c>
      <c r="AC5" s="260"/>
      <c r="AD5" s="260"/>
      <c r="AE5" s="260"/>
      <c r="AF5" s="260"/>
      <c r="AG5" s="261"/>
    </row>
    <row r="6" spans="1:37" s="82" customFormat="1" ht="11.1" customHeight="1">
      <c r="A6" s="253" t="s">
        <v>5</v>
      </c>
      <c r="B6" s="254"/>
      <c r="C6" s="254"/>
      <c r="D6" s="255"/>
      <c r="E6" s="253" t="s">
        <v>6</v>
      </c>
      <c r="F6" s="254"/>
      <c r="G6" s="254"/>
      <c r="H6" s="254"/>
      <c r="I6" s="254"/>
      <c r="J6" s="254"/>
      <c r="K6" s="254"/>
      <c r="L6" s="254"/>
      <c r="M6" s="254"/>
      <c r="N6" s="254"/>
      <c r="O6" s="254"/>
      <c r="P6" s="254"/>
      <c r="Q6" s="254"/>
      <c r="R6" s="254"/>
      <c r="S6" s="254"/>
      <c r="T6" s="254"/>
      <c r="U6" s="254"/>
      <c r="V6" s="255"/>
      <c r="W6" s="256" t="s">
        <v>7</v>
      </c>
      <c r="X6" s="257"/>
      <c r="Y6" s="257"/>
      <c r="Z6" s="257"/>
      <c r="AA6" s="258"/>
      <c r="AB6" s="253" t="s">
        <v>8</v>
      </c>
      <c r="AC6" s="254"/>
      <c r="AD6" s="255"/>
      <c r="AE6" s="253" t="s">
        <v>9</v>
      </c>
      <c r="AF6" s="254"/>
      <c r="AG6" s="255"/>
    </row>
    <row r="7" spans="1:37" s="89" customFormat="1" ht="12.75" customHeight="1">
      <c r="A7" s="259" t="str">
        <f ca="1" xml:space="preserve"> IFERROR(IF([1]!alvDocProperty("MXName")="","TBD",[1]!alvDocProperty("MXName")),"TBD")</f>
        <v>TBD</v>
      </c>
      <c r="B7" s="260"/>
      <c r="C7" s="260"/>
      <c r="D7" s="261"/>
      <c r="E7" s="259" t="str">
        <f ca="1" xml:space="preserve"> IFERROR(IF([1]!alvDocProperty("MXTitle")="","MIC Test Specification - Peer Review Workbook (PRWB)",[1]!alvDocProperty("MXTitle")),"MIC Test Specification - Peer Review Workbook (PRWB)")</f>
        <v>MIC Test Specification - Peer Review Workbook (PRWB)</v>
      </c>
      <c r="F7" s="260"/>
      <c r="G7" s="260"/>
      <c r="H7" s="260"/>
      <c r="I7" s="260"/>
      <c r="J7" s="260"/>
      <c r="K7" s="260"/>
      <c r="L7" s="260"/>
      <c r="M7" s="260"/>
      <c r="N7" s="260"/>
      <c r="O7" s="260"/>
      <c r="P7" s="260"/>
      <c r="Q7" s="260"/>
      <c r="R7" s="260"/>
      <c r="S7" s="260"/>
      <c r="T7" s="260"/>
      <c r="U7" s="260"/>
      <c r="V7" s="261"/>
      <c r="W7" s="262" t="str">
        <f ca="1" xml:space="preserve"> IFERROR(IF([1]!alvDocProperty("MXDocTemplate_Name")="","TEM107",[1]!alvDocProperty("MXDocTemplate_Name")),"TEM107")</f>
        <v>TEM107</v>
      </c>
      <c r="X7" s="263"/>
      <c r="Y7" s="263"/>
      <c r="Z7" s="263"/>
      <c r="AA7" s="264"/>
      <c r="AB7" s="259" t="str">
        <f ca="1" xml:space="preserve"> IFERROR(IF([1]!alvDocProperty("MXRevision")="","TBD",[1]!alvDocProperty("MXRevision")),"TBD")</f>
        <v>TBD</v>
      </c>
      <c r="AC7" s="260"/>
      <c r="AD7" s="261"/>
      <c r="AE7" s="259" t="str">
        <f ca="1" xml:space="preserve"> IFERROR(IF([1]!alvDocProperty("MXVersion")="","TBD",[1]!alvDocProperty("MXVersion")),"TBD")</f>
        <v>TBD</v>
      </c>
      <c r="AF7" s="260"/>
      <c r="AG7" s="261"/>
    </row>
    <row r="8" spans="1:37" s="89" customFormat="1">
      <c r="A8" s="90"/>
      <c r="B8" s="90"/>
      <c r="C8" s="90"/>
      <c r="D8" s="90"/>
      <c r="E8" s="90"/>
      <c r="F8" s="90"/>
      <c r="G8" s="90"/>
      <c r="H8" s="90"/>
      <c r="I8" s="90"/>
      <c r="J8" s="90"/>
      <c r="K8" s="90"/>
      <c r="L8" s="90"/>
      <c r="M8" s="90"/>
      <c r="N8" s="90"/>
      <c r="O8" s="90"/>
      <c r="P8" s="90"/>
      <c r="Q8" s="90"/>
      <c r="R8" s="90"/>
      <c r="S8" s="90"/>
      <c r="T8" s="90"/>
      <c r="U8" s="90"/>
      <c r="V8" s="90"/>
      <c r="W8" s="91"/>
      <c r="X8" s="91"/>
      <c r="Y8" s="91"/>
      <c r="Z8" s="91"/>
      <c r="AA8" s="91"/>
      <c r="AB8" s="90"/>
      <c r="AC8" s="90"/>
      <c r="AD8" s="90"/>
      <c r="AE8" s="90"/>
      <c r="AF8" s="90"/>
      <c r="AG8" s="90"/>
    </row>
    <row r="9" spans="1:37" ht="11.1" customHeight="1">
      <c r="A9" s="226" t="s">
        <v>10</v>
      </c>
      <c r="B9" s="227"/>
      <c r="C9" s="227"/>
      <c r="D9" s="227"/>
      <c r="E9" s="227"/>
      <c r="F9" s="227"/>
      <c r="G9" s="227"/>
      <c r="H9" s="227"/>
      <c r="I9" s="227"/>
      <c r="J9" s="227"/>
      <c r="K9" s="228"/>
      <c r="L9" s="226" t="s">
        <v>1</v>
      </c>
      <c r="M9" s="227"/>
      <c r="N9" s="227"/>
      <c r="O9" s="227"/>
      <c r="P9" s="227"/>
      <c r="Q9" s="227"/>
      <c r="R9" s="227"/>
      <c r="S9" s="227"/>
      <c r="T9" s="227"/>
      <c r="U9" s="227"/>
      <c r="V9" s="228"/>
      <c r="W9" s="226" t="s">
        <v>11</v>
      </c>
      <c r="X9" s="227"/>
      <c r="Y9" s="227"/>
      <c r="Z9" s="227"/>
      <c r="AA9" s="227"/>
      <c r="AB9" s="227"/>
      <c r="AC9" s="227"/>
      <c r="AD9" s="227"/>
      <c r="AE9" s="227"/>
      <c r="AF9" s="227"/>
      <c r="AG9" s="228"/>
    </row>
    <row r="10" spans="1:37" s="93" customFormat="1" ht="39" customHeight="1">
      <c r="A10" s="229" t="s">
        <v>12</v>
      </c>
      <c r="B10" s="230"/>
      <c r="C10" s="230"/>
      <c r="D10" s="230"/>
      <c r="E10" s="230"/>
      <c r="F10" s="231" t="str">
        <f ca="1" xml:space="preserve"> IFERROR(IF([1]!alvDocProperty("MXUser")="","Vlad Chioveanu",[1]!alvDocProperty("MXUser")),"Vlad Chioveanu")</f>
        <v>Vlad Chioveanu</v>
      </c>
      <c r="G10" s="231"/>
      <c r="H10" s="231"/>
      <c r="I10" s="231"/>
      <c r="J10" s="231"/>
      <c r="K10" s="232"/>
      <c r="L10" s="233" t="s">
        <v>13</v>
      </c>
      <c r="M10" s="234"/>
      <c r="N10" s="234"/>
      <c r="O10" s="234"/>
      <c r="P10" s="234"/>
      <c r="Q10" s="234"/>
      <c r="R10" s="234"/>
      <c r="S10" s="234"/>
      <c r="T10" s="234"/>
      <c r="U10" s="234"/>
      <c r="V10" s="235"/>
      <c r="W10" s="233" t="s">
        <v>13</v>
      </c>
      <c r="X10" s="234"/>
      <c r="Y10" s="234"/>
      <c r="Z10" s="234"/>
      <c r="AA10" s="234"/>
      <c r="AB10" s="234"/>
      <c r="AC10" s="234"/>
      <c r="AD10" s="234"/>
      <c r="AE10" s="234"/>
      <c r="AF10" s="234"/>
      <c r="AG10" s="235"/>
    </row>
    <row r="11" spans="1:37" s="93" customFormat="1" ht="4.5" customHeight="1">
      <c r="A11" s="94"/>
      <c r="B11" s="95"/>
      <c r="C11" s="95"/>
      <c r="D11" s="95"/>
      <c r="E11" s="95"/>
      <c r="F11" s="95"/>
      <c r="G11" s="95"/>
      <c r="H11" s="95"/>
      <c r="I11" s="95"/>
      <c r="J11" s="95"/>
      <c r="K11" s="95"/>
      <c r="L11" s="96"/>
      <c r="M11" s="95"/>
      <c r="N11" s="95"/>
      <c r="O11" s="95"/>
      <c r="P11" s="95"/>
      <c r="Q11" s="95"/>
      <c r="R11" s="95"/>
      <c r="S11" s="95"/>
      <c r="T11" s="95"/>
      <c r="U11" s="95"/>
      <c r="V11" s="95"/>
      <c r="W11" s="96"/>
      <c r="X11" s="95"/>
      <c r="Y11" s="95"/>
      <c r="Z11" s="95"/>
      <c r="AA11" s="95"/>
      <c r="AB11" s="95"/>
      <c r="AC11" s="95"/>
      <c r="AD11" s="95"/>
      <c r="AE11" s="95"/>
      <c r="AF11" s="95"/>
      <c r="AG11" s="97"/>
    </row>
    <row r="12" spans="1:37" ht="11.1" customHeight="1">
      <c r="A12" s="236" t="s">
        <v>14</v>
      </c>
      <c r="B12" s="237"/>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8"/>
    </row>
    <row r="13" spans="1:37" s="93" customFormat="1" ht="28.5" customHeight="1">
      <c r="A13" s="239" t="s">
        <v>15</v>
      </c>
      <c r="B13" s="240"/>
      <c r="C13" s="240"/>
      <c r="D13" s="240"/>
      <c r="E13" s="240"/>
      <c r="F13" s="240"/>
      <c r="G13" s="240"/>
      <c r="H13" s="240"/>
      <c r="I13" s="240"/>
      <c r="J13" s="240"/>
      <c r="K13" s="240"/>
      <c r="L13" s="240"/>
      <c r="M13" s="240"/>
      <c r="N13" s="240"/>
      <c r="O13" s="240"/>
      <c r="P13" s="240"/>
      <c r="Q13" s="240"/>
      <c r="R13" s="240"/>
      <c r="S13" s="240"/>
      <c r="T13" s="240"/>
      <c r="U13" s="240"/>
      <c r="V13" s="240"/>
      <c r="W13" s="240"/>
      <c r="X13" s="240"/>
      <c r="Y13" s="240"/>
      <c r="Z13" s="240"/>
      <c r="AA13" s="240"/>
      <c r="AB13" s="240"/>
      <c r="AC13" s="240"/>
      <c r="AD13" s="240"/>
      <c r="AE13" s="240"/>
      <c r="AF13" s="240"/>
      <c r="AG13" s="241"/>
    </row>
    <row r="14" spans="1:37" s="93" customFormat="1" ht="4.5" customHeight="1">
      <c r="A14" s="96"/>
      <c r="B14" s="95"/>
      <c r="C14" s="95"/>
      <c r="D14" s="95"/>
      <c r="E14" s="95"/>
      <c r="F14" s="95"/>
      <c r="G14" s="95"/>
      <c r="H14" s="95"/>
      <c r="I14" s="95"/>
      <c r="J14" s="95"/>
      <c r="K14" s="95"/>
      <c r="L14" s="96"/>
      <c r="M14" s="95"/>
      <c r="N14" s="95"/>
      <c r="O14" s="95"/>
      <c r="P14" s="95"/>
      <c r="Q14" s="95"/>
      <c r="R14" s="95"/>
      <c r="S14" s="95"/>
      <c r="T14" s="95"/>
      <c r="U14" s="95"/>
      <c r="V14" s="95"/>
      <c r="W14" s="96"/>
      <c r="X14" s="95"/>
      <c r="Y14" s="95"/>
      <c r="Z14" s="95"/>
      <c r="AA14" s="95"/>
      <c r="AB14" s="95"/>
      <c r="AC14" s="95"/>
      <c r="AD14" s="95"/>
      <c r="AE14" s="95"/>
      <c r="AF14" s="95"/>
      <c r="AG14" s="95"/>
    </row>
    <row r="15" spans="1:37" ht="63.75" customHeight="1">
      <c r="A15" s="242" t="s">
        <v>16</v>
      </c>
      <c r="B15" s="242"/>
      <c r="C15" s="242"/>
      <c r="D15" s="242"/>
      <c r="E15" s="244" t="s">
        <v>964</v>
      </c>
      <c r="F15" s="245"/>
      <c r="G15" s="245"/>
      <c r="H15" s="245"/>
      <c r="I15" s="245"/>
      <c r="J15" s="245"/>
      <c r="K15" s="245"/>
      <c r="L15" s="245"/>
      <c r="M15" s="245"/>
      <c r="N15" s="245"/>
      <c r="O15" s="245"/>
      <c r="P15" s="245"/>
      <c r="Q15" s="245"/>
      <c r="R15" s="245"/>
      <c r="S15" s="245"/>
      <c r="T15" s="245"/>
      <c r="U15" s="245"/>
      <c r="V15" s="245"/>
      <c r="W15" s="245"/>
      <c r="X15" s="245"/>
      <c r="Y15" s="245"/>
      <c r="Z15" s="245"/>
      <c r="AA15" s="245"/>
      <c r="AB15" s="245"/>
      <c r="AC15" s="245"/>
      <c r="AD15" s="245"/>
      <c r="AE15" s="245"/>
      <c r="AF15" s="245"/>
      <c r="AG15" s="246"/>
    </row>
    <row r="16" spans="1:37" ht="37.5" customHeight="1">
      <c r="A16" s="243"/>
      <c r="B16" s="243"/>
      <c r="C16" s="243"/>
      <c r="D16" s="243"/>
      <c r="E16" s="247"/>
      <c r="F16" s="248"/>
      <c r="G16" s="248"/>
      <c r="H16" s="248"/>
      <c r="I16" s="248"/>
      <c r="J16" s="248"/>
      <c r="K16" s="248"/>
      <c r="L16" s="248"/>
      <c r="M16" s="248"/>
      <c r="N16" s="248"/>
      <c r="O16" s="248"/>
      <c r="P16" s="248"/>
      <c r="Q16" s="248"/>
      <c r="R16" s="248"/>
      <c r="S16" s="248"/>
      <c r="T16" s="248"/>
      <c r="U16" s="248"/>
      <c r="V16" s="248"/>
      <c r="W16" s="248"/>
      <c r="X16" s="248"/>
      <c r="Y16" s="248"/>
      <c r="Z16" s="248"/>
      <c r="AA16" s="248"/>
      <c r="AB16" s="248"/>
      <c r="AC16" s="248"/>
      <c r="AD16" s="248"/>
      <c r="AE16" s="248"/>
      <c r="AF16" s="248"/>
      <c r="AG16" s="249"/>
    </row>
    <row r="17" spans="1:33">
      <c r="A17" s="98"/>
    </row>
    <row r="18" spans="1:33" ht="26.25" customHeight="1">
      <c r="A18" s="250" t="s">
        <v>17</v>
      </c>
      <c r="B18" s="251"/>
      <c r="C18" s="251"/>
      <c r="D18" s="251"/>
      <c r="E18" s="252" t="s">
        <v>18</v>
      </c>
      <c r="F18" s="252"/>
      <c r="G18" s="252"/>
      <c r="H18" s="252"/>
      <c r="I18" s="252"/>
      <c r="J18" s="252"/>
      <c r="K18" s="252"/>
      <c r="L18" s="252"/>
      <c r="M18" s="252"/>
      <c r="N18" s="252"/>
      <c r="O18" s="252"/>
      <c r="P18" s="252"/>
    </row>
    <row r="19" spans="1:33"/>
    <row r="20" spans="1:33"/>
    <row r="21" spans="1:33" ht="15.75" customHeight="1">
      <c r="Q21" s="99"/>
    </row>
    <row r="22" spans="1:33" ht="12" customHeight="1">
      <c r="Q22" s="99"/>
    </row>
    <row r="23" spans="1:33" ht="60" customHeight="1">
      <c r="A23" s="224" t="str">
        <f ca="1">MXTitle</f>
        <v>MIC Test Specification - Peer Review Workbook (PRWB)</v>
      </c>
      <c r="B23" s="225"/>
      <c r="C23" s="2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25"/>
      <c r="AB23" s="225"/>
      <c r="AC23" s="225"/>
      <c r="AD23" s="225"/>
      <c r="AE23" s="225"/>
      <c r="AF23" s="225"/>
      <c r="AG23" s="225"/>
    </row>
    <row r="24" spans="1:33" ht="25.5">
      <c r="Q24" s="99"/>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0" type="noConversion"/>
  <conditionalFormatting sqref="W5">
    <cfRule type="cellIs" dxfId="1562" priority="21" operator="equal">
      <formula>"draft"</formula>
    </cfRule>
  </conditionalFormatting>
  <conditionalFormatting sqref="W5:AA5">
    <cfRule type="cellIs" dxfId="1561" priority="1" operator="equal">
      <formula>"In-Work"</formula>
    </cfRule>
    <cfRule type="cellIs" dxfId="1560" priority="2" stopIfTrue="1" operator="equal">
      <formula>"draft"</formula>
    </cfRule>
    <cfRule type="cellIs" dxfId="1559" priority="3" operator="equal">
      <formula>"In-Work"</formula>
    </cfRule>
    <cfRule type="cellIs" dxfId="1558" priority="4" stopIfTrue="1" operator="equal">
      <formula>"draft"</formula>
    </cfRule>
    <cfRule type="cellIs" dxfId="1557" priority="5" operator="equal">
      <formula>"In-Work"</formula>
    </cfRule>
    <cfRule type="cellIs" dxfId="1556" priority="6" stopIfTrue="1" operator="equal">
      <formula>"draft"</formula>
    </cfRule>
    <cfRule type="cellIs" dxfId="1555" priority="7" operator="equal">
      <formula>"In-Work"</formula>
    </cfRule>
    <cfRule type="cellIs" dxfId="1554" priority="8" stopIfTrue="1" operator="equal">
      <formula>"draft"</formula>
    </cfRule>
    <cfRule type="cellIs" dxfId="1553" priority="9" operator="equal">
      <formula>"In-Work"</formula>
    </cfRule>
    <cfRule type="cellIs" dxfId="1552" priority="10" stopIfTrue="1" operator="equal">
      <formula>"draft"</formula>
    </cfRule>
    <cfRule type="cellIs" dxfId="1551" priority="11" operator="equal">
      <formula>"In-Work"</formula>
    </cfRule>
    <cfRule type="cellIs" dxfId="1550" priority="12" stopIfTrue="1" operator="equal">
      <formula>"draft"</formula>
    </cfRule>
    <cfRule type="cellIs" dxfId="1549" priority="13" operator="equal">
      <formula>"In-Work"</formula>
    </cfRule>
    <cfRule type="cellIs" dxfId="1548" priority="14" stopIfTrue="1" operator="equal">
      <formula>"draft"</formula>
    </cfRule>
    <cfRule type="cellIs" dxfId="1547" priority="15" operator="equal">
      <formula>"In-Work"</formula>
    </cfRule>
    <cfRule type="cellIs" dxfId="1546" priority="16" stopIfTrue="1" operator="equal">
      <formula>"draft"</formula>
    </cfRule>
    <cfRule type="cellIs" dxfId="1545" priority="17" operator="equal">
      <formula>"In-Work"</formula>
    </cfRule>
    <cfRule type="cellIs" dxfId="1544" priority="18" stopIfTrue="1" operator="equal">
      <formula>"draft"</formula>
    </cfRule>
    <cfRule type="cellIs" dxfId="1543" priority="19" operator="equal">
      <formula>"In-Work"</formula>
    </cfRule>
    <cfRule type="cellIs" dxfId="1542"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12"/>
  <sheetViews>
    <sheetView showGridLines="0" zoomScaleNormal="100" workbookViewId="0">
      <selection activeCell="A7" sqref="A7:D7"/>
    </sheetView>
  </sheetViews>
  <sheetFormatPr defaultColWidth="9.140625" defaultRowHeight="15"/>
  <cols>
    <col min="1" max="34" width="2.85546875" style="100" customWidth="1"/>
    <col min="35" max="35" width="9.140625" style="100"/>
    <col min="36" max="36" width="22" style="100" customWidth="1"/>
    <col min="37" max="16384" width="9.140625" style="100"/>
  </cols>
  <sheetData>
    <row r="1" spans="1:34">
      <c r="A1" s="82"/>
      <c r="B1" s="82"/>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row>
    <row r="2" spans="1:3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row>
    <row r="3" spans="1:34">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101" t="str">
        <f>FileName</f>
        <v>MIC Test Specification- Peer Review Workbook (PRWB).xlsm</v>
      </c>
      <c r="AE3" s="82"/>
      <c r="AF3" s="82"/>
      <c r="AG3" s="82"/>
      <c r="AH3" s="82"/>
    </row>
    <row r="4" spans="1:34">
      <c r="A4" s="256" t="s">
        <v>0</v>
      </c>
      <c r="B4" s="257"/>
      <c r="C4" s="257"/>
      <c r="D4" s="257"/>
      <c r="E4" s="257"/>
      <c r="F4" s="257"/>
      <c r="G4" s="257"/>
      <c r="H4" s="257"/>
      <c r="I4" s="257"/>
      <c r="J4" s="257"/>
      <c r="K4" s="257"/>
      <c r="L4" s="257"/>
      <c r="M4" s="257"/>
      <c r="N4" s="257"/>
      <c r="O4" s="257"/>
      <c r="P4" s="257"/>
      <c r="Q4" s="257"/>
      <c r="R4" s="257"/>
      <c r="S4" s="257"/>
      <c r="T4" s="257"/>
      <c r="U4" s="257"/>
      <c r="V4" s="258"/>
      <c r="W4" s="289" t="s">
        <v>2</v>
      </c>
      <c r="X4" s="290"/>
      <c r="Y4" s="290"/>
      <c r="Z4" s="290"/>
      <c r="AA4" s="291"/>
      <c r="AB4" s="256" t="s">
        <v>3</v>
      </c>
      <c r="AC4" s="257"/>
      <c r="AD4" s="257"/>
      <c r="AE4" s="257"/>
      <c r="AF4" s="257"/>
      <c r="AG4" s="258"/>
      <c r="AH4" s="88"/>
    </row>
    <row r="5" spans="1:34">
      <c r="A5" s="262" t="s">
        <v>965</v>
      </c>
      <c r="B5" s="263"/>
      <c r="C5" s="263"/>
      <c r="D5" s="263"/>
      <c r="E5" s="263"/>
      <c r="F5" s="263"/>
      <c r="G5" s="263"/>
      <c r="H5" s="263"/>
      <c r="I5" s="263"/>
      <c r="J5" s="263"/>
      <c r="K5" s="263"/>
      <c r="L5" s="263"/>
      <c r="M5" s="263"/>
      <c r="N5" s="263"/>
      <c r="O5" s="263"/>
      <c r="P5" s="263"/>
      <c r="Q5" s="263"/>
      <c r="R5" s="263"/>
      <c r="S5" s="263"/>
      <c r="T5" s="263"/>
      <c r="U5" s="263"/>
      <c r="V5" s="264"/>
      <c r="W5" s="292" t="s">
        <v>19</v>
      </c>
      <c r="X5" s="293"/>
      <c r="Y5" s="293"/>
      <c r="Z5" s="293"/>
      <c r="AA5" s="294"/>
      <c r="AB5" s="262" t="s">
        <v>20</v>
      </c>
      <c r="AC5" s="263"/>
      <c r="AD5" s="263"/>
      <c r="AE5" s="263"/>
      <c r="AF5" s="263"/>
      <c r="AG5" s="264"/>
      <c r="AH5" s="89"/>
    </row>
    <row r="6" spans="1:34">
      <c r="A6" s="295" t="s">
        <v>5</v>
      </c>
      <c r="B6" s="296"/>
      <c r="C6" s="296"/>
      <c r="D6" s="297"/>
      <c r="E6" s="295" t="s">
        <v>6</v>
      </c>
      <c r="F6" s="296"/>
      <c r="G6" s="296"/>
      <c r="H6" s="296"/>
      <c r="I6" s="296"/>
      <c r="J6" s="296"/>
      <c r="K6" s="296"/>
      <c r="L6" s="296"/>
      <c r="M6" s="296"/>
      <c r="N6" s="296"/>
      <c r="O6" s="296"/>
      <c r="P6" s="296"/>
      <c r="Q6" s="296"/>
      <c r="R6" s="296"/>
      <c r="S6" s="296"/>
      <c r="T6" s="296"/>
      <c r="U6" s="296"/>
      <c r="V6" s="297"/>
      <c r="W6" s="256" t="s">
        <v>7</v>
      </c>
      <c r="X6" s="257"/>
      <c r="Y6" s="257"/>
      <c r="Z6" s="257"/>
      <c r="AA6" s="258"/>
      <c r="AB6" s="289" t="s">
        <v>8</v>
      </c>
      <c r="AC6" s="290"/>
      <c r="AD6" s="291"/>
      <c r="AE6" s="289" t="s">
        <v>9</v>
      </c>
      <c r="AF6" s="290"/>
      <c r="AG6" s="291"/>
      <c r="AH6" s="82"/>
    </row>
    <row r="7" spans="1:34">
      <c r="A7" s="292" t="s">
        <v>21</v>
      </c>
      <c r="B7" s="293"/>
      <c r="C7" s="293"/>
      <c r="D7" s="294"/>
      <c r="E7" s="292" t="s">
        <v>22</v>
      </c>
      <c r="F7" s="293"/>
      <c r="G7" s="293"/>
      <c r="H7" s="293"/>
      <c r="I7" s="293"/>
      <c r="J7" s="293"/>
      <c r="K7" s="293"/>
      <c r="L7" s="293"/>
      <c r="M7" s="293"/>
      <c r="N7" s="293"/>
      <c r="O7" s="293"/>
      <c r="P7" s="293"/>
      <c r="Q7" s="293"/>
      <c r="R7" s="293"/>
      <c r="S7" s="293"/>
      <c r="T7" s="293"/>
      <c r="U7" s="293"/>
      <c r="V7" s="294"/>
      <c r="W7" s="292" t="str">
        <f ca="1">TemplateRef</f>
        <v>TEM107</v>
      </c>
      <c r="X7" s="293"/>
      <c r="Y7" s="293"/>
      <c r="Z7" s="293"/>
      <c r="AA7" s="294"/>
      <c r="AB7" s="292" t="s">
        <v>23</v>
      </c>
      <c r="AC7" s="293"/>
      <c r="AD7" s="294"/>
      <c r="AE7" s="292" t="s">
        <v>23</v>
      </c>
      <c r="AF7" s="293"/>
      <c r="AG7" s="294"/>
      <c r="AH7" s="89"/>
    </row>
    <row r="8" spans="1:34">
      <c r="A8" s="295" t="s">
        <v>24</v>
      </c>
      <c r="B8" s="296"/>
      <c r="C8" s="296"/>
      <c r="D8" s="296"/>
      <c r="E8" s="296"/>
      <c r="F8" s="296"/>
      <c r="G8" s="296"/>
      <c r="H8" s="296"/>
      <c r="I8" s="296"/>
      <c r="J8" s="296"/>
      <c r="K8" s="296"/>
      <c r="L8" s="296"/>
      <c r="M8" s="296"/>
      <c r="N8" s="296"/>
      <c r="O8" s="296"/>
      <c r="P8" s="296"/>
      <c r="Q8" s="296"/>
      <c r="R8" s="296"/>
      <c r="S8" s="296"/>
      <c r="T8" s="296"/>
      <c r="U8" s="296"/>
      <c r="V8" s="296"/>
      <c r="W8" s="296"/>
      <c r="X8" s="296"/>
      <c r="Y8" s="296"/>
      <c r="Z8" s="296"/>
      <c r="AA8" s="296"/>
      <c r="AB8" s="296"/>
      <c r="AC8" s="296"/>
      <c r="AD8" s="296"/>
      <c r="AE8" s="296"/>
      <c r="AF8" s="296"/>
      <c r="AG8" s="297"/>
      <c r="AH8" s="92"/>
    </row>
    <row r="9" spans="1:34">
      <c r="A9" s="298" t="s">
        <v>25</v>
      </c>
      <c r="B9" s="299"/>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300"/>
      <c r="AH9" s="92"/>
    </row>
    <row r="10" spans="1:34">
      <c r="A10" s="92"/>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row>
    <row r="11" spans="1:34">
      <c r="A11" s="92"/>
      <c r="B11" s="92"/>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row>
    <row r="12" spans="1:34" ht="26.25">
      <c r="A12" s="92"/>
      <c r="B12" s="102" t="s">
        <v>26</v>
      </c>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92"/>
      <c r="AH12" s="92"/>
    </row>
    <row r="13" spans="1:34">
      <c r="A13" s="92"/>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row>
    <row r="14" spans="1:34" ht="20.25">
      <c r="A14" s="92"/>
      <c r="B14" s="104" t="s">
        <v>27</v>
      </c>
      <c r="C14" s="105"/>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row>
    <row r="15" spans="1:34">
      <c r="A15" s="92"/>
      <c r="B15" s="265" t="s">
        <v>28</v>
      </c>
      <c r="C15" s="301"/>
      <c r="D15" s="301"/>
      <c r="E15" s="301"/>
      <c r="F15" s="301"/>
      <c r="G15" s="265" t="s">
        <v>29</v>
      </c>
      <c r="H15" s="265"/>
      <c r="I15" s="265"/>
      <c r="J15" s="265"/>
      <c r="K15" s="265"/>
      <c r="L15" s="265"/>
      <c r="M15" s="265"/>
      <c r="N15" s="265"/>
      <c r="O15" s="265"/>
      <c r="P15" s="265"/>
      <c r="Q15" s="265"/>
      <c r="R15" s="265"/>
      <c r="S15" s="265"/>
      <c r="T15" s="265"/>
      <c r="U15" s="265"/>
      <c r="V15" s="265"/>
      <c r="W15" s="265"/>
      <c r="X15" s="265"/>
      <c r="Y15" s="265"/>
      <c r="Z15" s="265"/>
      <c r="AA15" s="265"/>
      <c r="AB15" s="265"/>
      <c r="AC15" s="265"/>
      <c r="AD15" s="265"/>
      <c r="AE15" s="265"/>
      <c r="AF15" s="265"/>
      <c r="AG15" s="92"/>
      <c r="AH15" s="92"/>
    </row>
    <row r="16" spans="1:34" ht="55.5" customHeight="1">
      <c r="A16" s="92"/>
      <c r="B16" s="284" t="s">
        <v>30</v>
      </c>
      <c r="C16" s="284"/>
      <c r="D16" s="284"/>
      <c r="E16" s="284"/>
      <c r="F16" s="284"/>
      <c r="G16" s="268" t="s">
        <v>31</v>
      </c>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92"/>
      <c r="AH16" s="92"/>
    </row>
    <row r="17" spans="1:34">
      <c r="A17" s="92"/>
      <c r="B17" s="284" t="s">
        <v>32</v>
      </c>
      <c r="C17" s="284"/>
      <c r="D17" s="284"/>
      <c r="E17" s="284"/>
      <c r="F17" s="284"/>
      <c r="G17" s="268" t="s">
        <v>33</v>
      </c>
      <c r="H17" s="268"/>
      <c r="I17" s="268"/>
      <c r="J17" s="268"/>
      <c r="K17" s="268"/>
      <c r="L17" s="268"/>
      <c r="M17" s="268"/>
      <c r="N17" s="268"/>
      <c r="O17" s="268"/>
      <c r="P17" s="268"/>
      <c r="Q17" s="268"/>
      <c r="R17" s="268"/>
      <c r="S17" s="268"/>
      <c r="T17" s="268"/>
      <c r="U17" s="268"/>
      <c r="V17" s="268"/>
      <c r="W17" s="268"/>
      <c r="X17" s="268"/>
      <c r="Y17" s="268"/>
      <c r="Z17" s="268"/>
      <c r="AA17" s="268"/>
      <c r="AB17" s="268"/>
      <c r="AC17" s="268"/>
      <c r="AD17" s="268"/>
      <c r="AE17" s="268"/>
      <c r="AF17" s="268"/>
      <c r="AG17" s="92"/>
      <c r="AH17" s="92"/>
    </row>
    <row r="18" spans="1:34" ht="15" customHeight="1">
      <c r="A18" s="92"/>
      <c r="B18" s="284" t="s">
        <v>34</v>
      </c>
      <c r="C18" s="284"/>
      <c r="D18" s="284"/>
      <c r="E18" s="284"/>
      <c r="F18" s="284"/>
      <c r="G18" s="268" t="s">
        <v>35</v>
      </c>
      <c r="H18" s="268"/>
      <c r="I18" s="268"/>
      <c r="J18" s="268"/>
      <c r="K18" s="268"/>
      <c r="L18" s="268"/>
      <c r="M18" s="268"/>
      <c r="N18" s="268"/>
      <c r="O18" s="268"/>
      <c r="P18" s="268"/>
      <c r="Q18" s="268"/>
      <c r="R18" s="268"/>
      <c r="S18" s="268"/>
      <c r="T18" s="268"/>
      <c r="U18" s="268"/>
      <c r="V18" s="268"/>
      <c r="W18" s="268"/>
      <c r="X18" s="268"/>
      <c r="Y18" s="268"/>
      <c r="Z18" s="268"/>
      <c r="AA18" s="268"/>
      <c r="AB18" s="268"/>
      <c r="AC18" s="268"/>
      <c r="AD18" s="268"/>
      <c r="AE18" s="268"/>
      <c r="AF18" s="268"/>
      <c r="AG18" s="92"/>
      <c r="AH18" s="92"/>
    </row>
    <row r="19" spans="1:34" ht="24" customHeight="1">
      <c r="A19" s="92"/>
      <c r="B19" s="285" t="s">
        <v>36</v>
      </c>
      <c r="C19" s="285"/>
      <c r="D19" s="285"/>
      <c r="E19" s="285"/>
      <c r="F19" s="285"/>
      <c r="G19" s="268" t="s">
        <v>35</v>
      </c>
      <c r="H19" s="268"/>
      <c r="I19" s="268"/>
      <c r="J19" s="268"/>
      <c r="K19" s="268"/>
      <c r="L19" s="268"/>
      <c r="M19" s="268"/>
      <c r="N19" s="268"/>
      <c r="O19" s="268"/>
      <c r="P19" s="268"/>
      <c r="Q19" s="268"/>
      <c r="R19" s="268"/>
      <c r="S19" s="268"/>
      <c r="T19" s="268"/>
      <c r="U19" s="268"/>
      <c r="V19" s="268"/>
      <c r="W19" s="268"/>
      <c r="X19" s="268"/>
      <c r="Y19" s="268"/>
      <c r="Z19" s="268"/>
      <c r="AA19" s="268"/>
      <c r="AB19" s="268"/>
      <c r="AC19" s="268"/>
      <c r="AD19" s="268"/>
      <c r="AE19" s="268"/>
      <c r="AF19" s="268"/>
      <c r="AG19" s="92"/>
      <c r="AH19" s="92"/>
    </row>
    <row r="20" spans="1:34">
      <c r="A20" s="92"/>
      <c r="B20" s="288" t="s">
        <v>37</v>
      </c>
      <c r="C20" s="288"/>
      <c r="D20" s="288"/>
      <c r="E20" s="288"/>
      <c r="F20" s="288"/>
      <c r="G20" s="268" t="s">
        <v>35</v>
      </c>
      <c r="H20" s="268"/>
      <c r="I20" s="268"/>
      <c r="J20" s="268"/>
      <c r="K20" s="268"/>
      <c r="L20" s="268"/>
      <c r="M20" s="268"/>
      <c r="N20" s="268"/>
      <c r="O20" s="268"/>
      <c r="P20" s="268"/>
      <c r="Q20" s="268"/>
      <c r="R20" s="268"/>
      <c r="S20" s="268"/>
      <c r="T20" s="268"/>
      <c r="U20" s="268"/>
      <c r="V20" s="268"/>
      <c r="W20" s="268"/>
      <c r="X20" s="268"/>
      <c r="Y20" s="268"/>
      <c r="Z20" s="268"/>
      <c r="AA20" s="268"/>
      <c r="AB20" s="268"/>
      <c r="AC20" s="268"/>
      <c r="AD20" s="268"/>
      <c r="AE20" s="268"/>
      <c r="AF20" s="268"/>
      <c r="AG20" s="92"/>
      <c r="AH20" s="92"/>
    </row>
    <row r="21" spans="1:34" ht="35.25" customHeight="1">
      <c r="A21" s="92"/>
      <c r="B21" s="286" t="s">
        <v>38</v>
      </c>
      <c r="C21" s="286"/>
      <c r="D21" s="286"/>
      <c r="E21" s="286"/>
      <c r="F21" s="286"/>
      <c r="G21" s="268" t="s">
        <v>39</v>
      </c>
      <c r="H21" s="268"/>
      <c r="I21" s="268"/>
      <c r="J21" s="268"/>
      <c r="K21" s="268"/>
      <c r="L21" s="268"/>
      <c r="M21" s="268"/>
      <c r="N21" s="268"/>
      <c r="O21" s="268"/>
      <c r="P21" s="268"/>
      <c r="Q21" s="268"/>
      <c r="R21" s="268"/>
      <c r="S21" s="268"/>
      <c r="T21" s="268"/>
      <c r="U21" s="268"/>
      <c r="V21" s="268"/>
      <c r="W21" s="268"/>
      <c r="X21" s="268"/>
      <c r="Y21" s="268"/>
      <c r="Z21" s="268"/>
      <c r="AA21" s="268"/>
      <c r="AB21" s="268"/>
      <c r="AC21" s="268"/>
      <c r="AD21" s="268"/>
      <c r="AE21" s="268"/>
      <c r="AF21" s="268"/>
      <c r="AG21" s="92"/>
      <c r="AH21" s="92"/>
    </row>
    <row r="22" spans="1:34" ht="28.5" customHeight="1">
      <c r="A22" s="92"/>
      <c r="B22" s="286" t="s">
        <v>40</v>
      </c>
      <c r="C22" s="286"/>
      <c r="D22" s="286"/>
      <c r="E22" s="286"/>
      <c r="F22" s="286"/>
      <c r="G22" s="268" t="s">
        <v>41</v>
      </c>
      <c r="H22" s="268"/>
      <c r="I22" s="268"/>
      <c r="J22" s="268"/>
      <c r="K22" s="268"/>
      <c r="L22" s="268"/>
      <c r="M22" s="268"/>
      <c r="N22" s="268"/>
      <c r="O22" s="268"/>
      <c r="P22" s="268"/>
      <c r="Q22" s="268"/>
      <c r="R22" s="268"/>
      <c r="S22" s="268"/>
      <c r="T22" s="268"/>
      <c r="U22" s="268"/>
      <c r="V22" s="268"/>
      <c r="W22" s="268"/>
      <c r="X22" s="268"/>
      <c r="Y22" s="268"/>
      <c r="Z22" s="268"/>
      <c r="AA22" s="268"/>
      <c r="AB22" s="268"/>
      <c r="AC22" s="268"/>
      <c r="AD22" s="268"/>
      <c r="AE22" s="268"/>
      <c r="AF22" s="268"/>
      <c r="AG22" s="92"/>
      <c r="AH22" s="92"/>
    </row>
    <row r="23" spans="1:34" ht="22.5" customHeight="1">
      <c r="A23" s="92"/>
      <c r="B23" s="286" t="s">
        <v>42</v>
      </c>
      <c r="C23" s="286"/>
      <c r="D23" s="286"/>
      <c r="E23" s="286"/>
      <c r="F23" s="286"/>
      <c r="G23" s="268" t="s">
        <v>43</v>
      </c>
      <c r="H23" s="268"/>
      <c r="I23" s="268"/>
      <c r="J23" s="268"/>
      <c r="K23" s="268"/>
      <c r="L23" s="268"/>
      <c r="M23" s="268"/>
      <c r="N23" s="268"/>
      <c r="O23" s="268"/>
      <c r="P23" s="268"/>
      <c r="Q23" s="268"/>
      <c r="R23" s="268"/>
      <c r="S23" s="268"/>
      <c r="T23" s="268"/>
      <c r="U23" s="268"/>
      <c r="V23" s="268"/>
      <c r="W23" s="268"/>
      <c r="X23" s="268"/>
      <c r="Y23" s="268"/>
      <c r="Z23" s="268"/>
      <c r="AA23" s="268"/>
      <c r="AB23" s="268"/>
      <c r="AC23" s="268"/>
      <c r="AD23" s="268"/>
      <c r="AE23" s="268"/>
      <c r="AF23" s="268"/>
      <c r="AG23" s="92"/>
      <c r="AH23" s="92"/>
    </row>
    <row r="24" spans="1:34" ht="45" customHeight="1">
      <c r="A24" s="92"/>
      <c r="B24" s="287" t="s">
        <v>44</v>
      </c>
      <c r="C24" s="287"/>
      <c r="D24" s="287"/>
      <c r="E24" s="287"/>
      <c r="F24" s="287"/>
      <c r="G24" s="268" t="s">
        <v>45</v>
      </c>
      <c r="H24" s="268"/>
      <c r="I24" s="268"/>
      <c r="J24" s="268"/>
      <c r="K24" s="268"/>
      <c r="L24" s="268"/>
      <c r="M24" s="268"/>
      <c r="N24" s="268"/>
      <c r="O24" s="268"/>
      <c r="P24" s="268"/>
      <c r="Q24" s="268"/>
      <c r="R24" s="268"/>
      <c r="S24" s="268"/>
      <c r="T24" s="268"/>
      <c r="U24" s="268"/>
      <c r="V24" s="268"/>
      <c r="W24" s="268"/>
      <c r="X24" s="268"/>
      <c r="Y24" s="268"/>
      <c r="Z24" s="268"/>
      <c r="AA24" s="268"/>
      <c r="AB24" s="268"/>
      <c r="AC24" s="268"/>
      <c r="AD24" s="268"/>
      <c r="AE24" s="268"/>
      <c r="AF24" s="268"/>
      <c r="AG24" s="92"/>
      <c r="AH24" s="92"/>
    </row>
    <row r="25" spans="1:34">
      <c r="A25" s="92"/>
      <c r="B25" s="92"/>
      <c r="C25" s="106"/>
      <c r="D25" s="92"/>
      <c r="E25" s="92"/>
      <c r="F25" s="92"/>
      <c r="G25" s="92"/>
      <c r="H25" s="92"/>
      <c r="I25" s="107"/>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row>
    <row r="26" spans="1:34" ht="20.25">
      <c r="A26" s="104"/>
      <c r="B26" s="104" t="s">
        <v>46</v>
      </c>
      <c r="C26" s="106"/>
      <c r="D26" s="92"/>
      <c r="E26" s="92"/>
      <c r="F26" s="92"/>
      <c r="G26" s="92"/>
      <c r="H26" s="92"/>
      <c r="I26" s="107"/>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row>
    <row r="27" spans="1:34">
      <c r="A27" s="92"/>
      <c r="B27" s="265" t="s">
        <v>8</v>
      </c>
      <c r="C27" s="266"/>
      <c r="D27" s="266"/>
      <c r="E27" s="265" t="s">
        <v>47</v>
      </c>
      <c r="F27" s="265"/>
      <c r="G27" s="265"/>
      <c r="H27" s="265"/>
      <c r="I27" s="265" t="s">
        <v>48</v>
      </c>
      <c r="J27" s="266"/>
      <c r="K27" s="266"/>
      <c r="L27" s="266"/>
      <c r="M27" s="266"/>
      <c r="N27" s="266"/>
      <c r="O27" s="266"/>
      <c r="P27" s="266"/>
      <c r="Q27" s="266"/>
      <c r="R27" s="265" t="s">
        <v>49</v>
      </c>
      <c r="S27" s="265"/>
      <c r="T27" s="265"/>
      <c r="U27" s="265"/>
      <c r="V27" s="265"/>
      <c r="W27" s="265"/>
      <c r="X27" s="265"/>
      <c r="Y27" s="265"/>
      <c r="Z27" s="265"/>
      <c r="AA27" s="265"/>
      <c r="AB27" s="265"/>
      <c r="AC27" s="265"/>
      <c r="AD27" s="265"/>
      <c r="AE27" s="265"/>
      <c r="AF27" s="265"/>
      <c r="AG27" s="92"/>
      <c r="AH27" s="92"/>
    </row>
    <row r="28" spans="1:34" ht="40.5" customHeight="1">
      <c r="A28" s="92"/>
      <c r="B28" s="270" t="s">
        <v>50</v>
      </c>
      <c r="C28" s="271" t="s">
        <v>51</v>
      </c>
      <c r="D28" s="272" t="s">
        <v>51</v>
      </c>
      <c r="E28" s="279"/>
      <c r="F28" s="280"/>
      <c r="G28" s="280"/>
      <c r="H28" s="281"/>
      <c r="I28" s="268"/>
      <c r="J28" s="282"/>
      <c r="K28" s="282"/>
      <c r="L28" s="282"/>
      <c r="M28" s="282"/>
      <c r="N28" s="282"/>
      <c r="O28" s="282"/>
      <c r="P28" s="282"/>
      <c r="Q28" s="282"/>
      <c r="R28" s="268" t="s">
        <v>52</v>
      </c>
      <c r="S28" s="268" t="s">
        <v>52</v>
      </c>
      <c r="T28" s="268" t="s">
        <v>52</v>
      </c>
      <c r="U28" s="268" t="s">
        <v>52</v>
      </c>
      <c r="V28" s="268" t="s">
        <v>52</v>
      </c>
      <c r="W28" s="268" t="s">
        <v>52</v>
      </c>
      <c r="X28" s="268" t="s">
        <v>52</v>
      </c>
      <c r="Y28" s="268" t="s">
        <v>52</v>
      </c>
      <c r="Z28" s="268" t="s">
        <v>52</v>
      </c>
      <c r="AA28" s="268" t="s">
        <v>52</v>
      </c>
      <c r="AB28" s="268" t="s">
        <v>52</v>
      </c>
      <c r="AC28" s="268" t="s">
        <v>52</v>
      </c>
      <c r="AD28" s="268" t="s">
        <v>52</v>
      </c>
      <c r="AE28" s="268" t="s">
        <v>52</v>
      </c>
      <c r="AF28" s="268" t="s">
        <v>52</v>
      </c>
      <c r="AG28" s="92"/>
      <c r="AH28" s="92"/>
    </row>
    <row r="29" spans="1:34" ht="60" customHeight="1">
      <c r="A29" s="92"/>
      <c r="B29" s="270" t="s">
        <v>53</v>
      </c>
      <c r="C29" s="271" t="s">
        <v>53</v>
      </c>
      <c r="D29" s="272" t="s">
        <v>53</v>
      </c>
      <c r="E29" s="279">
        <v>40591.490486111114</v>
      </c>
      <c r="F29" s="280">
        <v>40591.490486111114</v>
      </c>
      <c r="G29" s="280">
        <v>40591.490486111114</v>
      </c>
      <c r="H29" s="281">
        <v>40591.490486111114</v>
      </c>
      <c r="I29" s="268" t="s">
        <v>54</v>
      </c>
      <c r="J29" s="282" t="s">
        <v>54</v>
      </c>
      <c r="K29" s="282" t="s">
        <v>54</v>
      </c>
      <c r="L29" s="282" t="s">
        <v>54</v>
      </c>
      <c r="M29" s="282" t="s">
        <v>54</v>
      </c>
      <c r="N29" s="282" t="s">
        <v>54</v>
      </c>
      <c r="O29" s="282" t="s">
        <v>54</v>
      </c>
      <c r="P29" s="282" t="s">
        <v>54</v>
      </c>
      <c r="Q29" s="282" t="s">
        <v>54</v>
      </c>
      <c r="R29" s="268" t="s">
        <v>55</v>
      </c>
      <c r="S29" s="268" t="s">
        <v>55</v>
      </c>
      <c r="T29" s="268" t="s">
        <v>55</v>
      </c>
      <c r="U29" s="268" t="s">
        <v>55</v>
      </c>
      <c r="V29" s="268" t="s">
        <v>55</v>
      </c>
      <c r="W29" s="268" t="s">
        <v>55</v>
      </c>
      <c r="X29" s="268" t="s">
        <v>55</v>
      </c>
      <c r="Y29" s="268" t="s">
        <v>55</v>
      </c>
      <c r="Z29" s="268" t="s">
        <v>55</v>
      </c>
      <c r="AA29" s="268" t="s">
        <v>55</v>
      </c>
      <c r="AB29" s="268" t="s">
        <v>55</v>
      </c>
      <c r="AC29" s="268" t="s">
        <v>55</v>
      </c>
      <c r="AD29" s="268" t="s">
        <v>55</v>
      </c>
      <c r="AE29" s="268" t="s">
        <v>55</v>
      </c>
      <c r="AF29" s="268" t="s">
        <v>55</v>
      </c>
      <c r="AG29" s="92"/>
      <c r="AH29" s="92"/>
    </row>
    <row r="30" spans="1:34" ht="291" customHeight="1">
      <c r="A30" s="92"/>
      <c r="B30" s="270" t="s">
        <v>56</v>
      </c>
      <c r="C30" s="271" t="s">
        <v>56</v>
      </c>
      <c r="D30" s="272" t="s">
        <v>56</v>
      </c>
      <c r="E30" s="279">
        <v>41071.656145833331</v>
      </c>
      <c r="F30" s="280">
        <v>41071.656145833331</v>
      </c>
      <c r="G30" s="280">
        <v>41071.656145833331</v>
      </c>
      <c r="H30" s="281">
        <v>41071.656145833331</v>
      </c>
      <c r="I30" s="268" t="s">
        <v>54</v>
      </c>
      <c r="J30" s="282" t="s">
        <v>54</v>
      </c>
      <c r="K30" s="282" t="s">
        <v>54</v>
      </c>
      <c r="L30" s="282" t="s">
        <v>54</v>
      </c>
      <c r="M30" s="282" t="s">
        <v>54</v>
      </c>
      <c r="N30" s="282" t="s">
        <v>54</v>
      </c>
      <c r="O30" s="282" t="s">
        <v>54</v>
      </c>
      <c r="P30" s="282" t="s">
        <v>54</v>
      </c>
      <c r="Q30" s="282" t="s">
        <v>54</v>
      </c>
      <c r="R30" s="268" t="s">
        <v>57</v>
      </c>
      <c r="S30" s="268" t="s">
        <v>57</v>
      </c>
      <c r="T30" s="268" t="s">
        <v>57</v>
      </c>
      <c r="U30" s="268" t="s">
        <v>57</v>
      </c>
      <c r="V30" s="268" t="s">
        <v>57</v>
      </c>
      <c r="W30" s="268" t="s">
        <v>57</v>
      </c>
      <c r="X30" s="268" t="s">
        <v>57</v>
      </c>
      <c r="Y30" s="268" t="s">
        <v>57</v>
      </c>
      <c r="Z30" s="268" t="s">
        <v>57</v>
      </c>
      <c r="AA30" s="268" t="s">
        <v>57</v>
      </c>
      <c r="AB30" s="268" t="s">
        <v>57</v>
      </c>
      <c r="AC30" s="268" t="s">
        <v>57</v>
      </c>
      <c r="AD30" s="268" t="s">
        <v>57</v>
      </c>
      <c r="AE30" s="268" t="s">
        <v>57</v>
      </c>
      <c r="AF30" s="268" t="s">
        <v>57</v>
      </c>
      <c r="AG30" s="92"/>
      <c r="AH30" s="92"/>
    </row>
    <row r="31" spans="1:34" ht="40.5" customHeight="1">
      <c r="A31" s="92"/>
      <c r="B31" s="270" t="s">
        <v>58</v>
      </c>
      <c r="C31" s="271" t="s">
        <v>58</v>
      </c>
      <c r="D31" s="272" t="s">
        <v>58</v>
      </c>
      <c r="E31" s="279">
        <v>41071.656145833331</v>
      </c>
      <c r="F31" s="280">
        <v>41071.656145833331</v>
      </c>
      <c r="G31" s="280">
        <v>41071.656145833331</v>
      </c>
      <c r="H31" s="281">
        <v>41071.656145833331</v>
      </c>
      <c r="I31" s="268" t="s">
        <v>59</v>
      </c>
      <c r="J31" s="282" t="s">
        <v>59</v>
      </c>
      <c r="K31" s="282" t="s">
        <v>59</v>
      </c>
      <c r="L31" s="282" t="s">
        <v>59</v>
      </c>
      <c r="M31" s="282" t="s">
        <v>59</v>
      </c>
      <c r="N31" s="282" t="s">
        <v>59</v>
      </c>
      <c r="O31" s="282" t="s">
        <v>59</v>
      </c>
      <c r="P31" s="282" t="s">
        <v>59</v>
      </c>
      <c r="Q31" s="282" t="s">
        <v>59</v>
      </c>
      <c r="R31" s="268" t="s">
        <v>60</v>
      </c>
      <c r="S31" s="268" t="s">
        <v>60</v>
      </c>
      <c r="T31" s="268" t="s">
        <v>60</v>
      </c>
      <c r="U31" s="268" t="s">
        <v>60</v>
      </c>
      <c r="V31" s="268" t="s">
        <v>60</v>
      </c>
      <c r="W31" s="268" t="s">
        <v>60</v>
      </c>
      <c r="X31" s="268" t="s">
        <v>60</v>
      </c>
      <c r="Y31" s="268" t="s">
        <v>60</v>
      </c>
      <c r="Z31" s="268" t="s">
        <v>60</v>
      </c>
      <c r="AA31" s="268" t="s">
        <v>60</v>
      </c>
      <c r="AB31" s="268" t="s">
        <v>60</v>
      </c>
      <c r="AC31" s="268" t="s">
        <v>60</v>
      </c>
      <c r="AD31" s="268" t="s">
        <v>60</v>
      </c>
      <c r="AE31" s="268" t="s">
        <v>60</v>
      </c>
      <c r="AF31" s="268" t="s">
        <v>60</v>
      </c>
      <c r="AG31" s="92"/>
      <c r="AH31" s="92"/>
    </row>
    <row r="32" spans="1:34" ht="121.5" customHeight="1">
      <c r="A32" s="92"/>
      <c r="B32" s="270"/>
      <c r="C32" s="271"/>
      <c r="D32" s="272"/>
      <c r="E32" s="279">
        <v>42195</v>
      </c>
      <c r="F32" s="280">
        <v>42195</v>
      </c>
      <c r="G32" s="280">
        <v>42195</v>
      </c>
      <c r="H32" s="281">
        <v>42195</v>
      </c>
      <c r="I32" s="268" t="s">
        <v>61</v>
      </c>
      <c r="J32" s="282" t="s">
        <v>61</v>
      </c>
      <c r="K32" s="282" t="s">
        <v>61</v>
      </c>
      <c r="L32" s="282" t="s">
        <v>61</v>
      </c>
      <c r="M32" s="282" t="s">
        <v>61</v>
      </c>
      <c r="N32" s="282" t="s">
        <v>61</v>
      </c>
      <c r="O32" s="282" t="s">
        <v>61</v>
      </c>
      <c r="P32" s="282" t="s">
        <v>61</v>
      </c>
      <c r="Q32" s="282" t="s">
        <v>61</v>
      </c>
      <c r="R32" s="268" t="s">
        <v>62</v>
      </c>
      <c r="S32" s="268" t="s">
        <v>62</v>
      </c>
      <c r="T32" s="268" t="s">
        <v>62</v>
      </c>
      <c r="U32" s="268" t="s">
        <v>62</v>
      </c>
      <c r="V32" s="268" t="s">
        <v>62</v>
      </c>
      <c r="W32" s="268" t="s">
        <v>62</v>
      </c>
      <c r="X32" s="268" t="s">
        <v>62</v>
      </c>
      <c r="Y32" s="268" t="s">
        <v>62</v>
      </c>
      <c r="Z32" s="268" t="s">
        <v>62</v>
      </c>
      <c r="AA32" s="268" t="s">
        <v>62</v>
      </c>
      <c r="AB32" s="268" t="s">
        <v>62</v>
      </c>
      <c r="AC32" s="268" t="s">
        <v>62</v>
      </c>
      <c r="AD32" s="268" t="s">
        <v>62</v>
      </c>
      <c r="AE32" s="268" t="s">
        <v>62</v>
      </c>
      <c r="AF32" s="268" t="s">
        <v>62</v>
      </c>
      <c r="AG32" s="92"/>
      <c r="AH32" s="92"/>
    </row>
    <row r="33" spans="1:34" ht="114" customHeight="1">
      <c r="A33" s="92"/>
      <c r="B33" s="270" t="s">
        <v>63</v>
      </c>
      <c r="C33" s="271" t="s">
        <v>63</v>
      </c>
      <c r="D33" s="272" t="s">
        <v>63</v>
      </c>
      <c r="E33" s="279">
        <v>42391.634837962964</v>
      </c>
      <c r="F33" s="280">
        <v>42391.634837962964</v>
      </c>
      <c r="G33" s="280">
        <v>42391.634837962964</v>
      </c>
      <c r="H33" s="281">
        <v>42391.634837962964</v>
      </c>
      <c r="I33" s="268" t="s">
        <v>64</v>
      </c>
      <c r="J33" s="282" t="s">
        <v>64</v>
      </c>
      <c r="K33" s="282" t="s">
        <v>64</v>
      </c>
      <c r="L33" s="282" t="s">
        <v>64</v>
      </c>
      <c r="M33" s="282" t="s">
        <v>64</v>
      </c>
      <c r="N33" s="282" t="s">
        <v>64</v>
      </c>
      <c r="O33" s="282" t="s">
        <v>64</v>
      </c>
      <c r="P33" s="282" t="s">
        <v>64</v>
      </c>
      <c r="Q33" s="282" t="s">
        <v>64</v>
      </c>
      <c r="R33" s="268" t="s">
        <v>65</v>
      </c>
      <c r="S33" s="268" t="s">
        <v>65</v>
      </c>
      <c r="T33" s="268" t="s">
        <v>65</v>
      </c>
      <c r="U33" s="268" t="s">
        <v>65</v>
      </c>
      <c r="V33" s="268" t="s">
        <v>65</v>
      </c>
      <c r="W33" s="268" t="s">
        <v>65</v>
      </c>
      <c r="X33" s="268" t="s">
        <v>65</v>
      </c>
      <c r="Y33" s="268" t="s">
        <v>65</v>
      </c>
      <c r="Z33" s="268" t="s">
        <v>65</v>
      </c>
      <c r="AA33" s="268" t="s">
        <v>65</v>
      </c>
      <c r="AB33" s="268" t="s">
        <v>65</v>
      </c>
      <c r="AC33" s="268" t="s">
        <v>65</v>
      </c>
      <c r="AD33" s="268" t="s">
        <v>65</v>
      </c>
      <c r="AE33" s="268" t="s">
        <v>65</v>
      </c>
      <c r="AF33" s="268" t="s">
        <v>65</v>
      </c>
      <c r="AG33" s="92"/>
      <c r="AH33" s="92"/>
    </row>
    <row r="34" spans="1:34" ht="40.5" customHeight="1">
      <c r="A34" s="92"/>
      <c r="B34" s="277" t="s">
        <v>66</v>
      </c>
      <c r="C34" s="278"/>
      <c r="D34" s="278"/>
      <c r="E34" s="279"/>
      <c r="F34" s="280"/>
      <c r="G34" s="280"/>
      <c r="H34" s="281"/>
      <c r="I34" s="268" t="s">
        <v>67</v>
      </c>
      <c r="J34" s="282"/>
      <c r="K34" s="282"/>
      <c r="L34" s="282"/>
      <c r="M34" s="282"/>
      <c r="N34" s="282"/>
      <c r="O34" s="282"/>
      <c r="P34" s="282"/>
      <c r="Q34" s="282"/>
      <c r="R34" s="268" t="s">
        <v>68</v>
      </c>
      <c r="S34" s="268"/>
      <c r="T34" s="268"/>
      <c r="U34" s="268"/>
      <c r="V34" s="268"/>
      <c r="W34" s="268"/>
      <c r="X34" s="268"/>
      <c r="Y34" s="268"/>
      <c r="Z34" s="268"/>
      <c r="AA34" s="268"/>
      <c r="AB34" s="268"/>
      <c r="AC34" s="268"/>
      <c r="AD34" s="268"/>
      <c r="AE34" s="268"/>
      <c r="AF34" s="268"/>
      <c r="AG34" s="92"/>
      <c r="AH34" s="92"/>
    </row>
    <row r="35" spans="1:34" ht="40.5" customHeight="1">
      <c r="A35" s="92"/>
      <c r="B35" s="277" t="s">
        <v>69</v>
      </c>
      <c r="C35" s="278"/>
      <c r="D35" s="278"/>
      <c r="E35" s="279"/>
      <c r="F35" s="280"/>
      <c r="G35" s="280"/>
      <c r="H35" s="281"/>
      <c r="I35" s="268" t="s">
        <v>67</v>
      </c>
      <c r="J35" s="282"/>
      <c r="K35" s="282"/>
      <c r="L35" s="282"/>
      <c r="M35" s="282"/>
      <c r="N35" s="282"/>
      <c r="O35" s="282"/>
      <c r="P35" s="282"/>
      <c r="Q35" s="282"/>
      <c r="R35" s="268" t="s">
        <v>70</v>
      </c>
      <c r="S35" s="268"/>
      <c r="T35" s="268"/>
      <c r="U35" s="268"/>
      <c r="V35" s="268"/>
      <c r="W35" s="268"/>
      <c r="X35" s="268"/>
      <c r="Y35" s="268"/>
      <c r="Z35" s="268"/>
      <c r="AA35" s="268"/>
      <c r="AB35" s="268"/>
      <c r="AC35" s="268"/>
      <c r="AD35" s="268"/>
      <c r="AE35" s="268"/>
      <c r="AF35" s="268"/>
      <c r="AG35" s="92"/>
      <c r="AH35" s="92"/>
    </row>
    <row r="36" spans="1:34" ht="40.5" customHeight="1">
      <c r="A36" s="92"/>
      <c r="B36" s="277" t="s">
        <v>71</v>
      </c>
      <c r="C36" s="278"/>
      <c r="D36" s="278"/>
      <c r="E36" s="279"/>
      <c r="F36" s="280"/>
      <c r="G36" s="280"/>
      <c r="H36" s="281"/>
      <c r="I36" s="268" t="s">
        <v>67</v>
      </c>
      <c r="J36" s="282"/>
      <c r="K36" s="282"/>
      <c r="L36" s="282"/>
      <c r="M36" s="282"/>
      <c r="N36" s="282"/>
      <c r="O36" s="282"/>
      <c r="P36" s="282"/>
      <c r="Q36" s="282"/>
      <c r="R36" s="268" t="s">
        <v>72</v>
      </c>
      <c r="S36" s="268"/>
      <c r="T36" s="268"/>
      <c r="U36" s="268"/>
      <c r="V36" s="268"/>
      <c r="W36" s="268"/>
      <c r="X36" s="268"/>
      <c r="Y36" s="268"/>
      <c r="Z36" s="268"/>
      <c r="AA36" s="268"/>
      <c r="AB36" s="268"/>
      <c r="AC36" s="268"/>
      <c r="AD36" s="268"/>
      <c r="AE36" s="268"/>
      <c r="AF36" s="268"/>
      <c r="AG36" s="92"/>
      <c r="AH36" s="92"/>
    </row>
    <row r="37" spans="1:34" ht="102" customHeight="1">
      <c r="A37" s="92"/>
      <c r="B37" s="277" t="s">
        <v>73</v>
      </c>
      <c r="C37" s="278"/>
      <c r="D37" s="278"/>
      <c r="E37" s="279"/>
      <c r="F37" s="280"/>
      <c r="G37" s="280"/>
      <c r="H37" s="281"/>
      <c r="I37" s="268" t="s">
        <v>67</v>
      </c>
      <c r="J37" s="282"/>
      <c r="K37" s="282"/>
      <c r="L37" s="282"/>
      <c r="M37" s="282"/>
      <c r="N37" s="282"/>
      <c r="O37" s="282"/>
      <c r="P37" s="282"/>
      <c r="Q37" s="282"/>
      <c r="R37" s="268" t="s">
        <v>74</v>
      </c>
      <c r="S37" s="268"/>
      <c r="T37" s="268"/>
      <c r="U37" s="268"/>
      <c r="V37" s="268"/>
      <c r="W37" s="268"/>
      <c r="X37" s="268"/>
      <c r="Y37" s="268"/>
      <c r="Z37" s="268"/>
      <c r="AA37" s="268"/>
      <c r="AB37" s="268"/>
      <c r="AC37" s="268"/>
      <c r="AD37" s="268"/>
      <c r="AE37" s="268"/>
      <c r="AF37" s="268"/>
      <c r="AG37" s="92"/>
      <c r="AH37" s="92"/>
    </row>
    <row r="38" spans="1:34" ht="217.5" customHeight="1">
      <c r="A38" s="92"/>
      <c r="B38" s="277" t="s">
        <v>75</v>
      </c>
      <c r="C38" s="278"/>
      <c r="D38" s="278"/>
      <c r="E38" s="279"/>
      <c r="F38" s="280"/>
      <c r="G38" s="280"/>
      <c r="H38" s="281"/>
      <c r="I38" s="268" t="s">
        <v>67</v>
      </c>
      <c r="J38" s="282"/>
      <c r="K38" s="282"/>
      <c r="L38" s="282"/>
      <c r="M38" s="282"/>
      <c r="N38" s="282"/>
      <c r="O38" s="282"/>
      <c r="P38" s="282"/>
      <c r="Q38" s="282"/>
      <c r="R38" s="268" t="s">
        <v>76</v>
      </c>
      <c r="S38" s="268"/>
      <c r="T38" s="268"/>
      <c r="U38" s="268"/>
      <c r="V38" s="268"/>
      <c r="W38" s="268"/>
      <c r="X38" s="268"/>
      <c r="Y38" s="268"/>
      <c r="Z38" s="268"/>
      <c r="AA38" s="268"/>
      <c r="AB38" s="268"/>
      <c r="AC38" s="268"/>
      <c r="AD38" s="268"/>
      <c r="AE38" s="268"/>
      <c r="AF38" s="268"/>
      <c r="AG38" s="92"/>
      <c r="AH38" s="92"/>
    </row>
    <row r="39" spans="1:34" ht="40.5" customHeight="1">
      <c r="A39" s="92"/>
      <c r="B39" s="277" t="s">
        <v>77</v>
      </c>
      <c r="C39" s="278"/>
      <c r="D39" s="278"/>
      <c r="E39" s="279"/>
      <c r="F39" s="280"/>
      <c r="G39" s="280"/>
      <c r="H39" s="281"/>
      <c r="I39" s="268" t="s">
        <v>67</v>
      </c>
      <c r="J39" s="282"/>
      <c r="K39" s="282"/>
      <c r="L39" s="282"/>
      <c r="M39" s="282"/>
      <c r="N39" s="282"/>
      <c r="O39" s="282"/>
      <c r="P39" s="282"/>
      <c r="Q39" s="282"/>
      <c r="R39" s="268" t="s">
        <v>78</v>
      </c>
      <c r="S39" s="268"/>
      <c r="T39" s="268"/>
      <c r="U39" s="268"/>
      <c r="V39" s="268"/>
      <c r="W39" s="268"/>
      <c r="X39" s="268"/>
      <c r="Y39" s="268"/>
      <c r="Z39" s="268"/>
      <c r="AA39" s="268"/>
      <c r="AB39" s="268"/>
      <c r="AC39" s="268"/>
      <c r="AD39" s="268"/>
      <c r="AE39" s="268"/>
      <c r="AF39" s="268"/>
      <c r="AG39" s="92"/>
      <c r="AH39" s="92"/>
    </row>
    <row r="40" spans="1:34" ht="69" customHeight="1">
      <c r="A40" s="92"/>
      <c r="B40" s="277" t="s">
        <v>79</v>
      </c>
      <c r="C40" s="278"/>
      <c r="D40" s="278"/>
      <c r="E40" s="279">
        <v>44562</v>
      </c>
      <c r="F40" s="280"/>
      <c r="G40" s="280"/>
      <c r="H40" s="281"/>
      <c r="I40" s="268" t="s">
        <v>67</v>
      </c>
      <c r="J40" s="282"/>
      <c r="K40" s="282"/>
      <c r="L40" s="282"/>
      <c r="M40" s="282"/>
      <c r="N40" s="282"/>
      <c r="O40" s="282"/>
      <c r="P40" s="282"/>
      <c r="Q40" s="282"/>
      <c r="R40" s="268" t="s">
        <v>80</v>
      </c>
      <c r="S40" s="268"/>
      <c r="T40" s="268"/>
      <c r="U40" s="268"/>
      <c r="V40" s="268"/>
      <c r="W40" s="268"/>
      <c r="X40" s="268"/>
      <c r="Y40" s="268"/>
      <c r="Z40" s="268"/>
      <c r="AA40" s="268"/>
      <c r="AB40" s="268"/>
      <c r="AC40" s="268"/>
      <c r="AD40" s="268"/>
      <c r="AE40" s="268"/>
      <c r="AF40" s="268"/>
      <c r="AG40" s="92"/>
      <c r="AH40" s="92"/>
    </row>
    <row r="41" spans="1:34" ht="30" customHeight="1">
      <c r="A41" s="92"/>
      <c r="B41" s="308" t="s">
        <v>952</v>
      </c>
      <c r="C41" s="278"/>
      <c r="D41" s="278"/>
      <c r="E41" s="279" t="s">
        <v>953</v>
      </c>
      <c r="F41" s="280"/>
      <c r="G41" s="280"/>
      <c r="H41" s="281"/>
      <c r="I41" s="268" t="s">
        <v>954</v>
      </c>
      <c r="J41" s="282"/>
      <c r="K41" s="282"/>
      <c r="L41" s="282"/>
      <c r="M41" s="282"/>
      <c r="N41" s="282"/>
      <c r="O41" s="282"/>
      <c r="P41" s="282"/>
      <c r="Q41" s="282"/>
      <c r="R41" s="268" t="s">
        <v>955</v>
      </c>
      <c r="S41" s="268"/>
      <c r="T41" s="268"/>
      <c r="U41" s="268"/>
      <c r="V41" s="268"/>
      <c r="W41" s="268"/>
      <c r="X41" s="268"/>
      <c r="Y41" s="268"/>
      <c r="Z41" s="268"/>
      <c r="AA41" s="268"/>
      <c r="AB41" s="268"/>
      <c r="AC41" s="268"/>
      <c r="AD41" s="268"/>
      <c r="AE41" s="268"/>
      <c r="AF41" s="268"/>
      <c r="AG41" s="92"/>
      <c r="AH41" s="92"/>
    </row>
    <row r="42" spans="1:34" ht="30" customHeight="1">
      <c r="A42" s="92"/>
      <c r="B42" s="308" t="s">
        <v>957</v>
      </c>
      <c r="C42" s="278"/>
      <c r="D42" s="278"/>
      <c r="E42" s="279" t="s">
        <v>958</v>
      </c>
      <c r="F42" s="280"/>
      <c r="G42" s="280"/>
      <c r="H42" s="281"/>
      <c r="I42" s="268" t="s">
        <v>954</v>
      </c>
      <c r="J42" s="282"/>
      <c r="K42" s="282"/>
      <c r="L42" s="282"/>
      <c r="M42" s="282"/>
      <c r="N42" s="282"/>
      <c r="O42" s="282"/>
      <c r="P42" s="282"/>
      <c r="Q42" s="282"/>
      <c r="R42" s="268" t="s">
        <v>959</v>
      </c>
      <c r="S42" s="268"/>
      <c r="T42" s="268"/>
      <c r="U42" s="268"/>
      <c r="V42" s="268"/>
      <c r="W42" s="268"/>
      <c r="X42" s="268"/>
      <c r="Y42" s="268"/>
      <c r="Z42" s="268"/>
      <c r="AA42" s="268"/>
      <c r="AB42" s="268"/>
      <c r="AC42" s="268"/>
      <c r="AD42" s="268"/>
      <c r="AE42" s="268"/>
      <c r="AF42" s="268"/>
      <c r="AG42" s="92"/>
      <c r="AH42" s="92"/>
    </row>
    <row r="43" spans="1:34" ht="69" customHeight="1">
      <c r="A43" s="92"/>
      <c r="B43" s="277"/>
      <c r="C43" s="278"/>
      <c r="D43" s="278"/>
      <c r="E43" s="279"/>
      <c r="F43" s="280"/>
      <c r="G43" s="280"/>
      <c r="H43" s="281"/>
      <c r="I43" s="268"/>
      <c r="J43" s="282"/>
      <c r="K43" s="282"/>
      <c r="L43" s="282"/>
      <c r="M43" s="282"/>
      <c r="N43" s="282"/>
      <c r="O43" s="282"/>
      <c r="P43" s="282"/>
      <c r="Q43" s="282"/>
      <c r="R43" s="268"/>
      <c r="S43" s="268"/>
      <c r="T43" s="268"/>
      <c r="U43" s="268"/>
      <c r="V43" s="268"/>
      <c r="W43" s="268"/>
      <c r="X43" s="268"/>
      <c r="Y43" s="268"/>
      <c r="Z43" s="268"/>
      <c r="AA43" s="268"/>
      <c r="AB43" s="268"/>
      <c r="AC43" s="268"/>
      <c r="AD43" s="268"/>
      <c r="AE43" s="268"/>
      <c r="AF43" s="268"/>
      <c r="AG43" s="92"/>
      <c r="AH43" s="92"/>
    </row>
    <row r="44" spans="1:34">
      <c r="A44" s="92"/>
      <c r="B44" s="108" t="s">
        <v>81</v>
      </c>
      <c r="C44" s="109"/>
      <c r="D44" s="109"/>
      <c r="E44" s="110"/>
      <c r="F44" s="110"/>
      <c r="G44" s="110"/>
      <c r="H44" s="110"/>
      <c r="I44" s="110"/>
      <c r="J44" s="111"/>
      <c r="K44" s="111"/>
      <c r="L44" s="111"/>
      <c r="M44" s="111"/>
      <c r="N44" s="111"/>
      <c r="O44" s="111"/>
      <c r="P44" s="111"/>
      <c r="Q44" s="111"/>
      <c r="R44" s="110"/>
      <c r="S44" s="110"/>
      <c r="T44" s="110"/>
      <c r="U44" s="110"/>
      <c r="V44" s="110"/>
      <c r="W44" s="110"/>
      <c r="X44" s="110"/>
      <c r="Y44" s="110"/>
      <c r="Z44" s="110"/>
      <c r="AA44" s="110"/>
      <c r="AB44" s="110"/>
      <c r="AC44" s="110"/>
      <c r="AD44" s="110"/>
      <c r="AE44" s="110"/>
      <c r="AF44" s="110"/>
      <c r="AG44" s="92"/>
      <c r="AH44" s="92"/>
    </row>
    <row r="45" spans="1:34">
      <c r="A45" s="92"/>
      <c r="B45" s="92"/>
      <c r="C45" s="106"/>
      <c r="D45" s="92"/>
      <c r="E45" s="92"/>
      <c r="F45" s="92"/>
      <c r="G45" s="92"/>
      <c r="H45" s="92"/>
      <c r="I45" s="107"/>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row>
    <row r="46" spans="1:34">
      <c r="A46" s="92"/>
      <c r="B46" s="92"/>
      <c r="C46" s="92"/>
      <c r="D46" s="92"/>
      <c r="E46" s="92"/>
      <c r="F46" s="92"/>
      <c r="G46" s="92"/>
      <c r="H46" s="92"/>
      <c r="I46" s="92"/>
      <c r="J46" s="112"/>
      <c r="K46" s="92"/>
      <c r="L46" s="92"/>
      <c r="M46" s="92"/>
      <c r="N46" s="92"/>
      <c r="O46" s="92"/>
      <c r="P46" s="92"/>
      <c r="Q46" s="92"/>
      <c r="R46" s="92"/>
      <c r="S46" s="92"/>
      <c r="T46" s="92"/>
      <c r="U46" s="92"/>
      <c r="V46" s="92"/>
      <c r="W46" s="92"/>
      <c r="X46" s="92"/>
      <c r="Y46" s="92"/>
      <c r="Z46" s="92"/>
      <c r="AA46" s="92"/>
      <c r="AB46" s="92"/>
      <c r="AC46" s="92"/>
      <c r="AD46" s="92"/>
      <c r="AE46" s="92"/>
      <c r="AF46" s="92"/>
      <c r="AG46" s="92"/>
      <c r="AH46" s="92"/>
    </row>
    <row r="47" spans="1:34" ht="20.25">
      <c r="A47" s="92"/>
      <c r="B47" s="104" t="s">
        <v>82</v>
      </c>
      <c r="C47" s="105"/>
      <c r="D47" s="92"/>
      <c r="E47" s="92"/>
      <c r="F47" s="92"/>
      <c r="G47" s="92"/>
      <c r="H47" s="92"/>
      <c r="I47" s="107"/>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row>
    <row r="48" spans="1:34" ht="18.75">
      <c r="A48" s="92"/>
      <c r="B48" s="113" t="s">
        <v>83</v>
      </c>
      <c r="C48" s="105"/>
      <c r="D48" s="92"/>
      <c r="E48" s="92"/>
      <c r="F48" s="92"/>
      <c r="G48" s="92"/>
      <c r="H48" s="92"/>
      <c r="I48" s="107"/>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row>
    <row r="49" spans="1:34">
      <c r="A49" s="92"/>
      <c r="B49" s="265" t="s">
        <v>84</v>
      </c>
      <c r="C49" s="265"/>
      <c r="D49" s="265"/>
      <c r="E49" s="265" t="s">
        <v>85</v>
      </c>
      <c r="F49" s="266"/>
      <c r="G49" s="266"/>
      <c r="H49" s="266"/>
      <c r="I49" s="266"/>
      <c r="J49" s="266"/>
      <c r="K49" s="266"/>
      <c r="L49" s="266"/>
      <c r="M49" s="266"/>
      <c r="N49" s="266"/>
      <c r="O49" s="266"/>
      <c r="P49" s="266"/>
      <c r="Q49" s="266"/>
      <c r="R49" s="266"/>
      <c r="S49" s="266"/>
      <c r="T49" s="266"/>
      <c r="U49" s="266"/>
      <c r="V49" s="266"/>
      <c r="W49" s="266"/>
      <c r="X49" s="266"/>
      <c r="Y49" s="265" t="s">
        <v>86</v>
      </c>
      <c r="Z49" s="265"/>
      <c r="AA49" s="265"/>
      <c r="AB49" s="265"/>
      <c r="AC49" s="265"/>
      <c r="AD49" s="265"/>
      <c r="AE49" s="265"/>
      <c r="AF49" s="265"/>
      <c r="AG49" s="92"/>
      <c r="AH49" s="92"/>
    </row>
    <row r="50" spans="1:34">
      <c r="A50" s="92"/>
      <c r="B50" s="267"/>
      <c r="C50" s="267"/>
      <c r="D50" s="267"/>
      <c r="E50" s="268"/>
      <c r="F50" s="269"/>
      <c r="G50" s="269"/>
      <c r="H50" s="269"/>
      <c r="I50" s="269"/>
      <c r="J50" s="269"/>
      <c r="K50" s="269"/>
      <c r="L50" s="269"/>
      <c r="M50" s="269"/>
      <c r="N50" s="269"/>
      <c r="O50" s="269"/>
      <c r="P50" s="269"/>
      <c r="Q50" s="269"/>
      <c r="R50" s="269"/>
      <c r="S50" s="269"/>
      <c r="T50" s="269"/>
      <c r="U50" s="269"/>
      <c r="V50" s="269"/>
      <c r="W50" s="269"/>
      <c r="X50" s="269"/>
      <c r="Y50" s="268"/>
      <c r="Z50" s="269"/>
      <c r="AA50" s="269"/>
      <c r="AB50" s="269"/>
      <c r="AC50" s="269"/>
      <c r="AD50" s="269"/>
      <c r="AE50" s="269"/>
      <c r="AF50" s="269"/>
      <c r="AG50" s="92"/>
      <c r="AH50" s="92"/>
    </row>
    <row r="51" spans="1:34">
      <c r="A51" s="92"/>
      <c r="B51" s="267"/>
      <c r="C51" s="267"/>
      <c r="D51" s="267"/>
      <c r="E51" s="268"/>
      <c r="F51" s="269"/>
      <c r="G51" s="269"/>
      <c r="H51" s="269"/>
      <c r="I51" s="269"/>
      <c r="J51" s="269"/>
      <c r="K51" s="269"/>
      <c r="L51" s="269"/>
      <c r="M51" s="269"/>
      <c r="N51" s="269"/>
      <c r="O51" s="269"/>
      <c r="P51" s="269"/>
      <c r="Q51" s="269"/>
      <c r="R51" s="269"/>
      <c r="S51" s="269"/>
      <c r="T51" s="269"/>
      <c r="U51" s="269"/>
      <c r="V51" s="269"/>
      <c r="W51" s="269"/>
      <c r="X51" s="269"/>
      <c r="Y51" s="268"/>
      <c r="Z51" s="269"/>
      <c r="AA51" s="269"/>
      <c r="AB51" s="269"/>
      <c r="AC51" s="269"/>
      <c r="AD51" s="269"/>
      <c r="AE51" s="269"/>
      <c r="AF51" s="269"/>
      <c r="AG51" s="92"/>
      <c r="AH51" s="92"/>
    </row>
    <row r="52" spans="1:34">
      <c r="A52" s="92"/>
      <c r="B52" s="267"/>
      <c r="C52" s="267"/>
      <c r="D52" s="267"/>
      <c r="E52" s="268"/>
      <c r="F52" s="269"/>
      <c r="G52" s="269"/>
      <c r="H52" s="269"/>
      <c r="I52" s="269"/>
      <c r="J52" s="269"/>
      <c r="K52" s="269"/>
      <c r="L52" s="269"/>
      <c r="M52" s="269"/>
      <c r="N52" s="269"/>
      <c r="O52" s="269"/>
      <c r="P52" s="269"/>
      <c r="Q52" s="269"/>
      <c r="R52" s="269"/>
      <c r="S52" s="269"/>
      <c r="T52" s="269"/>
      <c r="U52" s="269"/>
      <c r="V52" s="269"/>
      <c r="W52" s="269"/>
      <c r="X52" s="269"/>
      <c r="Y52" s="268"/>
      <c r="Z52" s="269"/>
      <c r="AA52" s="269"/>
      <c r="AB52" s="269"/>
      <c r="AC52" s="269"/>
      <c r="AD52" s="269"/>
      <c r="AE52" s="269"/>
      <c r="AF52" s="269"/>
      <c r="AG52" s="92"/>
      <c r="AH52" s="92"/>
    </row>
    <row r="53" spans="1:34">
      <c r="A53" s="92"/>
      <c r="B53" s="267"/>
      <c r="C53" s="267"/>
      <c r="D53" s="267"/>
      <c r="E53" s="268"/>
      <c r="F53" s="269"/>
      <c r="G53" s="269"/>
      <c r="H53" s="269"/>
      <c r="I53" s="269"/>
      <c r="J53" s="269"/>
      <c r="K53" s="269"/>
      <c r="L53" s="269"/>
      <c r="M53" s="269"/>
      <c r="N53" s="269"/>
      <c r="O53" s="269"/>
      <c r="P53" s="269"/>
      <c r="Q53" s="269"/>
      <c r="R53" s="269"/>
      <c r="S53" s="269"/>
      <c r="T53" s="269"/>
      <c r="U53" s="269"/>
      <c r="V53" s="269"/>
      <c r="W53" s="269"/>
      <c r="X53" s="269"/>
      <c r="Y53" s="268"/>
      <c r="Z53" s="269"/>
      <c r="AA53" s="269"/>
      <c r="AB53" s="269"/>
      <c r="AC53" s="269"/>
      <c r="AD53" s="269"/>
      <c r="AE53" s="269"/>
      <c r="AF53" s="269"/>
      <c r="AG53" s="92"/>
      <c r="AH53" s="92"/>
    </row>
    <row r="54" spans="1:34" ht="18.75">
      <c r="A54" s="92"/>
      <c r="B54" s="113" t="s">
        <v>87</v>
      </c>
      <c r="C54" s="105"/>
      <c r="D54" s="92"/>
      <c r="E54" s="92"/>
      <c r="F54" s="92"/>
      <c r="G54" s="92"/>
      <c r="H54" s="92"/>
      <c r="I54" s="10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row>
    <row r="55" spans="1:34">
      <c r="A55" s="92"/>
      <c r="B55" s="265" t="s">
        <v>84</v>
      </c>
      <c r="C55" s="265"/>
      <c r="D55" s="265"/>
      <c r="E55" s="265" t="s">
        <v>85</v>
      </c>
      <c r="F55" s="266"/>
      <c r="G55" s="266"/>
      <c r="H55" s="266"/>
      <c r="I55" s="266"/>
      <c r="J55" s="266"/>
      <c r="K55" s="266"/>
      <c r="L55" s="266"/>
      <c r="M55" s="266"/>
      <c r="N55" s="266"/>
      <c r="O55" s="266"/>
      <c r="P55" s="266"/>
      <c r="Q55" s="266"/>
      <c r="R55" s="266"/>
      <c r="S55" s="266"/>
      <c r="T55" s="266"/>
      <c r="U55" s="266"/>
      <c r="V55" s="266"/>
      <c r="W55" s="266"/>
      <c r="X55" s="266"/>
      <c r="Y55" s="265" t="s">
        <v>86</v>
      </c>
      <c r="Z55" s="265"/>
      <c r="AA55" s="265"/>
      <c r="AB55" s="265"/>
      <c r="AC55" s="265"/>
      <c r="AD55" s="265"/>
      <c r="AE55" s="265"/>
      <c r="AF55" s="265"/>
      <c r="AG55" s="92"/>
      <c r="AH55" s="92"/>
    </row>
    <row r="56" spans="1:34">
      <c r="A56" s="92"/>
      <c r="B56" s="267"/>
      <c r="C56" s="267"/>
      <c r="D56" s="267"/>
      <c r="E56" s="268"/>
      <c r="F56" s="269"/>
      <c r="G56" s="269"/>
      <c r="H56" s="269"/>
      <c r="I56" s="269"/>
      <c r="J56" s="269"/>
      <c r="K56" s="269"/>
      <c r="L56" s="269"/>
      <c r="M56" s="269"/>
      <c r="N56" s="269"/>
      <c r="O56" s="269"/>
      <c r="P56" s="269"/>
      <c r="Q56" s="269"/>
      <c r="R56" s="269"/>
      <c r="S56" s="269"/>
      <c r="T56" s="269"/>
      <c r="U56" s="269"/>
      <c r="V56" s="269"/>
      <c r="W56" s="269"/>
      <c r="X56" s="269"/>
      <c r="Y56" s="268"/>
      <c r="Z56" s="269"/>
      <c r="AA56" s="269"/>
      <c r="AB56" s="269"/>
      <c r="AC56" s="269"/>
      <c r="AD56" s="269"/>
      <c r="AE56" s="269"/>
      <c r="AF56" s="269"/>
      <c r="AG56" s="92"/>
      <c r="AH56" s="92"/>
    </row>
    <row r="57" spans="1:34">
      <c r="A57" s="92"/>
      <c r="B57" s="267"/>
      <c r="C57" s="267"/>
      <c r="D57" s="267"/>
      <c r="E57" s="268"/>
      <c r="F57" s="269"/>
      <c r="G57" s="269"/>
      <c r="H57" s="269"/>
      <c r="I57" s="269"/>
      <c r="J57" s="269"/>
      <c r="K57" s="269"/>
      <c r="L57" s="269"/>
      <c r="M57" s="269"/>
      <c r="N57" s="269"/>
      <c r="O57" s="269"/>
      <c r="P57" s="269"/>
      <c r="Q57" s="269"/>
      <c r="R57" s="269"/>
      <c r="S57" s="269"/>
      <c r="T57" s="269"/>
      <c r="U57" s="269"/>
      <c r="V57" s="269"/>
      <c r="W57" s="269"/>
      <c r="X57" s="269"/>
      <c r="Y57" s="268"/>
      <c r="Z57" s="269"/>
      <c r="AA57" s="269"/>
      <c r="AB57" s="269"/>
      <c r="AC57" s="269"/>
      <c r="AD57" s="269"/>
      <c r="AE57" s="269"/>
      <c r="AF57" s="269"/>
      <c r="AG57" s="92"/>
      <c r="AH57" s="92"/>
    </row>
    <row r="58" spans="1:34">
      <c r="A58" s="92"/>
      <c r="B58" s="267"/>
      <c r="C58" s="267"/>
      <c r="D58" s="267"/>
      <c r="E58" s="268"/>
      <c r="F58" s="269"/>
      <c r="G58" s="269"/>
      <c r="H58" s="269"/>
      <c r="I58" s="269"/>
      <c r="J58" s="269"/>
      <c r="K58" s="269"/>
      <c r="L58" s="269"/>
      <c r="M58" s="269"/>
      <c r="N58" s="269"/>
      <c r="O58" s="269"/>
      <c r="P58" s="269"/>
      <c r="Q58" s="269"/>
      <c r="R58" s="269"/>
      <c r="S58" s="269"/>
      <c r="T58" s="269"/>
      <c r="U58" s="269"/>
      <c r="V58" s="269"/>
      <c r="W58" s="269"/>
      <c r="X58" s="269"/>
      <c r="Y58" s="268"/>
      <c r="Z58" s="269"/>
      <c r="AA58" s="269"/>
      <c r="AB58" s="269"/>
      <c r="AC58" s="269"/>
      <c r="AD58" s="269"/>
      <c r="AE58" s="269"/>
      <c r="AF58" s="269"/>
      <c r="AG58" s="92"/>
      <c r="AH58" s="92"/>
    </row>
    <row r="59" spans="1:34">
      <c r="A59" s="92"/>
      <c r="B59" s="267"/>
      <c r="C59" s="267"/>
      <c r="D59" s="267"/>
      <c r="E59" s="268"/>
      <c r="F59" s="269"/>
      <c r="G59" s="269"/>
      <c r="H59" s="269"/>
      <c r="I59" s="269"/>
      <c r="J59" s="269"/>
      <c r="K59" s="269"/>
      <c r="L59" s="269"/>
      <c r="M59" s="269"/>
      <c r="N59" s="269"/>
      <c r="O59" s="269"/>
      <c r="P59" s="269"/>
      <c r="Q59" s="269"/>
      <c r="R59" s="269"/>
      <c r="S59" s="269"/>
      <c r="T59" s="269"/>
      <c r="U59" s="269"/>
      <c r="V59" s="269"/>
      <c r="W59" s="269"/>
      <c r="X59" s="269"/>
      <c r="Y59" s="268"/>
      <c r="Z59" s="269"/>
      <c r="AA59" s="269"/>
      <c r="AB59" s="269"/>
      <c r="AC59" s="269"/>
      <c r="AD59" s="269"/>
      <c r="AE59" s="269"/>
      <c r="AF59" s="269"/>
      <c r="AG59" s="92"/>
      <c r="AH59" s="92"/>
    </row>
    <row r="60" spans="1:34">
      <c r="A60" s="92"/>
      <c r="B60" s="92"/>
      <c r="C60" s="106"/>
      <c r="D60" s="92"/>
      <c r="E60" s="92"/>
      <c r="F60" s="92"/>
      <c r="G60" s="92"/>
      <c r="H60" s="92"/>
      <c r="I60" s="107"/>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row>
    <row r="61" spans="1:34" ht="20.25">
      <c r="A61" s="92"/>
      <c r="B61" s="104" t="s">
        <v>88</v>
      </c>
      <c r="C61" s="105"/>
      <c r="D61" s="92"/>
      <c r="E61" s="92"/>
      <c r="F61" s="92"/>
      <c r="G61" s="92"/>
      <c r="H61" s="92"/>
      <c r="I61" s="107"/>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row>
    <row r="62" spans="1:34">
      <c r="A62" s="92"/>
      <c r="B62" s="265" t="s">
        <v>89</v>
      </c>
      <c r="C62" s="265"/>
      <c r="D62" s="265"/>
      <c r="E62" s="265"/>
      <c r="F62" s="265"/>
      <c r="G62" s="265"/>
      <c r="H62" s="283"/>
      <c r="I62" s="283"/>
      <c r="J62" s="283"/>
      <c r="K62" s="283"/>
      <c r="L62" s="283"/>
      <c r="M62" s="283"/>
      <c r="N62" s="283"/>
      <c r="O62" s="283"/>
      <c r="P62" s="283"/>
      <c r="Q62" s="283"/>
      <c r="R62" s="283"/>
      <c r="S62" s="283"/>
      <c r="T62" s="283"/>
      <c r="U62" s="283"/>
      <c r="V62" s="283"/>
      <c r="W62" s="283"/>
      <c r="X62" s="283"/>
      <c r="Y62" s="283"/>
      <c r="Z62" s="283"/>
      <c r="AA62" s="283"/>
      <c r="AB62" s="283"/>
      <c r="AC62" s="283"/>
      <c r="AD62" s="283"/>
      <c r="AE62" s="283"/>
      <c r="AF62" s="283"/>
      <c r="AG62" s="92"/>
      <c r="AH62" s="92"/>
    </row>
    <row r="63" spans="1:34" ht="27.75" customHeight="1">
      <c r="A63" s="92"/>
      <c r="B63" s="270" t="s">
        <v>90</v>
      </c>
      <c r="C63" s="271"/>
      <c r="D63" s="271"/>
      <c r="E63" s="271"/>
      <c r="F63" s="271"/>
      <c r="G63" s="272"/>
      <c r="H63" s="276" t="s">
        <v>91</v>
      </c>
      <c r="I63" s="274"/>
      <c r="J63" s="274"/>
      <c r="K63" s="274"/>
      <c r="L63" s="274"/>
      <c r="M63" s="274"/>
      <c r="N63" s="274"/>
      <c r="O63" s="274"/>
      <c r="P63" s="274"/>
      <c r="Q63" s="274"/>
      <c r="R63" s="274"/>
      <c r="S63" s="274"/>
      <c r="T63" s="274"/>
      <c r="U63" s="274"/>
      <c r="V63" s="274"/>
      <c r="W63" s="274"/>
      <c r="X63" s="274"/>
      <c r="Y63" s="274"/>
      <c r="Z63" s="274"/>
      <c r="AA63" s="274"/>
      <c r="AB63" s="274"/>
      <c r="AC63" s="274"/>
      <c r="AD63" s="274"/>
      <c r="AE63" s="274"/>
      <c r="AF63" s="275"/>
      <c r="AG63" s="92"/>
      <c r="AH63" s="92"/>
    </row>
    <row r="64" spans="1:34">
      <c r="A64" s="92"/>
      <c r="B64" s="270"/>
      <c r="C64" s="271"/>
      <c r="D64" s="271"/>
      <c r="E64" s="271"/>
      <c r="F64" s="271"/>
      <c r="G64" s="272"/>
      <c r="H64" s="273"/>
      <c r="I64" s="274"/>
      <c r="J64" s="274"/>
      <c r="K64" s="274"/>
      <c r="L64" s="274"/>
      <c r="M64" s="274"/>
      <c r="N64" s="274"/>
      <c r="O64" s="274"/>
      <c r="P64" s="274"/>
      <c r="Q64" s="274"/>
      <c r="R64" s="274"/>
      <c r="S64" s="274"/>
      <c r="T64" s="274"/>
      <c r="U64" s="274"/>
      <c r="V64" s="274"/>
      <c r="W64" s="274"/>
      <c r="X64" s="274"/>
      <c r="Y64" s="274"/>
      <c r="Z64" s="274"/>
      <c r="AA64" s="274"/>
      <c r="AB64" s="274"/>
      <c r="AC64" s="274"/>
      <c r="AD64" s="274"/>
      <c r="AE64" s="274"/>
      <c r="AF64" s="275"/>
      <c r="AG64" s="92"/>
      <c r="AH64" s="92"/>
    </row>
    <row r="65" spans="1:34">
      <c r="A65" s="92"/>
      <c r="B65" s="270"/>
      <c r="C65" s="271"/>
      <c r="D65" s="271"/>
      <c r="E65" s="271"/>
      <c r="F65" s="271"/>
      <c r="G65" s="272"/>
      <c r="H65" s="273"/>
      <c r="I65" s="274"/>
      <c r="J65" s="274"/>
      <c r="K65" s="274"/>
      <c r="L65" s="274"/>
      <c r="M65" s="274"/>
      <c r="N65" s="274"/>
      <c r="O65" s="274"/>
      <c r="P65" s="274"/>
      <c r="Q65" s="274"/>
      <c r="R65" s="274"/>
      <c r="S65" s="274"/>
      <c r="T65" s="274"/>
      <c r="U65" s="274"/>
      <c r="V65" s="274"/>
      <c r="W65" s="274"/>
      <c r="X65" s="274"/>
      <c r="Y65" s="274"/>
      <c r="Z65" s="274"/>
      <c r="AA65" s="274"/>
      <c r="AB65" s="274"/>
      <c r="AC65" s="274"/>
      <c r="AD65" s="274"/>
      <c r="AE65" s="274"/>
      <c r="AF65" s="275"/>
      <c r="AG65" s="92"/>
      <c r="AH65" s="92"/>
    </row>
    <row r="66" spans="1:34">
      <c r="A66" s="92"/>
      <c r="B66" s="270"/>
      <c r="C66" s="271"/>
      <c r="D66" s="271"/>
      <c r="E66" s="271"/>
      <c r="F66" s="271"/>
      <c r="G66" s="272"/>
      <c r="H66" s="273"/>
      <c r="I66" s="274"/>
      <c r="J66" s="274"/>
      <c r="K66" s="274"/>
      <c r="L66" s="274"/>
      <c r="M66" s="274"/>
      <c r="N66" s="274"/>
      <c r="O66" s="274"/>
      <c r="P66" s="274"/>
      <c r="Q66" s="274"/>
      <c r="R66" s="274"/>
      <c r="S66" s="274"/>
      <c r="T66" s="274"/>
      <c r="U66" s="274"/>
      <c r="V66" s="274"/>
      <c r="W66" s="274"/>
      <c r="X66" s="274"/>
      <c r="Y66" s="274"/>
      <c r="Z66" s="274"/>
      <c r="AA66" s="274"/>
      <c r="AB66" s="274"/>
      <c r="AC66" s="274"/>
      <c r="AD66" s="274"/>
      <c r="AE66" s="274"/>
      <c r="AF66" s="275"/>
      <c r="AG66" s="92"/>
      <c r="AH66" s="92"/>
    </row>
    <row r="67" spans="1:34">
      <c r="A67" s="92"/>
      <c r="B67" s="270"/>
      <c r="C67" s="271"/>
      <c r="D67" s="271"/>
      <c r="E67" s="271"/>
      <c r="F67" s="271"/>
      <c r="G67" s="272"/>
      <c r="H67" s="273"/>
      <c r="I67" s="274"/>
      <c r="J67" s="274"/>
      <c r="K67" s="274"/>
      <c r="L67" s="274"/>
      <c r="M67" s="274"/>
      <c r="N67" s="274"/>
      <c r="O67" s="274"/>
      <c r="P67" s="274"/>
      <c r="Q67" s="274"/>
      <c r="R67" s="274"/>
      <c r="S67" s="274"/>
      <c r="T67" s="274"/>
      <c r="U67" s="274"/>
      <c r="V67" s="274"/>
      <c r="W67" s="274"/>
      <c r="X67" s="274"/>
      <c r="Y67" s="274"/>
      <c r="Z67" s="274"/>
      <c r="AA67" s="274"/>
      <c r="AB67" s="274"/>
      <c r="AC67" s="274"/>
      <c r="AD67" s="274"/>
      <c r="AE67" s="274"/>
      <c r="AF67" s="275"/>
      <c r="AG67" s="92"/>
      <c r="AH67" s="92"/>
    </row>
    <row r="68" spans="1:34">
      <c r="A68" s="92"/>
      <c r="B68" s="110"/>
      <c r="C68" s="110"/>
      <c r="D68" s="110"/>
      <c r="E68" s="110"/>
      <c r="F68" s="110"/>
      <c r="G68" s="110"/>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92"/>
      <c r="AH68" s="92"/>
    </row>
    <row r="69" spans="1:34">
      <c r="A69" s="92"/>
      <c r="B69" s="110"/>
      <c r="C69" s="110"/>
      <c r="D69" s="110"/>
      <c r="E69" s="110"/>
      <c r="F69" s="110"/>
      <c r="G69" s="110"/>
      <c r="H69" s="114"/>
      <c r="I69" s="114"/>
      <c r="J69" s="114"/>
      <c r="K69" s="114"/>
      <c r="L69" s="114"/>
      <c r="M69" s="114"/>
      <c r="N69" s="114"/>
      <c r="O69" s="114"/>
      <c r="P69" s="114"/>
      <c r="Q69" s="114"/>
      <c r="R69" s="114"/>
      <c r="S69" s="114"/>
      <c r="T69" s="114"/>
      <c r="U69" s="114"/>
      <c r="V69" s="114"/>
      <c r="W69" s="114"/>
      <c r="X69" s="114"/>
      <c r="Y69" s="114"/>
      <c r="Z69" s="114"/>
      <c r="AA69" s="114"/>
      <c r="AB69" s="114"/>
      <c r="AC69" s="114"/>
      <c r="AD69" s="114"/>
      <c r="AE69" s="114"/>
      <c r="AF69" s="114"/>
      <c r="AG69" s="92"/>
      <c r="AH69" s="92"/>
    </row>
    <row r="70" spans="1:34" ht="26.25">
      <c r="A70" s="92"/>
      <c r="B70" s="115" t="s">
        <v>92</v>
      </c>
      <c r="C70" s="116"/>
      <c r="D70" s="116"/>
      <c r="E70" s="116"/>
      <c r="F70" s="116"/>
      <c r="G70" s="116"/>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92"/>
      <c r="AH70" s="92"/>
    </row>
    <row r="71" spans="1:34" ht="26.25">
      <c r="A71" s="92"/>
      <c r="B71" s="118"/>
      <c r="C71" s="110"/>
      <c r="D71" s="110"/>
      <c r="E71" s="110"/>
      <c r="F71" s="110"/>
      <c r="G71" s="110"/>
      <c r="H71" s="114"/>
      <c r="I71" s="114"/>
      <c r="J71" s="114"/>
      <c r="K71" s="114"/>
      <c r="L71" s="114"/>
      <c r="M71" s="114"/>
      <c r="N71" s="114"/>
      <c r="O71" s="114"/>
      <c r="P71" s="114"/>
      <c r="Q71" s="114"/>
      <c r="R71" s="114"/>
      <c r="S71" s="114"/>
      <c r="T71" s="114"/>
      <c r="U71" s="114"/>
      <c r="V71" s="114"/>
      <c r="W71" s="114"/>
      <c r="X71" s="114"/>
      <c r="Y71" s="114"/>
      <c r="Z71" s="114"/>
      <c r="AA71" s="114"/>
      <c r="AB71" s="114"/>
      <c r="AC71" s="114"/>
      <c r="AD71" s="114"/>
      <c r="AE71" s="114"/>
      <c r="AF71" s="114"/>
      <c r="AG71" s="92"/>
      <c r="AH71" s="92"/>
    </row>
    <row r="72" spans="1:34" s="158" customFormat="1" ht="20.25">
      <c r="B72" s="159" t="s">
        <v>93</v>
      </c>
    </row>
    <row r="73" spans="1:34">
      <c r="A73" s="92"/>
      <c r="B73" s="119"/>
      <c r="C73" s="119"/>
      <c r="D73" s="119"/>
      <c r="E73" s="119"/>
      <c r="F73" s="119"/>
      <c r="G73" s="119"/>
      <c r="H73" s="120"/>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92"/>
      <c r="AH73" s="92"/>
    </row>
    <row r="74" spans="1:34" ht="52.5" customHeight="1">
      <c r="A74" s="92"/>
      <c r="B74" s="302" t="s">
        <v>94</v>
      </c>
      <c r="C74" s="303"/>
      <c r="D74" s="303"/>
      <c r="E74" s="303"/>
      <c r="F74" s="303"/>
      <c r="G74" s="304"/>
      <c r="H74" s="305" t="s">
        <v>95</v>
      </c>
      <c r="I74" s="306"/>
      <c r="J74" s="306"/>
      <c r="K74" s="306"/>
      <c r="L74" s="306"/>
      <c r="M74" s="306"/>
      <c r="N74" s="306"/>
      <c r="O74" s="306"/>
      <c r="P74" s="306"/>
      <c r="Q74" s="306"/>
      <c r="R74" s="306"/>
      <c r="S74" s="306"/>
      <c r="T74" s="306"/>
      <c r="U74" s="306"/>
      <c r="V74" s="306"/>
      <c r="W74" s="306"/>
      <c r="X74" s="306"/>
      <c r="Y74" s="306"/>
      <c r="Z74" s="306"/>
      <c r="AA74" s="306"/>
      <c r="AB74" s="306"/>
      <c r="AC74" s="306"/>
      <c r="AD74" s="306"/>
      <c r="AE74" s="306"/>
      <c r="AF74" s="307"/>
      <c r="AG74" s="92"/>
      <c r="AH74" s="92"/>
    </row>
    <row r="75" spans="1:34" ht="111" customHeight="1">
      <c r="A75" s="92"/>
      <c r="B75" s="302" t="s">
        <v>96</v>
      </c>
      <c r="C75" s="303"/>
      <c r="D75" s="303"/>
      <c r="E75" s="303"/>
      <c r="F75" s="303"/>
      <c r="G75" s="304"/>
      <c r="H75" s="305" t="s">
        <v>97</v>
      </c>
      <c r="I75" s="306"/>
      <c r="J75" s="306"/>
      <c r="K75" s="306"/>
      <c r="L75" s="306"/>
      <c r="M75" s="306"/>
      <c r="N75" s="306"/>
      <c r="O75" s="306"/>
      <c r="P75" s="306"/>
      <c r="Q75" s="306"/>
      <c r="R75" s="306"/>
      <c r="S75" s="306"/>
      <c r="T75" s="306"/>
      <c r="U75" s="306"/>
      <c r="V75" s="306"/>
      <c r="W75" s="306"/>
      <c r="X75" s="306"/>
      <c r="Y75" s="306"/>
      <c r="Z75" s="306"/>
      <c r="AA75" s="306"/>
      <c r="AB75" s="306"/>
      <c r="AC75" s="306"/>
      <c r="AD75" s="306"/>
      <c r="AE75" s="306"/>
      <c r="AF75" s="307"/>
      <c r="AG75" s="92"/>
      <c r="AH75" s="92"/>
    </row>
    <row r="76" spans="1:34" ht="52.5" customHeight="1">
      <c r="A76" s="92"/>
      <c r="B76" s="302" t="s">
        <v>98</v>
      </c>
      <c r="C76" s="303"/>
      <c r="D76" s="303"/>
      <c r="E76" s="303"/>
      <c r="F76" s="303"/>
      <c r="G76" s="304"/>
      <c r="H76" s="305" t="s">
        <v>99</v>
      </c>
      <c r="I76" s="306"/>
      <c r="J76" s="306"/>
      <c r="K76" s="306"/>
      <c r="L76" s="306"/>
      <c r="M76" s="306"/>
      <c r="N76" s="306"/>
      <c r="O76" s="306"/>
      <c r="P76" s="306"/>
      <c r="Q76" s="306"/>
      <c r="R76" s="306"/>
      <c r="S76" s="306"/>
      <c r="T76" s="306"/>
      <c r="U76" s="306"/>
      <c r="V76" s="306"/>
      <c r="W76" s="306"/>
      <c r="X76" s="306"/>
      <c r="Y76" s="306"/>
      <c r="Z76" s="306"/>
      <c r="AA76" s="306"/>
      <c r="AB76" s="306"/>
      <c r="AC76" s="306"/>
      <c r="AD76" s="306"/>
      <c r="AE76" s="306"/>
      <c r="AF76" s="307"/>
      <c r="AG76" s="92"/>
      <c r="AH76" s="92"/>
    </row>
    <row r="77" spans="1:34" ht="52.5" customHeight="1">
      <c r="A77" s="92"/>
      <c r="B77" s="302" t="s">
        <v>100</v>
      </c>
      <c r="C77" s="303"/>
      <c r="D77" s="303"/>
      <c r="E77" s="303"/>
      <c r="F77" s="303"/>
      <c r="G77" s="304"/>
      <c r="H77" s="305" t="s">
        <v>101</v>
      </c>
      <c r="I77" s="306"/>
      <c r="J77" s="306"/>
      <c r="K77" s="306"/>
      <c r="L77" s="306"/>
      <c r="M77" s="306"/>
      <c r="N77" s="306"/>
      <c r="O77" s="306"/>
      <c r="P77" s="306"/>
      <c r="Q77" s="306"/>
      <c r="R77" s="306"/>
      <c r="S77" s="306"/>
      <c r="T77" s="306"/>
      <c r="U77" s="306"/>
      <c r="V77" s="306"/>
      <c r="W77" s="306"/>
      <c r="X77" s="306"/>
      <c r="Y77" s="306"/>
      <c r="Z77" s="306"/>
      <c r="AA77" s="306"/>
      <c r="AB77" s="306"/>
      <c r="AC77" s="306"/>
      <c r="AD77" s="306"/>
      <c r="AE77" s="306"/>
      <c r="AF77" s="307"/>
      <c r="AG77" s="92"/>
      <c r="AH77" s="92"/>
    </row>
    <row r="78" spans="1:34" ht="81" customHeight="1">
      <c r="A78" s="92"/>
      <c r="B78" s="302" t="s">
        <v>102</v>
      </c>
      <c r="C78" s="303"/>
      <c r="D78" s="303"/>
      <c r="E78" s="303"/>
      <c r="F78" s="303"/>
      <c r="G78" s="304"/>
      <c r="H78" s="305" t="s">
        <v>103</v>
      </c>
      <c r="I78" s="306"/>
      <c r="J78" s="306"/>
      <c r="K78" s="306"/>
      <c r="L78" s="306"/>
      <c r="M78" s="306"/>
      <c r="N78" s="306"/>
      <c r="O78" s="306"/>
      <c r="P78" s="306"/>
      <c r="Q78" s="306"/>
      <c r="R78" s="306"/>
      <c r="S78" s="306"/>
      <c r="T78" s="306"/>
      <c r="U78" s="306"/>
      <c r="V78" s="306"/>
      <c r="W78" s="306"/>
      <c r="X78" s="306"/>
      <c r="Y78" s="306"/>
      <c r="Z78" s="306"/>
      <c r="AA78" s="306"/>
      <c r="AB78" s="306"/>
      <c r="AC78" s="306"/>
      <c r="AD78" s="306"/>
      <c r="AE78" s="306"/>
      <c r="AF78" s="307"/>
      <c r="AG78" s="92"/>
      <c r="AH78" s="92"/>
    </row>
    <row r="79" spans="1:34" ht="97.5" customHeight="1">
      <c r="A79" s="92"/>
      <c r="B79" s="302" t="s">
        <v>104</v>
      </c>
      <c r="C79" s="303"/>
      <c r="D79" s="303"/>
      <c r="E79" s="303"/>
      <c r="F79" s="303"/>
      <c r="G79" s="304"/>
      <c r="H79" s="305" t="s">
        <v>105</v>
      </c>
      <c r="I79" s="306"/>
      <c r="J79" s="306"/>
      <c r="K79" s="306"/>
      <c r="L79" s="306"/>
      <c r="M79" s="306"/>
      <c r="N79" s="306"/>
      <c r="O79" s="306"/>
      <c r="P79" s="306"/>
      <c r="Q79" s="306"/>
      <c r="R79" s="306"/>
      <c r="S79" s="306"/>
      <c r="T79" s="306"/>
      <c r="U79" s="306"/>
      <c r="V79" s="306"/>
      <c r="W79" s="306"/>
      <c r="X79" s="306"/>
      <c r="Y79" s="306"/>
      <c r="Z79" s="306"/>
      <c r="AA79" s="306"/>
      <c r="AB79" s="306"/>
      <c r="AC79" s="306"/>
      <c r="AD79" s="306"/>
      <c r="AE79" s="306"/>
      <c r="AF79" s="307"/>
      <c r="AG79" s="92"/>
      <c r="AH79" s="92"/>
    </row>
    <row r="80" spans="1:34">
      <c r="A80" s="92"/>
      <c r="B80" s="119"/>
      <c r="C80" s="119"/>
      <c r="D80" s="119"/>
      <c r="E80" s="119"/>
      <c r="F80" s="119"/>
      <c r="G80" s="119"/>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92"/>
      <c r="AH80" s="92"/>
    </row>
    <row r="81" spans="1:36">
      <c r="A81" s="92"/>
      <c r="B81" s="119"/>
      <c r="C81" s="119"/>
      <c r="D81" s="119"/>
      <c r="E81" s="119"/>
      <c r="F81" s="119"/>
      <c r="G81" s="119"/>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92"/>
      <c r="AH81" s="92"/>
    </row>
    <row r="82" spans="1:36">
      <c r="A82" s="92"/>
      <c r="B82" s="119"/>
      <c r="C82" s="119"/>
      <c r="D82" s="119"/>
      <c r="E82" s="119"/>
      <c r="F82" s="119"/>
      <c r="G82" s="119"/>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92"/>
      <c r="AH82" s="92"/>
    </row>
    <row r="83" spans="1:36" ht="26.25">
      <c r="A83" s="92"/>
      <c r="B83" s="115" t="s">
        <v>106</v>
      </c>
      <c r="C83" s="116"/>
      <c r="D83" s="116"/>
      <c r="E83" s="116"/>
      <c r="F83" s="116"/>
      <c r="G83" s="116"/>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92"/>
      <c r="AH83" s="92"/>
    </row>
    <row r="84" spans="1:36">
      <c r="A84" s="92"/>
      <c r="B84" s="119"/>
      <c r="C84" s="119"/>
      <c r="D84" s="119"/>
      <c r="E84" s="119"/>
      <c r="F84" s="119"/>
      <c r="G84" s="119"/>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92"/>
      <c r="AH84" s="92"/>
    </row>
    <row r="85" spans="1:36">
      <c r="A85" s="92"/>
      <c r="B85" s="119" t="s">
        <v>107</v>
      </c>
      <c r="C85" s="119"/>
      <c r="D85" s="119"/>
      <c r="E85" s="119"/>
      <c r="F85" s="119"/>
      <c r="G85" s="119"/>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92"/>
      <c r="AH85" s="92"/>
    </row>
    <row r="86" spans="1:36" ht="67.5">
      <c r="A86" s="92"/>
      <c r="B86" s="119"/>
      <c r="C86" s="119"/>
      <c r="D86" s="119"/>
      <c r="E86" s="119"/>
      <c r="F86" s="119"/>
      <c r="G86" s="119"/>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92"/>
      <c r="AH86" s="92"/>
      <c r="AJ86" s="190" t="s">
        <v>108</v>
      </c>
    </row>
    <row r="87" spans="1:36" ht="18.75">
      <c r="A87" s="92"/>
      <c r="C87" s="119"/>
      <c r="D87" s="119"/>
      <c r="E87" s="119"/>
      <c r="F87" s="119"/>
      <c r="G87" s="119"/>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92"/>
      <c r="AH87" s="92"/>
      <c r="AI87" s="141"/>
      <c r="AJ87" s="189" t="s">
        <v>18</v>
      </c>
    </row>
    <row r="88" spans="1:36">
      <c r="A88" s="92"/>
      <c r="C88" s="119"/>
      <c r="D88" s="119"/>
      <c r="E88" s="119"/>
      <c r="F88" s="119"/>
      <c r="G88" s="119"/>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92"/>
      <c r="AH88" s="92"/>
      <c r="AI88" s="142" t="s">
        <v>109</v>
      </c>
      <c r="AJ88" s="142" t="s">
        <v>110</v>
      </c>
    </row>
    <row r="89" spans="1:36">
      <c r="A89" s="92"/>
      <c r="C89" s="119"/>
      <c r="D89" s="119"/>
      <c r="E89" s="119"/>
      <c r="F89" s="119"/>
      <c r="G89" s="119"/>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92"/>
      <c r="AH89" s="92"/>
      <c r="AI89" s="142" t="s">
        <v>111</v>
      </c>
      <c r="AJ89" s="142" t="s">
        <v>112</v>
      </c>
    </row>
    <row r="90" spans="1:36">
      <c r="A90" s="92"/>
      <c r="C90" s="119"/>
      <c r="D90" s="119"/>
      <c r="E90" s="119"/>
      <c r="F90" s="119"/>
      <c r="G90" s="119"/>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92"/>
      <c r="AH90" s="92"/>
      <c r="AI90" s="142" t="s">
        <v>113</v>
      </c>
      <c r="AJ90" s="142" t="s">
        <v>114</v>
      </c>
    </row>
    <row r="91" spans="1:36" ht="18.75">
      <c r="A91" s="92"/>
      <c r="C91" s="119"/>
      <c r="D91" s="119"/>
      <c r="E91" s="119"/>
      <c r="F91" s="119"/>
      <c r="G91" s="119"/>
      <c r="H91" s="120"/>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92"/>
      <c r="AH91" s="92"/>
      <c r="AI91" s="143"/>
      <c r="AJ91" s="142" t="s">
        <v>115</v>
      </c>
    </row>
    <row r="92" spans="1:36">
      <c r="A92" s="92"/>
      <c r="B92" s="119"/>
      <c r="C92" s="119"/>
      <c r="D92" s="119"/>
      <c r="E92" s="119"/>
      <c r="F92" s="119"/>
      <c r="G92" s="119"/>
      <c r="H92" s="120"/>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92"/>
      <c r="AH92" s="92"/>
      <c r="AJ92" s="142" t="s">
        <v>116</v>
      </c>
    </row>
    <row r="93" spans="1:36">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J93" s="142" t="s">
        <v>117</v>
      </c>
    </row>
    <row r="94" spans="1:36">
      <c r="AJ94" s="142" t="s">
        <v>118</v>
      </c>
    </row>
    <row r="95" spans="1:36">
      <c r="AJ95" s="142" t="s">
        <v>119</v>
      </c>
    </row>
    <row r="96" spans="1:36">
      <c r="AJ96" s="142" t="s">
        <v>120</v>
      </c>
    </row>
    <row r="97" spans="36:36">
      <c r="AJ97" s="142" t="s">
        <v>121</v>
      </c>
    </row>
    <row r="98" spans="36:36">
      <c r="AJ98" s="142" t="s">
        <v>122</v>
      </c>
    </row>
    <row r="99" spans="36:36">
      <c r="AJ99" s="142" t="s">
        <v>123</v>
      </c>
    </row>
    <row r="100" spans="36:36">
      <c r="AJ100" s="142" t="s">
        <v>124</v>
      </c>
    </row>
    <row r="101" spans="36:36">
      <c r="AJ101" s="142" t="s">
        <v>125</v>
      </c>
    </row>
    <row r="102" spans="36:36">
      <c r="AJ102" s="142" t="s">
        <v>126</v>
      </c>
    </row>
    <row r="103" spans="36:36">
      <c r="AJ103" s="142" t="s">
        <v>127</v>
      </c>
    </row>
    <row r="104" spans="36:36">
      <c r="AJ104" s="142" t="s">
        <v>128</v>
      </c>
    </row>
    <row r="105" spans="36:36">
      <c r="AJ105" s="142" t="s">
        <v>129</v>
      </c>
    </row>
    <row r="106" spans="36:36">
      <c r="AJ106" s="142" t="s">
        <v>131</v>
      </c>
    </row>
    <row r="107" spans="36:36">
      <c r="AJ107" s="142" t="s">
        <v>132</v>
      </c>
    </row>
    <row r="108" spans="36:36">
      <c r="AJ108" s="142" t="s">
        <v>130</v>
      </c>
    </row>
    <row r="109" spans="36:36">
      <c r="AJ109" s="142" t="s">
        <v>949</v>
      </c>
    </row>
    <row r="110" spans="36:36">
      <c r="AJ110" s="142" t="s">
        <v>950</v>
      </c>
    </row>
    <row r="111" spans="36:36">
      <c r="AJ111" s="142" t="s">
        <v>951</v>
      </c>
    </row>
    <row r="112" spans="36:36" ht="18.75">
      <c r="AJ112" s="143" t="s">
        <v>126</v>
      </c>
    </row>
  </sheetData>
  <mergeCells count="160">
    <mergeCell ref="B39:D39"/>
    <mergeCell ref="E39:H39"/>
    <mergeCell ref="I39:Q39"/>
    <mergeCell ref="R39:AF39"/>
    <mergeCell ref="E43:H43"/>
    <mergeCell ref="I43:Q43"/>
    <mergeCell ref="R43:AF43"/>
    <mergeCell ref="B40:D40"/>
    <mergeCell ref="E40:H40"/>
    <mergeCell ref="I40:Q40"/>
    <mergeCell ref="R40:AF40"/>
    <mergeCell ref="B41:D41"/>
    <mergeCell ref="E41:H41"/>
    <mergeCell ref="I41:Q41"/>
    <mergeCell ref="R41:AF41"/>
    <mergeCell ref="B42:D42"/>
    <mergeCell ref="E42:H42"/>
    <mergeCell ref="I42:Q42"/>
    <mergeCell ref="R42:AF42"/>
    <mergeCell ref="B43:D43"/>
    <mergeCell ref="B79:G79"/>
    <mergeCell ref="H79:AF79"/>
    <mergeCell ref="B74:G74"/>
    <mergeCell ref="H74:AF74"/>
    <mergeCell ref="B75:G75"/>
    <mergeCell ref="H75:AF75"/>
    <mergeCell ref="B76:G76"/>
    <mergeCell ref="H76:AF76"/>
    <mergeCell ref="B77:G77"/>
    <mergeCell ref="H77:AF77"/>
    <mergeCell ref="B78:G78"/>
    <mergeCell ref="H78:AF78"/>
    <mergeCell ref="B36:D36"/>
    <mergeCell ref="E36:H36"/>
    <mergeCell ref="I36:Q36"/>
    <mergeCell ref="R36:AF36"/>
    <mergeCell ref="B37:D37"/>
    <mergeCell ref="E37:H37"/>
    <mergeCell ref="I37:Q37"/>
    <mergeCell ref="R37:AF37"/>
    <mergeCell ref="B38:D38"/>
    <mergeCell ref="E38:H38"/>
    <mergeCell ref="I38:Q38"/>
    <mergeCell ref="R38:AF38"/>
    <mergeCell ref="B32:D32"/>
    <mergeCell ref="E32:H32"/>
    <mergeCell ref="I32:Q32"/>
    <mergeCell ref="R32:AF32"/>
    <mergeCell ref="B33:D33"/>
    <mergeCell ref="E33:H33"/>
    <mergeCell ref="I33:Q33"/>
    <mergeCell ref="R33:AF33"/>
    <mergeCell ref="B34:D34"/>
    <mergeCell ref="E34:H34"/>
    <mergeCell ref="I34:Q34"/>
    <mergeCell ref="R34:AF34"/>
    <mergeCell ref="B29:D29"/>
    <mergeCell ref="E29:H29"/>
    <mergeCell ref="I29:Q29"/>
    <mergeCell ref="R29:AF29"/>
    <mergeCell ref="B30:D30"/>
    <mergeCell ref="E30:H30"/>
    <mergeCell ref="I30:Q30"/>
    <mergeCell ref="R30:AF30"/>
    <mergeCell ref="B28:D28"/>
    <mergeCell ref="E28:H28"/>
    <mergeCell ref="I28:Q28"/>
    <mergeCell ref="R28:AF28"/>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2:F22"/>
    <mergeCell ref="G22:AF22"/>
    <mergeCell ref="B23:F23"/>
    <mergeCell ref="G23:AF23"/>
    <mergeCell ref="B24:F24"/>
    <mergeCell ref="G24:AF24"/>
    <mergeCell ref="B20:F20"/>
    <mergeCell ref="G20:AF20"/>
    <mergeCell ref="B21:F21"/>
    <mergeCell ref="G21:AF21"/>
    <mergeCell ref="B35:D35"/>
    <mergeCell ref="E35:H35"/>
    <mergeCell ref="I35:Q35"/>
    <mergeCell ref="R35:AF35"/>
    <mergeCell ref="Y51:AF51"/>
    <mergeCell ref="B52:D52"/>
    <mergeCell ref="E52:X52"/>
    <mergeCell ref="Y52:AF52"/>
    <mergeCell ref="B62:G62"/>
    <mergeCell ref="H62:AF62"/>
    <mergeCell ref="B53:D53"/>
    <mergeCell ref="E53:X53"/>
    <mergeCell ref="Y53:AF53"/>
    <mergeCell ref="B55:D55"/>
    <mergeCell ref="E55:X55"/>
    <mergeCell ref="Y55:AF55"/>
    <mergeCell ref="B56:D56"/>
    <mergeCell ref="E56:X56"/>
    <mergeCell ref="Y56:AF56"/>
    <mergeCell ref="B57:D57"/>
    <mergeCell ref="E57:X57"/>
    <mergeCell ref="Y57:AF57"/>
    <mergeCell ref="B58:D58"/>
    <mergeCell ref="E58:X58"/>
    <mergeCell ref="B67:G67"/>
    <mergeCell ref="H67:AF67"/>
    <mergeCell ref="B64:G64"/>
    <mergeCell ref="H64:AF64"/>
    <mergeCell ref="B65:G65"/>
    <mergeCell ref="H65:AF65"/>
    <mergeCell ref="B66:G66"/>
    <mergeCell ref="H66:AF66"/>
    <mergeCell ref="B63:G63"/>
    <mergeCell ref="H63:AF63"/>
    <mergeCell ref="B49:D49"/>
    <mergeCell ref="E49:X49"/>
    <mergeCell ref="Y49:AF49"/>
    <mergeCell ref="B50:D50"/>
    <mergeCell ref="E50:X50"/>
    <mergeCell ref="Y50:AF50"/>
    <mergeCell ref="Y58:AF58"/>
    <mergeCell ref="B59:D59"/>
    <mergeCell ref="E59:X59"/>
    <mergeCell ref="Y59:AF59"/>
    <mergeCell ref="B51:D51"/>
    <mergeCell ref="E51:X51"/>
  </mergeCells>
  <phoneticPr fontId="80" type="noConversion"/>
  <hyperlinks>
    <hyperlink ref="H63"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G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7" ht="19.5">
      <c r="A1" s="311" t="s">
        <v>34</v>
      </c>
      <c r="B1" s="312"/>
      <c r="C1" s="312"/>
      <c r="D1" s="313"/>
    </row>
    <row r="3" spans="1:7">
      <c r="B3" s="314" t="s">
        <v>133</v>
      </c>
      <c r="C3" s="315"/>
      <c r="D3" s="316"/>
    </row>
    <row r="4" spans="1:7">
      <c r="B4" s="68" t="s">
        <v>134</v>
      </c>
      <c r="C4" s="41" t="s">
        <v>135</v>
      </c>
      <c r="D4" s="12"/>
    </row>
    <row r="5" spans="1:7">
      <c r="B5" s="10" t="s">
        <v>136</v>
      </c>
      <c r="C5" s="11" t="s">
        <v>137</v>
      </c>
      <c r="D5" s="12"/>
    </row>
    <row r="6" spans="1:7">
      <c r="B6" s="10" t="s">
        <v>138</v>
      </c>
      <c r="C6" s="11" t="s">
        <v>139</v>
      </c>
      <c r="D6" s="12"/>
    </row>
    <row r="7" spans="1:7">
      <c r="B7" s="10" t="s">
        <v>140</v>
      </c>
      <c r="C7" s="11" t="s">
        <v>141</v>
      </c>
      <c r="D7" s="12"/>
    </row>
    <row r="8" spans="1:7">
      <c r="B8" s="10" t="s">
        <v>142</v>
      </c>
      <c r="C8" s="11" t="s">
        <v>143</v>
      </c>
      <c r="D8" s="12"/>
    </row>
    <row r="9" spans="1:7">
      <c r="B9" s="68" t="s">
        <v>144</v>
      </c>
      <c r="C9" s="41" t="s">
        <v>145</v>
      </c>
      <c r="D9" s="12"/>
    </row>
    <row r="10" spans="1:7">
      <c r="B10" s="68" t="s">
        <v>146</v>
      </c>
      <c r="C10" s="41" t="s">
        <v>147</v>
      </c>
      <c r="D10" s="12"/>
    </row>
    <row r="12" spans="1:7">
      <c r="B12" s="314" t="s">
        <v>956</v>
      </c>
      <c r="C12" s="315"/>
      <c r="D12" s="316"/>
    </row>
    <row r="13" spans="1:7" ht="24.75" customHeight="1">
      <c r="B13" s="121" t="s">
        <v>148</v>
      </c>
      <c r="C13" s="317" t="s">
        <v>149</v>
      </c>
      <c r="D13" s="318"/>
    </row>
    <row r="14" spans="1:7" ht="25.5" customHeight="1">
      <c r="B14" s="121" t="s">
        <v>150</v>
      </c>
      <c r="C14" s="317" t="s">
        <v>151</v>
      </c>
      <c r="D14" s="318"/>
      <c r="E14" s="78"/>
      <c r="F14" s="78"/>
      <c r="G14" s="78"/>
    </row>
    <row r="15" spans="1:7" ht="49.5" customHeight="1">
      <c r="B15" s="121" t="s">
        <v>152</v>
      </c>
      <c r="C15" s="317" t="s">
        <v>153</v>
      </c>
      <c r="D15" s="318"/>
    </row>
    <row r="17" spans="2:4">
      <c r="B17" s="314" t="s">
        <v>154</v>
      </c>
      <c r="C17" s="315"/>
      <c r="D17" s="316"/>
    </row>
    <row r="18" spans="2:4">
      <c r="B18" s="2"/>
      <c r="D18" s="3"/>
    </row>
    <row r="19" spans="2:4" s="79" customFormat="1" ht="38.25">
      <c r="B19" s="309" t="s">
        <v>155</v>
      </c>
      <c r="C19" s="122" t="s">
        <v>156</v>
      </c>
      <c r="D19" s="80"/>
    </row>
    <row r="20" spans="2:4">
      <c r="B20" s="309"/>
      <c r="C20" s="123"/>
      <c r="D20" s="3"/>
    </row>
    <row r="21" spans="2:4" ht="25.5">
      <c r="B21" s="309"/>
      <c r="C21" s="124" t="s">
        <v>157</v>
      </c>
      <c r="D21" s="3"/>
    </row>
    <row r="22" spans="2:4" ht="25.5">
      <c r="B22" s="309"/>
      <c r="C22" s="124" t="s">
        <v>158</v>
      </c>
      <c r="D22" s="3"/>
    </row>
    <row r="23" spans="2:4">
      <c r="B23" s="309"/>
      <c r="C23" s="124" t="s">
        <v>159</v>
      </c>
      <c r="D23" s="3"/>
    </row>
    <row r="24" spans="2:4">
      <c r="B24" s="2"/>
      <c r="C24" s="24"/>
      <c r="D24" s="3"/>
    </row>
    <row r="25" spans="2:4">
      <c r="B25" s="310" t="s">
        <v>160</v>
      </c>
      <c r="C25" s="125" t="s">
        <v>161</v>
      </c>
      <c r="D25" s="3"/>
    </row>
    <row r="26" spans="2:4" ht="25.5">
      <c r="B26" s="310"/>
      <c r="C26" s="126" t="s">
        <v>162</v>
      </c>
      <c r="D26" s="3"/>
    </row>
    <row r="27" spans="2:4">
      <c r="B27" s="310"/>
      <c r="C27" s="125" t="s">
        <v>163</v>
      </c>
      <c r="D27" s="3"/>
    </row>
    <row r="28" spans="2:4">
      <c r="B28" s="2"/>
      <c r="C28" s="24"/>
      <c r="D28" s="3"/>
    </row>
    <row r="29" spans="2:4">
      <c r="B29" s="4"/>
      <c r="C29" s="5"/>
      <c r="D29" s="6"/>
    </row>
    <row r="32" spans="2:4">
      <c r="B32" s="13" t="s">
        <v>164</v>
      </c>
    </row>
    <row r="33" spans="2:4">
      <c r="B33" s="7"/>
      <c r="C33" s="8"/>
      <c r="D33" s="9"/>
    </row>
    <row r="34" spans="2:4" ht="18">
      <c r="B34" s="32" t="s">
        <v>165</v>
      </c>
      <c r="D34" s="3"/>
    </row>
    <row r="35" spans="2:4" ht="25.5">
      <c r="B35" s="2"/>
      <c r="C35" s="27" t="s">
        <v>166</v>
      </c>
      <c r="D35" s="3"/>
    </row>
    <row r="36" spans="2:4">
      <c r="B36" s="4"/>
      <c r="C36" s="63"/>
      <c r="D36" s="6"/>
    </row>
    <row r="37" spans="2:4">
      <c r="B37" s="2"/>
      <c r="C37" s="27"/>
      <c r="D37" s="3"/>
    </row>
    <row r="38" spans="2:4" ht="18">
      <c r="B38" s="32" t="s">
        <v>167</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7" t="s">
        <v>168</v>
      </c>
      <c r="C50" s="188" t="s">
        <v>169</v>
      </c>
      <c r="D50" s="3"/>
    </row>
    <row r="51" spans="2:4">
      <c r="B51" s="4"/>
      <c r="C51" s="38"/>
      <c r="D51" s="6"/>
    </row>
    <row r="52" spans="2:4">
      <c r="B52" s="2"/>
      <c r="C52" s="27"/>
      <c r="D52" s="3"/>
    </row>
    <row r="53" spans="2:4" ht="18">
      <c r="B53" s="32" t="s">
        <v>170</v>
      </c>
      <c r="C53" s="27"/>
      <c r="D53" s="3"/>
    </row>
    <row r="54" spans="2:4">
      <c r="B54" s="2"/>
      <c r="C54" s="64" t="s">
        <v>171</v>
      </c>
      <c r="D54" s="3"/>
    </row>
    <row r="55" spans="2:4">
      <c r="B55" s="2"/>
      <c r="C55" s="65" t="s">
        <v>10</v>
      </c>
      <c r="D55" s="3"/>
    </row>
    <row r="56" spans="2:4">
      <c r="B56" s="2"/>
      <c r="C56" s="66" t="s">
        <v>172</v>
      </c>
      <c r="D56" s="3"/>
    </row>
    <row r="57" spans="2:4">
      <c r="B57" s="2"/>
      <c r="C57" s="67" t="s">
        <v>173</v>
      </c>
      <c r="D57" s="3"/>
    </row>
    <row r="58" spans="2:4">
      <c r="B58" s="4"/>
      <c r="C58" s="38"/>
      <c r="D58" s="6"/>
    </row>
    <row r="59" spans="2:4">
      <c r="B59" s="2"/>
      <c r="C59" s="24"/>
      <c r="D59" s="3"/>
    </row>
    <row r="60" spans="2:4" ht="18">
      <c r="B60" s="32" t="s">
        <v>174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175</v>
      </c>
    </row>
    <row r="112" spans="2:4">
      <c r="B112" s="7"/>
      <c r="C112" s="8"/>
      <c r="D112" s="9"/>
    </row>
    <row r="113" spans="2:4">
      <c r="B113" s="2"/>
      <c r="D113" s="3"/>
    </row>
    <row r="114" spans="2:4">
      <c r="B114" s="2"/>
      <c r="D114" s="3"/>
    </row>
    <row r="115" spans="2:4">
      <c r="B115" s="2"/>
      <c r="C115" s="39" t="s">
        <v>176</v>
      </c>
      <c r="D115" s="3"/>
    </row>
    <row r="116" spans="2:4">
      <c r="B116" s="2"/>
      <c r="D116" s="3"/>
    </row>
    <row r="117" spans="2:4" ht="12.75" customHeight="1">
      <c r="B117" s="2"/>
      <c r="C117" s="39" t="s">
        <v>177</v>
      </c>
      <c r="D117" s="3"/>
    </row>
    <row r="118" spans="2:4" ht="12.75" customHeight="1">
      <c r="B118" s="2"/>
      <c r="D118" s="3"/>
    </row>
    <row r="119" spans="2:4" ht="12.75" customHeight="1">
      <c r="B119" s="2"/>
      <c r="D119" s="3"/>
    </row>
    <row r="120" spans="2:4">
      <c r="B120" s="4"/>
      <c r="C120" s="5"/>
      <c r="D120" s="6"/>
    </row>
    <row r="122" spans="2:4">
      <c r="B122" s="13" t="s">
        <v>178</v>
      </c>
    </row>
    <row r="123" spans="2:4" ht="38.25">
      <c r="B123" s="7"/>
      <c r="C123" s="81" t="s">
        <v>179</v>
      </c>
      <c r="D123" s="9"/>
    </row>
    <row r="124" spans="2:4">
      <c r="B124" s="127" t="s">
        <v>180</v>
      </c>
      <c r="C124" s="1" t="s">
        <v>181</v>
      </c>
      <c r="D124" s="3"/>
    </row>
    <row r="125" spans="2:4">
      <c r="B125" s="127" t="s">
        <v>180</v>
      </c>
      <c r="C125" s="27" t="s">
        <v>182</v>
      </c>
      <c r="D125" s="3"/>
    </row>
    <row r="126" spans="2:4">
      <c r="B126" s="127" t="s">
        <v>180</v>
      </c>
      <c r="C126" s="24" t="s">
        <v>183</v>
      </c>
      <c r="D126" s="3"/>
    </row>
    <row r="127" spans="2:4">
      <c r="B127" s="127" t="s">
        <v>180</v>
      </c>
      <c r="C127" s="24" t="s">
        <v>184</v>
      </c>
      <c r="D127" s="3"/>
    </row>
    <row r="128" spans="2:4">
      <c r="B128" s="127" t="s">
        <v>180</v>
      </c>
      <c r="C128" s="24" t="s">
        <v>185</v>
      </c>
      <c r="D128" s="3"/>
    </row>
    <row r="129" spans="2:4">
      <c r="B129" s="127" t="s">
        <v>180</v>
      </c>
      <c r="C129" s="24" t="s">
        <v>186</v>
      </c>
      <c r="D129" s="3"/>
    </row>
    <row r="130" spans="2:4">
      <c r="B130" s="127" t="s">
        <v>180</v>
      </c>
      <c r="C130" s="24" t="s">
        <v>187</v>
      </c>
      <c r="D130" s="3"/>
    </row>
    <row r="131" spans="2:4">
      <c r="B131" s="127" t="s">
        <v>180</v>
      </c>
      <c r="C131" s="27" t="s">
        <v>188</v>
      </c>
      <c r="D131" s="3"/>
    </row>
    <row r="132" spans="2:4">
      <c r="B132" s="127" t="s">
        <v>180</v>
      </c>
      <c r="C132" s="27" t="s">
        <v>189</v>
      </c>
      <c r="D132" s="3"/>
    </row>
    <row r="133" spans="2:4">
      <c r="B133" s="127" t="s">
        <v>180</v>
      </c>
      <c r="C133" s="1" t="s">
        <v>190</v>
      </c>
      <c r="D133" s="3"/>
    </row>
    <row r="134" spans="2:4">
      <c r="B134" s="127" t="s">
        <v>180</v>
      </c>
      <c r="C134" s="24" t="s">
        <v>191</v>
      </c>
      <c r="D134" s="3"/>
    </row>
    <row r="135" spans="2:4">
      <c r="B135" s="127" t="s">
        <v>180</v>
      </c>
      <c r="C135" s="24" t="s">
        <v>192</v>
      </c>
      <c r="D135" s="3"/>
    </row>
    <row r="136" spans="2:4">
      <c r="B136" s="127" t="s">
        <v>180</v>
      </c>
      <c r="C136" s="27" t="s">
        <v>193</v>
      </c>
      <c r="D136" s="3"/>
    </row>
    <row r="137" spans="2:4">
      <c r="B137" s="127" t="s">
        <v>180</v>
      </c>
      <c r="C137" s="27" t="s">
        <v>194</v>
      </c>
      <c r="D137" s="3"/>
    </row>
    <row r="138" spans="2:4">
      <c r="B138" s="127" t="s">
        <v>180</v>
      </c>
      <c r="C138" s="27" t="s">
        <v>195</v>
      </c>
      <c r="D138" s="3"/>
    </row>
    <row r="139" spans="2:4">
      <c r="B139" s="127" t="s">
        <v>180</v>
      </c>
      <c r="C139" s="27" t="s">
        <v>196</v>
      </c>
      <c r="D139" s="3"/>
    </row>
    <row r="140" spans="2:4">
      <c r="B140" s="128" t="s">
        <v>180</v>
      </c>
      <c r="C140" s="5" t="s">
        <v>197</v>
      </c>
      <c r="D140" s="6"/>
    </row>
  </sheetData>
  <mergeCells count="9">
    <mergeCell ref="B19:B23"/>
    <mergeCell ref="B25:B27"/>
    <mergeCell ref="A1:D1"/>
    <mergeCell ref="B17:D17"/>
    <mergeCell ref="B3:D3"/>
    <mergeCell ref="B12:D12"/>
    <mergeCell ref="C14:D14"/>
    <mergeCell ref="C15:D15"/>
    <mergeCell ref="C13:D13"/>
  </mergeCells>
  <phoneticPr fontId="2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3" activePane="bottomLeft" state="frozen"/>
      <selection pane="bottomLeft" activeCell="AB24" sqref="AB24:AB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1" customFormat="1" ht="76.5">
      <c r="B24" s="72" t="s">
        <v>198</v>
      </c>
      <c r="C24" s="191" t="s">
        <v>199</v>
      </c>
      <c r="D24" s="192" t="s">
        <v>200</v>
      </c>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4"/>
      <c r="C25" s="35" t="s">
        <v>201</v>
      </c>
      <c r="D25" s="194">
        <f>SUM(E25:AA25)</f>
        <v>0</v>
      </c>
    </row>
    <row r="26" spans="2:52" ht="15">
      <c r="B26" s="75"/>
      <c r="C26" s="36" t="s">
        <v>202</v>
      </c>
      <c r="D26" s="194">
        <f>SUM(E26:AA26)</f>
        <v>0</v>
      </c>
    </row>
    <row r="27" spans="2:52" ht="15">
      <c r="B27" s="73">
        <f>B25+B26</f>
        <v>0</v>
      </c>
      <c r="C27" s="40" t="s">
        <v>203</v>
      </c>
      <c r="D27" s="73">
        <f t="shared" ref="D27" si="0">D25+D26</f>
        <v>0</v>
      </c>
    </row>
    <row r="28" spans="2:52">
      <c r="D28" s="15"/>
      <c r="H28" s="33"/>
    </row>
    <row r="29" spans="2:52">
      <c r="D29" s="15"/>
      <c r="H29" s="33"/>
    </row>
    <row r="30" spans="2:52">
      <c r="D30" s="15"/>
      <c r="H30" s="33"/>
    </row>
    <row r="31" spans="2:52" s="71" customFormat="1" ht="60" customHeight="1">
      <c r="B31" s="72" t="s">
        <v>204</v>
      </c>
      <c r="C31" s="191" t="s">
        <v>205</v>
      </c>
      <c r="D31" s="192" t="s">
        <v>200</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4"/>
      <c r="C32" s="36" t="s">
        <v>206</v>
      </c>
      <c r="D32" s="194">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5"/>
      <c r="C33" s="36" t="s">
        <v>207</v>
      </c>
      <c r="D33" s="194">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5"/>
      <c r="C34" s="36" t="s">
        <v>208</v>
      </c>
      <c r="D34" s="194">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5"/>
      <c r="C35" s="36" t="s">
        <v>209</v>
      </c>
      <c r="D35" s="194">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5"/>
      <c r="C36" s="36" t="s">
        <v>210</v>
      </c>
      <c r="D36" s="194">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6">
        <f>SUM(B32:B36)</f>
        <v>0</v>
      </c>
      <c r="C37" s="40" t="s">
        <v>203</v>
      </c>
      <c r="D37" s="76">
        <f>SUM(D32:D36)</f>
        <v>0</v>
      </c>
    </row>
    <row r="38" spans="2:52">
      <c r="D38" s="15"/>
      <c r="H38" s="33"/>
    </row>
    <row r="39" spans="2:52">
      <c r="D39" s="15"/>
      <c r="H39" s="33"/>
    </row>
    <row r="40" spans="2:52" s="71" customFormat="1" ht="63.75">
      <c r="B40" s="72" t="s">
        <v>204</v>
      </c>
      <c r="C40" s="191" t="s">
        <v>211</v>
      </c>
      <c r="D40" s="192" t="s">
        <v>200</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5"/>
      <c r="C41" s="36" t="s">
        <v>212</v>
      </c>
      <c r="D41" s="194">
        <f>SUM(E41:AA41)</f>
        <v>0</v>
      </c>
    </row>
    <row r="42" spans="2:52" ht="15">
      <c r="B42" s="75"/>
      <c r="C42" s="36" t="s">
        <v>213</v>
      </c>
      <c r="D42" s="194">
        <f>SUM(E42:AA42)</f>
        <v>0</v>
      </c>
    </row>
    <row r="43" spans="2:52" s="15" customFormat="1" ht="15">
      <c r="B43" s="75"/>
      <c r="C43" s="36" t="s">
        <v>214</v>
      </c>
      <c r="D43" s="194">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6">
        <f>SUM(B41:B43)</f>
        <v>0</v>
      </c>
      <c r="C44" s="40" t="s">
        <v>203</v>
      </c>
      <c r="D44" s="76">
        <f>SUM(D41:D43)</f>
        <v>0</v>
      </c>
    </row>
    <row r="45" spans="2:52">
      <c r="D45" s="15"/>
    </row>
    <row r="46" spans="2:52">
      <c r="D46" s="15"/>
    </row>
    <row r="47" spans="2:52" ht="25.5">
      <c r="C47" s="193" t="s">
        <v>171</v>
      </c>
      <c r="D47" s="193" t="s">
        <v>47</v>
      </c>
      <c r="E47" s="26" t="s">
        <v>215</v>
      </c>
    </row>
    <row r="48" spans="2:52">
      <c r="C48" s="77" t="s">
        <v>216</v>
      </c>
      <c r="D48" s="195" t="s">
        <v>217</v>
      </c>
      <c r="E48" s="77" t="s">
        <v>218</v>
      </c>
    </row>
  </sheetData>
  <phoneticPr fontId="2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9"/>
  <sheetViews>
    <sheetView showGridLines="0" zoomScaleNormal="100" workbookViewId="0">
      <selection activeCell="G23" sqref="G23"/>
    </sheetView>
  </sheetViews>
  <sheetFormatPr defaultColWidth="8.85546875" defaultRowHeight="15" outlineLevelCol="1"/>
  <cols>
    <col min="1" max="2" width="31.5703125" style="129" customWidth="1"/>
    <col min="3" max="3" width="43.28515625" style="129" customWidth="1"/>
    <col min="4" max="4" width="13.42578125" style="129" customWidth="1"/>
    <col min="5" max="5" width="18.140625" style="129" customWidth="1"/>
    <col min="6" max="14" width="15.28515625" style="129" customWidth="1" outlineLevel="1"/>
    <col min="15" max="15" width="16.7109375" style="129" customWidth="1" outlineLevel="1"/>
    <col min="16" max="16384" width="8.85546875" style="129"/>
  </cols>
  <sheetData>
    <row r="1" spans="1:15" ht="21" customHeight="1">
      <c r="A1" s="319" t="s">
        <v>219</v>
      </c>
      <c r="B1" s="320"/>
      <c r="C1" s="320"/>
      <c r="D1" s="320"/>
      <c r="E1" s="321"/>
      <c r="F1" s="322" t="s">
        <v>220</v>
      </c>
      <c r="G1" s="323"/>
      <c r="H1" s="323"/>
      <c r="I1" s="323"/>
      <c r="J1" s="323"/>
      <c r="K1" s="323"/>
      <c r="L1" s="323"/>
      <c r="M1" s="323"/>
      <c r="N1" s="323"/>
      <c r="O1" s="323"/>
    </row>
    <row r="2" spans="1:15" ht="18.75">
      <c r="A2" s="139" t="s">
        <v>221</v>
      </c>
      <c r="B2" s="139" t="s">
        <v>222</v>
      </c>
      <c r="C2" s="139" t="s">
        <v>223</v>
      </c>
      <c r="D2" s="139" t="s">
        <v>224</v>
      </c>
      <c r="E2" s="139" t="s">
        <v>225</v>
      </c>
      <c r="F2" s="140" t="s">
        <v>970</v>
      </c>
      <c r="G2" s="140" t="s">
        <v>971</v>
      </c>
      <c r="H2" s="140" t="s">
        <v>226</v>
      </c>
      <c r="I2" s="140" t="s">
        <v>227</v>
      </c>
      <c r="J2" s="140" t="s">
        <v>228</v>
      </c>
      <c r="K2" s="140" t="s">
        <v>229</v>
      </c>
      <c r="L2" s="140" t="s">
        <v>230</v>
      </c>
      <c r="M2" s="140" t="s">
        <v>231</v>
      </c>
      <c r="N2" s="140" t="s">
        <v>232</v>
      </c>
      <c r="O2" s="140" t="s">
        <v>233</v>
      </c>
    </row>
    <row r="3" spans="1:15">
      <c r="A3" t="s">
        <v>974</v>
      </c>
      <c r="B3" s="129" t="s">
        <v>150</v>
      </c>
      <c r="C3" s="329" t="s">
        <v>978</v>
      </c>
      <c r="D3" s="329" t="s">
        <v>978</v>
      </c>
      <c r="E3" s="221">
        <f>SUM(F3:O3)</f>
        <v>30</v>
      </c>
      <c r="F3" s="129">
        <v>15</v>
      </c>
      <c r="G3" s="129">
        <v>15</v>
      </c>
    </row>
    <row r="4" spans="1:15">
      <c r="A4" t="s">
        <v>975</v>
      </c>
      <c r="B4" s="129" t="s">
        <v>150</v>
      </c>
      <c r="C4" s="329" t="s">
        <v>978</v>
      </c>
      <c r="D4" s="329" t="s">
        <v>978</v>
      </c>
      <c r="E4" s="138">
        <f t="shared" ref="E4:E19" si="0">SUM(F4:O4)</f>
        <v>30</v>
      </c>
      <c r="F4" s="129">
        <v>15</v>
      </c>
      <c r="G4" s="129">
        <v>15</v>
      </c>
      <c r="H4" s="222"/>
      <c r="I4" s="222"/>
      <c r="J4" s="222"/>
      <c r="K4" s="222"/>
      <c r="L4" s="222"/>
      <c r="M4" s="222"/>
      <c r="N4" s="222"/>
      <c r="O4" s="222"/>
    </row>
    <row r="5" spans="1:15">
      <c r="A5" t="s">
        <v>976</v>
      </c>
      <c r="B5" s="129" t="s">
        <v>150</v>
      </c>
      <c r="C5" s="329" t="s">
        <v>978</v>
      </c>
      <c r="D5" s="329" t="s">
        <v>978</v>
      </c>
      <c r="E5" s="138">
        <f t="shared" si="0"/>
        <v>30</v>
      </c>
      <c r="F5" s="129">
        <v>15</v>
      </c>
      <c r="G5" s="129">
        <v>15</v>
      </c>
      <c r="H5" s="222"/>
      <c r="I5" s="222"/>
      <c r="J5" s="222"/>
      <c r="K5" s="222"/>
      <c r="L5" s="222"/>
      <c r="M5" s="222"/>
      <c r="N5" s="222"/>
      <c r="O5" s="222"/>
    </row>
    <row r="6" spans="1:15">
      <c r="A6" t="s">
        <v>977</v>
      </c>
      <c r="B6" s="129" t="s">
        <v>150</v>
      </c>
      <c r="C6" s="329" t="s">
        <v>978</v>
      </c>
      <c r="D6" s="329" t="s">
        <v>978</v>
      </c>
      <c r="E6" s="138">
        <f t="shared" si="0"/>
        <v>30</v>
      </c>
      <c r="F6" s="129">
        <v>15</v>
      </c>
      <c r="G6" s="129">
        <v>15</v>
      </c>
      <c r="H6" s="222"/>
      <c r="I6" s="222"/>
      <c r="J6" s="222"/>
      <c r="K6" s="222"/>
      <c r="L6" s="222"/>
      <c r="M6" s="222"/>
      <c r="N6" s="222"/>
      <c r="O6" s="222"/>
    </row>
    <row r="7" spans="1:15">
      <c r="A7"/>
      <c r="B7" s="222"/>
      <c r="C7" s="222"/>
      <c r="D7" s="222"/>
      <c r="E7" s="138">
        <f t="shared" si="0"/>
        <v>0</v>
      </c>
      <c r="H7" s="222"/>
      <c r="I7" s="222"/>
      <c r="J7" s="222"/>
      <c r="K7" s="222"/>
      <c r="L7" s="222"/>
      <c r="M7" s="222"/>
      <c r="N7" s="222"/>
      <c r="O7" s="222"/>
    </row>
    <row r="8" spans="1:15">
      <c r="A8"/>
      <c r="B8" s="222"/>
      <c r="C8" s="222"/>
      <c r="D8" s="222"/>
      <c r="E8" s="138">
        <f t="shared" si="0"/>
        <v>0</v>
      </c>
      <c r="H8" s="222"/>
      <c r="I8" s="222"/>
      <c r="J8" s="222"/>
      <c r="K8" s="222"/>
      <c r="L8" s="222"/>
      <c r="M8" s="222"/>
      <c r="N8" s="222"/>
      <c r="O8" s="222"/>
    </row>
    <row r="9" spans="1:15">
      <c r="A9"/>
      <c r="B9" s="222"/>
      <c r="C9" s="222"/>
      <c r="D9" s="222"/>
      <c r="E9" s="138">
        <f t="shared" si="0"/>
        <v>0</v>
      </c>
      <c r="H9" s="222"/>
      <c r="I9" s="222"/>
      <c r="J9" s="222"/>
      <c r="K9" s="222"/>
      <c r="L9" s="222"/>
      <c r="M9" s="222"/>
      <c r="N9" s="222"/>
      <c r="O9" s="222"/>
    </row>
    <row r="10" spans="1:15">
      <c r="A10"/>
      <c r="B10" s="222"/>
      <c r="C10" s="222"/>
      <c r="D10" s="222"/>
      <c r="E10" s="138">
        <f t="shared" si="0"/>
        <v>0</v>
      </c>
      <c r="H10" s="222"/>
      <c r="I10" s="222"/>
      <c r="J10" s="222"/>
      <c r="K10" s="222"/>
      <c r="L10" s="222"/>
      <c r="M10" s="222"/>
      <c r="N10" s="222"/>
      <c r="O10" s="222"/>
    </row>
    <row r="11" spans="1:15">
      <c r="A11"/>
      <c r="B11" s="222"/>
      <c r="C11" s="222"/>
      <c r="D11" s="222"/>
      <c r="E11" s="138">
        <f t="shared" si="0"/>
        <v>0</v>
      </c>
      <c r="H11" s="222"/>
      <c r="I11" s="222"/>
      <c r="J11" s="222"/>
      <c r="K11" s="222"/>
      <c r="L11" s="222"/>
      <c r="M11" s="222"/>
      <c r="N11" s="222"/>
      <c r="O11" s="222"/>
    </row>
    <row r="12" spans="1:15">
      <c r="A12"/>
      <c r="B12" s="222"/>
      <c r="C12" s="222"/>
      <c r="D12" s="222"/>
      <c r="E12" s="138">
        <f t="shared" si="0"/>
        <v>0</v>
      </c>
      <c r="H12" s="222"/>
      <c r="I12" s="222"/>
      <c r="J12" s="222"/>
      <c r="K12" s="222"/>
      <c r="L12" s="222"/>
      <c r="M12" s="222"/>
      <c r="N12" s="222"/>
      <c r="O12" s="222"/>
    </row>
    <row r="13" spans="1:15">
      <c r="A13"/>
      <c r="B13" s="222"/>
      <c r="C13" s="222"/>
      <c r="D13" s="222"/>
      <c r="E13" s="138">
        <f t="shared" si="0"/>
        <v>0</v>
      </c>
      <c r="H13" s="222"/>
      <c r="I13" s="222"/>
      <c r="J13" s="222"/>
      <c r="K13" s="222"/>
      <c r="L13" s="222"/>
      <c r="M13" s="222"/>
      <c r="N13" s="222"/>
      <c r="O13" s="222"/>
    </row>
    <row r="14" spans="1:15">
      <c r="A14"/>
      <c r="B14" s="222"/>
      <c r="C14" s="222"/>
      <c r="D14" s="222"/>
      <c r="E14" s="138">
        <f t="shared" si="0"/>
        <v>0</v>
      </c>
      <c r="H14" s="222"/>
      <c r="I14" s="222"/>
      <c r="J14" s="222"/>
      <c r="K14" s="222"/>
      <c r="L14" s="222"/>
      <c r="M14" s="222"/>
      <c r="N14" s="222"/>
      <c r="O14" s="222"/>
    </row>
    <row r="15" spans="1:15">
      <c r="A15"/>
      <c r="B15" s="222"/>
      <c r="C15" s="222"/>
      <c r="D15" s="222"/>
      <c r="E15" s="138">
        <f t="shared" si="0"/>
        <v>0</v>
      </c>
      <c r="H15" s="222"/>
      <c r="I15" s="222"/>
      <c r="J15" s="222"/>
      <c r="K15" s="222"/>
      <c r="L15" s="222"/>
      <c r="M15" s="222"/>
      <c r="N15" s="222"/>
      <c r="O15" s="222"/>
    </row>
    <row r="16" spans="1:15">
      <c r="A16"/>
      <c r="B16" s="222"/>
      <c r="C16" s="222"/>
      <c r="D16" s="222"/>
      <c r="E16" s="138">
        <f t="shared" si="0"/>
        <v>0</v>
      </c>
      <c r="H16" s="222"/>
      <c r="I16" s="222"/>
      <c r="J16" s="222"/>
      <c r="K16" s="222"/>
      <c r="L16" s="222"/>
      <c r="M16" s="222"/>
      <c r="N16" s="222"/>
      <c r="O16" s="222"/>
    </row>
    <row r="17" spans="1:15">
      <c r="A17"/>
      <c r="B17" s="222"/>
      <c r="C17" s="222"/>
      <c r="D17" s="222"/>
      <c r="E17" s="138">
        <f t="shared" si="0"/>
        <v>0</v>
      </c>
      <c r="H17" s="222"/>
      <c r="I17" s="222"/>
      <c r="J17" s="222"/>
      <c r="K17" s="222"/>
      <c r="L17" s="222"/>
      <c r="M17" s="222"/>
      <c r="N17" s="222"/>
      <c r="O17" s="222"/>
    </row>
    <row r="18" spans="1:15">
      <c r="A18"/>
      <c r="B18" s="222"/>
      <c r="C18" s="222"/>
      <c r="D18" s="222"/>
      <c r="E18" s="138">
        <f t="shared" si="0"/>
        <v>0</v>
      </c>
      <c r="H18" s="222"/>
      <c r="I18" s="222"/>
      <c r="J18" s="222"/>
      <c r="K18" s="222"/>
      <c r="L18" s="222"/>
      <c r="M18" s="222"/>
      <c r="N18" s="222"/>
      <c r="O18" s="222"/>
    </row>
    <row r="19" spans="1:15">
      <c r="A19"/>
      <c r="B19" s="222"/>
      <c r="C19" s="222"/>
      <c r="D19" s="222"/>
      <c r="E19" s="138">
        <f t="shared" si="0"/>
        <v>0</v>
      </c>
      <c r="H19" s="222"/>
      <c r="I19" s="222"/>
      <c r="J19" s="222"/>
      <c r="K19" s="222"/>
      <c r="L19" s="222"/>
      <c r="M19" s="222"/>
      <c r="N19" s="222"/>
      <c r="O19" s="222"/>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pane="topRight"/>
      <selection pane="bottomLeft"/>
      <selection pane="bottomRight"/>
    </sheetView>
  </sheetViews>
  <sheetFormatPr defaultRowHeight="12.75" outlineLevelRow="1" outlineLevelCol="1"/>
  <cols>
    <col min="1" max="1" width="5.28515625" style="46" customWidth="1"/>
    <col min="2" max="2" width="9.85546875" style="43" customWidth="1"/>
    <col min="3" max="3" width="12.140625" style="43" customWidth="1"/>
    <col min="4" max="4" width="42.140625" style="44" customWidth="1"/>
    <col min="5" max="5" width="11" style="45" customWidth="1" outlineLevel="1"/>
    <col min="6" max="6" width="14.5703125" style="43" customWidth="1" outlineLevel="1"/>
    <col min="7" max="7" width="33.7109375" style="44" customWidth="1"/>
    <col min="8"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234</v>
      </c>
      <c r="E1" s="59"/>
      <c r="F1" s="59"/>
      <c r="G1" s="42"/>
      <c r="H1" s="42" t="s">
        <v>234</v>
      </c>
      <c r="I1" s="42"/>
      <c r="J1" s="42"/>
      <c r="K1" s="42"/>
      <c r="L1" s="26" t="s">
        <v>235</v>
      </c>
      <c r="M1" s="26" t="s">
        <v>236</v>
      </c>
      <c r="N1" s="26" t="s">
        <v>237</v>
      </c>
      <c r="O1" s="26" t="s">
        <v>238</v>
      </c>
      <c r="P1" s="51"/>
      <c r="Q1" s="26" t="s">
        <v>207</v>
      </c>
      <c r="R1" s="26" t="s">
        <v>208</v>
      </c>
      <c r="S1" s="26" t="s">
        <v>209</v>
      </c>
      <c r="T1" s="26" t="s">
        <v>239</v>
      </c>
      <c r="U1" s="26" t="s">
        <v>206</v>
      </c>
      <c r="V1" s="52"/>
      <c r="W1" s="53"/>
      <c r="X1" s="26" t="s">
        <v>240</v>
      </c>
      <c r="Y1" s="26" t="s">
        <v>241</v>
      </c>
      <c r="Z1" s="26" t="s">
        <v>242</v>
      </c>
      <c r="AA1" s="26" t="s">
        <v>243</v>
      </c>
      <c r="AH1" s="17" t="s">
        <v>244</v>
      </c>
      <c r="AI1" s="17" t="s">
        <v>245</v>
      </c>
      <c r="AJ1" s="26" t="s">
        <v>246</v>
      </c>
      <c r="AO1" s="19"/>
      <c r="AP1" s="19"/>
      <c r="AQ1" s="18" t="s">
        <v>247</v>
      </c>
      <c r="AR1" s="18" t="s">
        <v>248</v>
      </c>
      <c r="AS1" s="18" t="s">
        <v>249</v>
      </c>
      <c r="AT1" s="18" t="s">
        <v>111</v>
      </c>
    </row>
    <row r="2" spans="1:46" s="30" customFormat="1" hidden="1">
      <c r="A2" s="59"/>
      <c r="B2" s="42"/>
      <c r="C2" s="28"/>
      <c r="D2" s="42" t="s">
        <v>250</v>
      </c>
      <c r="E2" s="59"/>
      <c r="F2" s="59"/>
      <c r="G2" s="28"/>
      <c r="H2" s="42" t="s">
        <v>250</v>
      </c>
      <c r="I2" s="42"/>
      <c r="J2" s="28"/>
      <c r="K2" s="28"/>
      <c r="L2" s="49">
        <f>COUNTA(D5:D500)+COUNTIF(L5:L500,"=Open")+COUNTIF(L5:L500,"=To be fixed")-COUNTA(L5:L500)</f>
        <v>0</v>
      </c>
      <c r="M2" s="49">
        <f>COUNTIF(M5:M500,"=Rejected")</f>
        <v>0</v>
      </c>
      <c r="N2" s="49">
        <f>COUNTA(D5:D500)-COUNTIF(M5:M500,"=Approved")</f>
        <v>0</v>
      </c>
      <c r="O2" s="49">
        <f>COUNTIFS(L5:L500,"=Postponed",M5:M500,"=Approved")</f>
        <v>0</v>
      </c>
      <c r="P2" s="54"/>
      <c r="Q2" s="49">
        <f>COUNTIF($L5:$L500,"=" &amp; Q1)</f>
        <v>0</v>
      </c>
      <c r="R2" s="49">
        <f>COUNTIF($L5:$L500,"=" &amp; R1)</f>
        <v>0</v>
      </c>
      <c r="S2" s="49">
        <f>COUNTIF($L5:$L500,"=" &amp; S1)</f>
        <v>0</v>
      </c>
      <c r="T2" s="49">
        <f>COUNTIF($L5:$L500,"=" &amp; T1)</f>
        <v>0</v>
      </c>
      <c r="U2" s="49">
        <f>COUNTIF($L5:$L500,"=" &amp; U1)+COUNTIFS($L5:$L500,"",$D5:$D500,"&lt;&gt;")</f>
        <v>0</v>
      </c>
      <c r="V2" s="54"/>
      <c r="W2" s="55"/>
      <c r="X2" s="49">
        <f>IF(OR(NbOfNotTreatedIssues&gt;0,NbOfRejectedIssues&gt;0),1,0)</f>
        <v>0</v>
      </c>
      <c r="Y2" s="49">
        <f>IF(AND(Issue_to_treat=0,NbOfNotApprovedIssues&gt;0),1,0)</f>
        <v>0</v>
      </c>
      <c r="Z2" s="49">
        <f>IF(AND(Issues_to_approve=0,NbOfNotApprovedAndPostponedIssues&gt;0),1,0)</f>
        <v>0</v>
      </c>
      <c r="AA2" s="49">
        <f>IF(AND(Issue_to_treat=0,Issues_to_approve=0,Issues_postponed=0),1,0)</f>
        <v>1</v>
      </c>
      <c r="AB2" s="29"/>
      <c r="AC2" s="29"/>
      <c r="AD2" s="29"/>
      <c r="AE2" s="29"/>
      <c r="AF2" s="29"/>
      <c r="AH2" s="49">
        <f>COUNTIF($M5:$M500,"=" &amp; AH1)</f>
        <v>0</v>
      </c>
      <c r="AI2" s="49">
        <f>COUNTIF($M5:$M500,"=" &amp; AI1)</f>
        <v>0</v>
      </c>
      <c r="AJ2" s="49">
        <f>COUNTIF($M5:$M500,"=" &amp; AJ1)</f>
        <v>0</v>
      </c>
      <c r="AM2" s="29"/>
      <c r="AN2" s="29"/>
      <c r="AO2" s="29"/>
      <c r="AP2" s="31"/>
      <c r="AQ2" s="31"/>
      <c r="AR2" s="29"/>
      <c r="AS2" s="31"/>
      <c r="AT2" s="31"/>
    </row>
    <row r="3" spans="1:46" s="48" customFormat="1" ht="25.5" customHeight="1" outlineLevel="1">
      <c r="A3" s="325" t="str">
        <f>IF(Issue_to_treat=1,NbOfNotTreatedIssues+NbOfRejectedIssues&amp;" issue(s) to treat",IF(Issues_to_approve=1,NbOfNotApprovedIssues&amp;" issue(s) to approve",IF(Issues_postponed=1,NbOfNotApprovedAndPostponedIssues&amp;" issue(s) postponed","Status OK")))</f>
        <v>Status OK</v>
      </c>
      <c r="B3" s="325"/>
      <c r="C3" s="326"/>
      <c r="D3" s="58" t="s">
        <v>251</v>
      </c>
      <c r="E3" s="324" t="s">
        <v>252</v>
      </c>
      <c r="F3" s="324"/>
      <c r="G3" s="324"/>
      <c r="H3" s="47"/>
      <c r="I3" s="47"/>
      <c r="J3" s="47"/>
      <c r="K3" s="47"/>
      <c r="L3" s="47"/>
      <c r="M3" s="47"/>
      <c r="N3" s="53"/>
      <c r="O3" s="53"/>
      <c r="P3" s="53"/>
      <c r="Q3" s="56"/>
      <c r="R3" s="56"/>
      <c r="S3" s="56"/>
      <c r="T3" s="56"/>
      <c r="U3" s="56"/>
      <c r="V3" s="56"/>
      <c r="W3" s="56"/>
      <c r="X3" s="23"/>
      <c r="Y3" s="23"/>
      <c r="Z3" s="23"/>
      <c r="AA3" s="23"/>
      <c r="AB3" s="23"/>
    </row>
    <row r="4" spans="1:46" s="137" customFormat="1" ht="47.25">
      <c r="A4" s="130" t="s">
        <v>253</v>
      </c>
      <c r="B4" s="130" t="s">
        <v>9</v>
      </c>
      <c r="C4" s="130" t="s">
        <v>254</v>
      </c>
      <c r="D4" s="130" t="s">
        <v>255</v>
      </c>
      <c r="E4" s="130" t="s">
        <v>256</v>
      </c>
      <c r="F4" s="130" t="s">
        <v>257</v>
      </c>
      <c r="G4" s="131" t="s">
        <v>258</v>
      </c>
      <c r="H4" s="132" t="s">
        <v>259</v>
      </c>
      <c r="I4" s="132" t="s">
        <v>260</v>
      </c>
      <c r="J4" s="132" t="s">
        <v>261</v>
      </c>
      <c r="K4" s="133" t="s">
        <v>262</v>
      </c>
      <c r="L4" s="132" t="s">
        <v>205</v>
      </c>
      <c r="M4" s="130" t="s">
        <v>263</v>
      </c>
      <c r="N4" s="134"/>
      <c r="O4" s="134"/>
      <c r="P4" s="134"/>
      <c r="Q4" s="135"/>
      <c r="R4" s="135"/>
      <c r="S4" s="135"/>
      <c r="T4" s="135"/>
      <c r="U4" s="135"/>
      <c r="V4" s="135"/>
      <c r="W4" s="135"/>
      <c r="X4" s="136"/>
      <c r="Y4" s="136"/>
      <c r="Z4" s="136"/>
      <c r="AA4" s="136"/>
      <c r="AB4" s="136"/>
    </row>
    <row r="5" spans="1:46" s="23" customFormat="1">
      <c r="A5" s="61">
        <v>1</v>
      </c>
      <c r="B5" s="19"/>
      <c r="C5" s="19"/>
      <c r="D5" s="25"/>
      <c r="E5" s="60"/>
      <c r="F5" s="49"/>
      <c r="G5" s="16"/>
      <c r="H5" s="20"/>
      <c r="I5" s="20"/>
      <c r="J5" s="20"/>
      <c r="K5" s="21"/>
      <c r="L5" s="20"/>
      <c r="M5" s="69"/>
      <c r="N5" s="53"/>
      <c r="O5" s="53"/>
      <c r="P5" s="53"/>
      <c r="Q5" s="56"/>
      <c r="R5" s="56"/>
      <c r="S5" s="56"/>
      <c r="T5" s="56"/>
      <c r="U5" s="56"/>
      <c r="V5" s="56"/>
      <c r="W5" s="56"/>
    </row>
    <row r="6" spans="1:46" s="23" customFormat="1">
      <c r="A6" s="62">
        <v>2</v>
      </c>
      <c r="B6" s="19"/>
      <c r="C6" s="19"/>
      <c r="D6" s="25"/>
      <c r="E6" s="60"/>
      <c r="F6" s="49"/>
      <c r="G6" s="16"/>
      <c r="H6" s="20"/>
      <c r="I6" s="20"/>
      <c r="J6" s="69"/>
      <c r="K6" s="21"/>
      <c r="L6" s="20"/>
      <c r="M6" s="20"/>
      <c r="N6" s="53"/>
      <c r="O6" s="53"/>
      <c r="P6" s="53"/>
      <c r="Q6" s="56"/>
      <c r="R6" s="56"/>
      <c r="S6" s="56"/>
      <c r="T6" s="56"/>
      <c r="U6" s="56"/>
      <c r="V6" s="56"/>
      <c r="W6" s="56"/>
    </row>
    <row r="7" spans="1:46" s="23" customFormat="1">
      <c r="A7" s="62">
        <v>3</v>
      </c>
      <c r="B7" s="19"/>
      <c r="C7" s="19"/>
      <c r="D7" s="25"/>
      <c r="E7" s="60"/>
      <c r="F7" s="49"/>
      <c r="G7" s="16"/>
      <c r="H7" s="20"/>
      <c r="I7" s="20"/>
      <c r="J7" s="69"/>
      <c r="K7" s="21"/>
      <c r="L7" s="20"/>
      <c r="M7" s="20"/>
      <c r="N7" s="53"/>
      <c r="O7" s="53"/>
      <c r="P7" s="53"/>
      <c r="Q7" s="56"/>
      <c r="R7" s="56"/>
      <c r="S7" s="56"/>
      <c r="T7" s="56"/>
      <c r="U7" s="56"/>
      <c r="V7" s="56"/>
      <c r="W7" s="56"/>
    </row>
    <row r="8" spans="1:46" s="23" customFormat="1">
      <c r="A8" s="62">
        <v>4</v>
      </c>
      <c r="B8" s="19"/>
      <c r="C8" s="19"/>
      <c r="D8" s="25"/>
      <c r="E8" s="60"/>
      <c r="F8" s="49"/>
      <c r="G8" s="16"/>
      <c r="H8" s="20"/>
      <c r="I8" s="20"/>
      <c r="J8" s="69"/>
      <c r="K8" s="21"/>
      <c r="L8" s="20"/>
      <c r="M8" s="20"/>
      <c r="N8" s="53"/>
      <c r="O8" s="53"/>
      <c r="P8" s="53"/>
      <c r="Q8" s="56"/>
      <c r="R8" s="56"/>
      <c r="S8" s="56"/>
      <c r="T8" s="56"/>
      <c r="U8" s="56"/>
      <c r="V8" s="56"/>
      <c r="W8" s="56"/>
    </row>
    <row r="9" spans="1:46" s="23" customFormat="1">
      <c r="A9" s="62">
        <v>5</v>
      </c>
      <c r="B9" s="19"/>
      <c r="C9" s="19"/>
      <c r="D9" s="25"/>
      <c r="E9" s="60"/>
      <c r="F9" s="49"/>
      <c r="G9" s="16"/>
      <c r="H9" s="20"/>
      <c r="I9" s="20"/>
      <c r="J9" s="69"/>
      <c r="K9" s="21"/>
      <c r="L9" s="20"/>
      <c r="M9" s="20"/>
      <c r="N9" s="53"/>
      <c r="O9" s="53"/>
      <c r="P9" s="53"/>
      <c r="Q9" s="56"/>
      <c r="R9" s="56"/>
      <c r="S9" s="56"/>
      <c r="T9" s="56"/>
      <c r="U9" s="56"/>
      <c r="V9" s="56"/>
      <c r="W9" s="56"/>
    </row>
    <row r="10" spans="1:46" s="23" customFormat="1">
      <c r="A10" s="62">
        <v>6</v>
      </c>
      <c r="B10" s="19"/>
      <c r="C10" s="37"/>
      <c r="D10" s="25"/>
      <c r="E10" s="60"/>
      <c r="F10" s="49"/>
      <c r="G10" s="16"/>
      <c r="H10" s="20"/>
      <c r="I10" s="20"/>
      <c r="J10" s="20"/>
      <c r="K10" s="21"/>
      <c r="L10" s="20"/>
      <c r="M10" s="20"/>
      <c r="N10" s="53"/>
      <c r="O10" s="53"/>
      <c r="P10" s="53"/>
      <c r="Q10" s="56"/>
      <c r="R10" s="56"/>
      <c r="S10" s="56"/>
      <c r="T10" s="56"/>
      <c r="U10" s="56"/>
      <c r="V10" s="56"/>
      <c r="W10" s="56"/>
    </row>
    <row r="11" spans="1:46" s="23" customFormat="1">
      <c r="A11" s="62">
        <v>7</v>
      </c>
      <c r="B11" s="19"/>
      <c r="C11" s="37"/>
      <c r="D11" s="25"/>
      <c r="E11" s="60"/>
      <c r="F11" s="49"/>
      <c r="G11" s="16"/>
      <c r="H11" s="20"/>
      <c r="I11" s="20"/>
      <c r="J11" s="20"/>
      <c r="K11" s="70"/>
      <c r="L11" s="20"/>
      <c r="M11" s="20"/>
      <c r="N11" s="53"/>
      <c r="O11" s="53"/>
      <c r="P11" s="53"/>
      <c r="Q11" s="56"/>
      <c r="R11" s="56"/>
      <c r="S11" s="56"/>
      <c r="T11" s="56"/>
      <c r="U11" s="56"/>
      <c r="V11" s="56"/>
      <c r="W11" s="56"/>
    </row>
    <row r="12" spans="1:46" s="23" customFormat="1">
      <c r="A12" s="62">
        <v>8</v>
      </c>
      <c r="B12" s="19"/>
      <c r="C12" s="19"/>
      <c r="D12" s="25"/>
      <c r="E12" s="60"/>
      <c r="F12" s="49"/>
      <c r="G12" s="16"/>
      <c r="H12" s="20"/>
      <c r="I12" s="20"/>
      <c r="J12" s="20"/>
      <c r="K12" s="21"/>
      <c r="L12" s="20"/>
      <c r="M12" s="20"/>
      <c r="N12" s="53"/>
      <c r="O12" s="53"/>
      <c r="P12" s="53"/>
      <c r="Q12" s="56"/>
      <c r="R12" s="56"/>
      <c r="S12" s="56"/>
      <c r="T12" s="56"/>
      <c r="U12" s="56"/>
      <c r="V12" s="56"/>
      <c r="W12" s="56"/>
    </row>
    <row r="13" spans="1:46" s="23" customFormat="1">
      <c r="A13" s="62">
        <v>9</v>
      </c>
      <c r="B13" s="19"/>
      <c r="C13" s="19"/>
      <c r="D13" s="25"/>
      <c r="E13" s="60"/>
      <c r="F13" s="49"/>
      <c r="G13" s="16"/>
      <c r="H13" s="20"/>
      <c r="I13" s="20"/>
      <c r="J13" s="20"/>
      <c r="K13" s="21"/>
      <c r="L13" s="20"/>
      <c r="M13" s="20"/>
      <c r="N13" s="53"/>
      <c r="O13" s="53"/>
      <c r="P13" s="53"/>
      <c r="Q13" s="56"/>
      <c r="R13" s="56"/>
      <c r="S13" s="56"/>
      <c r="T13" s="56"/>
      <c r="U13" s="56"/>
      <c r="V13" s="56"/>
      <c r="W13" s="56"/>
    </row>
    <row r="14" spans="1:46" s="23" customFormat="1">
      <c r="A14" s="62">
        <v>10</v>
      </c>
      <c r="B14" s="19"/>
      <c r="C14" s="19"/>
      <c r="D14" s="16"/>
      <c r="E14" s="60"/>
      <c r="F14" s="49"/>
      <c r="G14" s="16"/>
      <c r="H14" s="20"/>
      <c r="I14" s="20"/>
      <c r="J14" s="20"/>
      <c r="K14" s="21"/>
      <c r="L14" s="20"/>
      <c r="M14" s="20"/>
      <c r="N14" s="53"/>
      <c r="O14" s="53"/>
      <c r="P14" s="53"/>
      <c r="Q14" s="56"/>
      <c r="R14" s="56"/>
      <c r="S14" s="56"/>
      <c r="T14" s="56"/>
      <c r="U14" s="56"/>
      <c r="V14" s="56"/>
      <c r="W14" s="56"/>
    </row>
    <row r="15" spans="1:46" s="23" customFormat="1">
      <c r="A15" s="62">
        <v>11</v>
      </c>
      <c r="B15" s="19"/>
      <c r="C15" s="19"/>
      <c r="D15" s="16"/>
      <c r="E15" s="60"/>
      <c r="F15" s="49"/>
      <c r="G15" s="16"/>
      <c r="H15" s="20"/>
      <c r="I15" s="20"/>
      <c r="J15" s="20"/>
      <c r="K15" s="21"/>
      <c r="L15" s="20"/>
      <c r="M15" s="20"/>
      <c r="N15" s="53"/>
      <c r="O15" s="53"/>
      <c r="P15" s="53"/>
      <c r="Q15" s="56"/>
      <c r="R15" s="56"/>
      <c r="S15" s="56"/>
      <c r="T15" s="56"/>
      <c r="U15" s="56"/>
      <c r="V15" s="56"/>
      <c r="W15" s="56"/>
    </row>
    <row r="16" spans="1:46" s="23" customFormat="1">
      <c r="A16" s="62">
        <v>12</v>
      </c>
      <c r="B16" s="19"/>
      <c r="C16" s="19"/>
      <c r="D16" s="16"/>
      <c r="E16" s="60"/>
      <c r="F16" s="49"/>
      <c r="G16" s="16"/>
      <c r="H16" s="20"/>
      <c r="I16" s="20"/>
      <c r="J16" s="20"/>
      <c r="K16" s="21"/>
      <c r="L16" s="20"/>
      <c r="M16" s="20"/>
      <c r="N16" s="53"/>
      <c r="O16" s="53"/>
      <c r="P16" s="53"/>
      <c r="Q16" s="56"/>
      <c r="R16" s="56"/>
      <c r="S16" s="56"/>
      <c r="T16" s="56"/>
      <c r="U16" s="56"/>
      <c r="V16" s="56"/>
      <c r="W16" s="56"/>
    </row>
    <row r="17" spans="1:23" s="23" customFormat="1">
      <c r="A17" s="62">
        <v>13</v>
      </c>
      <c r="B17" s="19"/>
      <c r="C17" s="19"/>
      <c r="D17" s="16"/>
      <c r="E17" s="60"/>
      <c r="F17" s="49"/>
      <c r="G17" s="16"/>
      <c r="H17" s="20"/>
      <c r="I17" s="20"/>
      <c r="J17" s="20"/>
      <c r="K17" s="21"/>
      <c r="L17" s="20"/>
      <c r="M17" s="20"/>
      <c r="N17" s="53"/>
      <c r="O17" s="53"/>
      <c r="P17" s="53"/>
      <c r="Q17" s="56"/>
      <c r="R17" s="56"/>
      <c r="S17" s="56"/>
      <c r="T17" s="56"/>
      <c r="U17" s="56"/>
      <c r="V17" s="56"/>
      <c r="W17" s="56"/>
    </row>
    <row r="18" spans="1:23" s="23" customFormat="1">
      <c r="A18" s="62">
        <v>14</v>
      </c>
      <c r="B18" s="19"/>
      <c r="C18" s="19"/>
      <c r="D18" s="16"/>
      <c r="E18" s="60"/>
      <c r="F18" s="49"/>
      <c r="G18" s="16"/>
      <c r="H18" s="20"/>
      <c r="I18" s="20"/>
      <c r="J18" s="20"/>
      <c r="K18" s="21"/>
      <c r="L18" s="20"/>
      <c r="M18" s="20"/>
      <c r="N18" s="53"/>
      <c r="O18" s="53"/>
      <c r="P18" s="53"/>
      <c r="Q18" s="56"/>
      <c r="R18" s="56"/>
      <c r="S18" s="56"/>
      <c r="T18" s="56"/>
      <c r="U18" s="56"/>
      <c r="V18" s="56"/>
      <c r="W18" s="56"/>
    </row>
    <row r="19" spans="1:23" s="23" customFormat="1">
      <c r="A19" s="62">
        <v>15</v>
      </c>
      <c r="B19" s="19"/>
      <c r="C19" s="19"/>
      <c r="D19" s="16"/>
      <c r="E19" s="60"/>
      <c r="F19" s="49"/>
      <c r="G19" s="16"/>
      <c r="H19" s="20"/>
      <c r="I19" s="20"/>
      <c r="J19" s="20"/>
      <c r="K19" s="21"/>
      <c r="L19" s="20"/>
      <c r="M19" s="20"/>
      <c r="N19" s="53"/>
      <c r="O19" s="53"/>
      <c r="P19" s="53"/>
      <c r="Q19" s="56"/>
      <c r="R19" s="56"/>
      <c r="S19" s="56"/>
      <c r="T19" s="56"/>
      <c r="U19" s="56"/>
      <c r="V19" s="56"/>
      <c r="W19" s="56"/>
    </row>
    <row r="20" spans="1:23" s="23" customFormat="1">
      <c r="A20" s="62">
        <v>16</v>
      </c>
      <c r="B20" s="19"/>
      <c r="C20" s="19"/>
      <c r="D20" s="16"/>
      <c r="E20" s="60"/>
      <c r="F20" s="49"/>
      <c r="G20" s="16"/>
      <c r="H20" s="20"/>
      <c r="I20" s="20"/>
      <c r="J20" s="20"/>
      <c r="K20" s="21"/>
      <c r="L20" s="20"/>
      <c r="M20" s="20"/>
      <c r="N20" s="53"/>
      <c r="O20" s="53"/>
      <c r="P20" s="53"/>
      <c r="Q20" s="56"/>
      <c r="R20" s="56"/>
      <c r="S20" s="56"/>
      <c r="T20" s="56"/>
      <c r="U20" s="56"/>
      <c r="V20" s="56"/>
      <c r="W20" s="56"/>
    </row>
    <row r="21" spans="1:23" s="23" customFormat="1">
      <c r="A21" s="62">
        <v>17</v>
      </c>
      <c r="B21" s="19"/>
      <c r="C21" s="19"/>
      <c r="D21" s="16"/>
      <c r="E21" s="60"/>
      <c r="F21" s="49"/>
      <c r="G21" s="16"/>
      <c r="H21" s="20"/>
      <c r="I21" s="20"/>
      <c r="J21" s="20"/>
      <c r="K21" s="21"/>
      <c r="L21" s="20"/>
      <c r="M21" s="20"/>
      <c r="N21" s="53"/>
      <c r="O21" s="53"/>
      <c r="P21" s="53"/>
      <c r="Q21" s="56"/>
      <c r="R21" s="56"/>
      <c r="S21" s="56"/>
      <c r="T21" s="56"/>
      <c r="U21" s="56"/>
      <c r="V21" s="56"/>
      <c r="W21" s="56"/>
    </row>
    <row r="22" spans="1:23" s="23" customFormat="1">
      <c r="A22" s="62">
        <v>18</v>
      </c>
      <c r="B22" s="19"/>
      <c r="C22" s="19"/>
      <c r="D22" s="16"/>
      <c r="E22" s="60"/>
      <c r="F22" s="49"/>
      <c r="G22" s="16"/>
      <c r="H22" s="20"/>
      <c r="I22" s="20"/>
      <c r="J22" s="20"/>
      <c r="K22" s="21"/>
      <c r="L22" s="20"/>
      <c r="M22" s="20"/>
      <c r="N22" s="53"/>
      <c r="O22" s="53"/>
      <c r="P22" s="53"/>
      <c r="Q22" s="56"/>
      <c r="R22" s="56"/>
      <c r="S22" s="56"/>
      <c r="T22" s="56"/>
      <c r="U22" s="56"/>
      <c r="V22" s="56"/>
      <c r="W22" s="56"/>
    </row>
    <row r="23" spans="1:23" s="23" customFormat="1">
      <c r="A23" s="62">
        <v>19</v>
      </c>
      <c r="B23" s="19"/>
      <c r="C23" s="19"/>
      <c r="D23" s="16"/>
      <c r="E23" s="60"/>
      <c r="F23" s="49"/>
      <c r="G23" s="16"/>
      <c r="H23" s="20"/>
      <c r="I23" s="20"/>
      <c r="J23" s="20"/>
      <c r="K23" s="21"/>
      <c r="L23" s="20"/>
      <c r="M23" s="20"/>
      <c r="N23" s="53"/>
      <c r="O23" s="53"/>
      <c r="P23" s="53"/>
      <c r="Q23" s="56"/>
      <c r="R23" s="56"/>
      <c r="S23" s="56"/>
      <c r="T23" s="56"/>
      <c r="U23" s="56"/>
      <c r="V23" s="56"/>
      <c r="W23" s="56"/>
    </row>
    <row r="24" spans="1:23" s="23" customFormat="1">
      <c r="A24" s="62">
        <v>20</v>
      </c>
      <c r="B24" s="19"/>
      <c r="C24" s="19"/>
      <c r="D24" s="16"/>
      <c r="E24" s="60"/>
      <c r="F24" s="49"/>
      <c r="G24" s="16"/>
      <c r="H24" s="20"/>
      <c r="I24" s="20"/>
      <c r="J24" s="20"/>
      <c r="K24" s="21"/>
      <c r="L24" s="20"/>
      <c r="M24" s="20"/>
      <c r="N24" s="53"/>
      <c r="O24" s="53"/>
      <c r="P24" s="53"/>
      <c r="Q24" s="56"/>
      <c r="R24" s="56"/>
      <c r="S24" s="56"/>
      <c r="T24" s="56"/>
      <c r="U24" s="56"/>
      <c r="V24" s="56"/>
      <c r="W24" s="56"/>
    </row>
    <row r="25" spans="1:23" s="23" customFormat="1">
      <c r="A25" s="62">
        <v>21</v>
      </c>
      <c r="B25" s="19"/>
      <c r="C25" s="19"/>
      <c r="D25" s="16"/>
      <c r="E25" s="60"/>
      <c r="F25" s="49"/>
      <c r="G25" s="16"/>
      <c r="H25" s="20"/>
      <c r="I25" s="20"/>
      <c r="J25" s="20"/>
      <c r="K25" s="21"/>
      <c r="L25" s="20"/>
      <c r="M25" s="20"/>
      <c r="N25" s="53"/>
      <c r="O25" s="53"/>
      <c r="P25" s="53"/>
      <c r="Q25" s="56"/>
      <c r="R25" s="56"/>
      <c r="S25" s="56"/>
      <c r="T25" s="56"/>
      <c r="U25" s="56"/>
      <c r="V25" s="56"/>
      <c r="W25" s="56"/>
    </row>
    <row r="26" spans="1:23" s="23" customFormat="1">
      <c r="A26" s="62">
        <v>22</v>
      </c>
      <c r="B26" s="19"/>
      <c r="C26" s="19"/>
      <c r="D26" s="16"/>
      <c r="E26" s="60"/>
      <c r="F26" s="49"/>
      <c r="G26" s="16"/>
      <c r="H26" s="20"/>
      <c r="I26" s="20"/>
      <c r="J26" s="20"/>
      <c r="K26" s="21"/>
      <c r="L26" s="20"/>
      <c r="M26" s="20"/>
      <c r="N26" s="53"/>
      <c r="O26" s="53"/>
      <c r="P26" s="53"/>
      <c r="Q26" s="56"/>
      <c r="R26" s="56"/>
      <c r="S26" s="56"/>
      <c r="T26" s="56"/>
      <c r="U26" s="56"/>
      <c r="V26" s="56"/>
      <c r="W26" s="56"/>
    </row>
    <row r="27" spans="1:23" s="23" customFormat="1">
      <c r="A27" s="62">
        <v>23</v>
      </c>
      <c r="B27" s="19"/>
      <c r="C27" s="19"/>
      <c r="D27" s="16"/>
      <c r="E27" s="60"/>
      <c r="F27" s="49"/>
      <c r="G27" s="16"/>
      <c r="H27" s="20"/>
      <c r="I27" s="20"/>
      <c r="J27" s="20"/>
      <c r="K27" s="21"/>
      <c r="L27" s="20"/>
      <c r="M27" s="20"/>
      <c r="N27" s="53"/>
      <c r="O27" s="53"/>
      <c r="P27" s="53"/>
      <c r="Q27" s="56"/>
      <c r="R27" s="56"/>
      <c r="S27" s="56"/>
      <c r="T27" s="56"/>
      <c r="U27" s="56"/>
      <c r="V27" s="56"/>
      <c r="W27" s="56"/>
    </row>
    <row r="28" spans="1:23" s="23" customFormat="1">
      <c r="A28" s="62">
        <v>24</v>
      </c>
      <c r="B28" s="19"/>
      <c r="C28" s="19"/>
      <c r="D28" s="16"/>
      <c r="E28" s="60"/>
      <c r="F28" s="49"/>
      <c r="G28" s="16"/>
      <c r="H28" s="20"/>
      <c r="I28" s="20"/>
      <c r="J28" s="20"/>
      <c r="K28" s="21"/>
      <c r="L28" s="20"/>
      <c r="M28" s="20"/>
      <c r="N28" s="53"/>
      <c r="O28" s="53"/>
      <c r="P28" s="53"/>
      <c r="Q28" s="56"/>
      <c r="R28" s="56"/>
      <c r="S28" s="56"/>
      <c r="T28" s="56"/>
      <c r="U28" s="56"/>
      <c r="V28" s="56"/>
      <c r="W28" s="56"/>
    </row>
    <row r="29" spans="1:23" s="23" customFormat="1">
      <c r="A29" s="62">
        <v>25</v>
      </c>
      <c r="B29" s="19"/>
      <c r="C29" s="19"/>
      <c r="D29" s="16"/>
      <c r="E29" s="60"/>
      <c r="F29" s="49"/>
      <c r="G29" s="16"/>
      <c r="H29" s="20"/>
      <c r="I29" s="20"/>
      <c r="J29" s="20"/>
      <c r="K29" s="21"/>
      <c r="L29" s="20"/>
      <c r="M29" s="20"/>
      <c r="N29" s="53"/>
      <c r="O29" s="53"/>
      <c r="P29" s="53"/>
      <c r="Q29" s="56"/>
      <c r="R29" s="56"/>
      <c r="S29" s="56"/>
      <c r="T29" s="56"/>
      <c r="U29" s="56"/>
      <c r="V29" s="56"/>
      <c r="W29" s="56"/>
    </row>
    <row r="30" spans="1:23" s="23" customFormat="1">
      <c r="A30" s="62">
        <v>26</v>
      </c>
      <c r="B30" s="19"/>
      <c r="C30" s="19"/>
      <c r="D30" s="16"/>
      <c r="E30" s="60"/>
      <c r="F30" s="49"/>
      <c r="G30" s="16"/>
      <c r="H30" s="20"/>
      <c r="I30" s="20"/>
      <c r="J30" s="20"/>
      <c r="K30" s="21"/>
      <c r="L30" s="20"/>
      <c r="M30" s="20"/>
      <c r="N30" s="53"/>
      <c r="O30" s="53"/>
      <c r="P30" s="53"/>
      <c r="Q30" s="56"/>
      <c r="R30" s="56"/>
      <c r="S30" s="56"/>
      <c r="T30" s="56"/>
      <c r="U30" s="56"/>
      <c r="V30" s="56"/>
      <c r="W30" s="56"/>
    </row>
    <row r="31" spans="1:23" s="23" customFormat="1">
      <c r="A31" s="62">
        <v>27</v>
      </c>
      <c r="B31" s="19"/>
      <c r="C31" s="19"/>
      <c r="D31" s="16"/>
      <c r="E31" s="60"/>
      <c r="F31" s="49"/>
      <c r="G31" s="16"/>
      <c r="H31" s="20"/>
      <c r="I31" s="20"/>
      <c r="J31" s="20"/>
      <c r="K31" s="21"/>
      <c r="L31" s="20"/>
      <c r="M31" s="20"/>
      <c r="N31" s="53"/>
      <c r="O31" s="53"/>
      <c r="P31" s="53"/>
      <c r="Q31" s="56"/>
      <c r="R31" s="56"/>
      <c r="S31" s="56"/>
      <c r="T31" s="56"/>
      <c r="U31" s="56"/>
      <c r="V31" s="56"/>
      <c r="W31" s="56"/>
    </row>
    <row r="32" spans="1:23" s="23" customFormat="1">
      <c r="A32" s="62">
        <v>28</v>
      </c>
      <c r="B32" s="19"/>
      <c r="C32" s="19"/>
      <c r="D32" s="16"/>
      <c r="E32" s="60"/>
      <c r="F32" s="49"/>
      <c r="G32" s="16"/>
      <c r="H32" s="20"/>
      <c r="I32" s="20"/>
      <c r="J32" s="20"/>
      <c r="K32" s="21"/>
      <c r="L32" s="20"/>
      <c r="M32" s="20"/>
      <c r="N32" s="53"/>
      <c r="O32" s="53"/>
      <c r="P32" s="53"/>
      <c r="Q32" s="56"/>
      <c r="R32" s="56"/>
      <c r="S32" s="56"/>
      <c r="T32" s="56"/>
      <c r="U32" s="56"/>
      <c r="V32" s="56"/>
      <c r="W32" s="56"/>
    </row>
    <row r="33" spans="1:23" s="23" customFormat="1">
      <c r="A33" s="62">
        <v>29</v>
      </c>
      <c r="B33" s="19"/>
      <c r="C33" s="19"/>
      <c r="D33" s="16"/>
      <c r="E33" s="60"/>
      <c r="F33" s="49"/>
      <c r="G33" s="16"/>
      <c r="H33" s="20"/>
      <c r="I33" s="20"/>
      <c r="J33" s="20"/>
      <c r="K33" s="21"/>
      <c r="L33" s="20"/>
      <c r="M33" s="20"/>
      <c r="N33" s="53"/>
      <c r="O33" s="53"/>
      <c r="P33" s="53"/>
      <c r="Q33" s="56"/>
      <c r="R33" s="56"/>
      <c r="S33" s="56"/>
      <c r="T33" s="56"/>
      <c r="U33" s="56"/>
      <c r="V33" s="56"/>
      <c r="W33" s="56"/>
    </row>
    <row r="34" spans="1:23" s="23" customFormat="1">
      <c r="A34" s="62">
        <v>30</v>
      </c>
      <c r="B34" s="19"/>
      <c r="C34" s="19"/>
      <c r="D34" s="16"/>
      <c r="E34" s="60"/>
      <c r="F34" s="49"/>
      <c r="G34" s="16"/>
      <c r="H34" s="20"/>
      <c r="I34" s="20"/>
      <c r="J34" s="20"/>
      <c r="K34" s="21"/>
      <c r="L34" s="20"/>
      <c r="M34" s="20"/>
      <c r="N34" s="53"/>
      <c r="O34" s="53"/>
      <c r="P34" s="53"/>
      <c r="Q34" s="56"/>
      <c r="R34" s="56"/>
      <c r="S34" s="56"/>
      <c r="T34" s="56"/>
      <c r="U34" s="56"/>
      <c r="V34" s="56"/>
      <c r="W34" s="56"/>
    </row>
    <row r="35" spans="1:23" s="23" customFormat="1">
      <c r="A35" s="62">
        <v>31</v>
      </c>
      <c r="B35" s="19"/>
      <c r="C35" s="19"/>
      <c r="D35" s="16"/>
      <c r="E35" s="60"/>
      <c r="F35" s="49"/>
      <c r="G35" s="16"/>
      <c r="H35" s="20"/>
      <c r="I35" s="20"/>
      <c r="J35" s="20"/>
      <c r="K35" s="21"/>
      <c r="L35" s="20"/>
      <c r="M35" s="20"/>
      <c r="N35" s="53"/>
      <c r="O35" s="53"/>
      <c r="P35" s="53"/>
      <c r="Q35" s="56"/>
      <c r="R35" s="56"/>
      <c r="S35" s="56"/>
      <c r="T35" s="56"/>
      <c r="U35" s="56"/>
      <c r="V35" s="56"/>
      <c r="W35" s="56"/>
    </row>
    <row r="36" spans="1:23" s="23" customFormat="1">
      <c r="A36" s="62">
        <v>32</v>
      </c>
      <c r="B36" s="19"/>
      <c r="C36" s="19"/>
      <c r="D36" s="16"/>
      <c r="E36" s="60"/>
      <c r="F36" s="49"/>
      <c r="G36" s="16"/>
      <c r="H36" s="20"/>
      <c r="I36" s="20"/>
      <c r="J36" s="20"/>
      <c r="K36" s="21"/>
      <c r="L36" s="20"/>
      <c r="M36" s="20"/>
      <c r="N36" s="53"/>
      <c r="O36" s="53"/>
      <c r="P36" s="53"/>
      <c r="Q36" s="56"/>
      <c r="R36" s="56"/>
      <c r="S36" s="56"/>
      <c r="T36" s="56"/>
      <c r="U36" s="56"/>
      <c r="V36" s="56"/>
      <c r="W36" s="56"/>
    </row>
    <row r="37" spans="1:23" s="23" customFormat="1">
      <c r="A37" s="62">
        <v>33</v>
      </c>
      <c r="B37" s="19"/>
      <c r="C37" s="19"/>
      <c r="D37" s="16"/>
      <c r="E37" s="60"/>
      <c r="F37" s="49"/>
      <c r="G37" s="16"/>
      <c r="H37" s="20"/>
      <c r="I37" s="20"/>
      <c r="J37" s="20"/>
      <c r="K37" s="21"/>
      <c r="L37" s="20"/>
      <c r="M37" s="20"/>
      <c r="N37" s="53"/>
      <c r="O37" s="53"/>
      <c r="P37" s="53"/>
      <c r="Q37" s="56"/>
      <c r="R37" s="56"/>
      <c r="S37" s="56"/>
      <c r="T37" s="56"/>
      <c r="U37" s="56"/>
      <c r="V37" s="56"/>
      <c r="W37" s="56"/>
    </row>
    <row r="38" spans="1:23" s="23" customFormat="1">
      <c r="A38" s="62">
        <v>34</v>
      </c>
      <c r="B38" s="19"/>
      <c r="C38" s="19"/>
      <c r="D38" s="16"/>
      <c r="E38" s="60"/>
      <c r="F38" s="49"/>
      <c r="G38" s="16"/>
      <c r="H38" s="20"/>
      <c r="I38" s="20"/>
      <c r="J38" s="20"/>
      <c r="K38" s="21"/>
      <c r="L38" s="20"/>
      <c r="M38" s="20"/>
      <c r="N38" s="53"/>
      <c r="O38" s="53"/>
      <c r="P38" s="53"/>
      <c r="Q38" s="56"/>
      <c r="R38" s="56"/>
      <c r="S38" s="56"/>
      <c r="T38" s="56"/>
      <c r="U38" s="56"/>
      <c r="V38" s="56"/>
      <c r="W38" s="56"/>
    </row>
    <row r="39" spans="1:23" s="23" customFormat="1">
      <c r="A39" s="62">
        <v>35</v>
      </c>
      <c r="B39" s="19"/>
      <c r="C39" s="19"/>
      <c r="D39" s="16"/>
      <c r="E39" s="60"/>
      <c r="F39" s="49"/>
      <c r="G39" s="16"/>
      <c r="H39" s="20"/>
      <c r="I39" s="20"/>
      <c r="J39" s="20"/>
      <c r="K39" s="21"/>
      <c r="L39" s="20"/>
      <c r="M39" s="20"/>
      <c r="N39" s="53"/>
      <c r="O39" s="53"/>
      <c r="P39" s="53"/>
      <c r="Q39" s="56"/>
      <c r="R39" s="56"/>
      <c r="S39" s="56"/>
      <c r="T39" s="56"/>
      <c r="U39" s="56"/>
      <c r="V39" s="56"/>
      <c r="W39" s="56"/>
    </row>
    <row r="40" spans="1:23" s="23" customFormat="1">
      <c r="A40" s="62">
        <v>36</v>
      </c>
      <c r="B40" s="19"/>
      <c r="C40" s="19"/>
      <c r="D40" s="16"/>
      <c r="E40" s="60"/>
      <c r="F40" s="49"/>
      <c r="G40" s="16"/>
      <c r="H40" s="20"/>
      <c r="I40" s="20"/>
      <c r="J40" s="20"/>
      <c r="K40" s="21"/>
      <c r="L40" s="20"/>
      <c r="M40" s="20"/>
      <c r="N40" s="53"/>
      <c r="O40" s="53"/>
      <c r="P40" s="53"/>
      <c r="Q40" s="56"/>
      <c r="R40" s="56"/>
      <c r="S40" s="56"/>
      <c r="T40" s="56"/>
      <c r="U40" s="56"/>
      <c r="V40" s="56"/>
      <c r="W40" s="56"/>
    </row>
    <row r="41" spans="1:23" s="23" customFormat="1">
      <c r="A41" s="62">
        <v>37</v>
      </c>
      <c r="B41" s="19"/>
      <c r="C41" s="19"/>
      <c r="D41" s="16"/>
      <c r="E41" s="60"/>
      <c r="F41" s="49"/>
      <c r="G41" s="16"/>
      <c r="H41" s="20"/>
      <c r="I41" s="20"/>
      <c r="J41" s="20"/>
      <c r="K41" s="21"/>
      <c r="L41" s="20"/>
      <c r="M41" s="20"/>
      <c r="N41" s="53"/>
      <c r="O41" s="53"/>
      <c r="P41" s="53"/>
      <c r="Q41" s="56"/>
      <c r="R41" s="56"/>
      <c r="S41" s="56"/>
      <c r="T41" s="56"/>
      <c r="U41" s="56"/>
      <c r="V41" s="56"/>
      <c r="W41" s="56"/>
    </row>
    <row r="42" spans="1:23" s="23" customFormat="1">
      <c r="A42" s="62">
        <v>38</v>
      </c>
      <c r="B42" s="19"/>
      <c r="C42" s="19"/>
      <c r="D42" s="16"/>
      <c r="E42" s="60"/>
      <c r="F42" s="49"/>
      <c r="G42" s="16"/>
      <c r="H42" s="20"/>
      <c r="I42" s="20"/>
      <c r="J42" s="20"/>
      <c r="K42" s="21"/>
      <c r="L42" s="20"/>
      <c r="M42" s="20"/>
      <c r="N42" s="53"/>
      <c r="O42" s="53"/>
      <c r="P42" s="53"/>
      <c r="Q42" s="56"/>
      <c r="R42" s="56"/>
      <c r="S42" s="56"/>
      <c r="T42" s="56"/>
      <c r="U42" s="56"/>
      <c r="V42" s="56"/>
      <c r="W42" s="56"/>
    </row>
    <row r="43" spans="1:23" s="23" customFormat="1">
      <c r="A43" s="62">
        <v>39</v>
      </c>
      <c r="B43" s="19"/>
      <c r="C43" s="19"/>
      <c r="D43" s="16"/>
      <c r="E43" s="60"/>
      <c r="F43" s="49"/>
      <c r="G43" s="16"/>
      <c r="H43" s="20"/>
      <c r="I43" s="20"/>
      <c r="J43" s="20"/>
      <c r="K43" s="21"/>
      <c r="L43" s="20"/>
      <c r="M43" s="20"/>
      <c r="N43" s="53"/>
      <c r="O43" s="53"/>
      <c r="P43" s="53"/>
      <c r="Q43" s="56"/>
      <c r="R43" s="56"/>
      <c r="S43" s="56"/>
      <c r="T43" s="56"/>
      <c r="U43" s="56"/>
      <c r="V43" s="56"/>
      <c r="W43" s="56"/>
    </row>
    <row r="44" spans="1:23" s="23" customFormat="1">
      <c r="A44" s="62">
        <v>40</v>
      </c>
      <c r="B44" s="19"/>
      <c r="C44" s="19"/>
      <c r="D44" s="16"/>
      <c r="E44" s="60"/>
      <c r="F44" s="49"/>
      <c r="G44" s="16"/>
      <c r="H44" s="20"/>
      <c r="I44" s="20"/>
      <c r="J44" s="20"/>
      <c r="K44" s="21"/>
      <c r="L44" s="20"/>
      <c r="M44" s="20"/>
      <c r="N44" s="53"/>
      <c r="O44" s="53"/>
      <c r="P44" s="53"/>
      <c r="Q44" s="56"/>
      <c r="R44" s="56"/>
      <c r="S44" s="56"/>
      <c r="T44" s="56"/>
      <c r="U44" s="56"/>
      <c r="V44" s="56"/>
      <c r="W44" s="56"/>
    </row>
    <row r="45" spans="1:23" s="23" customFormat="1">
      <c r="A45" s="62">
        <v>41</v>
      </c>
      <c r="B45" s="19"/>
      <c r="C45" s="19"/>
      <c r="D45" s="16"/>
      <c r="E45" s="60"/>
      <c r="F45" s="49"/>
      <c r="G45" s="16"/>
      <c r="H45" s="20"/>
      <c r="I45" s="20"/>
      <c r="J45" s="20"/>
      <c r="K45" s="21"/>
      <c r="L45" s="20"/>
      <c r="M45" s="20"/>
      <c r="N45" s="53"/>
      <c r="O45" s="53"/>
      <c r="P45" s="53"/>
      <c r="Q45" s="56"/>
      <c r="R45" s="56"/>
      <c r="S45" s="56"/>
      <c r="T45" s="56"/>
      <c r="U45" s="56"/>
      <c r="V45" s="56"/>
      <c r="W45" s="56"/>
    </row>
    <row r="46" spans="1:23" s="23" customFormat="1">
      <c r="A46" s="62">
        <v>42</v>
      </c>
      <c r="B46" s="19"/>
      <c r="C46" s="19"/>
      <c r="D46" s="16"/>
      <c r="E46" s="60"/>
      <c r="F46" s="49"/>
      <c r="G46" s="16"/>
      <c r="H46" s="20"/>
      <c r="I46" s="20"/>
      <c r="J46" s="20"/>
      <c r="K46" s="21"/>
      <c r="L46" s="20"/>
      <c r="M46" s="20"/>
      <c r="N46" s="53"/>
      <c r="O46" s="53"/>
      <c r="P46" s="53"/>
      <c r="Q46" s="56"/>
      <c r="R46" s="56"/>
      <c r="S46" s="56"/>
      <c r="T46" s="56"/>
      <c r="U46" s="56"/>
      <c r="V46" s="56"/>
      <c r="W46" s="56"/>
    </row>
    <row r="47" spans="1:23" s="23" customFormat="1">
      <c r="A47" s="62">
        <v>43</v>
      </c>
      <c r="B47" s="19"/>
      <c r="C47" s="19"/>
      <c r="D47" s="16"/>
      <c r="E47" s="60"/>
      <c r="F47" s="49"/>
      <c r="G47" s="16"/>
      <c r="H47" s="20"/>
      <c r="I47" s="20"/>
      <c r="J47" s="20"/>
      <c r="K47" s="21"/>
      <c r="L47" s="20"/>
      <c r="M47" s="20"/>
      <c r="N47" s="53"/>
      <c r="O47" s="53"/>
      <c r="P47" s="53"/>
      <c r="Q47" s="56"/>
      <c r="R47" s="56"/>
      <c r="S47" s="56"/>
      <c r="T47" s="56"/>
      <c r="U47" s="56"/>
      <c r="V47" s="56"/>
      <c r="W47" s="56"/>
    </row>
    <row r="48" spans="1:23" s="23" customFormat="1">
      <c r="A48" s="62">
        <v>44</v>
      </c>
      <c r="B48" s="19"/>
      <c r="C48" s="19"/>
      <c r="D48" s="16"/>
      <c r="E48" s="60"/>
      <c r="F48" s="49"/>
      <c r="G48" s="16"/>
      <c r="H48" s="20"/>
      <c r="I48" s="20"/>
      <c r="J48" s="20"/>
      <c r="K48" s="21"/>
      <c r="L48" s="20"/>
      <c r="M48" s="20"/>
      <c r="N48" s="53"/>
      <c r="O48" s="53"/>
      <c r="P48" s="53"/>
      <c r="Q48" s="56"/>
      <c r="R48" s="56"/>
      <c r="S48" s="56"/>
      <c r="T48" s="56"/>
      <c r="U48" s="56"/>
      <c r="V48" s="56"/>
      <c r="W48" s="56"/>
    </row>
    <row r="49" spans="1:23" s="23" customFormat="1">
      <c r="A49" s="62">
        <v>45</v>
      </c>
      <c r="B49" s="19"/>
      <c r="C49" s="19"/>
      <c r="D49" s="16"/>
      <c r="E49" s="60"/>
      <c r="F49" s="49"/>
      <c r="G49" s="16"/>
      <c r="H49" s="20"/>
      <c r="I49" s="20"/>
      <c r="J49" s="20"/>
      <c r="K49" s="21"/>
      <c r="L49" s="20"/>
      <c r="M49" s="20"/>
      <c r="N49" s="53"/>
      <c r="O49" s="53"/>
      <c r="P49" s="53"/>
      <c r="Q49" s="56"/>
      <c r="R49" s="56"/>
      <c r="S49" s="56"/>
      <c r="T49" s="56"/>
      <c r="U49" s="56"/>
      <c r="V49" s="56"/>
      <c r="W49" s="56"/>
    </row>
    <row r="50" spans="1:23" s="23" customFormat="1">
      <c r="A50" s="62">
        <v>46</v>
      </c>
      <c r="B50" s="19"/>
      <c r="C50" s="19"/>
      <c r="D50" s="16"/>
      <c r="E50" s="60"/>
      <c r="F50" s="49"/>
      <c r="G50" s="16"/>
      <c r="H50" s="20"/>
      <c r="I50" s="20"/>
      <c r="J50" s="20"/>
      <c r="K50" s="21"/>
      <c r="L50" s="20"/>
      <c r="M50" s="20"/>
      <c r="N50" s="53"/>
      <c r="O50" s="53"/>
      <c r="P50" s="53"/>
      <c r="Q50" s="56"/>
      <c r="R50" s="56"/>
      <c r="S50" s="56"/>
      <c r="T50" s="56"/>
      <c r="U50" s="56"/>
      <c r="V50" s="56"/>
      <c r="W50" s="56"/>
    </row>
    <row r="51" spans="1:23" s="23" customFormat="1">
      <c r="A51" s="62">
        <v>47</v>
      </c>
      <c r="B51" s="19"/>
      <c r="C51" s="19"/>
      <c r="D51" s="16"/>
      <c r="E51" s="60"/>
      <c r="F51" s="49"/>
      <c r="G51" s="16"/>
      <c r="H51" s="20"/>
      <c r="I51" s="20"/>
      <c r="J51" s="20"/>
      <c r="K51" s="21"/>
      <c r="L51" s="20"/>
      <c r="M51" s="20"/>
      <c r="N51" s="53"/>
      <c r="O51" s="53"/>
      <c r="P51" s="53"/>
      <c r="Q51" s="56"/>
      <c r="R51" s="56"/>
      <c r="S51" s="56"/>
      <c r="T51" s="56"/>
      <c r="U51" s="56"/>
      <c r="V51" s="56"/>
      <c r="W51" s="56"/>
    </row>
    <row r="52" spans="1:23" s="23" customFormat="1">
      <c r="A52" s="62">
        <v>48</v>
      </c>
      <c r="B52" s="19"/>
      <c r="C52" s="19"/>
      <c r="D52" s="16"/>
      <c r="E52" s="60"/>
      <c r="F52" s="49"/>
      <c r="G52" s="16"/>
      <c r="H52" s="20"/>
      <c r="I52" s="20"/>
      <c r="J52" s="20"/>
      <c r="K52" s="21"/>
      <c r="L52" s="20"/>
      <c r="M52" s="20"/>
      <c r="N52" s="53"/>
      <c r="O52" s="53"/>
      <c r="P52" s="53"/>
      <c r="Q52" s="56"/>
      <c r="R52" s="56"/>
      <c r="S52" s="56"/>
      <c r="T52" s="56"/>
      <c r="U52" s="56"/>
      <c r="V52" s="56"/>
      <c r="W52" s="56"/>
    </row>
    <row r="53" spans="1:23" s="23" customFormat="1">
      <c r="A53" s="62">
        <v>49</v>
      </c>
      <c r="B53" s="19"/>
      <c r="C53" s="19"/>
      <c r="D53" s="16"/>
      <c r="E53" s="60"/>
      <c r="F53" s="49"/>
      <c r="G53" s="16"/>
      <c r="H53" s="20"/>
      <c r="I53" s="20"/>
      <c r="J53" s="20"/>
      <c r="K53" s="21"/>
      <c r="L53" s="20"/>
      <c r="M53" s="20"/>
      <c r="N53" s="53"/>
      <c r="O53" s="53"/>
      <c r="P53" s="53"/>
      <c r="Q53" s="56"/>
      <c r="R53" s="56"/>
      <c r="S53" s="56"/>
      <c r="T53" s="56"/>
      <c r="U53" s="56"/>
      <c r="V53" s="56"/>
      <c r="W53" s="56"/>
    </row>
    <row r="54" spans="1:23" s="23" customFormat="1">
      <c r="A54" s="62">
        <v>50</v>
      </c>
      <c r="B54" s="19"/>
      <c r="C54" s="19"/>
      <c r="D54" s="16"/>
      <c r="E54" s="60"/>
      <c r="F54" s="49"/>
      <c r="G54" s="16"/>
      <c r="H54" s="20"/>
      <c r="I54" s="20"/>
      <c r="J54" s="20"/>
      <c r="K54" s="21"/>
      <c r="L54" s="20"/>
      <c r="M54" s="20"/>
      <c r="N54" s="53"/>
      <c r="O54" s="53"/>
      <c r="P54" s="53"/>
      <c r="Q54" s="56"/>
      <c r="R54" s="56"/>
      <c r="S54" s="56"/>
      <c r="T54" s="56"/>
      <c r="U54" s="56"/>
      <c r="V54" s="56"/>
      <c r="W54" s="56"/>
    </row>
    <row r="55" spans="1:23" s="23" customFormat="1">
      <c r="A55" s="62">
        <v>51</v>
      </c>
      <c r="B55" s="19"/>
      <c r="C55" s="19"/>
      <c r="D55" s="16"/>
      <c r="E55" s="60"/>
      <c r="F55" s="49"/>
      <c r="G55" s="16"/>
      <c r="H55" s="20"/>
      <c r="I55" s="20"/>
      <c r="J55" s="20"/>
      <c r="K55" s="21"/>
      <c r="L55" s="20"/>
      <c r="M55" s="20"/>
      <c r="N55" s="53"/>
      <c r="O55" s="53"/>
      <c r="P55" s="53"/>
      <c r="Q55" s="56"/>
      <c r="R55" s="56"/>
      <c r="S55" s="56"/>
      <c r="T55" s="56"/>
      <c r="U55" s="56"/>
      <c r="V55" s="56"/>
      <c r="W55" s="56"/>
    </row>
    <row r="56" spans="1:23" s="23" customFormat="1">
      <c r="A56" s="62">
        <v>52</v>
      </c>
      <c r="B56" s="19"/>
      <c r="C56" s="19"/>
      <c r="D56" s="25"/>
      <c r="E56" s="60"/>
      <c r="F56" s="49"/>
      <c r="G56" s="16"/>
      <c r="H56" s="20"/>
      <c r="I56" s="20"/>
      <c r="J56" s="20"/>
      <c r="K56" s="21"/>
      <c r="L56" s="20"/>
      <c r="M56" s="20"/>
      <c r="N56" s="53"/>
      <c r="O56" s="53"/>
      <c r="P56" s="53"/>
      <c r="Q56" s="56"/>
      <c r="R56" s="56"/>
      <c r="S56" s="56"/>
      <c r="T56" s="56"/>
      <c r="U56" s="56"/>
      <c r="V56" s="56"/>
      <c r="W56" s="56"/>
    </row>
    <row r="57" spans="1:23" s="23" customFormat="1">
      <c r="A57" s="62">
        <v>53</v>
      </c>
      <c r="B57" s="19"/>
      <c r="C57" s="19"/>
      <c r="D57" s="16"/>
      <c r="E57" s="60"/>
      <c r="F57" s="49"/>
      <c r="G57" s="16"/>
      <c r="H57" s="20"/>
      <c r="I57" s="20"/>
      <c r="J57" s="20"/>
      <c r="K57" s="21"/>
      <c r="L57" s="20"/>
      <c r="M57" s="20"/>
      <c r="N57" s="53"/>
      <c r="O57" s="53"/>
      <c r="P57" s="53"/>
      <c r="Q57" s="56"/>
      <c r="R57" s="56"/>
      <c r="S57" s="56"/>
      <c r="T57" s="56"/>
      <c r="U57" s="56"/>
      <c r="V57" s="56"/>
      <c r="W57" s="56"/>
    </row>
    <row r="58" spans="1:23" s="23" customFormat="1">
      <c r="A58" s="62">
        <v>54</v>
      </c>
      <c r="B58" s="19"/>
      <c r="C58" s="19"/>
      <c r="D58" s="25"/>
      <c r="E58" s="60"/>
      <c r="F58" s="49"/>
      <c r="G58" s="16"/>
      <c r="H58" s="20"/>
      <c r="I58" s="20"/>
      <c r="J58" s="20"/>
      <c r="K58" s="21"/>
      <c r="L58" s="20"/>
      <c r="M58" s="20"/>
      <c r="N58" s="53"/>
      <c r="O58" s="53"/>
      <c r="P58" s="53"/>
      <c r="Q58" s="56"/>
      <c r="R58" s="56"/>
      <c r="S58" s="56"/>
      <c r="T58" s="56"/>
      <c r="U58" s="56"/>
      <c r="V58" s="56"/>
      <c r="W58" s="56"/>
    </row>
    <row r="59" spans="1:23" s="23" customFormat="1">
      <c r="A59" s="62">
        <v>55</v>
      </c>
      <c r="B59" s="19"/>
      <c r="C59" s="19"/>
      <c r="D59" s="16"/>
      <c r="E59" s="60"/>
      <c r="F59" s="49"/>
      <c r="G59" s="16"/>
      <c r="H59" s="20"/>
      <c r="I59" s="20"/>
      <c r="J59" s="20"/>
      <c r="K59" s="21"/>
      <c r="L59" s="20"/>
      <c r="M59" s="20"/>
      <c r="N59" s="53"/>
      <c r="O59" s="53"/>
      <c r="P59" s="53"/>
      <c r="Q59" s="56"/>
      <c r="R59" s="56"/>
      <c r="S59" s="56"/>
      <c r="T59" s="56"/>
      <c r="U59" s="56"/>
      <c r="V59" s="56"/>
      <c r="W59" s="56"/>
    </row>
    <row r="60" spans="1:23" s="23" customFormat="1">
      <c r="A60" s="62">
        <v>56</v>
      </c>
      <c r="B60" s="19"/>
      <c r="C60" s="19"/>
      <c r="D60" s="16"/>
      <c r="E60" s="60"/>
      <c r="F60" s="49"/>
      <c r="G60" s="16"/>
      <c r="H60" s="20"/>
      <c r="I60" s="20"/>
      <c r="J60" s="20"/>
      <c r="K60" s="21"/>
      <c r="L60" s="20"/>
      <c r="M60" s="20"/>
      <c r="N60" s="53"/>
      <c r="O60" s="53"/>
      <c r="P60" s="53"/>
      <c r="Q60" s="56"/>
      <c r="R60" s="56"/>
      <c r="S60" s="56"/>
      <c r="T60" s="56"/>
      <c r="U60" s="56"/>
      <c r="V60" s="56"/>
      <c r="W60" s="56"/>
    </row>
    <row r="61" spans="1:23" s="23" customFormat="1">
      <c r="A61" s="62">
        <v>57</v>
      </c>
      <c r="B61" s="19"/>
      <c r="C61" s="19"/>
      <c r="D61" s="16"/>
      <c r="E61" s="60"/>
      <c r="F61" s="49"/>
      <c r="G61" s="16"/>
      <c r="H61" s="20"/>
      <c r="I61" s="20"/>
      <c r="J61" s="20"/>
      <c r="K61" s="21"/>
      <c r="L61" s="20"/>
      <c r="M61" s="20"/>
      <c r="N61" s="53"/>
      <c r="O61" s="53"/>
      <c r="P61" s="53"/>
      <c r="Q61" s="56"/>
      <c r="R61" s="56"/>
      <c r="S61" s="56"/>
      <c r="T61" s="56"/>
      <c r="U61" s="56"/>
      <c r="V61" s="56"/>
      <c r="W61" s="56"/>
    </row>
    <row r="62" spans="1:23" s="23" customFormat="1">
      <c r="A62" s="62">
        <v>58</v>
      </c>
      <c r="B62" s="19"/>
      <c r="C62" s="19"/>
      <c r="D62" s="16"/>
      <c r="E62" s="60"/>
      <c r="F62" s="49"/>
      <c r="G62" s="16"/>
      <c r="H62" s="20"/>
      <c r="I62" s="20"/>
      <c r="J62" s="20"/>
      <c r="K62" s="21"/>
      <c r="L62" s="20"/>
      <c r="M62" s="20"/>
      <c r="N62" s="53"/>
      <c r="O62" s="53"/>
      <c r="P62" s="53"/>
      <c r="Q62" s="56"/>
      <c r="R62" s="56"/>
      <c r="S62" s="56"/>
      <c r="T62" s="56"/>
      <c r="U62" s="56"/>
      <c r="V62" s="56"/>
      <c r="W62" s="56"/>
    </row>
    <row r="63" spans="1:23" s="23" customFormat="1">
      <c r="A63" s="62">
        <v>59</v>
      </c>
      <c r="B63" s="19"/>
      <c r="C63" s="19"/>
      <c r="D63" s="16"/>
      <c r="E63" s="60"/>
      <c r="F63" s="49"/>
      <c r="G63" s="16"/>
      <c r="H63" s="20"/>
      <c r="I63" s="20"/>
      <c r="J63" s="20"/>
      <c r="K63" s="21"/>
      <c r="L63" s="20"/>
      <c r="M63" s="20"/>
      <c r="N63" s="53"/>
      <c r="O63" s="53"/>
      <c r="P63" s="53"/>
      <c r="Q63" s="56"/>
      <c r="R63" s="56"/>
      <c r="S63" s="56"/>
      <c r="T63" s="56"/>
      <c r="U63" s="56"/>
      <c r="V63" s="56"/>
      <c r="W63" s="56"/>
    </row>
    <row r="64" spans="1:23" s="23" customFormat="1">
      <c r="A64" s="62">
        <v>60</v>
      </c>
      <c r="B64" s="19"/>
      <c r="C64" s="19"/>
      <c r="D64" s="16"/>
      <c r="E64" s="60"/>
      <c r="F64" s="49"/>
      <c r="G64" s="16"/>
      <c r="H64" s="20"/>
      <c r="I64" s="20"/>
      <c r="J64" s="20"/>
      <c r="K64" s="21"/>
      <c r="L64" s="20"/>
      <c r="M64" s="20"/>
      <c r="N64" s="53"/>
      <c r="O64" s="53"/>
      <c r="P64" s="53"/>
      <c r="Q64" s="56"/>
      <c r="R64" s="56"/>
      <c r="S64" s="56"/>
      <c r="T64" s="56"/>
      <c r="U64" s="56"/>
      <c r="V64" s="56"/>
      <c r="W64" s="56"/>
    </row>
    <row r="65" spans="1:23" s="23" customFormat="1">
      <c r="A65" s="62">
        <v>61</v>
      </c>
      <c r="B65" s="19"/>
      <c r="C65" s="19"/>
      <c r="D65" s="16"/>
      <c r="E65" s="60"/>
      <c r="F65" s="49"/>
      <c r="G65" s="16"/>
      <c r="H65" s="20"/>
      <c r="I65" s="20"/>
      <c r="J65" s="20"/>
      <c r="K65" s="21"/>
      <c r="L65" s="20"/>
      <c r="M65" s="20"/>
      <c r="N65" s="53"/>
      <c r="O65" s="53"/>
      <c r="P65" s="53"/>
      <c r="Q65" s="56"/>
      <c r="R65" s="56"/>
      <c r="S65" s="56"/>
      <c r="T65" s="56"/>
      <c r="U65" s="56"/>
      <c r="V65" s="56"/>
      <c r="W65" s="56"/>
    </row>
    <row r="66" spans="1:23" s="23" customFormat="1">
      <c r="A66" s="62">
        <v>62</v>
      </c>
      <c r="B66" s="19"/>
      <c r="C66" s="19"/>
      <c r="D66" s="16"/>
      <c r="E66" s="60"/>
      <c r="F66" s="49"/>
      <c r="G66" s="16"/>
      <c r="H66" s="20"/>
      <c r="I66" s="20"/>
      <c r="J66" s="20"/>
      <c r="K66" s="21"/>
      <c r="L66" s="20"/>
      <c r="M66" s="20"/>
      <c r="N66" s="53"/>
      <c r="O66" s="53"/>
      <c r="P66" s="53"/>
      <c r="Q66" s="56"/>
      <c r="R66" s="56"/>
      <c r="S66" s="56"/>
      <c r="T66" s="56"/>
      <c r="U66" s="56"/>
      <c r="V66" s="56"/>
      <c r="W66" s="56"/>
    </row>
    <row r="67" spans="1:23" s="23" customFormat="1">
      <c r="A67" s="62">
        <v>63</v>
      </c>
      <c r="B67" s="19"/>
      <c r="C67" s="19"/>
      <c r="D67" s="16"/>
      <c r="E67" s="60"/>
      <c r="F67" s="49"/>
      <c r="G67" s="16"/>
      <c r="H67" s="20"/>
      <c r="I67" s="20"/>
      <c r="J67" s="20"/>
      <c r="K67" s="21"/>
      <c r="L67" s="20"/>
      <c r="M67" s="20"/>
      <c r="N67" s="53"/>
      <c r="O67" s="53"/>
      <c r="P67" s="53"/>
      <c r="Q67" s="56"/>
      <c r="R67" s="56"/>
      <c r="S67" s="56"/>
      <c r="T67" s="56"/>
      <c r="U67" s="56"/>
      <c r="V67" s="56"/>
      <c r="W67" s="56"/>
    </row>
    <row r="68" spans="1:23" s="23" customFormat="1">
      <c r="A68" s="62">
        <v>64</v>
      </c>
      <c r="B68" s="19"/>
      <c r="C68" s="19"/>
      <c r="D68" s="16"/>
      <c r="E68" s="60"/>
      <c r="F68" s="49"/>
      <c r="G68" s="16"/>
      <c r="H68" s="20"/>
      <c r="I68" s="20"/>
      <c r="J68" s="20"/>
      <c r="K68" s="21"/>
      <c r="L68" s="20"/>
      <c r="M68" s="20"/>
      <c r="N68" s="53"/>
      <c r="O68" s="53"/>
      <c r="P68" s="53"/>
      <c r="Q68" s="56"/>
      <c r="R68" s="56"/>
      <c r="S68" s="56"/>
      <c r="T68" s="56"/>
      <c r="U68" s="56"/>
      <c r="V68" s="56"/>
      <c r="W68" s="56"/>
    </row>
    <row r="69" spans="1:23" s="23" customFormat="1">
      <c r="A69" s="62">
        <v>65</v>
      </c>
      <c r="B69" s="19"/>
      <c r="C69" s="19"/>
      <c r="D69" s="16"/>
      <c r="E69" s="60"/>
      <c r="F69" s="49"/>
      <c r="G69" s="16"/>
      <c r="H69" s="20"/>
      <c r="I69" s="20"/>
      <c r="J69" s="20"/>
      <c r="K69" s="21"/>
      <c r="L69" s="20"/>
      <c r="M69" s="20"/>
      <c r="N69" s="53"/>
      <c r="O69" s="53"/>
      <c r="P69" s="53"/>
      <c r="Q69" s="56"/>
      <c r="R69" s="56"/>
      <c r="S69" s="56"/>
      <c r="T69" s="56"/>
      <c r="U69" s="56"/>
      <c r="V69" s="56"/>
      <c r="W69" s="56"/>
    </row>
    <row r="70" spans="1:23" s="23" customFormat="1">
      <c r="A70" s="62">
        <v>66</v>
      </c>
      <c r="B70" s="19"/>
      <c r="C70" s="19"/>
      <c r="D70" s="16"/>
      <c r="E70" s="60"/>
      <c r="F70" s="49"/>
      <c r="G70" s="16"/>
      <c r="H70" s="20"/>
      <c r="I70" s="20"/>
      <c r="J70" s="20"/>
      <c r="K70" s="21"/>
      <c r="L70" s="20"/>
      <c r="M70" s="20"/>
      <c r="N70" s="53"/>
      <c r="O70" s="53"/>
      <c r="P70" s="53"/>
      <c r="Q70" s="56"/>
      <c r="R70" s="56"/>
      <c r="S70" s="56"/>
      <c r="T70" s="56"/>
      <c r="U70" s="56"/>
      <c r="V70" s="56"/>
      <c r="W70" s="56"/>
    </row>
    <row r="71" spans="1:23" s="23" customFormat="1">
      <c r="A71" s="62">
        <v>67</v>
      </c>
      <c r="B71" s="19"/>
      <c r="C71" s="19"/>
      <c r="D71" s="16"/>
      <c r="E71" s="60"/>
      <c r="F71" s="49"/>
      <c r="G71" s="16"/>
      <c r="H71" s="20"/>
      <c r="I71" s="20"/>
      <c r="J71" s="20"/>
      <c r="K71" s="21"/>
      <c r="L71" s="20"/>
      <c r="M71" s="20"/>
      <c r="N71" s="53"/>
      <c r="O71" s="53"/>
      <c r="P71" s="53"/>
      <c r="Q71" s="56"/>
      <c r="R71" s="56"/>
      <c r="S71" s="56"/>
      <c r="T71" s="56"/>
      <c r="U71" s="56"/>
      <c r="V71" s="56"/>
      <c r="W71" s="56"/>
    </row>
    <row r="72" spans="1:23" s="23" customFormat="1">
      <c r="A72" s="62">
        <v>68</v>
      </c>
      <c r="B72" s="19"/>
      <c r="C72" s="19"/>
      <c r="D72" s="16"/>
      <c r="E72" s="60"/>
      <c r="F72" s="49"/>
      <c r="G72" s="16"/>
      <c r="H72" s="20"/>
      <c r="I72" s="20"/>
      <c r="J72" s="20"/>
      <c r="K72" s="21"/>
      <c r="L72" s="20"/>
      <c r="M72" s="20"/>
      <c r="N72" s="53"/>
      <c r="O72" s="53"/>
      <c r="P72" s="53"/>
      <c r="Q72" s="56"/>
      <c r="R72" s="56"/>
      <c r="S72" s="56"/>
      <c r="T72" s="56"/>
      <c r="U72" s="56"/>
      <c r="V72" s="56"/>
      <c r="W72" s="56"/>
    </row>
    <row r="73" spans="1:23" s="23" customFormat="1">
      <c r="A73" s="62">
        <v>69</v>
      </c>
      <c r="B73" s="19"/>
      <c r="C73" s="19"/>
      <c r="D73" s="16"/>
      <c r="E73" s="60"/>
      <c r="F73" s="49"/>
      <c r="G73" s="16"/>
      <c r="H73" s="20"/>
      <c r="I73" s="20"/>
      <c r="J73" s="20"/>
      <c r="K73" s="21"/>
      <c r="L73" s="20"/>
      <c r="M73" s="20"/>
      <c r="N73" s="53"/>
      <c r="O73" s="53"/>
      <c r="P73" s="53"/>
      <c r="Q73" s="56"/>
      <c r="R73" s="56"/>
      <c r="S73" s="56"/>
      <c r="T73" s="56"/>
      <c r="U73" s="56"/>
      <c r="V73" s="56"/>
      <c r="W73" s="56"/>
    </row>
    <row r="74" spans="1:23" s="23" customFormat="1">
      <c r="A74" s="62">
        <v>70</v>
      </c>
      <c r="B74" s="19"/>
      <c r="C74" s="19"/>
      <c r="D74" s="16"/>
      <c r="E74" s="60"/>
      <c r="F74" s="49"/>
      <c r="G74" s="16"/>
      <c r="H74" s="20"/>
      <c r="I74" s="20"/>
      <c r="J74" s="20"/>
      <c r="K74" s="21"/>
      <c r="L74" s="20"/>
      <c r="M74" s="20"/>
      <c r="N74" s="53"/>
      <c r="O74" s="53"/>
      <c r="P74" s="53"/>
      <c r="Q74" s="56"/>
      <c r="R74" s="56"/>
      <c r="S74" s="56"/>
      <c r="T74" s="56"/>
      <c r="U74" s="56"/>
      <c r="V74" s="56"/>
      <c r="W74" s="56"/>
    </row>
    <row r="75" spans="1:23" s="23" customFormat="1">
      <c r="A75" s="62">
        <v>71</v>
      </c>
      <c r="B75" s="19"/>
      <c r="C75" s="19"/>
      <c r="D75" s="16"/>
      <c r="E75" s="60"/>
      <c r="F75" s="49"/>
      <c r="G75" s="16"/>
      <c r="H75" s="20"/>
      <c r="I75" s="20"/>
      <c r="J75" s="20"/>
      <c r="K75" s="21"/>
      <c r="L75" s="20"/>
      <c r="M75" s="20"/>
      <c r="N75" s="53"/>
      <c r="O75" s="53"/>
      <c r="P75" s="53"/>
      <c r="Q75" s="56"/>
      <c r="R75" s="56"/>
      <c r="S75" s="56"/>
      <c r="T75" s="56"/>
      <c r="U75" s="56"/>
      <c r="V75" s="56"/>
      <c r="W75" s="56"/>
    </row>
    <row r="76" spans="1:23" s="23" customFormat="1">
      <c r="A76" s="62">
        <v>72</v>
      </c>
      <c r="B76" s="19"/>
      <c r="C76" s="19"/>
      <c r="D76" s="16"/>
      <c r="E76" s="60"/>
      <c r="F76" s="49"/>
      <c r="G76" s="16"/>
      <c r="H76" s="20"/>
      <c r="I76" s="20"/>
      <c r="J76" s="20"/>
      <c r="K76" s="21"/>
      <c r="L76" s="20"/>
      <c r="M76" s="20"/>
      <c r="N76" s="53"/>
      <c r="O76" s="53"/>
      <c r="P76" s="53"/>
      <c r="Q76" s="56"/>
      <c r="R76" s="56"/>
      <c r="S76" s="56"/>
      <c r="T76" s="56"/>
      <c r="U76" s="56"/>
      <c r="V76" s="56"/>
      <c r="W76" s="56"/>
    </row>
    <row r="77" spans="1:23" s="23" customFormat="1">
      <c r="A77" s="62">
        <v>73</v>
      </c>
      <c r="B77" s="19"/>
      <c r="C77" s="19"/>
      <c r="D77" s="16"/>
      <c r="E77" s="60"/>
      <c r="F77" s="49"/>
      <c r="G77" s="16"/>
      <c r="H77" s="20"/>
      <c r="I77" s="20"/>
      <c r="J77" s="20"/>
      <c r="K77" s="21"/>
      <c r="L77" s="20"/>
      <c r="M77" s="20"/>
      <c r="N77" s="53"/>
      <c r="O77" s="53"/>
      <c r="P77" s="53"/>
      <c r="Q77" s="56"/>
      <c r="R77" s="56"/>
      <c r="S77" s="56"/>
      <c r="T77" s="56"/>
      <c r="U77" s="56"/>
      <c r="V77" s="56"/>
      <c r="W77" s="56"/>
    </row>
    <row r="78" spans="1:23" s="23" customFormat="1">
      <c r="A78" s="62">
        <v>74</v>
      </c>
      <c r="B78" s="19"/>
      <c r="C78" s="19"/>
      <c r="D78" s="16"/>
      <c r="E78" s="60"/>
      <c r="F78" s="49"/>
      <c r="G78" s="16"/>
      <c r="H78" s="20"/>
      <c r="I78" s="20"/>
      <c r="J78" s="20"/>
      <c r="K78" s="21"/>
      <c r="L78" s="20"/>
      <c r="M78" s="20"/>
      <c r="N78" s="53"/>
      <c r="O78" s="53"/>
      <c r="P78" s="53"/>
      <c r="Q78" s="56"/>
      <c r="R78" s="56"/>
      <c r="S78" s="56"/>
      <c r="T78" s="56"/>
      <c r="U78" s="56"/>
      <c r="V78" s="56"/>
      <c r="W78" s="56"/>
    </row>
    <row r="79" spans="1:23" s="23" customFormat="1">
      <c r="A79" s="62">
        <v>75</v>
      </c>
      <c r="B79" s="19"/>
      <c r="C79" s="19"/>
      <c r="D79" s="16"/>
      <c r="E79" s="60"/>
      <c r="F79" s="49"/>
      <c r="G79" s="16"/>
      <c r="H79" s="20"/>
      <c r="I79" s="20"/>
      <c r="J79" s="20"/>
      <c r="K79" s="21"/>
      <c r="L79" s="20"/>
      <c r="M79" s="20"/>
      <c r="N79" s="53"/>
      <c r="O79" s="53"/>
      <c r="P79" s="53"/>
      <c r="Q79" s="56"/>
      <c r="R79" s="56"/>
      <c r="S79" s="56"/>
      <c r="T79" s="56"/>
      <c r="U79" s="56"/>
      <c r="V79" s="56"/>
      <c r="W79" s="56"/>
    </row>
    <row r="80" spans="1:23" s="23" customFormat="1">
      <c r="A80" s="62">
        <v>76</v>
      </c>
      <c r="B80" s="19"/>
      <c r="C80" s="19"/>
      <c r="D80" s="16"/>
      <c r="E80" s="60"/>
      <c r="F80" s="49"/>
      <c r="G80" s="16"/>
      <c r="H80" s="20"/>
      <c r="I80" s="20"/>
      <c r="J80" s="20"/>
      <c r="K80" s="21"/>
      <c r="L80" s="20"/>
      <c r="M80" s="20"/>
      <c r="N80" s="53"/>
      <c r="O80" s="53"/>
      <c r="P80" s="53"/>
      <c r="Q80" s="56"/>
      <c r="R80" s="56"/>
      <c r="S80" s="56"/>
      <c r="T80" s="56"/>
      <c r="U80" s="56"/>
      <c r="V80" s="56"/>
      <c r="W80" s="56"/>
    </row>
    <row r="81" spans="1:23" s="23" customFormat="1">
      <c r="A81" s="62">
        <v>77</v>
      </c>
      <c r="B81" s="19"/>
      <c r="C81" s="19"/>
      <c r="D81" s="16"/>
      <c r="E81" s="60"/>
      <c r="F81" s="49"/>
      <c r="G81" s="16"/>
      <c r="H81" s="20"/>
      <c r="I81" s="20"/>
      <c r="J81" s="20"/>
      <c r="K81" s="21"/>
      <c r="L81" s="20"/>
      <c r="M81" s="20"/>
      <c r="N81" s="53"/>
      <c r="O81" s="53"/>
      <c r="P81" s="53"/>
      <c r="Q81" s="56"/>
      <c r="R81" s="56"/>
      <c r="S81" s="56"/>
      <c r="T81" s="56"/>
      <c r="U81" s="56"/>
      <c r="V81" s="56"/>
      <c r="W81" s="56"/>
    </row>
    <row r="82" spans="1:23" s="23" customFormat="1">
      <c r="A82" s="62">
        <v>78</v>
      </c>
      <c r="B82" s="19"/>
      <c r="C82" s="19"/>
      <c r="D82" s="16"/>
      <c r="E82" s="60"/>
      <c r="F82" s="49"/>
      <c r="G82" s="16"/>
      <c r="H82" s="20"/>
      <c r="I82" s="20"/>
      <c r="J82" s="20"/>
      <c r="K82" s="21"/>
      <c r="L82" s="20"/>
      <c r="M82" s="20"/>
      <c r="N82" s="53"/>
      <c r="O82" s="53"/>
      <c r="P82" s="53"/>
      <c r="Q82" s="56"/>
      <c r="R82" s="56"/>
      <c r="S82" s="56"/>
      <c r="T82" s="56"/>
      <c r="U82" s="56"/>
      <c r="V82" s="56"/>
      <c r="W82" s="56"/>
    </row>
    <row r="83" spans="1:23" s="23" customFormat="1">
      <c r="A83" s="62">
        <v>79</v>
      </c>
      <c r="B83" s="19"/>
      <c r="C83" s="19"/>
      <c r="D83" s="16"/>
      <c r="E83" s="60"/>
      <c r="F83" s="49"/>
      <c r="G83" s="16"/>
      <c r="H83" s="20"/>
      <c r="I83" s="20"/>
      <c r="J83" s="20"/>
      <c r="K83" s="21"/>
      <c r="L83" s="20"/>
      <c r="M83" s="20"/>
      <c r="N83" s="53"/>
      <c r="O83" s="53"/>
      <c r="P83" s="53"/>
      <c r="Q83" s="56"/>
      <c r="R83" s="56"/>
      <c r="S83" s="56"/>
      <c r="T83" s="56"/>
      <c r="U83" s="56"/>
      <c r="V83" s="56"/>
      <c r="W83" s="56"/>
    </row>
    <row r="84" spans="1:23" s="23" customFormat="1">
      <c r="A84" s="62">
        <v>80</v>
      </c>
      <c r="B84" s="19"/>
      <c r="C84" s="19"/>
      <c r="D84" s="16"/>
      <c r="E84" s="60"/>
      <c r="F84" s="49"/>
      <c r="G84" s="16"/>
      <c r="H84" s="20"/>
      <c r="I84" s="20"/>
      <c r="J84" s="20"/>
      <c r="K84" s="21"/>
      <c r="L84" s="20"/>
      <c r="M84" s="20"/>
      <c r="N84" s="53"/>
      <c r="O84" s="53"/>
      <c r="P84" s="53"/>
      <c r="Q84" s="56"/>
      <c r="R84" s="56"/>
      <c r="S84" s="56"/>
      <c r="T84" s="56"/>
      <c r="U84" s="56"/>
      <c r="V84" s="56"/>
      <c r="W84" s="56"/>
    </row>
    <row r="85" spans="1:23" s="23" customFormat="1">
      <c r="A85" s="62">
        <v>81</v>
      </c>
      <c r="B85" s="19"/>
      <c r="C85" s="19"/>
      <c r="D85" s="16"/>
      <c r="E85" s="60"/>
      <c r="F85" s="49"/>
      <c r="G85" s="16"/>
      <c r="H85" s="20"/>
      <c r="I85" s="20"/>
      <c r="J85" s="20"/>
      <c r="K85" s="21"/>
      <c r="L85" s="20"/>
      <c r="M85" s="20"/>
      <c r="N85" s="53"/>
      <c r="O85" s="53"/>
      <c r="P85" s="53"/>
      <c r="Q85" s="56"/>
      <c r="R85" s="56"/>
      <c r="S85" s="56"/>
      <c r="T85" s="56"/>
      <c r="U85" s="56"/>
      <c r="V85" s="56"/>
      <c r="W85" s="56"/>
    </row>
    <row r="86" spans="1:23" s="23" customFormat="1">
      <c r="A86" s="62">
        <v>82</v>
      </c>
      <c r="B86" s="19"/>
      <c r="C86" s="19"/>
      <c r="D86" s="16"/>
      <c r="E86" s="60"/>
      <c r="F86" s="49"/>
      <c r="G86" s="16"/>
      <c r="H86" s="20"/>
      <c r="I86" s="20"/>
      <c r="J86" s="20"/>
      <c r="K86" s="21"/>
      <c r="L86" s="20"/>
      <c r="M86" s="20"/>
      <c r="N86" s="53"/>
      <c r="O86" s="53"/>
      <c r="P86" s="53"/>
      <c r="Q86" s="56"/>
      <c r="R86" s="56"/>
      <c r="S86" s="56"/>
      <c r="T86" s="56"/>
      <c r="U86" s="56"/>
      <c r="V86" s="56"/>
      <c r="W86" s="56"/>
    </row>
    <row r="87" spans="1:23" s="23" customFormat="1">
      <c r="A87" s="62">
        <v>83</v>
      </c>
      <c r="B87" s="19"/>
      <c r="C87" s="19"/>
      <c r="D87" s="16"/>
      <c r="E87" s="60"/>
      <c r="F87" s="49"/>
      <c r="G87" s="16"/>
      <c r="H87" s="20"/>
      <c r="I87" s="20"/>
      <c r="J87" s="20"/>
      <c r="K87" s="21"/>
      <c r="L87" s="20"/>
      <c r="M87" s="20"/>
      <c r="N87" s="53"/>
      <c r="O87" s="53"/>
      <c r="P87" s="53"/>
      <c r="Q87" s="56"/>
      <c r="R87" s="56"/>
      <c r="S87" s="56"/>
      <c r="T87" s="56"/>
      <c r="U87" s="56"/>
      <c r="V87" s="56"/>
      <c r="W87" s="56"/>
    </row>
    <row r="88" spans="1:23" s="23" customFormat="1">
      <c r="A88" s="62">
        <v>84</v>
      </c>
      <c r="B88" s="19"/>
      <c r="C88" s="19"/>
      <c r="D88" s="16"/>
      <c r="E88" s="60"/>
      <c r="F88" s="49"/>
      <c r="G88" s="16"/>
      <c r="H88" s="20"/>
      <c r="I88" s="20"/>
      <c r="J88" s="20"/>
      <c r="K88" s="21"/>
      <c r="L88" s="20"/>
      <c r="M88" s="20"/>
      <c r="N88" s="53"/>
      <c r="O88" s="53"/>
      <c r="P88" s="53"/>
      <c r="Q88" s="56"/>
      <c r="R88" s="56"/>
      <c r="S88" s="56"/>
      <c r="T88" s="56"/>
      <c r="U88" s="56"/>
      <c r="V88" s="56"/>
      <c r="W88" s="56"/>
    </row>
    <row r="89" spans="1:23" s="23" customFormat="1">
      <c r="A89" s="62">
        <v>85</v>
      </c>
      <c r="B89" s="19"/>
      <c r="C89" s="19"/>
      <c r="D89" s="16"/>
      <c r="E89" s="60"/>
      <c r="F89" s="49"/>
      <c r="G89" s="16"/>
      <c r="H89" s="20"/>
      <c r="I89" s="20"/>
      <c r="J89" s="20"/>
      <c r="K89" s="21"/>
      <c r="L89" s="20"/>
      <c r="M89" s="20"/>
      <c r="N89" s="53"/>
      <c r="O89" s="53"/>
      <c r="P89" s="53"/>
      <c r="Q89" s="56"/>
      <c r="R89" s="56"/>
      <c r="S89" s="56"/>
      <c r="T89" s="56"/>
      <c r="U89" s="56"/>
      <c r="V89" s="56"/>
      <c r="W89" s="56"/>
    </row>
    <row r="90" spans="1:23" s="23" customFormat="1">
      <c r="A90" s="62">
        <v>86</v>
      </c>
      <c r="B90" s="19"/>
      <c r="C90" s="19"/>
      <c r="D90" s="16"/>
      <c r="E90" s="60"/>
      <c r="F90" s="49"/>
      <c r="G90" s="16"/>
      <c r="H90" s="20"/>
      <c r="I90" s="20"/>
      <c r="J90" s="20"/>
      <c r="K90" s="21"/>
      <c r="L90" s="20"/>
      <c r="M90" s="20"/>
      <c r="N90" s="53"/>
      <c r="O90" s="53"/>
      <c r="P90" s="53"/>
      <c r="Q90" s="56"/>
      <c r="R90" s="56"/>
      <c r="S90" s="56"/>
      <c r="T90" s="56"/>
      <c r="U90" s="56"/>
      <c r="V90" s="56"/>
      <c r="W90" s="56"/>
    </row>
    <row r="91" spans="1:23" s="23" customFormat="1">
      <c r="A91" s="62">
        <v>87</v>
      </c>
      <c r="B91" s="19"/>
      <c r="C91" s="19"/>
      <c r="D91" s="16"/>
      <c r="E91" s="60"/>
      <c r="F91" s="49"/>
      <c r="G91" s="16"/>
      <c r="H91" s="20"/>
      <c r="I91" s="20"/>
      <c r="J91" s="20"/>
      <c r="K91" s="21"/>
      <c r="L91" s="20"/>
      <c r="M91" s="20"/>
      <c r="N91" s="53"/>
      <c r="O91" s="53"/>
      <c r="P91" s="53"/>
      <c r="Q91" s="56"/>
      <c r="R91" s="56"/>
      <c r="S91" s="56"/>
      <c r="T91" s="56"/>
      <c r="U91" s="56"/>
      <c r="V91" s="56"/>
      <c r="W91" s="56"/>
    </row>
    <row r="92" spans="1:23" s="23" customFormat="1">
      <c r="A92" s="62">
        <v>88</v>
      </c>
      <c r="B92" s="19"/>
      <c r="C92" s="19"/>
      <c r="D92" s="16"/>
      <c r="E92" s="60"/>
      <c r="F92" s="49"/>
      <c r="G92" s="16"/>
      <c r="H92" s="20"/>
      <c r="I92" s="20"/>
      <c r="J92" s="20"/>
      <c r="K92" s="21"/>
      <c r="L92" s="20"/>
      <c r="M92" s="20"/>
      <c r="N92" s="53"/>
      <c r="O92" s="53"/>
      <c r="P92" s="53"/>
      <c r="Q92" s="56"/>
      <c r="R92" s="56"/>
      <c r="S92" s="56"/>
      <c r="T92" s="56"/>
      <c r="U92" s="56"/>
      <c r="V92" s="56"/>
      <c r="W92" s="56"/>
    </row>
    <row r="93" spans="1:23" s="23" customFormat="1">
      <c r="A93" s="62">
        <v>89</v>
      </c>
      <c r="B93" s="19"/>
      <c r="C93" s="19"/>
      <c r="D93" s="16"/>
      <c r="E93" s="60"/>
      <c r="F93" s="49"/>
      <c r="G93" s="16"/>
      <c r="H93" s="20"/>
      <c r="I93" s="20"/>
      <c r="J93" s="20"/>
      <c r="K93" s="21"/>
      <c r="L93" s="20"/>
      <c r="M93" s="20"/>
      <c r="N93" s="53"/>
      <c r="O93" s="53"/>
      <c r="P93" s="53"/>
      <c r="Q93" s="56"/>
      <c r="R93" s="56"/>
      <c r="S93" s="56"/>
      <c r="T93" s="56"/>
      <c r="U93" s="56"/>
      <c r="V93" s="56"/>
      <c r="W93" s="56"/>
    </row>
    <row r="94" spans="1:23">
      <c r="A94" s="62">
        <v>90</v>
      </c>
      <c r="B94" s="19"/>
      <c r="C94" s="19"/>
      <c r="D94" s="16"/>
      <c r="E94" s="60"/>
      <c r="F94" s="49"/>
      <c r="G94" s="16"/>
      <c r="H94" s="20"/>
      <c r="I94" s="20"/>
      <c r="J94" s="20"/>
      <c r="K94" s="21"/>
      <c r="L94" s="20"/>
      <c r="M94" s="20"/>
      <c r="N94" s="53"/>
      <c r="O94" s="53"/>
      <c r="P94" s="53"/>
    </row>
    <row r="95" spans="1:23">
      <c r="A95" s="62">
        <v>91</v>
      </c>
      <c r="B95" s="19"/>
      <c r="C95" s="19"/>
      <c r="D95" s="16"/>
      <c r="E95" s="60"/>
      <c r="F95" s="49"/>
      <c r="G95" s="16"/>
      <c r="H95" s="20"/>
      <c r="I95" s="20"/>
      <c r="J95" s="20"/>
      <c r="K95" s="21"/>
      <c r="L95" s="20"/>
      <c r="M95" s="20"/>
      <c r="N95" s="53"/>
      <c r="O95" s="53"/>
      <c r="P95" s="53"/>
    </row>
    <row r="96" spans="1:23">
      <c r="A96" s="62">
        <v>92</v>
      </c>
      <c r="B96" s="19"/>
      <c r="C96" s="19"/>
      <c r="D96" s="16"/>
      <c r="E96" s="60"/>
      <c r="F96" s="49"/>
      <c r="G96" s="16"/>
      <c r="H96" s="20"/>
      <c r="I96" s="20"/>
      <c r="J96" s="20"/>
      <c r="K96" s="21"/>
      <c r="L96" s="20"/>
      <c r="M96" s="20"/>
      <c r="N96" s="53"/>
      <c r="O96" s="53"/>
      <c r="P96" s="53"/>
    </row>
    <row r="97" spans="1:16">
      <c r="A97" s="62">
        <v>93</v>
      </c>
      <c r="B97" s="19"/>
      <c r="C97" s="19"/>
      <c r="D97" s="16"/>
      <c r="E97" s="60"/>
      <c r="F97" s="49"/>
      <c r="G97" s="16"/>
      <c r="H97" s="20"/>
      <c r="I97" s="20"/>
      <c r="J97" s="20"/>
      <c r="K97" s="21"/>
      <c r="L97" s="20"/>
      <c r="M97" s="20"/>
      <c r="N97" s="53"/>
      <c r="O97" s="53"/>
      <c r="P97" s="53"/>
    </row>
    <row r="98" spans="1:16">
      <c r="A98" s="62">
        <v>94</v>
      </c>
      <c r="B98" s="19"/>
      <c r="C98" s="19"/>
      <c r="D98" s="16"/>
      <c r="E98" s="60"/>
      <c r="F98" s="49"/>
      <c r="G98" s="16"/>
      <c r="H98" s="20"/>
      <c r="I98" s="20"/>
      <c r="J98" s="20"/>
      <c r="K98" s="21"/>
      <c r="L98" s="20"/>
      <c r="M98" s="20"/>
      <c r="N98" s="53"/>
      <c r="O98" s="53"/>
      <c r="P98" s="53"/>
    </row>
    <row r="99" spans="1:16">
      <c r="A99" s="62">
        <v>95</v>
      </c>
      <c r="B99" s="19"/>
      <c r="C99" s="19"/>
      <c r="D99" s="16"/>
      <c r="E99" s="60"/>
      <c r="F99" s="49"/>
      <c r="G99" s="16"/>
      <c r="H99" s="20"/>
      <c r="I99" s="20"/>
      <c r="J99" s="20"/>
      <c r="K99" s="21"/>
      <c r="L99" s="20"/>
      <c r="M99" s="20"/>
      <c r="N99" s="53"/>
      <c r="O99" s="53"/>
      <c r="P99" s="53"/>
    </row>
    <row r="100" spans="1:16">
      <c r="A100" s="62">
        <v>96</v>
      </c>
      <c r="B100" s="19"/>
      <c r="C100" s="19"/>
      <c r="D100" s="16"/>
      <c r="E100" s="60"/>
      <c r="F100" s="49"/>
      <c r="G100" s="16"/>
      <c r="H100" s="20"/>
      <c r="I100" s="20"/>
      <c r="J100" s="20"/>
      <c r="K100" s="21"/>
      <c r="L100" s="20"/>
      <c r="M100" s="20"/>
      <c r="N100" s="53"/>
      <c r="O100" s="53"/>
      <c r="P100" s="53"/>
    </row>
    <row r="101" spans="1:16">
      <c r="A101" s="62">
        <v>97</v>
      </c>
      <c r="B101" s="19"/>
      <c r="C101" s="19"/>
      <c r="D101" s="16"/>
      <c r="E101" s="60"/>
      <c r="F101" s="49"/>
      <c r="G101" s="16"/>
      <c r="H101" s="20"/>
      <c r="I101" s="20"/>
      <c r="J101" s="20"/>
      <c r="K101" s="21"/>
      <c r="L101" s="20"/>
      <c r="M101" s="20"/>
      <c r="N101" s="53"/>
      <c r="O101" s="53"/>
      <c r="P101" s="53"/>
    </row>
    <row r="102" spans="1:16">
      <c r="A102" s="62">
        <v>98</v>
      </c>
      <c r="B102" s="19"/>
      <c r="C102" s="19"/>
      <c r="D102" s="16"/>
      <c r="E102" s="60"/>
      <c r="F102" s="49"/>
      <c r="G102" s="16"/>
      <c r="H102" s="20"/>
      <c r="I102" s="20"/>
      <c r="J102" s="20"/>
      <c r="K102" s="21"/>
      <c r="L102" s="20"/>
      <c r="M102" s="20"/>
      <c r="N102" s="53"/>
      <c r="O102" s="53"/>
      <c r="P102" s="53"/>
    </row>
    <row r="103" spans="1:16">
      <c r="A103" s="62">
        <v>99</v>
      </c>
      <c r="B103" s="19"/>
      <c r="C103" s="19"/>
      <c r="D103" s="16"/>
      <c r="E103" s="60"/>
      <c r="F103" s="49"/>
      <c r="G103" s="16"/>
      <c r="H103" s="20"/>
      <c r="I103" s="20"/>
      <c r="J103" s="20"/>
      <c r="K103" s="21"/>
      <c r="L103" s="20"/>
      <c r="M103" s="20"/>
      <c r="N103" s="53"/>
      <c r="O103" s="53"/>
      <c r="P103" s="53"/>
    </row>
    <row r="104" spans="1:16">
      <c r="A104" s="62">
        <v>100</v>
      </c>
      <c r="B104" s="19"/>
      <c r="C104" s="19"/>
      <c r="D104" s="16"/>
      <c r="E104" s="60"/>
      <c r="F104" s="49"/>
      <c r="G104" s="16"/>
      <c r="H104" s="20"/>
      <c r="I104" s="20"/>
      <c r="J104" s="20"/>
      <c r="K104" s="21"/>
      <c r="L104" s="20"/>
      <c r="M104" s="20"/>
      <c r="N104" s="53"/>
      <c r="O104" s="53"/>
      <c r="P104" s="53"/>
    </row>
    <row r="105" spans="1:16">
      <c r="A105" s="62">
        <v>101</v>
      </c>
      <c r="B105" s="19"/>
      <c r="C105" s="19"/>
      <c r="D105" s="16"/>
      <c r="E105" s="60"/>
      <c r="F105" s="49"/>
      <c r="G105" s="16"/>
      <c r="H105" s="20"/>
      <c r="I105" s="20"/>
      <c r="J105" s="20"/>
      <c r="K105" s="21"/>
      <c r="L105" s="20"/>
      <c r="M105" s="20"/>
      <c r="N105" s="53"/>
      <c r="O105" s="53"/>
      <c r="P105" s="53"/>
    </row>
    <row r="106" spans="1:16">
      <c r="A106" s="62">
        <v>102</v>
      </c>
      <c r="B106" s="19"/>
      <c r="C106" s="19"/>
      <c r="D106" s="16"/>
      <c r="E106" s="60"/>
      <c r="F106" s="49"/>
      <c r="G106" s="16"/>
      <c r="H106" s="20"/>
      <c r="I106" s="20"/>
      <c r="J106" s="20"/>
      <c r="K106" s="21"/>
      <c r="L106" s="20"/>
      <c r="M106" s="20"/>
    </row>
    <row r="107" spans="1:16">
      <c r="A107" s="62">
        <v>103</v>
      </c>
      <c r="B107" s="19"/>
      <c r="C107" s="19"/>
      <c r="D107" s="16"/>
      <c r="E107" s="60"/>
      <c r="F107" s="49"/>
      <c r="G107" s="16"/>
      <c r="H107" s="20"/>
      <c r="I107" s="20"/>
      <c r="J107" s="20"/>
      <c r="K107" s="21"/>
      <c r="L107" s="20"/>
      <c r="M107" s="20"/>
    </row>
    <row r="108" spans="1:16">
      <c r="A108" s="62">
        <v>104</v>
      </c>
      <c r="B108" s="19"/>
      <c r="C108" s="19"/>
      <c r="D108" s="16"/>
      <c r="E108" s="60"/>
      <c r="F108" s="49"/>
      <c r="G108" s="16"/>
      <c r="H108" s="20"/>
      <c r="I108" s="20"/>
      <c r="J108" s="20"/>
      <c r="K108" s="21"/>
      <c r="L108" s="20"/>
      <c r="M108" s="20"/>
    </row>
    <row r="109" spans="1:16">
      <c r="A109" s="62">
        <v>105</v>
      </c>
      <c r="B109" s="19"/>
      <c r="C109" s="19"/>
      <c r="D109" s="16"/>
      <c r="E109" s="60"/>
      <c r="F109" s="49"/>
      <c r="G109" s="16"/>
      <c r="H109" s="20"/>
      <c r="I109" s="20"/>
      <c r="J109" s="20"/>
      <c r="K109" s="21"/>
      <c r="L109" s="20"/>
      <c r="M109" s="20"/>
    </row>
    <row r="110" spans="1:16">
      <c r="A110" s="62">
        <v>106</v>
      </c>
      <c r="B110" s="19"/>
      <c r="C110" s="19"/>
      <c r="D110" s="16"/>
      <c r="E110" s="60"/>
      <c r="F110" s="49"/>
      <c r="G110" s="16"/>
      <c r="H110" s="20"/>
      <c r="I110" s="20"/>
      <c r="J110" s="20"/>
      <c r="K110" s="21"/>
      <c r="L110" s="20"/>
      <c r="M110" s="20"/>
    </row>
    <row r="111" spans="1:16">
      <c r="A111" s="62">
        <v>107</v>
      </c>
      <c r="B111" s="19"/>
      <c r="C111" s="19"/>
      <c r="D111" s="16"/>
      <c r="E111" s="60"/>
      <c r="F111" s="49"/>
      <c r="G111" s="16"/>
      <c r="H111" s="20"/>
      <c r="I111" s="20"/>
      <c r="J111" s="20"/>
      <c r="K111" s="21"/>
      <c r="L111" s="20"/>
      <c r="M111" s="20"/>
    </row>
    <row r="112" spans="1:16">
      <c r="A112" s="62">
        <v>108</v>
      </c>
      <c r="B112" s="19"/>
      <c r="C112" s="19"/>
      <c r="D112" s="16"/>
      <c r="E112" s="60"/>
      <c r="F112" s="49"/>
      <c r="G112" s="16"/>
      <c r="H112" s="20"/>
      <c r="I112" s="20"/>
      <c r="J112" s="20"/>
      <c r="K112" s="21"/>
      <c r="L112" s="20"/>
      <c r="M112" s="20"/>
    </row>
    <row r="113" spans="1:13">
      <c r="A113" s="62">
        <v>109</v>
      </c>
      <c r="B113" s="19"/>
      <c r="C113" s="19"/>
      <c r="D113" s="16"/>
      <c r="E113" s="60"/>
      <c r="F113" s="49"/>
      <c r="G113" s="16"/>
      <c r="H113" s="20"/>
      <c r="I113" s="20"/>
      <c r="J113" s="20"/>
      <c r="K113" s="21"/>
      <c r="L113" s="20"/>
      <c r="M113" s="20"/>
    </row>
    <row r="114" spans="1:13">
      <c r="A114" s="62">
        <v>110</v>
      </c>
      <c r="B114" s="19"/>
      <c r="C114" s="19"/>
      <c r="D114" s="16"/>
      <c r="E114" s="60"/>
      <c r="F114" s="49"/>
      <c r="G114" s="16"/>
      <c r="H114" s="20"/>
      <c r="I114" s="20"/>
      <c r="J114" s="20"/>
      <c r="K114" s="21"/>
      <c r="L114" s="20"/>
      <c r="M114" s="20"/>
    </row>
    <row r="115" spans="1:13">
      <c r="A115" s="62">
        <v>111</v>
      </c>
      <c r="B115" s="19"/>
      <c r="C115" s="19"/>
      <c r="D115" s="16"/>
      <c r="E115" s="60"/>
      <c r="F115" s="49"/>
      <c r="G115" s="16"/>
      <c r="H115" s="20"/>
      <c r="I115" s="20"/>
      <c r="J115" s="20"/>
      <c r="K115" s="21"/>
      <c r="L115" s="20"/>
      <c r="M115" s="20"/>
    </row>
    <row r="116" spans="1:13">
      <c r="A116" s="62">
        <v>112</v>
      </c>
      <c r="B116" s="19"/>
      <c r="C116" s="19"/>
      <c r="D116" s="16"/>
      <c r="E116" s="60"/>
      <c r="F116" s="49"/>
      <c r="G116" s="16"/>
      <c r="H116" s="20"/>
      <c r="I116" s="20"/>
      <c r="J116" s="20"/>
      <c r="K116" s="21"/>
      <c r="L116" s="20"/>
      <c r="M116" s="20"/>
    </row>
    <row r="117" spans="1:13">
      <c r="A117" s="62">
        <v>113</v>
      </c>
      <c r="B117" s="19"/>
      <c r="C117" s="19"/>
      <c r="D117" s="16"/>
      <c r="E117" s="60"/>
      <c r="F117" s="49"/>
      <c r="G117" s="16"/>
      <c r="H117" s="20"/>
      <c r="I117" s="20"/>
      <c r="J117" s="20"/>
      <c r="K117" s="21"/>
      <c r="L117" s="20"/>
      <c r="M117" s="20"/>
    </row>
    <row r="118" spans="1:13">
      <c r="A118" s="62">
        <v>114</v>
      </c>
      <c r="B118" s="19"/>
      <c r="C118" s="19"/>
      <c r="D118" s="16"/>
      <c r="E118" s="60"/>
      <c r="F118" s="49"/>
      <c r="G118" s="16"/>
      <c r="H118" s="20"/>
      <c r="I118" s="20"/>
      <c r="J118" s="20"/>
      <c r="K118" s="21"/>
      <c r="L118" s="20"/>
      <c r="M118" s="20"/>
    </row>
    <row r="119" spans="1:13">
      <c r="A119" s="62">
        <v>115</v>
      </c>
      <c r="B119" s="19"/>
      <c r="C119" s="19"/>
      <c r="D119" s="16"/>
      <c r="E119" s="60"/>
      <c r="F119" s="49"/>
      <c r="G119" s="16"/>
      <c r="H119" s="20"/>
      <c r="I119" s="20"/>
      <c r="J119" s="20"/>
      <c r="K119" s="21"/>
      <c r="L119" s="20"/>
      <c r="M119" s="20"/>
    </row>
    <row r="120" spans="1:13">
      <c r="A120" s="62">
        <v>116</v>
      </c>
      <c r="B120" s="19"/>
      <c r="C120" s="19"/>
      <c r="D120" s="16"/>
      <c r="E120" s="60"/>
      <c r="F120" s="49"/>
      <c r="G120" s="16"/>
      <c r="H120" s="20"/>
      <c r="I120" s="20"/>
      <c r="J120" s="20"/>
      <c r="K120" s="21"/>
      <c r="L120" s="20"/>
      <c r="M120" s="20"/>
    </row>
    <row r="121" spans="1:13">
      <c r="A121" s="62">
        <v>117</v>
      </c>
      <c r="B121" s="19"/>
      <c r="C121" s="19"/>
      <c r="D121" s="16"/>
      <c r="E121" s="60"/>
      <c r="F121" s="49"/>
      <c r="G121" s="16"/>
      <c r="H121" s="20"/>
      <c r="I121" s="20"/>
      <c r="J121" s="20"/>
      <c r="K121" s="21"/>
      <c r="L121" s="20"/>
      <c r="M121" s="20"/>
    </row>
    <row r="122" spans="1:13">
      <c r="A122" s="62">
        <v>118</v>
      </c>
      <c r="B122" s="19"/>
      <c r="C122" s="19"/>
      <c r="D122" s="16"/>
      <c r="E122" s="60"/>
      <c r="F122" s="49"/>
      <c r="G122" s="16"/>
      <c r="H122" s="20"/>
      <c r="I122" s="20"/>
      <c r="J122" s="20"/>
      <c r="K122" s="21"/>
      <c r="L122" s="20"/>
      <c r="M122" s="20"/>
    </row>
    <row r="123" spans="1:13">
      <c r="A123" s="62">
        <v>119</v>
      </c>
      <c r="B123" s="19"/>
      <c r="C123" s="19"/>
      <c r="D123" s="16"/>
      <c r="E123" s="60"/>
      <c r="F123" s="49"/>
      <c r="G123" s="16"/>
      <c r="H123" s="20"/>
      <c r="I123" s="20"/>
      <c r="J123" s="20"/>
      <c r="K123" s="21"/>
      <c r="L123" s="20"/>
      <c r="M123" s="20"/>
    </row>
    <row r="124" spans="1:13">
      <c r="A124" s="62">
        <v>120</v>
      </c>
      <c r="B124" s="19"/>
      <c r="C124" s="19"/>
      <c r="D124" s="16"/>
      <c r="E124" s="60"/>
      <c r="F124" s="49"/>
      <c r="G124" s="16"/>
      <c r="H124" s="20"/>
      <c r="I124" s="20"/>
      <c r="J124" s="20"/>
      <c r="K124" s="21"/>
      <c r="L124" s="20"/>
      <c r="M124" s="20"/>
    </row>
    <row r="125" spans="1:13">
      <c r="A125" s="62">
        <v>121</v>
      </c>
      <c r="B125" s="19"/>
      <c r="C125" s="19"/>
      <c r="D125" s="16"/>
      <c r="E125" s="60"/>
      <c r="F125" s="49"/>
      <c r="G125" s="16"/>
      <c r="H125" s="20"/>
      <c r="I125" s="20"/>
      <c r="J125" s="20"/>
      <c r="K125" s="21"/>
      <c r="L125" s="20"/>
      <c r="M125" s="20"/>
    </row>
    <row r="126" spans="1:13">
      <c r="A126" s="62">
        <v>122</v>
      </c>
      <c r="B126" s="19"/>
      <c r="C126" s="19"/>
      <c r="D126" s="16"/>
      <c r="E126" s="60"/>
      <c r="F126" s="49"/>
      <c r="G126" s="16"/>
      <c r="H126" s="20"/>
      <c r="I126" s="20"/>
      <c r="J126" s="20"/>
      <c r="K126" s="21"/>
      <c r="L126" s="20"/>
      <c r="M126" s="20"/>
    </row>
    <row r="127" spans="1:13">
      <c r="A127" s="62">
        <v>123</v>
      </c>
      <c r="B127" s="19"/>
      <c r="C127" s="19"/>
      <c r="D127" s="16"/>
      <c r="E127" s="60"/>
      <c r="F127" s="49"/>
      <c r="G127" s="16"/>
      <c r="H127" s="20"/>
      <c r="I127" s="20"/>
      <c r="J127" s="20"/>
      <c r="K127" s="21"/>
      <c r="L127" s="20"/>
      <c r="M127" s="20"/>
    </row>
    <row r="128" spans="1:13">
      <c r="A128" s="62">
        <v>124</v>
      </c>
      <c r="B128" s="19"/>
      <c r="C128" s="19"/>
      <c r="D128" s="16"/>
      <c r="E128" s="60"/>
      <c r="F128" s="49"/>
      <c r="G128" s="16"/>
      <c r="H128" s="20"/>
      <c r="I128" s="20"/>
      <c r="J128" s="20"/>
      <c r="K128" s="21"/>
      <c r="L128" s="20"/>
      <c r="M128" s="20"/>
    </row>
    <row r="129" spans="1:13">
      <c r="A129" s="62">
        <v>125</v>
      </c>
      <c r="B129" s="19"/>
      <c r="C129" s="19"/>
      <c r="D129" s="16"/>
      <c r="E129" s="60"/>
      <c r="F129" s="49"/>
      <c r="G129" s="16"/>
      <c r="H129" s="20"/>
      <c r="I129" s="20"/>
      <c r="J129" s="20"/>
      <c r="K129" s="21"/>
      <c r="L129" s="20"/>
      <c r="M129" s="20"/>
    </row>
    <row r="130" spans="1:13">
      <c r="A130" s="62">
        <v>126</v>
      </c>
      <c r="B130" s="19"/>
      <c r="C130" s="19"/>
      <c r="D130" s="16"/>
      <c r="E130" s="60"/>
      <c r="F130" s="49"/>
      <c r="G130" s="16"/>
      <c r="H130" s="20"/>
      <c r="I130" s="20"/>
      <c r="J130" s="20"/>
      <c r="K130" s="21"/>
      <c r="L130" s="20"/>
      <c r="M130" s="20"/>
    </row>
    <row r="131" spans="1:13">
      <c r="A131" s="62">
        <v>127</v>
      </c>
      <c r="B131" s="19"/>
      <c r="C131" s="19"/>
      <c r="D131" s="16"/>
      <c r="E131" s="60"/>
      <c r="F131" s="49"/>
      <c r="G131" s="16"/>
      <c r="H131" s="20"/>
      <c r="I131" s="20"/>
      <c r="J131" s="20"/>
      <c r="K131" s="21"/>
      <c r="L131" s="20"/>
      <c r="M131" s="20"/>
    </row>
    <row r="132" spans="1:13">
      <c r="A132" s="62">
        <v>128</v>
      </c>
      <c r="B132" s="19"/>
      <c r="C132" s="19"/>
      <c r="D132" s="16"/>
      <c r="E132" s="60"/>
      <c r="F132" s="49"/>
      <c r="G132" s="16"/>
      <c r="H132" s="20"/>
      <c r="I132" s="20"/>
      <c r="J132" s="20"/>
      <c r="K132" s="21"/>
      <c r="L132" s="20"/>
      <c r="M132" s="20"/>
    </row>
    <row r="133" spans="1:13">
      <c r="A133" s="62">
        <v>129</v>
      </c>
      <c r="B133" s="19"/>
      <c r="C133" s="19"/>
      <c r="D133" s="16"/>
      <c r="E133" s="60"/>
      <c r="F133" s="49"/>
      <c r="G133" s="16"/>
      <c r="H133" s="20"/>
      <c r="I133" s="20"/>
      <c r="J133" s="20"/>
      <c r="K133" s="21"/>
      <c r="L133" s="20"/>
      <c r="M133" s="20"/>
    </row>
    <row r="134" spans="1:13">
      <c r="A134" s="62">
        <v>130</v>
      </c>
      <c r="B134" s="19"/>
      <c r="C134" s="19"/>
      <c r="D134" s="16"/>
      <c r="E134" s="60"/>
      <c r="F134" s="49"/>
      <c r="G134" s="16"/>
      <c r="H134" s="20"/>
      <c r="I134" s="20"/>
      <c r="J134" s="20"/>
      <c r="K134" s="21"/>
      <c r="L134" s="20"/>
      <c r="M134" s="20"/>
    </row>
    <row r="135" spans="1:13">
      <c r="A135" s="62">
        <v>131</v>
      </c>
      <c r="B135" s="19"/>
      <c r="C135" s="19"/>
      <c r="D135" s="16"/>
      <c r="E135" s="60"/>
      <c r="F135" s="49"/>
      <c r="G135" s="16"/>
      <c r="H135" s="20"/>
      <c r="I135" s="20"/>
      <c r="J135" s="20"/>
      <c r="K135" s="21"/>
      <c r="L135" s="20"/>
      <c r="M135" s="20"/>
    </row>
    <row r="136" spans="1:13">
      <c r="A136" s="62">
        <v>132</v>
      </c>
      <c r="B136" s="19"/>
      <c r="C136" s="19"/>
      <c r="D136" s="16"/>
      <c r="E136" s="60"/>
      <c r="F136" s="49"/>
      <c r="G136" s="16"/>
      <c r="H136" s="20"/>
      <c r="I136" s="20"/>
      <c r="J136" s="20"/>
      <c r="K136" s="21"/>
      <c r="L136" s="20"/>
      <c r="M136" s="20"/>
    </row>
    <row r="137" spans="1:13">
      <c r="A137" s="62">
        <v>133</v>
      </c>
      <c r="B137" s="19"/>
      <c r="C137" s="19"/>
      <c r="D137" s="16"/>
      <c r="E137" s="60"/>
      <c r="F137" s="49"/>
      <c r="G137" s="16"/>
      <c r="H137" s="20"/>
      <c r="I137" s="20"/>
      <c r="J137" s="20"/>
      <c r="K137" s="21"/>
      <c r="L137" s="20"/>
      <c r="M137" s="20"/>
    </row>
    <row r="138" spans="1:13">
      <c r="A138" s="62">
        <v>134</v>
      </c>
      <c r="B138" s="19"/>
      <c r="C138" s="19"/>
      <c r="D138" s="16"/>
      <c r="E138" s="60"/>
      <c r="F138" s="49"/>
      <c r="G138" s="16"/>
      <c r="H138" s="20"/>
      <c r="I138" s="20"/>
      <c r="J138" s="20"/>
      <c r="K138" s="21"/>
      <c r="L138" s="20"/>
      <c r="M138" s="20"/>
    </row>
    <row r="139" spans="1:13">
      <c r="A139" s="62">
        <v>135</v>
      </c>
      <c r="B139" s="19"/>
      <c r="C139" s="19"/>
      <c r="D139" s="16"/>
      <c r="E139" s="60"/>
      <c r="F139" s="49"/>
      <c r="G139" s="16"/>
      <c r="H139" s="20"/>
      <c r="I139" s="20"/>
      <c r="J139" s="20"/>
      <c r="K139" s="21"/>
      <c r="L139" s="20"/>
      <c r="M139" s="20"/>
    </row>
    <row r="140" spans="1:13">
      <c r="A140" s="62">
        <v>136</v>
      </c>
      <c r="B140" s="19"/>
      <c r="C140" s="19"/>
      <c r="D140" s="16"/>
      <c r="E140" s="60"/>
      <c r="F140" s="49"/>
      <c r="G140" s="16"/>
      <c r="H140" s="20"/>
      <c r="I140" s="20"/>
      <c r="J140" s="20"/>
      <c r="K140" s="21"/>
      <c r="L140" s="20"/>
      <c r="M140" s="20"/>
    </row>
    <row r="141" spans="1:13">
      <c r="A141" s="62">
        <v>137</v>
      </c>
      <c r="B141" s="19"/>
      <c r="C141" s="19"/>
      <c r="D141" s="16"/>
      <c r="E141" s="60"/>
      <c r="F141" s="49"/>
      <c r="G141" s="16"/>
      <c r="H141" s="20"/>
      <c r="I141" s="20"/>
      <c r="J141" s="20"/>
      <c r="K141" s="21"/>
      <c r="L141" s="20"/>
      <c r="M141" s="20"/>
    </row>
    <row r="142" spans="1:13">
      <c r="A142" s="62">
        <v>138</v>
      </c>
      <c r="B142" s="19"/>
      <c r="C142" s="19"/>
      <c r="D142" s="16"/>
      <c r="E142" s="60"/>
      <c r="F142" s="49"/>
      <c r="G142" s="16"/>
      <c r="H142" s="20"/>
      <c r="I142" s="20"/>
      <c r="J142" s="20"/>
      <c r="K142" s="21"/>
      <c r="L142" s="20"/>
      <c r="M142" s="20"/>
    </row>
    <row r="143" spans="1:13">
      <c r="A143" s="62">
        <v>139</v>
      </c>
      <c r="B143" s="19"/>
      <c r="C143" s="19"/>
      <c r="D143" s="16"/>
      <c r="E143" s="60"/>
      <c r="F143" s="49"/>
      <c r="G143" s="16"/>
      <c r="H143" s="20"/>
      <c r="I143" s="20"/>
      <c r="J143" s="20"/>
      <c r="K143" s="21"/>
      <c r="L143" s="20"/>
      <c r="M143" s="20"/>
    </row>
    <row r="144" spans="1:13">
      <c r="A144" s="62">
        <v>140</v>
      </c>
      <c r="B144" s="19"/>
      <c r="C144" s="19"/>
      <c r="D144" s="16"/>
      <c r="E144" s="60"/>
      <c r="F144" s="49"/>
      <c r="G144" s="16"/>
      <c r="H144" s="20"/>
      <c r="I144" s="20"/>
      <c r="J144" s="20"/>
      <c r="K144" s="21"/>
      <c r="L144" s="20"/>
      <c r="M144" s="20"/>
    </row>
    <row r="145" spans="1:13">
      <c r="A145" s="62">
        <v>141</v>
      </c>
      <c r="B145" s="19"/>
      <c r="C145" s="19"/>
      <c r="D145" s="16"/>
      <c r="E145" s="60"/>
      <c r="F145" s="49"/>
      <c r="G145" s="16"/>
      <c r="H145" s="20"/>
      <c r="I145" s="20"/>
      <c r="J145" s="20"/>
      <c r="K145" s="21"/>
      <c r="L145" s="20"/>
      <c r="M145" s="20"/>
    </row>
    <row r="146" spans="1:13">
      <c r="A146" s="62">
        <v>142</v>
      </c>
      <c r="B146" s="19"/>
      <c r="C146" s="19"/>
      <c r="D146" s="16"/>
      <c r="E146" s="60"/>
      <c r="F146" s="49"/>
      <c r="G146" s="16"/>
      <c r="H146" s="20"/>
      <c r="I146" s="20"/>
      <c r="J146" s="20"/>
      <c r="K146" s="21"/>
      <c r="L146" s="20"/>
      <c r="M146" s="20"/>
    </row>
    <row r="147" spans="1:13">
      <c r="A147" s="62">
        <v>143</v>
      </c>
      <c r="B147" s="19"/>
      <c r="C147" s="19"/>
      <c r="D147" s="16"/>
      <c r="E147" s="60"/>
      <c r="F147" s="49"/>
      <c r="G147" s="16"/>
      <c r="H147" s="20"/>
      <c r="I147" s="20"/>
      <c r="J147" s="20"/>
      <c r="K147" s="21"/>
      <c r="L147" s="20"/>
      <c r="M147" s="20"/>
    </row>
    <row r="148" spans="1:13">
      <c r="A148" s="62">
        <v>144</v>
      </c>
      <c r="B148" s="19"/>
      <c r="C148" s="19"/>
      <c r="D148" s="16"/>
      <c r="E148" s="60"/>
      <c r="F148" s="49"/>
      <c r="G148" s="16"/>
      <c r="H148" s="20"/>
      <c r="I148" s="20"/>
      <c r="J148" s="20"/>
      <c r="K148" s="21"/>
      <c r="L148" s="20"/>
      <c r="M148" s="20"/>
    </row>
    <row r="149" spans="1:13">
      <c r="A149" s="62">
        <v>145</v>
      </c>
      <c r="B149" s="19"/>
      <c r="C149" s="19"/>
      <c r="D149" s="16"/>
      <c r="E149" s="60"/>
      <c r="F149" s="49"/>
      <c r="G149" s="16"/>
      <c r="H149" s="20"/>
      <c r="I149" s="20"/>
      <c r="J149" s="20"/>
      <c r="K149" s="21"/>
      <c r="L149" s="20"/>
      <c r="M149" s="20"/>
    </row>
    <row r="150" spans="1:13">
      <c r="A150" s="62">
        <v>146</v>
      </c>
      <c r="B150" s="19"/>
      <c r="C150" s="19"/>
      <c r="D150" s="16"/>
      <c r="E150" s="60"/>
      <c r="F150" s="49"/>
      <c r="G150" s="16"/>
      <c r="H150" s="20"/>
      <c r="I150" s="20"/>
      <c r="J150" s="20"/>
      <c r="K150" s="21"/>
      <c r="L150" s="20"/>
      <c r="M150" s="20"/>
    </row>
    <row r="151" spans="1:13">
      <c r="A151" s="62">
        <v>147</v>
      </c>
      <c r="B151" s="19"/>
      <c r="C151" s="19"/>
      <c r="D151" s="16"/>
      <c r="E151" s="60"/>
      <c r="F151" s="49"/>
      <c r="G151" s="16"/>
      <c r="H151" s="20"/>
      <c r="I151" s="20"/>
      <c r="J151" s="20"/>
      <c r="K151" s="21"/>
      <c r="L151" s="20"/>
      <c r="M151" s="20"/>
    </row>
    <row r="152" spans="1:13">
      <c r="A152" s="62">
        <v>148</v>
      </c>
      <c r="B152" s="19"/>
      <c r="C152" s="19"/>
      <c r="D152" s="16"/>
      <c r="E152" s="60"/>
      <c r="F152" s="49"/>
      <c r="G152" s="16"/>
      <c r="H152" s="20"/>
      <c r="I152" s="20"/>
      <c r="J152" s="20"/>
      <c r="K152" s="21"/>
      <c r="L152" s="20"/>
      <c r="M152" s="20"/>
    </row>
    <row r="153" spans="1:13">
      <c r="A153" s="62">
        <v>149</v>
      </c>
      <c r="B153" s="19"/>
      <c r="C153" s="19"/>
      <c r="D153" s="16"/>
      <c r="E153" s="60"/>
      <c r="F153" s="49"/>
      <c r="G153" s="16"/>
      <c r="H153" s="20"/>
      <c r="I153" s="20"/>
      <c r="J153" s="20"/>
      <c r="K153" s="21"/>
      <c r="L153" s="20"/>
      <c r="M153" s="20"/>
    </row>
    <row r="154" spans="1:13">
      <c r="A154" s="62">
        <v>150</v>
      </c>
      <c r="B154" s="19"/>
      <c r="C154" s="19"/>
      <c r="D154" s="16"/>
      <c r="E154" s="60"/>
      <c r="F154" s="49"/>
      <c r="G154" s="16"/>
      <c r="H154" s="20"/>
      <c r="I154" s="20"/>
      <c r="J154" s="20"/>
      <c r="K154" s="21"/>
      <c r="L154" s="20"/>
      <c r="M154" s="20"/>
    </row>
    <row r="155" spans="1:13">
      <c r="A155" s="62">
        <v>151</v>
      </c>
      <c r="B155" s="19"/>
      <c r="C155" s="19"/>
      <c r="D155" s="16"/>
      <c r="E155" s="60"/>
      <c r="F155" s="49"/>
      <c r="G155" s="16"/>
      <c r="H155" s="20"/>
      <c r="I155" s="20"/>
      <c r="J155" s="20"/>
      <c r="K155" s="21"/>
      <c r="L155" s="20"/>
      <c r="M155" s="20"/>
    </row>
    <row r="156" spans="1:13">
      <c r="A156" s="62">
        <v>152</v>
      </c>
      <c r="B156" s="19"/>
      <c r="C156" s="19"/>
      <c r="D156" s="16"/>
      <c r="E156" s="60"/>
      <c r="F156" s="49"/>
      <c r="G156" s="16"/>
      <c r="H156" s="20"/>
      <c r="I156" s="20"/>
      <c r="J156" s="20"/>
      <c r="K156" s="21"/>
      <c r="L156" s="20"/>
      <c r="M156" s="20"/>
    </row>
    <row r="157" spans="1:13">
      <c r="A157" s="62">
        <v>153</v>
      </c>
      <c r="B157" s="19"/>
      <c r="C157" s="19"/>
      <c r="D157" s="16"/>
      <c r="E157" s="60"/>
      <c r="F157" s="49"/>
      <c r="G157" s="16"/>
      <c r="H157" s="20"/>
      <c r="I157" s="20"/>
      <c r="J157" s="20"/>
      <c r="K157" s="21"/>
      <c r="L157" s="20"/>
      <c r="M157" s="20"/>
    </row>
    <row r="158" spans="1:13">
      <c r="A158" s="62">
        <v>154</v>
      </c>
      <c r="B158" s="19"/>
      <c r="C158" s="19"/>
      <c r="D158" s="16"/>
      <c r="E158" s="60"/>
      <c r="F158" s="49"/>
      <c r="G158" s="16"/>
      <c r="H158" s="20"/>
      <c r="I158" s="20"/>
      <c r="J158" s="20"/>
      <c r="K158" s="21"/>
      <c r="L158" s="20"/>
      <c r="M158" s="20"/>
    </row>
    <row r="159" spans="1:13">
      <c r="A159" s="62">
        <v>155</v>
      </c>
      <c r="B159" s="19"/>
      <c r="C159" s="19"/>
      <c r="D159" s="16"/>
      <c r="E159" s="60"/>
      <c r="F159" s="49"/>
      <c r="G159" s="16"/>
      <c r="H159" s="20"/>
      <c r="I159" s="20"/>
      <c r="J159" s="20"/>
      <c r="K159" s="21"/>
      <c r="L159" s="20"/>
      <c r="M159" s="20"/>
    </row>
    <row r="160" spans="1:13">
      <c r="A160" s="62">
        <v>156</v>
      </c>
      <c r="B160" s="19"/>
      <c r="C160" s="19"/>
      <c r="D160" s="16"/>
      <c r="E160" s="60"/>
      <c r="F160" s="49"/>
      <c r="G160" s="16"/>
      <c r="H160" s="20"/>
      <c r="I160" s="20"/>
      <c r="J160" s="20"/>
      <c r="K160" s="21"/>
      <c r="L160" s="20"/>
      <c r="M160" s="20"/>
    </row>
    <row r="161" spans="1:13">
      <c r="A161" s="62">
        <v>157</v>
      </c>
      <c r="B161" s="19"/>
      <c r="C161" s="19"/>
      <c r="D161" s="16"/>
      <c r="E161" s="60"/>
      <c r="F161" s="49"/>
      <c r="G161" s="16"/>
      <c r="H161" s="20"/>
      <c r="I161" s="20"/>
      <c r="J161" s="20"/>
      <c r="K161" s="21"/>
      <c r="L161" s="20"/>
      <c r="M161" s="20"/>
    </row>
    <row r="162" spans="1:13">
      <c r="A162" s="62">
        <v>158</v>
      </c>
      <c r="B162" s="19"/>
      <c r="C162" s="19"/>
      <c r="D162" s="16"/>
      <c r="E162" s="60"/>
      <c r="F162" s="49"/>
      <c r="G162" s="16"/>
      <c r="H162" s="20"/>
      <c r="I162" s="20"/>
      <c r="J162" s="20"/>
      <c r="K162" s="21"/>
      <c r="L162" s="20"/>
      <c r="M162" s="20"/>
    </row>
    <row r="163" spans="1:13">
      <c r="A163" s="62">
        <v>159</v>
      </c>
      <c r="B163" s="19"/>
      <c r="C163" s="19"/>
      <c r="D163" s="16"/>
      <c r="E163" s="60"/>
      <c r="F163" s="49"/>
      <c r="G163" s="16"/>
      <c r="H163" s="20"/>
      <c r="I163" s="20"/>
      <c r="J163" s="20"/>
      <c r="K163" s="21"/>
      <c r="L163" s="20"/>
      <c r="M163" s="20"/>
    </row>
    <row r="164" spans="1:13">
      <c r="A164" s="62">
        <v>160</v>
      </c>
      <c r="B164" s="19"/>
      <c r="C164" s="19"/>
      <c r="D164" s="16"/>
      <c r="E164" s="60"/>
      <c r="F164" s="49"/>
      <c r="G164" s="16"/>
      <c r="H164" s="20"/>
      <c r="I164" s="20"/>
      <c r="J164" s="20"/>
      <c r="K164" s="21"/>
      <c r="L164" s="20"/>
      <c r="M164" s="20"/>
    </row>
    <row r="165" spans="1:13">
      <c r="A165" s="62">
        <v>161</v>
      </c>
      <c r="B165" s="19"/>
      <c r="C165" s="19"/>
      <c r="D165" s="16"/>
      <c r="E165" s="60"/>
      <c r="F165" s="49"/>
      <c r="G165" s="16"/>
      <c r="H165" s="20"/>
      <c r="I165" s="20"/>
      <c r="J165" s="20"/>
      <c r="K165" s="21"/>
      <c r="L165" s="20"/>
      <c r="M165" s="20"/>
    </row>
    <row r="166" spans="1:13">
      <c r="A166" s="62">
        <v>162</v>
      </c>
      <c r="B166" s="19"/>
      <c r="C166" s="19"/>
      <c r="D166" s="16"/>
      <c r="E166" s="60"/>
      <c r="F166" s="49"/>
      <c r="G166" s="16"/>
      <c r="H166" s="20"/>
      <c r="I166" s="20"/>
      <c r="J166" s="20"/>
      <c r="K166" s="21"/>
      <c r="L166" s="20"/>
      <c r="M166" s="20"/>
    </row>
    <row r="167" spans="1:13">
      <c r="A167" s="62">
        <v>163</v>
      </c>
      <c r="B167" s="19"/>
      <c r="C167" s="19"/>
      <c r="D167" s="16"/>
      <c r="E167" s="60"/>
      <c r="F167" s="49"/>
      <c r="G167" s="16"/>
      <c r="H167" s="20"/>
      <c r="I167" s="20"/>
      <c r="J167" s="20"/>
      <c r="K167" s="21"/>
      <c r="L167" s="20"/>
      <c r="M167" s="20"/>
    </row>
    <row r="168" spans="1:13">
      <c r="A168" s="62">
        <v>164</v>
      </c>
      <c r="B168" s="19"/>
      <c r="C168" s="19"/>
      <c r="D168" s="16"/>
      <c r="E168" s="60"/>
      <c r="F168" s="49"/>
      <c r="G168" s="16"/>
      <c r="H168" s="20"/>
      <c r="I168" s="20"/>
      <c r="J168" s="20"/>
      <c r="K168" s="21"/>
      <c r="L168" s="20"/>
      <c r="M168" s="20"/>
    </row>
    <row r="169" spans="1:13">
      <c r="A169" s="62">
        <v>165</v>
      </c>
      <c r="B169" s="19"/>
      <c r="C169" s="19"/>
      <c r="D169" s="16"/>
      <c r="E169" s="60"/>
      <c r="F169" s="49"/>
      <c r="G169" s="16"/>
      <c r="H169" s="20"/>
      <c r="I169" s="20"/>
      <c r="J169" s="20"/>
      <c r="K169" s="21"/>
      <c r="L169" s="20"/>
      <c r="M169" s="20"/>
    </row>
    <row r="170" spans="1:13">
      <c r="A170" s="62">
        <v>166</v>
      </c>
      <c r="B170" s="19"/>
      <c r="C170" s="19"/>
      <c r="D170" s="16"/>
      <c r="E170" s="60"/>
      <c r="F170" s="49"/>
      <c r="G170" s="16"/>
      <c r="H170" s="20"/>
      <c r="I170" s="20"/>
      <c r="J170" s="20"/>
      <c r="K170" s="21"/>
      <c r="L170" s="20"/>
      <c r="M170" s="20"/>
    </row>
    <row r="171" spans="1:13">
      <c r="A171" s="62">
        <v>167</v>
      </c>
      <c r="B171" s="19"/>
      <c r="C171" s="19"/>
      <c r="D171" s="16"/>
      <c r="E171" s="60"/>
      <c r="F171" s="49"/>
      <c r="G171" s="16"/>
      <c r="H171" s="20"/>
      <c r="I171" s="20"/>
      <c r="J171" s="20"/>
      <c r="K171" s="21"/>
      <c r="L171" s="20"/>
      <c r="M171" s="20"/>
    </row>
    <row r="172" spans="1:13">
      <c r="A172" s="62">
        <v>168</v>
      </c>
      <c r="B172" s="19"/>
      <c r="C172" s="19"/>
      <c r="D172" s="16"/>
      <c r="E172" s="60"/>
      <c r="F172" s="49"/>
      <c r="G172" s="16"/>
      <c r="H172" s="20"/>
      <c r="I172" s="20"/>
      <c r="J172" s="20"/>
      <c r="K172" s="21"/>
      <c r="L172" s="20"/>
      <c r="M172" s="20"/>
    </row>
    <row r="173" spans="1:13">
      <c r="A173" s="62">
        <v>169</v>
      </c>
      <c r="B173" s="19"/>
      <c r="C173" s="19"/>
      <c r="D173" s="16"/>
      <c r="E173" s="60"/>
      <c r="F173" s="49"/>
      <c r="G173" s="16"/>
      <c r="H173" s="20"/>
      <c r="I173" s="20"/>
      <c r="J173" s="20"/>
      <c r="K173" s="21"/>
      <c r="L173" s="20"/>
      <c r="M173" s="20"/>
    </row>
    <row r="174" spans="1:13">
      <c r="A174" s="62">
        <v>170</v>
      </c>
      <c r="B174" s="19"/>
      <c r="C174" s="19"/>
      <c r="D174" s="16"/>
      <c r="E174" s="60"/>
      <c r="F174" s="49"/>
      <c r="G174" s="16"/>
      <c r="H174" s="20"/>
      <c r="I174" s="20"/>
      <c r="J174" s="20"/>
      <c r="K174" s="21"/>
      <c r="L174" s="20"/>
      <c r="M174" s="20"/>
    </row>
    <row r="175" spans="1:13">
      <c r="A175" s="62">
        <v>171</v>
      </c>
      <c r="B175" s="19"/>
      <c r="C175" s="19"/>
      <c r="D175" s="16"/>
      <c r="E175" s="60"/>
      <c r="F175" s="49"/>
      <c r="G175" s="16"/>
      <c r="H175" s="20"/>
      <c r="I175" s="20"/>
      <c r="J175" s="20"/>
      <c r="K175" s="21"/>
      <c r="L175" s="20"/>
      <c r="M175" s="20"/>
    </row>
    <row r="176" spans="1:13">
      <c r="A176" s="62">
        <v>172</v>
      </c>
      <c r="B176" s="19"/>
      <c r="C176" s="19"/>
      <c r="D176" s="16"/>
      <c r="E176" s="60"/>
      <c r="F176" s="49"/>
      <c r="G176" s="16"/>
      <c r="H176" s="20"/>
      <c r="I176" s="20"/>
      <c r="J176" s="20"/>
      <c r="K176" s="21"/>
      <c r="L176" s="20"/>
      <c r="M176" s="20"/>
    </row>
    <row r="177" spans="1:13">
      <c r="A177" s="62">
        <v>173</v>
      </c>
      <c r="B177" s="19"/>
      <c r="C177" s="19"/>
      <c r="D177" s="16"/>
      <c r="E177" s="60"/>
      <c r="F177" s="49"/>
      <c r="G177" s="16"/>
      <c r="H177" s="20"/>
      <c r="I177" s="20"/>
      <c r="J177" s="20"/>
      <c r="K177" s="21"/>
      <c r="L177" s="20"/>
      <c r="M177" s="20"/>
    </row>
    <row r="178" spans="1:13">
      <c r="A178" s="62">
        <v>174</v>
      </c>
      <c r="B178" s="19"/>
      <c r="C178" s="19"/>
      <c r="D178" s="16"/>
      <c r="E178" s="60"/>
      <c r="F178" s="49"/>
      <c r="G178" s="16"/>
      <c r="H178" s="20"/>
      <c r="I178" s="20"/>
      <c r="J178" s="20"/>
      <c r="K178" s="21"/>
      <c r="L178" s="20"/>
      <c r="M178" s="20"/>
    </row>
    <row r="179" spans="1:13">
      <c r="A179" s="62">
        <v>175</v>
      </c>
      <c r="B179" s="19"/>
      <c r="C179" s="19"/>
      <c r="D179" s="16"/>
      <c r="E179" s="60"/>
      <c r="F179" s="49"/>
      <c r="G179" s="16"/>
      <c r="H179" s="20"/>
      <c r="I179" s="20"/>
      <c r="J179" s="20"/>
      <c r="K179" s="21"/>
      <c r="L179" s="20"/>
      <c r="M179" s="20"/>
    </row>
    <row r="180" spans="1:13">
      <c r="A180" s="62">
        <v>176</v>
      </c>
      <c r="B180" s="19"/>
      <c r="C180" s="19"/>
      <c r="D180" s="16"/>
      <c r="E180" s="60"/>
      <c r="F180" s="49"/>
      <c r="G180" s="16"/>
      <c r="H180" s="20"/>
      <c r="I180" s="20"/>
      <c r="J180" s="20"/>
      <c r="K180" s="21"/>
      <c r="L180" s="20"/>
      <c r="M180" s="20"/>
    </row>
    <row r="181" spans="1:13">
      <c r="A181" s="62">
        <v>177</v>
      </c>
      <c r="B181" s="19"/>
      <c r="C181" s="19"/>
      <c r="D181" s="16"/>
      <c r="E181" s="60"/>
      <c r="F181" s="49"/>
      <c r="G181" s="16"/>
      <c r="H181" s="20"/>
      <c r="I181" s="20"/>
      <c r="J181" s="20"/>
      <c r="K181" s="21"/>
      <c r="L181" s="20"/>
      <c r="M181" s="20"/>
    </row>
    <row r="182" spans="1:13">
      <c r="A182" s="62">
        <v>178</v>
      </c>
      <c r="B182" s="19"/>
      <c r="C182" s="19"/>
      <c r="D182" s="16"/>
      <c r="E182" s="60"/>
      <c r="F182" s="49"/>
      <c r="G182" s="16"/>
      <c r="H182" s="20"/>
      <c r="I182" s="20"/>
      <c r="J182" s="20"/>
      <c r="K182" s="21"/>
      <c r="L182" s="20"/>
      <c r="M182" s="20"/>
    </row>
    <row r="183" spans="1:13">
      <c r="A183" s="62">
        <v>179</v>
      </c>
      <c r="B183" s="19"/>
      <c r="C183" s="19"/>
      <c r="D183" s="16"/>
      <c r="E183" s="60"/>
      <c r="F183" s="49"/>
      <c r="G183" s="16"/>
      <c r="H183" s="20"/>
      <c r="I183" s="20"/>
      <c r="J183" s="20"/>
      <c r="K183" s="21"/>
      <c r="L183" s="20"/>
      <c r="M183" s="20"/>
    </row>
    <row r="184" spans="1:13">
      <c r="A184" s="62">
        <v>180</v>
      </c>
      <c r="B184" s="19"/>
      <c r="C184" s="19"/>
      <c r="D184" s="16"/>
      <c r="E184" s="60"/>
      <c r="F184" s="49"/>
      <c r="G184" s="16"/>
      <c r="H184" s="20"/>
      <c r="I184" s="20"/>
      <c r="J184" s="20"/>
      <c r="K184" s="21"/>
      <c r="L184" s="20"/>
      <c r="M184" s="20"/>
    </row>
    <row r="185" spans="1:13">
      <c r="A185" s="62">
        <v>181</v>
      </c>
      <c r="B185" s="19"/>
      <c r="C185" s="19"/>
      <c r="D185" s="16"/>
      <c r="E185" s="60"/>
      <c r="F185" s="49"/>
      <c r="G185" s="16"/>
      <c r="H185" s="20"/>
      <c r="I185" s="20"/>
      <c r="J185" s="20"/>
      <c r="K185" s="21"/>
      <c r="L185" s="20"/>
      <c r="M185" s="20"/>
    </row>
    <row r="186" spans="1:13">
      <c r="A186" s="62">
        <v>182</v>
      </c>
      <c r="B186" s="19"/>
      <c r="C186" s="19"/>
      <c r="D186" s="16"/>
      <c r="E186" s="60"/>
      <c r="F186" s="49"/>
      <c r="G186" s="16"/>
      <c r="H186" s="20"/>
      <c r="I186" s="20"/>
      <c r="J186" s="20"/>
      <c r="K186" s="21"/>
      <c r="L186" s="20"/>
      <c r="M186" s="20"/>
    </row>
    <row r="187" spans="1:13">
      <c r="A187" s="62">
        <v>183</v>
      </c>
      <c r="B187" s="19"/>
      <c r="C187" s="19"/>
      <c r="D187" s="16"/>
      <c r="E187" s="60"/>
      <c r="F187" s="49"/>
      <c r="G187" s="16"/>
      <c r="H187" s="20"/>
      <c r="I187" s="20"/>
      <c r="J187" s="20"/>
      <c r="K187" s="21"/>
      <c r="L187" s="20"/>
      <c r="M187" s="20"/>
    </row>
    <row r="188" spans="1:13">
      <c r="A188" s="62">
        <v>184</v>
      </c>
      <c r="B188" s="19"/>
      <c r="C188" s="19"/>
      <c r="D188" s="16"/>
      <c r="E188" s="60"/>
      <c r="F188" s="49"/>
      <c r="G188" s="16"/>
      <c r="H188" s="20"/>
      <c r="I188" s="20"/>
      <c r="J188" s="20"/>
      <c r="K188" s="21"/>
      <c r="L188" s="20"/>
      <c r="M188" s="20"/>
    </row>
    <row r="189" spans="1:13">
      <c r="A189" s="62">
        <v>185</v>
      </c>
      <c r="B189" s="19"/>
      <c r="C189" s="19"/>
      <c r="D189" s="16"/>
      <c r="E189" s="60"/>
      <c r="F189" s="49"/>
      <c r="G189" s="16"/>
      <c r="H189" s="20"/>
      <c r="I189" s="20"/>
      <c r="J189" s="20"/>
      <c r="K189" s="21"/>
      <c r="L189" s="20"/>
      <c r="M189" s="20"/>
    </row>
    <row r="190" spans="1:13">
      <c r="A190" s="62">
        <v>186</v>
      </c>
      <c r="B190" s="19"/>
      <c r="C190" s="19"/>
      <c r="D190" s="16"/>
      <c r="E190" s="60"/>
      <c r="F190" s="49"/>
      <c r="G190" s="16"/>
      <c r="H190" s="20"/>
      <c r="I190" s="20"/>
      <c r="J190" s="20"/>
      <c r="K190" s="21"/>
      <c r="L190" s="20"/>
      <c r="M190" s="20"/>
    </row>
    <row r="191" spans="1:13">
      <c r="A191" s="62">
        <v>187</v>
      </c>
      <c r="B191" s="19"/>
      <c r="C191" s="19"/>
      <c r="D191" s="16"/>
      <c r="E191" s="60"/>
      <c r="F191" s="49"/>
      <c r="G191" s="16"/>
      <c r="H191" s="20"/>
      <c r="I191" s="20"/>
      <c r="J191" s="20"/>
      <c r="K191" s="21"/>
      <c r="L191" s="20"/>
      <c r="M191" s="20"/>
    </row>
    <row r="192" spans="1:13">
      <c r="A192" s="62">
        <v>188</v>
      </c>
      <c r="B192" s="19"/>
      <c r="C192" s="19"/>
      <c r="D192" s="16"/>
      <c r="E192" s="60"/>
      <c r="F192" s="49"/>
      <c r="G192" s="16"/>
      <c r="H192" s="20"/>
      <c r="I192" s="20"/>
      <c r="J192" s="20"/>
      <c r="K192" s="21"/>
      <c r="L192" s="20"/>
      <c r="M192" s="20"/>
    </row>
    <row r="193" spans="1:13">
      <c r="A193" s="62">
        <v>189</v>
      </c>
      <c r="B193" s="19"/>
      <c r="C193" s="19"/>
      <c r="D193" s="16"/>
      <c r="E193" s="60"/>
      <c r="F193" s="49"/>
      <c r="G193" s="16"/>
      <c r="H193" s="20"/>
      <c r="I193" s="20"/>
      <c r="J193" s="20"/>
      <c r="K193" s="21"/>
      <c r="L193" s="20"/>
      <c r="M193" s="20"/>
    </row>
    <row r="194" spans="1:13">
      <c r="A194" s="62">
        <v>190</v>
      </c>
      <c r="B194" s="19"/>
      <c r="C194" s="19"/>
      <c r="D194" s="16"/>
      <c r="E194" s="60"/>
      <c r="F194" s="49"/>
      <c r="G194" s="16"/>
      <c r="H194" s="20"/>
      <c r="I194" s="20"/>
      <c r="J194" s="20"/>
      <c r="K194" s="21"/>
      <c r="L194" s="20"/>
      <c r="M194" s="20"/>
    </row>
    <row r="195" spans="1:13">
      <c r="A195" s="62">
        <v>191</v>
      </c>
      <c r="B195" s="19"/>
      <c r="C195" s="19"/>
      <c r="D195" s="16"/>
      <c r="E195" s="60"/>
      <c r="F195" s="49"/>
      <c r="G195" s="16"/>
      <c r="H195" s="20"/>
      <c r="I195" s="20"/>
      <c r="J195" s="20"/>
      <c r="K195" s="21"/>
      <c r="L195" s="20"/>
      <c r="M195" s="20"/>
    </row>
    <row r="196" spans="1:13">
      <c r="A196" s="62">
        <v>192</v>
      </c>
      <c r="B196" s="19"/>
      <c r="C196" s="19"/>
      <c r="D196" s="16"/>
      <c r="E196" s="60"/>
      <c r="F196" s="49"/>
      <c r="G196" s="16"/>
      <c r="H196" s="20"/>
      <c r="I196" s="20"/>
      <c r="J196" s="20"/>
      <c r="K196" s="21"/>
      <c r="L196" s="20"/>
      <c r="M196" s="20"/>
    </row>
    <row r="197" spans="1:13">
      <c r="A197" s="62">
        <v>193</v>
      </c>
      <c r="B197" s="19"/>
      <c r="C197" s="19"/>
      <c r="D197" s="16"/>
      <c r="E197" s="60"/>
      <c r="F197" s="49"/>
      <c r="G197" s="16"/>
      <c r="H197" s="20"/>
      <c r="I197" s="20"/>
      <c r="J197" s="20"/>
      <c r="K197" s="21"/>
      <c r="L197" s="20"/>
      <c r="M197" s="20"/>
    </row>
    <row r="198" spans="1:13">
      <c r="A198" s="62">
        <v>194</v>
      </c>
      <c r="B198" s="19"/>
      <c r="C198" s="19"/>
      <c r="D198" s="16"/>
      <c r="E198" s="60"/>
      <c r="F198" s="49"/>
      <c r="G198" s="16"/>
      <c r="H198" s="20"/>
      <c r="I198" s="20"/>
      <c r="J198" s="20"/>
      <c r="K198" s="21"/>
      <c r="L198" s="20"/>
      <c r="M198" s="20"/>
    </row>
    <row r="199" spans="1:13">
      <c r="A199" s="62">
        <v>195</v>
      </c>
      <c r="B199" s="19"/>
      <c r="C199" s="19"/>
      <c r="D199" s="16"/>
      <c r="E199" s="60"/>
      <c r="F199" s="49"/>
      <c r="G199" s="16"/>
      <c r="H199" s="20"/>
      <c r="I199" s="20"/>
      <c r="J199" s="20"/>
      <c r="K199" s="21"/>
      <c r="L199" s="20"/>
      <c r="M199" s="20"/>
    </row>
    <row r="200" spans="1:13">
      <c r="A200" s="62">
        <v>196</v>
      </c>
      <c r="B200" s="19"/>
      <c r="C200" s="19"/>
      <c r="D200" s="16"/>
      <c r="E200" s="60"/>
      <c r="F200" s="49"/>
      <c r="G200" s="16"/>
      <c r="H200" s="20"/>
      <c r="I200" s="20"/>
      <c r="J200" s="20"/>
      <c r="K200" s="21"/>
      <c r="L200" s="20"/>
      <c r="M200" s="20"/>
    </row>
    <row r="201" spans="1:13">
      <c r="A201" s="62">
        <v>197</v>
      </c>
      <c r="B201" s="19"/>
      <c r="C201" s="19"/>
      <c r="D201" s="16"/>
      <c r="E201" s="60"/>
      <c r="F201" s="49"/>
      <c r="G201" s="16"/>
      <c r="H201" s="20"/>
      <c r="I201" s="20"/>
      <c r="J201" s="20"/>
      <c r="K201" s="21"/>
      <c r="L201" s="20"/>
      <c r="M201" s="20"/>
    </row>
    <row r="202" spans="1:13">
      <c r="A202" s="62">
        <v>198</v>
      </c>
      <c r="B202" s="19"/>
      <c r="C202" s="19"/>
      <c r="D202" s="16"/>
      <c r="E202" s="60"/>
      <c r="F202" s="49"/>
      <c r="G202" s="16"/>
      <c r="H202" s="20"/>
      <c r="I202" s="20"/>
      <c r="J202" s="20"/>
      <c r="K202" s="21"/>
      <c r="L202" s="20"/>
      <c r="M202" s="20"/>
    </row>
    <row r="203" spans="1:13">
      <c r="A203" s="62">
        <v>199</v>
      </c>
      <c r="B203" s="19"/>
      <c r="C203" s="19"/>
      <c r="D203" s="16"/>
      <c r="E203" s="60"/>
      <c r="F203" s="49"/>
      <c r="G203" s="16"/>
      <c r="H203" s="20"/>
      <c r="I203" s="20"/>
      <c r="J203" s="20"/>
      <c r="K203" s="21"/>
      <c r="L203" s="20"/>
      <c r="M203" s="20"/>
    </row>
    <row r="204" spans="1:13">
      <c r="A204" s="62">
        <v>200</v>
      </c>
      <c r="B204" s="19"/>
      <c r="C204" s="19"/>
      <c r="D204" s="16"/>
      <c r="E204" s="60"/>
      <c r="F204" s="49"/>
      <c r="G204" s="16"/>
      <c r="H204" s="20"/>
      <c r="I204" s="20"/>
      <c r="J204" s="20"/>
      <c r="K204" s="21"/>
      <c r="L204" s="20"/>
      <c r="M204" s="20"/>
    </row>
    <row r="205" spans="1:13">
      <c r="D205" s="50"/>
    </row>
  </sheetData>
  <autoFilter ref="A4:M204" xr:uid="{00000000-0009-0000-0000-000003000000}"/>
  <dataConsolidate/>
  <mergeCells count="2">
    <mergeCell ref="E3:G3"/>
    <mergeCell ref="A3:C3"/>
  </mergeCells>
  <phoneticPr fontId="27" type="noConversion"/>
  <conditionalFormatting sqref="L205:L65536 P1:P2">
    <cfRule type="cellIs" dxfId="1541" priority="7" stopIfTrue="1" operator="equal">
      <formula>"Fixed"</formula>
    </cfRule>
    <cfRule type="cellIs" dxfId="1540" priority="8" stopIfTrue="1" operator="equal">
      <formula>"Open"</formula>
    </cfRule>
  </conditionalFormatting>
  <conditionalFormatting sqref="L4">
    <cfRule type="cellIs" dxfId="1539" priority="9" stopIfTrue="1" operator="equal">
      <formula>"Open"</formula>
    </cfRule>
    <cfRule type="cellIs" dxfId="1538" priority="10" stopIfTrue="1" operator="equal">
      <formula>"Fixed"</formula>
    </cfRule>
  </conditionalFormatting>
  <conditionalFormatting sqref="L5:L204">
    <cfRule type="expression" dxfId="1537" priority="11" stopIfTrue="1">
      <formula>AND($M5="Approved",$L5="Fixed")</formula>
    </cfRule>
    <cfRule type="cellIs" dxfId="1536" priority="12" stopIfTrue="1" operator="equal">
      <formula>"Fixed"</formula>
    </cfRule>
    <cfRule type="cellIs" dxfId="1535" priority="13" stopIfTrue="1" operator="equal">
      <formula>"Open"</formula>
    </cfRule>
  </conditionalFormatting>
  <conditionalFormatting sqref="M5:M204">
    <cfRule type="expression" dxfId="1534" priority="14" stopIfTrue="1">
      <formula>OR(M5="Fixed",M5="Approved")</formula>
    </cfRule>
    <cfRule type="cellIs" dxfId="1533" priority="15" stopIfTrue="1" operator="equal">
      <formula>"Rejected"</formula>
    </cfRule>
  </conditionalFormatting>
  <conditionalFormatting sqref="A3">
    <cfRule type="expression" dxfId="1532" priority="1" stopIfTrue="1">
      <formula>$X$2=1</formula>
    </cfRule>
    <cfRule type="expression" dxfId="1531" priority="2" stopIfTrue="1">
      <formula>$Y$2=1</formula>
    </cfRule>
    <cfRule type="expression" dxfId="1530" priority="4" stopIfTrue="1">
      <formula>$AA$2=1</formula>
    </cfRule>
  </conditionalFormatting>
  <conditionalFormatting sqref="A3:C3">
    <cfRule type="expression" dxfId="1529" priority="3" stopIfTrue="1">
      <formula>$Z$2=1</formula>
    </cfRule>
  </conditionalFormatting>
  <conditionalFormatting sqref="A5:K204">
    <cfRule type="expression" dxfId="1528" priority="185" stopIfTrue="1">
      <formula>AND($M5="Approved",OR($L5=$R$1,$L5=$T$1))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topLeftCell="B1" zoomScaleNormal="100" workbookViewId="0"/>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0</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heard with the correct value                                  ERRORS: "&amp;COUNTIF(I2:I7000,"NOK")</f>
        <v>Is the tag  -Full Automation- from the script heard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s="162"/>
      <c r="B2" s="172"/>
      <c r="C2" s="172"/>
      <c r="D2" s="172"/>
      <c r="E2" s="172"/>
      <c r="F2" s="172"/>
      <c r="I2" s="174"/>
      <c r="J2" s="172"/>
    </row>
    <row r="3" spans="1:17">
      <c r="A3" s="162"/>
      <c r="B3" s="172"/>
      <c r="C3" s="172"/>
      <c r="D3" s="172"/>
      <c r="E3" s="172"/>
      <c r="F3" s="172"/>
      <c r="I3" s="174"/>
      <c r="J3" s="172"/>
    </row>
    <row r="4" spans="1:17">
      <c r="A4" s="162"/>
      <c r="B4" s="172"/>
      <c r="C4" s="172"/>
      <c r="D4" s="172"/>
      <c r="E4" s="172"/>
      <c r="F4" s="172"/>
      <c r="I4" s="174"/>
      <c r="J4" s="172"/>
    </row>
    <row r="5" spans="1:17">
      <c r="A5" s="162"/>
      <c r="B5" s="172"/>
      <c r="C5" s="172"/>
      <c r="D5" s="172"/>
      <c r="E5" s="172"/>
      <c r="F5" s="172"/>
      <c r="I5" s="174"/>
      <c r="J5" s="172"/>
    </row>
    <row r="6" spans="1:17">
      <c r="A6" s="162"/>
      <c r="B6" s="172"/>
      <c r="C6" s="172"/>
      <c r="D6" s="172"/>
      <c r="E6" s="172"/>
      <c r="F6" s="172"/>
      <c r="G6" s="175"/>
      <c r="I6" s="174"/>
      <c r="J6" s="172"/>
    </row>
    <row r="7" spans="1:17">
      <c r="A7" s="162"/>
      <c r="B7" s="172"/>
      <c r="C7" s="172"/>
      <c r="D7" s="172"/>
      <c r="E7" s="172"/>
      <c r="F7" s="172"/>
      <c r="G7" s="175"/>
      <c r="I7" s="174"/>
      <c r="J7" s="172"/>
    </row>
    <row r="8" spans="1:17">
      <c r="A8" s="162"/>
      <c r="B8" s="172"/>
      <c r="C8" s="172"/>
      <c r="D8" s="172"/>
      <c r="E8" s="172"/>
      <c r="F8" s="172"/>
      <c r="G8" s="175"/>
      <c r="I8" s="174"/>
      <c r="J8" s="172"/>
    </row>
    <row r="9" spans="1:17">
      <c r="A9" s="162"/>
      <c r="B9" s="172"/>
      <c r="C9" s="172"/>
      <c r="D9" s="172"/>
      <c r="E9" s="172"/>
      <c r="F9" s="172"/>
      <c r="G9" s="175"/>
      <c r="I9" s="174"/>
      <c r="J9" s="172"/>
    </row>
    <row r="10" spans="1:17">
      <c r="A10" s="162"/>
      <c r="B10" s="172"/>
      <c r="C10" s="172"/>
      <c r="D10" s="172"/>
      <c r="E10" s="172"/>
      <c r="F10" s="172"/>
      <c r="G10" s="175"/>
      <c r="I10" s="174"/>
      <c r="J10" s="172"/>
    </row>
    <row r="11" spans="1:17">
      <c r="A11" s="162"/>
      <c r="B11" s="172"/>
      <c r="C11" s="172"/>
      <c r="D11" s="172"/>
      <c r="E11" s="172"/>
      <c r="F11" s="172"/>
      <c r="G11" s="175"/>
      <c r="I11" s="174"/>
      <c r="J11" s="172"/>
    </row>
    <row r="12" spans="1:17">
      <c r="A12" s="162"/>
      <c r="B12" s="172"/>
      <c r="C12" s="172"/>
      <c r="D12" s="172"/>
      <c r="E12" s="172"/>
      <c r="F12" s="172"/>
      <c r="G12" s="175"/>
      <c r="I12" s="174"/>
      <c r="J12" s="172"/>
    </row>
    <row r="13" spans="1:17">
      <c r="A13" s="162"/>
      <c r="B13" s="172"/>
      <c r="C13" s="172"/>
      <c r="D13" s="172"/>
      <c r="E13" s="172"/>
      <c r="F13" s="172"/>
      <c r="G13" s="175"/>
      <c r="I13" s="174"/>
      <c r="J13" s="172"/>
    </row>
    <row r="14" spans="1:17">
      <c r="A14" s="162"/>
      <c r="B14" s="172"/>
      <c r="C14" s="172"/>
      <c r="D14" s="172"/>
      <c r="E14" s="172"/>
      <c r="F14" s="172"/>
      <c r="G14" s="175"/>
      <c r="I14" s="174"/>
      <c r="J14" s="172"/>
    </row>
    <row r="15" spans="1:17">
      <c r="A15" s="162"/>
      <c r="B15" s="172"/>
      <c r="C15" s="172"/>
      <c r="D15" s="172"/>
      <c r="E15" s="172"/>
      <c r="F15" s="172"/>
      <c r="G15" s="175"/>
      <c r="I15" s="174"/>
      <c r="J15" s="172"/>
    </row>
    <row r="16" spans="1:17">
      <c r="A16" s="162"/>
      <c r="B16" s="172"/>
      <c r="C16" s="172"/>
      <c r="D16" s="172"/>
      <c r="E16" s="172"/>
      <c r="F16" s="172"/>
      <c r="G16" s="175"/>
      <c r="I16" s="174"/>
      <c r="J16" s="172"/>
    </row>
    <row r="17" spans="1:10">
      <c r="A17" s="162"/>
      <c r="B17" s="172"/>
      <c r="C17" s="172"/>
      <c r="D17" s="172"/>
      <c r="E17" s="172"/>
      <c r="F17" s="172"/>
      <c r="G17" s="175"/>
      <c r="I17" s="174"/>
      <c r="J17" s="172"/>
    </row>
    <row r="18" spans="1:10">
      <c r="A18" s="162"/>
      <c r="B18" s="172"/>
      <c r="C18" s="172"/>
      <c r="D18" s="172"/>
      <c r="E18" s="172"/>
      <c r="F18" s="172"/>
      <c r="G18" s="175"/>
      <c r="I18" s="174"/>
      <c r="J18" s="172"/>
    </row>
    <row r="19" spans="1:10">
      <c r="A19" s="162"/>
      <c r="B19" s="172"/>
      <c r="C19" s="172"/>
      <c r="D19" s="172"/>
      <c r="E19" s="172"/>
      <c r="F19" s="172"/>
      <c r="G19" s="175"/>
      <c r="I19" s="174"/>
      <c r="J19" s="172"/>
    </row>
    <row r="20" spans="1:10">
      <c r="A20" s="162"/>
      <c r="B20" s="172"/>
      <c r="C20" s="172"/>
      <c r="D20" s="172"/>
      <c r="E20" s="172"/>
      <c r="F20" s="172"/>
      <c r="G20" s="175"/>
      <c r="I20" s="174"/>
      <c r="J20" s="172"/>
    </row>
    <row r="21" spans="1:10">
      <c r="A21" s="162"/>
      <c r="B21" s="172"/>
      <c r="C21" s="172"/>
      <c r="D21" s="172"/>
      <c r="E21" s="172"/>
      <c r="F21" s="172"/>
      <c r="G21" s="175"/>
      <c r="I21" s="174"/>
      <c r="J21" s="172"/>
    </row>
    <row r="22" spans="1:10">
      <c r="A22" s="162"/>
      <c r="B22" s="172"/>
      <c r="C22" s="172"/>
      <c r="D22" s="172"/>
      <c r="E22" s="172"/>
      <c r="F22" s="172"/>
      <c r="G22" s="175"/>
      <c r="I22" s="174"/>
      <c r="J22" s="172"/>
    </row>
    <row r="23" spans="1:10">
      <c r="A23" s="162"/>
      <c r="B23" s="172"/>
      <c r="C23" s="172"/>
      <c r="D23" s="172"/>
      <c r="E23" s="172"/>
      <c r="F23" s="172"/>
      <c r="I23" s="174"/>
      <c r="J23" s="172"/>
    </row>
    <row r="24" spans="1:10">
      <c r="A24" s="162"/>
      <c r="B24" s="172"/>
      <c r="C24" s="172"/>
      <c r="D24" s="172"/>
      <c r="E24" s="172"/>
      <c r="F24" s="172"/>
      <c r="G24" s="175"/>
      <c r="I24" s="174"/>
      <c r="J24" s="172"/>
    </row>
    <row r="25" spans="1:10">
      <c r="A25" s="162"/>
      <c r="B25" s="172"/>
      <c r="C25" s="172"/>
      <c r="D25" s="172"/>
      <c r="E25" s="172"/>
      <c r="F25" s="172"/>
      <c r="G25" s="175"/>
      <c r="I25" s="174"/>
      <c r="J25" s="172"/>
    </row>
    <row r="26" spans="1:10">
      <c r="A26" s="162"/>
      <c r="B26" s="172"/>
      <c r="C26" s="172"/>
      <c r="D26" s="172"/>
      <c r="E26" s="172"/>
      <c r="F26" s="172"/>
      <c r="G26" s="175"/>
      <c r="I26" s="174"/>
      <c r="J26" s="172"/>
    </row>
    <row r="27" spans="1:10">
      <c r="A27" s="162"/>
      <c r="B27" s="172"/>
      <c r="C27" s="172"/>
      <c r="D27" s="172"/>
      <c r="E27" s="172"/>
      <c r="F27" s="172"/>
      <c r="G27" s="175"/>
      <c r="I27" s="174"/>
      <c r="J27" s="172"/>
    </row>
    <row r="28" spans="1:10">
      <c r="A28" s="162"/>
      <c r="B28" s="172"/>
      <c r="C28" s="172"/>
      <c r="D28" s="172"/>
      <c r="E28" s="172"/>
      <c r="F28" s="172"/>
      <c r="G28" s="175"/>
      <c r="I28" s="174"/>
      <c r="J28" s="172"/>
    </row>
    <row r="29" spans="1:10">
      <c r="A29" s="162"/>
      <c r="B29" s="172"/>
      <c r="C29" s="172"/>
      <c r="D29" s="172"/>
      <c r="E29" s="172"/>
      <c r="F29" s="172"/>
      <c r="G29" s="175"/>
      <c r="I29" s="174"/>
      <c r="J29" s="172"/>
    </row>
    <row r="30" spans="1:10">
      <c r="A30" s="162"/>
      <c r="B30" s="172"/>
      <c r="C30" s="172"/>
      <c r="D30" s="172"/>
      <c r="E30" s="172"/>
      <c r="F30" s="172"/>
      <c r="G30" s="175"/>
      <c r="I30" s="174"/>
      <c r="J30" s="172"/>
    </row>
    <row r="31" spans="1:10">
      <c r="A31" s="162"/>
      <c r="B31" s="172"/>
      <c r="C31" s="172"/>
      <c r="D31" s="172"/>
      <c r="E31" s="172"/>
      <c r="F31" s="172"/>
      <c r="G31" s="175"/>
      <c r="I31" s="174"/>
      <c r="J31" s="172"/>
    </row>
    <row r="32" spans="1:10">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B2:G4777 I2:O4777">
    <cfRule type="cellIs" dxfId="1527" priority="5" operator="equal">
      <formula>"nok"</formula>
    </cfRule>
  </conditionalFormatting>
  <conditionalFormatting sqref="B4737:G4783 I4737:J4783">
    <cfRule type="cellIs" dxfId="1526" priority="4" operator="equal">
      <formula>"nok"</formula>
    </cfRule>
  </conditionalFormatting>
  <conditionalFormatting sqref="B2:G4736 I2:J4736">
    <cfRule type="cellIs" dxfId="1525" priority="3" operator="equal">
      <formula>"OK"</formula>
    </cfRule>
  </conditionalFormatting>
  <conditionalFormatting sqref="B4737:G4777 I4737:J4777">
    <cfRule type="cellIs" dxfId="1524" priority="2" operator="equal">
      <formula>"OK"</formula>
    </cfRule>
  </conditionalFormatting>
  <conditionalFormatting sqref="A2:O7000">
    <cfRule type="cellIs" dxfId="1523"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9" width="18.85546875" style="168" customWidth="1"/>
    <col min="10" max="10" width="47.5703125" style="169" bestFit="1" customWidth="1"/>
    <col min="11" max="11" width="21.42578125" style="168" customWidth="1"/>
    <col min="12" max="12" width="9.5703125" style="170" bestFit="1" customWidth="1"/>
    <col min="13" max="13" width="16.140625" style="168" bestFit="1" customWidth="1"/>
    <col min="14" max="14" width="19.5703125" style="168" bestFit="1" customWidth="1"/>
    <col min="15" max="15" width="8.28515625" style="168" bestFit="1" customWidth="1"/>
    <col min="16" max="16384" width="9.140625" style="162"/>
  </cols>
  <sheetData>
    <row r="1" spans="1:15" ht="81" customHeight="1" thickBot="1">
      <c r="A1" s="180" t="s">
        <v>84</v>
      </c>
      <c r="B1" s="181" t="s">
        <v>268</v>
      </c>
      <c r="C1" s="182" t="s">
        <v>269</v>
      </c>
      <c r="D1" s="183" t="s">
        <v>270</v>
      </c>
      <c r="E1" s="184" t="s">
        <v>271</v>
      </c>
      <c r="F1" s="184" t="s">
        <v>171</v>
      </c>
      <c r="G1" s="184" t="s">
        <v>272</v>
      </c>
      <c r="H1" s="184" t="s">
        <v>273</v>
      </c>
      <c r="I1" s="184" t="s">
        <v>274</v>
      </c>
      <c r="J1" s="184" t="s">
        <v>275</v>
      </c>
      <c r="K1" s="184" t="s">
        <v>276</v>
      </c>
      <c r="L1" s="184" t="s">
        <v>277</v>
      </c>
      <c r="M1" s="184" t="s">
        <v>278</v>
      </c>
      <c r="N1" s="185" t="s">
        <v>279</v>
      </c>
      <c r="O1" s="161"/>
    </row>
    <row r="2" spans="1:15">
      <c r="A2" s="163">
        <v>1</v>
      </c>
      <c r="B2" s="163" t="str">
        <f>IF(ISNA(D2),"NotApplicable","Applicable")</f>
        <v>NotApplicable</v>
      </c>
      <c r="C2" s="164"/>
      <c r="D2" s="163" t="e">
        <f>VLOOKUP(C:C,'QT Import for PTC'!B:D,3,0)</f>
        <v>#N/A</v>
      </c>
      <c r="E2" s="163"/>
      <c r="F2" s="163"/>
      <c r="G2" s="165"/>
      <c r="H2" s="165"/>
      <c r="I2" s="165"/>
      <c r="J2" s="166"/>
      <c r="K2" s="163"/>
      <c r="L2" s="167"/>
      <c r="M2" s="165"/>
      <c r="N2" s="163"/>
      <c r="O2" s="163">
        <v>1</v>
      </c>
    </row>
    <row r="3" spans="1:15">
      <c r="A3" s="163">
        <v>2</v>
      </c>
      <c r="B3" s="163" t="str">
        <f t="shared" ref="B3:B66" si="0">IF(ISNA(D3),"NotApplicable","Applicable")</f>
        <v>NotApplicable</v>
      </c>
      <c r="D3" s="163" t="e">
        <f>VLOOKUP(C:C,'QT Import for PTC'!B:D,3,0)</f>
        <v>#N/A</v>
      </c>
      <c r="E3" s="165"/>
      <c r="F3" s="165"/>
      <c r="G3" s="165"/>
      <c r="H3" s="165"/>
      <c r="I3" s="165"/>
      <c r="J3" s="166"/>
      <c r="K3" s="163"/>
      <c r="L3" s="167"/>
      <c r="M3" s="165"/>
      <c r="N3" s="163"/>
      <c r="O3" s="163">
        <v>2</v>
      </c>
    </row>
    <row r="4" spans="1:15">
      <c r="A4" s="163">
        <v>3</v>
      </c>
      <c r="B4" s="163" t="str">
        <f t="shared" si="0"/>
        <v>NotApplicable</v>
      </c>
      <c r="D4" s="163" t="e">
        <f>VLOOKUP(C:C,'QT Import for PTC'!B:D,3,0)</f>
        <v>#N/A</v>
      </c>
      <c r="E4" s="165"/>
      <c r="F4" s="165"/>
      <c r="G4" s="165"/>
      <c r="H4" s="165"/>
      <c r="I4" s="165"/>
      <c r="J4" s="166"/>
      <c r="K4" s="163"/>
      <c r="L4" s="167"/>
      <c r="M4" s="165"/>
      <c r="N4" s="163"/>
      <c r="O4" s="163">
        <v>3</v>
      </c>
    </row>
    <row r="5" spans="1:15">
      <c r="A5" s="163">
        <v>4</v>
      </c>
      <c r="B5" s="163" t="str">
        <f t="shared" si="0"/>
        <v>NotApplicable</v>
      </c>
      <c r="D5" s="163" t="e">
        <f>VLOOKUP(C:C,'QT Import for PTC'!B:D,3,0)</f>
        <v>#N/A</v>
      </c>
      <c r="E5" s="165"/>
      <c r="F5" s="165"/>
      <c r="G5" s="165"/>
      <c r="H5" s="165"/>
      <c r="I5" s="165"/>
      <c r="J5" s="166"/>
      <c r="K5" s="163"/>
      <c r="L5" s="167"/>
      <c r="M5" s="165"/>
      <c r="N5" s="163"/>
      <c r="O5" s="163">
        <v>4</v>
      </c>
    </row>
    <row r="6" spans="1:15">
      <c r="A6" s="163">
        <v>5</v>
      </c>
      <c r="B6" s="163" t="str">
        <f t="shared" si="0"/>
        <v>NotApplicable</v>
      </c>
      <c r="D6" s="163" t="e">
        <f>VLOOKUP(C:C,'QT Import for PTC'!B:D,3,0)</f>
        <v>#N/A</v>
      </c>
      <c r="E6" s="165"/>
      <c r="F6" s="165"/>
      <c r="G6" s="165"/>
      <c r="H6" s="165"/>
      <c r="I6" s="165"/>
      <c r="J6" s="166"/>
      <c r="K6" s="163"/>
      <c r="L6" s="167"/>
      <c r="M6" s="165"/>
      <c r="N6" s="163"/>
      <c r="O6" s="163">
        <v>5</v>
      </c>
    </row>
    <row r="7" spans="1:15">
      <c r="A7" s="163">
        <v>6</v>
      </c>
      <c r="B7" s="163" t="str">
        <f t="shared" si="0"/>
        <v>NotApplicable</v>
      </c>
      <c r="D7" s="163" t="e">
        <f>VLOOKUP(C:C,'QT Import for PTC'!B:D,3,0)</f>
        <v>#N/A</v>
      </c>
      <c r="E7" s="165"/>
      <c r="F7" s="165"/>
      <c r="G7" s="165"/>
      <c r="H7" s="165"/>
      <c r="I7" s="165"/>
      <c r="J7" s="166"/>
      <c r="K7" s="163"/>
      <c r="L7" s="167"/>
      <c r="M7" s="165"/>
      <c r="N7" s="163"/>
      <c r="O7" s="163">
        <v>6</v>
      </c>
    </row>
    <row r="8" spans="1:15">
      <c r="A8" s="163">
        <v>7</v>
      </c>
      <c r="B8" s="163" t="str">
        <f t="shared" si="0"/>
        <v>NotApplicable</v>
      </c>
      <c r="D8" s="163" t="e">
        <f>VLOOKUP(C:C,'QT Import for PTC'!B:D,3,0)</f>
        <v>#N/A</v>
      </c>
      <c r="E8" s="165"/>
      <c r="F8" s="165"/>
      <c r="G8" s="165"/>
      <c r="H8" s="165"/>
      <c r="I8" s="165"/>
      <c r="J8" s="166"/>
      <c r="K8" s="163"/>
      <c r="L8" s="167"/>
      <c r="M8" s="165"/>
      <c r="N8" s="163"/>
      <c r="O8" s="163">
        <v>7</v>
      </c>
    </row>
    <row r="9" spans="1:15">
      <c r="A9" s="163">
        <v>8</v>
      </c>
      <c r="B9" s="163" t="str">
        <f t="shared" si="0"/>
        <v>NotApplicable</v>
      </c>
      <c r="D9" s="163" t="e">
        <f>VLOOKUP(C:C,'QT Import for PTC'!B:D,3,0)</f>
        <v>#N/A</v>
      </c>
      <c r="E9" s="165"/>
      <c r="F9" s="165"/>
      <c r="G9" s="165"/>
      <c r="H9" s="165"/>
      <c r="I9" s="165"/>
      <c r="J9" s="166"/>
      <c r="K9" s="163"/>
      <c r="L9" s="167"/>
      <c r="M9" s="165"/>
      <c r="N9" s="163"/>
      <c r="O9" s="163">
        <v>8</v>
      </c>
    </row>
    <row r="10" spans="1:15">
      <c r="A10" s="163">
        <v>9</v>
      </c>
      <c r="B10" s="163" t="str">
        <f t="shared" si="0"/>
        <v>NotApplicable</v>
      </c>
      <c r="D10" s="163" t="e">
        <f>VLOOKUP(C:C,'QT Import for PTC'!B:D,3,0)</f>
        <v>#N/A</v>
      </c>
      <c r="E10" s="165"/>
      <c r="F10" s="165"/>
      <c r="G10" s="165"/>
      <c r="H10" s="165"/>
      <c r="I10" s="165"/>
      <c r="J10" s="166"/>
      <c r="K10" s="163"/>
      <c r="L10" s="167"/>
      <c r="M10" s="165"/>
      <c r="N10" s="163"/>
      <c r="O10" s="163">
        <v>9</v>
      </c>
    </row>
    <row r="11" spans="1:15">
      <c r="A11" s="163">
        <v>10</v>
      </c>
      <c r="B11" s="163" t="str">
        <f t="shared" si="0"/>
        <v>NotApplicable</v>
      </c>
      <c r="D11" s="163" t="e">
        <f>VLOOKUP(C:C,'QT Import for PTC'!B:D,3,0)</f>
        <v>#N/A</v>
      </c>
      <c r="E11" s="165"/>
      <c r="F11" s="165"/>
      <c r="G11" s="165"/>
      <c r="H11" s="165"/>
      <c r="I11" s="165"/>
      <c r="J11" s="166"/>
      <c r="K11" s="163"/>
      <c r="L11" s="167"/>
      <c r="M11" s="165"/>
      <c r="N11" s="163"/>
      <c r="O11" s="163">
        <v>10</v>
      </c>
    </row>
    <row r="12" spans="1:15">
      <c r="A12" s="163">
        <v>11</v>
      </c>
      <c r="B12" s="163" t="str">
        <f t="shared" si="0"/>
        <v>NotApplicable</v>
      </c>
      <c r="D12" s="163" t="e">
        <f>VLOOKUP(C:C,'QT Import for PTC'!B:D,3,0)</f>
        <v>#N/A</v>
      </c>
      <c r="E12" s="165"/>
      <c r="F12" s="165"/>
      <c r="G12" s="165"/>
      <c r="H12" s="165"/>
      <c r="I12" s="165"/>
      <c r="J12" s="166"/>
      <c r="K12" s="163"/>
      <c r="L12" s="167"/>
      <c r="M12" s="165"/>
      <c r="N12" s="163"/>
      <c r="O12" s="163">
        <v>11</v>
      </c>
    </row>
    <row r="13" spans="1:15">
      <c r="A13" s="163">
        <v>12</v>
      </c>
      <c r="B13" s="163" t="str">
        <f t="shared" si="0"/>
        <v>NotApplicable</v>
      </c>
      <c r="D13" s="163" t="e">
        <f>VLOOKUP(C:C,'QT Import for PTC'!B:D,3,0)</f>
        <v>#N/A</v>
      </c>
      <c r="E13" s="165"/>
      <c r="F13" s="165"/>
      <c r="G13" s="165"/>
      <c r="H13" s="165"/>
      <c r="I13" s="165"/>
      <c r="J13" s="166"/>
      <c r="K13" s="163"/>
      <c r="L13" s="167"/>
      <c r="M13" s="165"/>
      <c r="N13" s="163"/>
      <c r="O13" s="163">
        <v>12</v>
      </c>
    </row>
    <row r="14" spans="1:15">
      <c r="A14" s="163">
        <v>13</v>
      </c>
      <c r="B14" s="163" t="str">
        <f t="shared" si="0"/>
        <v>NotApplicable</v>
      </c>
      <c r="D14" s="163" t="e">
        <f>VLOOKUP(C:C,'QT Import for PTC'!B:D,3,0)</f>
        <v>#N/A</v>
      </c>
      <c r="E14" s="165"/>
      <c r="F14" s="165"/>
      <c r="G14" s="165"/>
      <c r="H14" s="165"/>
      <c r="I14" s="165"/>
      <c r="J14" s="166"/>
      <c r="K14" s="163"/>
      <c r="L14" s="167"/>
      <c r="M14" s="165"/>
      <c r="N14" s="163"/>
      <c r="O14" s="163">
        <v>13</v>
      </c>
    </row>
    <row r="15" spans="1:15">
      <c r="A15" s="163">
        <v>14</v>
      </c>
      <c r="B15" s="163" t="str">
        <f t="shared" si="0"/>
        <v>NotApplicable</v>
      </c>
      <c r="D15" s="163" t="e">
        <f>VLOOKUP(C:C,'QT Import for PTC'!B:D,3,0)</f>
        <v>#N/A</v>
      </c>
      <c r="E15" s="165"/>
      <c r="F15" s="165"/>
      <c r="G15" s="165"/>
      <c r="H15" s="165"/>
      <c r="I15" s="165"/>
      <c r="J15" s="166"/>
      <c r="K15" s="163"/>
      <c r="L15" s="167"/>
      <c r="M15" s="165"/>
      <c r="N15" s="163"/>
      <c r="O15" s="163">
        <v>14</v>
      </c>
    </row>
    <row r="16" spans="1:15">
      <c r="A16" s="163">
        <v>15</v>
      </c>
      <c r="B16" s="163" t="str">
        <f t="shared" si="0"/>
        <v>NotApplicable</v>
      </c>
      <c r="D16" s="163" t="e">
        <f>VLOOKUP(C:C,'QT Import for PTC'!B:D,3,0)</f>
        <v>#N/A</v>
      </c>
      <c r="E16" s="165"/>
      <c r="F16" s="165"/>
      <c r="G16" s="165"/>
      <c r="H16" s="165"/>
      <c r="I16" s="165"/>
      <c r="J16" s="166"/>
      <c r="K16" s="163"/>
      <c r="L16" s="167"/>
      <c r="M16" s="165"/>
      <c r="N16" s="163"/>
      <c r="O16" s="163">
        <v>15</v>
      </c>
    </row>
    <row r="17" spans="1:15">
      <c r="A17" s="163">
        <v>16</v>
      </c>
      <c r="B17" s="163" t="str">
        <f t="shared" si="0"/>
        <v>NotApplicable</v>
      </c>
      <c r="D17" s="163" t="e">
        <f>VLOOKUP(C:C,'QT Import for PTC'!B:D,3,0)</f>
        <v>#N/A</v>
      </c>
      <c r="E17" s="165"/>
      <c r="F17" s="165"/>
      <c r="G17" s="165"/>
      <c r="H17" s="165"/>
      <c r="I17" s="165"/>
      <c r="J17" s="166"/>
      <c r="K17" s="163"/>
      <c r="L17" s="167"/>
      <c r="M17" s="165"/>
      <c r="N17" s="163"/>
      <c r="O17" s="163">
        <v>16</v>
      </c>
    </row>
    <row r="18" spans="1:15">
      <c r="A18" s="163">
        <v>17</v>
      </c>
      <c r="B18" s="163" t="str">
        <f t="shared" si="0"/>
        <v>NotApplicable</v>
      </c>
      <c r="D18" s="163" t="e">
        <f>VLOOKUP(C:C,'QT Import for PTC'!B:D,3,0)</f>
        <v>#N/A</v>
      </c>
      <c r="E18" s="165"/>
      <c r="F18" s="165"/>
      <c r="G18" s="165"/>
      <c r="H18" s="165"/>
      <c r="I18" s="165"/>
      <c r="J18" s="166"/>
      <c r="K18" s="163"/>
      <c r="L18" s="167"/>
      <c r="M18" s="165"/>
      <c r="N18" s="163"/>
      <c r="O18" s="163">
        <v>17</v>
      </c>
    </row>
    <row r="19" spans="1:15">
      <c r="A19" s="163">
        <v>18</v>
      </c>
      <c r="B19" s="163" t="str">
        <f t="shared" si="0"/>
        <v>NotApplicable</v>
      </c>
      <c r="D19" s="163" t="e">
        <f>VLOOKUP(C:C,'QT Import for PTC'!B:D,3,0)</f>
        <v>#N/A</v>
      </c>
      <c r="E19" s="165"/>
      <c r="F19" s="165"/>
      <c r="G19" s="165"/>
      <c r="H19" s="165"/>
      <c r="I19" s="165"/>
      <c r="J19" s="166"/>
      <c r="K19" s="163"/>
      <c r="L19" s="167"/>
      <c r="M19" s="165"/>
      <c r="N19" s="163"/>
      <c r="O19" s="163">
        <v>18</v>
      </c>
    </row>
    <row r="20" spans="1:15">
      <c r="A20" s="163">
        <v>19</v>
      </c>
      <c r="B20" s="163" t="str">
        <f t="shared" si="0"/>
        <v>NotApplicable</v>
      </c>
      <c r="D20" s="163" t="e">
        <f>VLOOKUP(C:C,'QT Import for PTC'!B:D,3,0)</f>
        <v>#N/A</v>
      </c>
      <c r="E20" s="165"/>
      <c r="F20" s="165"/>
      <c r="G20" s="165"/>
      <c r="H20" s="165"/>
      <c r="I20" s="165"/>
      <c r="J20" s="166"/>
      <c r="K20" s="163"/>
      <c r="L20" s="167"/>
      <c r="M20" s="165"/>
      <c r="N20" s="163"/>
      <c r="O20" s="163">
        <v>19</v>
      </c>
    </row>
    <row r="21" spans="1:15">
      <c r="A21" s="163">
        <v>20</v>
      </c>
      <c r="B21" s="163" t="str">
        <f t="shared" si="0"/>
        <v>NotApplicable</v>
      </c>
      <c r="D21" s="163" t="e">
        <f>VLOOKUP(C:C,'QT Import for PTC'!B:D,3,0)</f>
        <v>#N/A</v>
      </c>
      <c r="E21" s="165"/>
      <c r="F21" s="165"/>
      <c r="G21" s="165"/>
      <c r="H21" s="165"/>
      <c r="I21" s="165"/>
      <c r="J21" s="166"/>
      <c r="K21" s="163"/>
      <c r="L21" s="167"/>
      <c r="M21" s="165"/>
      <c r="N21" s="163"/>
      <c r="O21" s="163">
        <v>20</v>
      </c>
    </row>
    <row r="22" spans="1:15">
      <c r="A22" s="163">
        <v>21</v>
      </c>
      <c r="B22" s="163" t="str">
        <f t="shared" si="0"/>
        <v>NotApplicable</v>
      </c>
      <c r="D22" s="163" t="e">
        <f>VLOOKUP(C:C,'QT Import for PTC'!B:D,3,0)</f>
        <v>#N/A</v>
      </c>
      <c r="E22" s="165"/>
      <c r="F22" s="165"/>
      <c r="G22" s="165"/>
      <c r="H22" s="165"/>
      <c r="I22" s="165"/>
      <c r="J22" s="166"/>
      <c r="K22" s="163"/>
      <c r="L22" s="167"/>
      <c r="M22" s="165"/>
      <c r="N22" s="163"/>
      <c r="O22" s="163">
        <v>21</v>
      </c>
    </row>
    <row r="23" spans="1:15">
      <c r="A23" s="163">
        <v>22</v>
      </c>
      <c r="B23" s="163" t="str">
        <f t="shared" si="0"/>
        <v>NotApplicable</v>
      </c>
      <c r="D23" s="163" t="e">
        <f>VLOOKUP(C:C,'QT Import for PTC'!B:D,3,0)</f>
        <v>#N/A</v>
      </c>
      <c r="E23" s="165"/>
      <c r="F23" s="165"/>
      <c r="G23" s="165"/>
      <c r="H23" s="165"/>
      <c r="I23" s="165"/>
      <c r="J23" s="166"/>
      <c r="K23" s="163"/>
      <c r="L23" s="167"/>
      <c r="M23" s="165"/>
      <c r="N23" s="163"/>
      <c r="O23" s="163">
        <v>22</v>
      </c>
    </row>
    <row r="24" spans="1:15">
      <c r="A24" s="163">
        <v>23</v>
      </c>
      <c r="B24" s="163" t="str">
        <f t="shared" si="0"/>
        <v>NotApplicable</v>
      </c>
      <c r="D24" s="163" t="e">
        <f>VLOOKUP(C:C,'QT Import for PTC'!B:D,3,0)</f>
        <v>#N/A</v>
      </c>
      <c r="E24" s="165"/>
      <c r="F24" s="165"/>
      <c r="G24" s="165"/>
      <c r="H24" s="165"/>
      <c r="I24" s="165"/>
      <c r="J24" s="166"/>
      <c r="K24" s="163"/>
      <c r="L24" s="167"/>
      <c r="M24" s="165"/>
      <c r="N24" s="163"/>
      <c r="O24" s="163">
        <v>23</v>
      </c>
    </row>
    <row r="25" spans="1:15">
      <c r="A25" s="163">
        <v>24</v>
      </c>
      <c r="B25" s="163" t="str">
        <f t="shared" si="0"/>
        <v>NotApplicable</v>
      </c>
      <c r="D25" s="163" t="e">
        <f>VLOOKUP(C:C,'QT Import for PTC'!B:D,3,0)</f>
        <v>#N/A</v>
      </c>
      <c r="E25" s="165"/>
      <c r="F25" s="165"/>
      <c r="G25" s="165"/>
      <c r="H25" s="165"/>
      <c r="I25" s="165"/>
      <c r="J25" s="166"/>
      <c r="K25" s="163"/>
      <c r="L25" s="167"/>
      <c r="M25" s="165"/>
      <c r="N25" s="163"/>
      <c r="O25" s="163">
        <v>24</v>
      </c>
    </row>
    <row r="26" spans="1:15">
      <c r="A26" s="163">
        <v>25</v>
      </c>
      <c r="B26" s="163" t="str">
        <f t="shared" si="0"/>
        <v>NotApplicable</v>
      </c>
      <c r="D26" s="163" t="e">
        <f>VLOOKUP(C:C,'QT Import for PTC'!B:D,3,0)</f>
        <v>#N/A</v>
      </c>
      <c r="E26" s="165"/>
      <c r="F26" s="165"/>
      <c r="G26" s="165"/>
      <c r="H26" s="165"/>
      <c r="I26" s="165"/>
      <c r="J26" s="166"/>
      <c r="K26" s="163"/>
      <c r="L26" s="167"/>
      <c r="M26" s="165"/>
      <c r="N26" s="163"/>
      <c r="O26" s="163">
        <v>25</v>
      </c>
    </row>
    <row r="27" spans="1:15">
      <c r="A27" s="163">
        <v>26</v>
      </c>
      <c r="B27" s="163" t="str">
        <f t="shared" si="0"/>
        <v>NotApplicable</v>
      </c>
      <c r="D27" s="163" t="e">
        <f>VLOOKUP(C:C,'QT Import for PTC'!B:D,3,0)</f>
        <v>#N/A</v>
      </c>
      <c r="E27" s="165"/>
      <c r="F27" s="165"/>
      <c r="G27" s="165"/>
      <c r="H27" s="165"/>
      <c r="I27" s="165"/>
      <c r="J27" s="166"/>
      <c r="K27" s="163"/>
      <c r="L27" s="167"/>
      <c r="M27" s="165"/>
      <c r="N27" s="163"/>
      <c r="O27" s="163">
        <v>26</v>
      </c>
    </row>
    <row r="28" spans="1:15">
      <c r="A28" s="163">
        <v>27</v>
      </c>
      <c r="B28" s="163" t="str">
        <f t="shared" si="0"/>
        <v>NotApplicable</v>
      </c>
      <c r="D28" s="163" t="e">
        <f>VLOOKUP(C:C,'QT Import for PTC'!B:D,3,0)</f>
        <v>#N/A</v>
      </c>
      <c r="E28" s="165"/>
      <c r="F28" s="165"/>
      <c r="G28" s="165"/>
      <c r="H28" s="165"/>
      <c r="I28" s="165"/>
      <c r="J28" s="166"/>
      <c r="K28" s="163"/>
      <c r="L28" s="167"/>
      <c r="M28" s="165"/>
      <c r="N28" s="163"/>
      <c r="O28" s="163">
        <v>27</v>
      </c>
    </row>
    <row r="29" spans="1:15">
      <c r="A29" s="163">
        <v>28</v>
      </c>
      <c r="B29" s="163" t="str">
        <f t="shared" si="0"/>
        <v>NotApplicable</v>
      </c>
      <c r="D29" s="163" t="e">
        <f>VLOOKUP(C:C,'QT Import for PTC'!B:D,3,0)</f>
        <v>#N/A</v>
      </c>
      <c r="E29" s="165"/>
      <c r="F29" s="165"/>
      <c r="G29" s="165"/>
      <c r="H29" s="165"/>
      <c r="I29" s="165"/>
      <c r="J29" s="166"/>
      <c r="K29" s="163"/>
      <c r="L29" s="167"/>
      <c r="M29" s="165"/>
      <c r="N29" s="163"/>
      <c r="O29" s="163">
        <v>28</v>
      </c>
    </row>
    <row r="30" spans="1:15">
      <c r="A30" s="163">
        <v>29</v>
      </c>
      <c r="B30" s="163" t="str">
        <f t="shared" si="0"/>
        <v>NotApplicable</v>
      </c>
      <c r="D30" s="163" t="e">
        <f>VLOOKUP(C:C,'QT Import for PTC'!B:D,3,0)</f>
        <v>#N/A</v>
      </c>
      <c r="E30" s="165"/>
      <c r="F30" s="165"/>
      <c r="G30" s="165"/>
      <c r="H30" s="165"/>
      <c r="I30" s="165"/>
      <c r="J30" s="166"/>
      <c r="K30" s="163"/>
      <c r="L30" s="167"/>
      <c r="M30" s="165"/>
      <c r="N30" s="163"/>
      <c r="O30" s="163">
        <v>29</v>
      </c>
    </row>
    <row r="31" spans="1:15">
      <c r="A31" s="163">
        <v>30</v>
      </c>
      <c r="B31" s="163" t="str">
        <f t="shared" si="0"/>
        <v>NotApplicable</v>
      </c>
      <c r="D31" s="163" t="e">
        <f>VLOOKUP(C:C,'QT Import for PTC'!B:D,3,0)</f>
        <v>#N/A</v>
      </c>
      <c r="E31" s="165"/>
      <c r="F31" s="165"/>
      <c r="G31" s="165"/>
      <c r="H31" s="165"/>
      <c r="I31" s="165"/>
      <c r="J31" s="166"/>
      <c r="K31" s="163"/>
      <c r="L31" s="167"/>
      <c r="M31" s="165"/>
      <c r="N31" s="163"/>
      <c r="O31" s="163">
        <v>30</v>
      </c>
    </row>
    <row r="32" spans="1:15">
      <c r="A32" s="163">
        <v>31</v>
      </c>
      <c r="B32" s="163" t="str">
        <f t="shared" si="0"/>
        <v>NotApplicable</v>
      </c>
      <c r="D32" s="163" t="e">
        <f>VLOOKUP(C:C,'QT Import for PTC'!B:D,3,0)</f>
        <v>#N/A</v>
      </c>
      <c r="E32" s="165"/>
      <c r="F32" s="165"/>
      <c r="G32" s="165"/>
      <c r="H32" s="165"/>
      <c r="I32" s="165"/>
      <c r="J32" s="166"/>
      <c r="K32" s="163"/>
      <c r="L32" s="167"/>
      <c r="M32" s="165"/>
      <c r="N32" s="163"/>
      <c r="O32" s="163">
        <v>31</v>
      </c>
    </row>
    <row r="33" spans="1:15">
      <c r="A33" s="163">
        <v>32</v>
      </c>
      <c r="B33" s="163" t="str">
        <f t="shared" si="0"/>
        <v>NotApplicable</v>
      </c>
      <c r="D33" s="163" t="e">
        <f>VLOOKUP(C:C,'QT Import for PTC'!B:D,3,0)</f>
        <v>#N/A</v>
      </c>
      <c r="E33" s="165"/>
      <c r="F33" s="165"/>
      <c r="G33" s="165"/>
      <c r="H33" s="165"/>
      <c r="I33" s="165"/>
      <c r="J33" s="166"/>
      <c r="K33" s="163"/>
      <c r="L33" s="167"/>
      <c r="M33" s="165"/>
      <c r="N33" s="163"/>
      <c r="O33" s="163">
        <v>32</v>
      </c>
    </row>
    <row r="34" spans="1:15">
      <c r="A34" s="163">
        <v>33</v>
      </c>
      <c r="B34" s="163" t="str">
        <f t="shared" si="0"/>
        <v>NotApplicable</v>
      </c>
      <c r="D34" s="163" t="e">
        <f>VLOOKUP(C:C,'QT Import for PTC'!B:D,3,0)</f>
        <v>#N/A</v>
      </c>
      <c r="E34" s="165"/>
      <c r="F34" s="165"/>
      <c r="G34" s="165"/>
      <c r="H34" s="165"/>
      <c r="I34" s="165"/>
      <c r="J34" s="166"/>
      <c r="K34" s="163"/>
      <c r="L34" s="167"/>
      <c r="M34" s="165"/>
      <c r="N34" s="163"/>
      <c r="O34" s="163">
        <v>33</v>
      </c>
    </row>
    <row r="35" spans="1:15">
      <c r="A35" s="163">
        <v>34</v>
      </c>
      <c r="B35" s="163" t="str">
        <f t="shared" si="0"/>
        <v>NotApplicable</v>
      </c>
      <c r="D35" s="163" t="e">
        <f>VLOOKUP(C:C,'QT Import for PTC'!B:D,3,0)</f>
        <v>#N/A</v>
      </c>
      <c r="E35" s="165"/>
      <c r="F35" s="165"/>
      <c r="G35" s="165"/>
      <c r="H35" s="165"/>
      <c r="I35" s="165"/>
      <c r="J35" s="166"/>
      <c r="K35" s="163"/>
      <c r="L35" s="167"/>
      <c r="M35" s="165"/>
      <c r="N35" s="163"/>
      <c r="O35" s="163">
        <v>34</v>
      </c>
    </row>
    <row r="36" spans="1:15">
      <c r="A36" s="163">
        <v>35</v>
      </c>
      <c r="B36" s="163" t="str">
        <f t="shared" si="0"/>
        <v>NotApplicable</v>
      </c>
      <c r="D36" s="163" t="e">
        <f>VLOOKUP(C:C,'QT Import for PTC'!B:D,3,0)</f>
        <v>#N/A</v>
      </c>
      <c r="E36" s="165"/>
      <c r="F36" s="165"/>
      <c r="G36" s="165"/>
      <c r="H36" s="165"/>
      <c r="I36" s="165"/>
      <c r="J36" s="166"/>
      <c r="K36" s="163"/>
      <c r="L36" s="167"/>
      <c r="M36" s="165"/>
      <c r="N36" s="163"/>
      <c r="O36" s="163">
        <v>35</v>
      </c>
    </row>
    <row r="37" spans="1:15">
      <c r="A37" s="163">
        <v>36</v>
      </c>
      <c r="B37" s="163" t="str">
        <f t="shared" si="0"/>
        <v>NotApplicable</v>
      </c>
      <c r="D37" s="163" t="e">
        <f>VLOOKUP(C:C,'QT Import for PTC'!B:D,3,0)</f>
        <v>#N/A</v>
      </c>
      <c r="E37" s="165"/>
      <c r="F37" s="165"/>
      <c r="G37" s="165"/>
      <c r="H37" s="165"/>
      <c r="I37" s="165"/>
      <c r="J37" s="166"/>
      <c r="K37" s="163"/>
      <c r="L37" s="167"/>
      <c r="M37" s="165"/>
      <c r="N37" s="163"/>
      <c r="O37" s="163">
        <v>36</v>
      </c>
    </row>
    <row r="38" spans="1:15">
      <c r="A38" s="163">
        <v>37</v>
      </c>
      <c r="B38" s="163" t="str">
        <f t="shared" si="0"/>
        <v>NotApplicable</v>
      </c>
      <c r="D38" s="163" t="e">
        <f>VLOOKUP(C:C,'QT Import for PTC'!B:D,3,0)</f>
        <v>#N/A</v>
      </c>
      <c r="E38" s="165"/>
      <c r="F38" s="165"/>
      <c r="G38" s="165"/>
      <c r="H38" s="165"/>
      <c r="I38" s="165"/>
      <c r="J38" s="166"/>
      <c r="K38" s="163"/>
      <c r="L38" s="167"/>
      <c r="M38" s="165"/>
      <c r="N38" s="163"/>
      <c r="O38" s="163">
        <v>37</v>
      </c>
    </row>
    <row r="39" spans="1:15">
      <c r="A39" s="163">
        <v>38</v>
      </c>
      <c r="B39" s="163" t="str">
        <f t="shared" si="0"/>
        <v>NotApplicable</v>
      </c>
      <c r="D39" s="163" t="e">
        <f>VLOOKUP(C:C,'QT Import for PTC'!B:D,3,0)</f>
        <v>#N/A</v>
      </c>
      <c r="E39" s="165"/>
      <c r="F39" s="165"/>
      <c r="G39" s="165"/>
      <c r="H39" s="165"/>
      <c r="I39" s="165"/>
      <c r="J39" s="166"/>
      <c r="K39" s="163"/>
      <c r="L39" s="167"/>
      <c r="M39" s="165"/>
      <c r="N39" s="163"/>
      <c r="O39" s="163">
        <v>38</v>
      </c>
    </row>
    <row r="40" spans="1:15">
      <c r="A40" s="163">
        <v>39</v>
      </c>
      <c r="B40" s="163" t="str">
        <f t="shared" si="0"/>
        <v>NotApplicable</v>
      </c>
      <c r="D40" s="163" t="e">
        <f>VLOOKUP(C:C,'QT Import for PTC'!B:D,3,0)</f>
        <v>#N/A</v>
      </c>
      <c r="E40" s="165"/>
      <c r="F40" s="165"/>
      <c r="G40" s="165"/>
      <c r="H40" s="165"/>
      <c r="I40" s="165"/>
      <c r="J40" s="166"/>
      <c r="K40" s="163"/>
      <c r="L40" s="167"/>
      <c r="M40" s="165"/>
      <c r="N40" s="163"/>
      <c r="O40" s="163">
        <v>39</v>
      </c>
    </row>
    <row r="41" spans="1:15">
      <c r="A41" s="163">
        <v>40</v>
      </c>
      <c r="B41" s="163" t="str">
        <f t="shared" si="0"/>
        <v>NotApplicable</v>
      </c>
      <c r="D41" s="163" t="e">
        <f>VLOOKUP(C:C,'QT Import for PTC'!B:D,3,0)</f>
        <v>#N/A</v>
      </c>
      <c r="E41" s="165"/>
      <c r="F41" s="165"/>
      <c r="G41" s="165"/>
      <c r="H41" s="165"/>
      <c r="I41" s="165"/>
      <c r="J41" s="166"/>
      <c r="K41" s="163"/>
      <c r="L41" s="167"/>
      <c r="M41" s="165"/>
      <c r="N41" s="163"/>
      <c r="O41" s="163">
        <v>40</v>
      </c>
    </row>
    <row r="42" spans="1:15">
      <c r="A42" s="163">
        <v>41</v>
      </c>
      <c r="B42" s="163" t="str">
        <f t="shared" si="0"/>
        <v>NotApplicable</v>
      </c>
      <c r="D42" s="163" t="e">
        <f>VLOOKUP(C:C,'QT Import for PTC'!B:D,3,0)</f>
        <v>#N/A</v>
      </c>
      <c r="E42" s="165"/>
      <c r="F42" s="165"/>
      <c r="G42" s="165"/>
      <c r="H42" s="165"/>
      <c r="I42" s="165"/>
      <c r="J42" s="166"/>
      <c r="K42" s="163"/>
      <c r="L42" s="167"/>
      <c r="M42" s="165"/>
      <c r="N42" s="163"/>
      <c r="O42" s="163">
        <v>41</v>
      </c>
    </row>
    <row r="43" spans="1:15">
      <c r="A43" s="163">
        <v>42</v>
      </c>
      <c r="B43" s="163" t="str">
        <f t="shared" si="0"/>
        <v>NotApplicable</v>
      </c>
      <c r="D43" s="163" t="e">
        <f>VLOOKUP(C:C,'QT Import for PTC'!B:D,3,0)</f>
        <v>#N/A</v>
      </c>
      <c r="E43" s="165"/>
      <c r="F43" s="165"/>
      <c r="G43" s="165"/>
      <c r="H43" s="165"/>
      <c r="I43" s="165"/>
      <c r="J43" s="166"/>
      <c r="K43" s="163"/>
      <c r="L43" s="167"/>
      <c r="M43" s="165"/>
      <c r="N43" s="163"/>
      <c r="O43" s="163">
        <v>42</v>
      </c>
    </row>
    <row r="44" spans="1:15">
      <c r="A44" s="163">
        <v>43</v>
      </c>
      <c r="B44" s="163" t="str">
        <f t="shared" si="0"/>
        <v>NotApplicable</v>
      </c>
      <c r="D44" s="163" t="e">
        <f>VLOOKUP(C:C,'QT Import for PTC'!B:D,3,0)</f>
        <v>#N/A</v>
      </c>
      <c r="E44" s="165"/>
      <c r="F44" s="165"/>
      <c r="G44" s="165"/>
      <c r="H44" s="165"/>
      <c r="I44" s="165"/>
      <c r="J44" s="166"/>
      <c r="K44" s="163"/>
      <c r="L44" s="167"/>
      <c r="M44" s="165"/>
      <c r="N44" s="163"/>
      <c r="O44" s="163">
        <v>43</v>
      </c>
    </row>
    <row r="45" spans="1:15">
      <c r="A45" s="163">
        <v>44</v>
      </c>
      <c r="B45" s="163" t="str">
        <f t="shared" si="0"/>
        <v>NotApplicable</v>
      </c>
      <c r="D45" s="163" t="e">
        <f>VLOOKUP(C:C,'QT Import for PTC'!B:D,3,0)</f>
        <v>#N/A</v>
      </c>
      <c r="E45" s="165"/>
      <c r="F45" s="165"/>
      <c r="G45" s="165"/>
      <c r="H45" s="165"/>
      <c r="I45" s="165"/>
      <c r="J45" s="166"/>
      <c r="K45" s="163"/>
      <c r="L45" s="167"/>
      <c r="M45" s="165"/>
      <c r="N45" s="163"/>
      <c r="O45" s="163">
        <v>44</v>
      </c>
    </row>
    <row r="46" spans="1:15">
      <c r="A46" s="163">
        <v>45</v>
      </c>
      <c r="B46" s="163" t="str">
        <f t="shared" si="0"/>
        <v>NotApplicable</v>
      </c>
      <c r="D46" s="163" t="e">
        <f>VLOOKUP(C:C,'QT Import for PTC'!B:D,3,0)</f>
        <v>#N/A</v>
      </c>
      <c r="E46" s="165"/>
      <c r="F46" s="165"/>
      <c r="G46" s="165"/>
      <c r="H46" s="165"/>
      <c r="I46" s="165"/>
      <c r="J46" s="166"/>
      <c r="K46" s="163"/>
      <c r="L46" s="167"/>
      <c r="M46" s="165"/>
      <c r="N46" s="163"/>
      <c r="O46" s="163">
        <v>45</v>
      </c>
    </row>
    <row r="47" spans="1:15">
      <c r="A47" s="163">
        <v>46</v>
      </c>
      <c r="B47" s="163" t="str">
        <f t="shared" si="0"/>
        <v>NotApplicable</v>
      </c>
      <c r="D47" s="163" t="e">
        <f>VLOOKUP(C:C,'QT Import for PTC'!B:D,3,0)</f>
        <v>#N/A</v>
      </c>
      <c r="E47" s="165"/>
      <c r="F47" s="165"/>
      <c r="G47" s="165"/>
      <c r="H47" s="165"/>
      <c r="I47" s="165"/>
      <c r="J47" s="166"/>
      <c r="K47" s="163"/>
      <c r="L47" s="167"/>
      <c r="M47" s="165"/>
      <c r="N47" s="163"/>
      <c r="O47" s="163">
        <v>46</v>
      </c>
    </row>
    <row r="48" spans="1:15">
      <c r="A48" s="163">
        <v>47</v>
      </c>
      <c r="B48" s="163" t="str">
        <f t="shared" si="0"/>
        <v>NotApplicable</v>
      </c>
      <c r="D48" s="163" t="e">
        <f>VLOOKUP(C:C,'QT Import for PTC'!B:D,3,0)</f>
        <v>#N/A</v>
      </c>
      <c r="E48" s="165"/>
      <c r="F48" s="165"/>
      <c r="G48" s="165"/>
      <c r="H48" s="165"/>
      <c r="I48" s="165"/>
      <c r="J48" s="166"/>
      <c r="K48" s="163"/>
      <c r="L48" s="167"/>
      <c r="M48" s="165"/>
      <c r="N48" s="163"/>
      <c r="O48" s="163">
        <v>47</v>
      </c>
    </row>
    <row r="49" spans="1:15">
      <c r="A49" s="163">
        <v>48</v>
      </c>
      <c r="B49" s="163" t="str">
        <f t="shared" si="0"/>
        <v>NotApplicable</v>
      </c>
      <c r="D49" s="163" t="e">
        <f>VLOOKUP(C:C,'QT Import for PTC'!B:D,3,0)</f>
        <v>#N/A</v>
      </c>
      <c r="E49" s="165"/>
      <c r="F49" s="165"/>
      <c r="G49" s="165"/>
      <c r="H49" s="165"/>
      <c r="I49" s="165"/>
      <c r="J49" s="166"/>
      <c r="K49" s="163"/>
      <c r="L49" s="167"/>
      <c r="M49" s="165"/>
      <c r="N49" s="163"/>
      <c r="O49" s="163">
        <v>48</v>
      </c>
    </row>
    <row r="50" spans="1:15">
      <c r="A50" s="163">
        <v>49</v>
      </c>
      <c r="B50" s="163" t="str">
        <f t="shared" si="0"/>
        <v>NotApplicable</v>
      </c>
      <c r="D50" s="163" t="e">
        <f>VLOOKUP(C:C,'QT Import for PTC'!B:D,3,0)</f>
        <v>#N/A</v>
      </c>
      <c r="E50" s="165"/>
      <c r="F50" s="165"/>
      <c r="G50" s="165"/>
      <c r="H50" s="165"/>
      <c r="I50" s="165"/>
      <c r="J50" s="166"/>
      <c r="K50" s="163"/>
      <c r="L50" s="167"/>
      <c r="M50" s="165"/>
      <c r="N50" s="163"/>
      <c r="O50" s="163">
        <v>49</v>
      </c>
    </row>
    <row r="51" spans="1:15">
      <c r="A51" s="163">
        <v>50</v>
      </c>
      <c r="B51" s="163" t="str">
        <f t="shared" si="0"/>
        <v>NotApplicable</v>
      </c>
      <c r="D51" s="163" t="e">
        <f>VLOOKUP(C:C,'QT Import for PTC'!B:D,3,0)</f>
        <v>#N/A</v>
      </c>
      <c r="E51" s="165"/>
      <c r="F51" s="165"/>
      <c r="G51" s="165"/>
      <c r="H51" s="165"/>
      <c r="I51" s="165"/>
      <c r="J51" s="166"/>
      <c r="K51" s="163"/>
      <c r="L51" s="167"/>
      <c r="M51" s="165"/>
      <c r="N51" s="163"/>
      <c r="O51" s="163">
        <v>50</v>
      </c>
    </row>
    <row r="52" spans="1:15">
      <c r="A52" s="163">
        <v>51</v>
      </c>
      <c r="B52" s="163" t="str">
        <f t="shared" si="0"/>
        <v>NotApplicable</v>
      </c>
      <c r="D52" s="163" t="e">
        <f>VLOOKUP(C:C,'QT Import for PTC'!B:D,3,0)</f>
        <v>#N/A</v>
      </c>
      <c r="E52" s="165"/>
      <c r="F52" s="165"/>
      <c r="G52" s="165"/>
      <c r="H52" s="165"/>
      <c r="I52" s="165"/>
      <c r="J52" s="166"/>
      <c r="K52" s="163"/>
      <c r="L52" s="167"/>
      <c r="M52" s="165"/>
      <c r="N52" s="163"/>
      <c r="O52" s="163">
        <v>51</v>
      </c>
    </row>
    <row r="53" spans="1:15">
      <c r="A53" s="163">
        <v>52</v>
      </c>
      <c r="B53" s="163" t="str">
        <f t="shared" si="0"/>
        <v>NotApplicable</v>
      </c>
      <c r="D53" s="163" t="e">
        <f>VLOOKUP(C:C,'QT Import for PTC'!B:D,3,0)</f>
        <v>#N/A</v>
      </c>
      <c r="E53" s="165"/>
      <c r="F53" s="165"/>
      <c r="G53" s="165"/>
      <c r="H53" s="165"/>
      <c r="I53" s="165"/>
      <c r="J53" s="166"/>
      <c r="K53" s="163"/>
      <c r="L53" s="167"/>
      <c r="M53" s="165"/>
      <c r="N53" s="163"/>
      <c r="O53" s="163">
        <v>52</v>
      </c>
    </row>
    <row r="54" spans="1:15">
      <c r="A54" s="163">
        <v>53</v>
      </c>
      <c r="B54" s="163" t="str">
        <f t="shared" si="0"/>
        <v>NotApplicable</v>
      </c>
      <c r="D54" s="163" t="e">
        <f>VLOOKUP(C:C,'QT Import for PTC'!B:D,3,0)</f>
        <v>#N/A</v>
      </c>
      <c r="E54" s="165"/>
      <c r="F54" s="165"/>
      <c r="G54" s="165"/>
      <c r="H54" s="165"/>
      <c r="I54" s="165"/>
      <c r="J54" s="166"/>
      <c r="K54" s="163"/>
      <c r="L54" s="167"/>
      <c r="M54" s="165"/>
      <c r="N54" s="163"/>
      <c r="O54" s="163">
        <v>53</v>
      </c>
    </row>
    <row r="55" spans="1:15">
      <c r="A55" s="163">
        <v>54</v>
      </c>
      <c r="B55" s="163" t="str">
        <f t="shared" si="0"/>
        <v>NotApplicable</v>
      </c>
      <c r="D55" s="163" t="e">
        <f>VLOOKUP(C:C,'QT Import for PTC'!B:D,3,0)</f>
        <v>#N/A</v>
      </c>
      <c r="E55" s="165"/>
      <c r="F55" s="165"/>
      <c r="G55" s="165"/>
      <c r="H55" s="165"/>
      <c r="I55" s="165"/>
      <c r="J55" s="166"/>
      <c r="K55" s="163"/>
      <c r="L55" s="167"/>
      <c r="M55" s="165"/>
      <c r="N55" s="163"/>
      <c r="O55" s="163">
        <v>54</v>
      </c>
    </row>
    <row r="56" spans="1:15">
      <c r="A56" s="163">
        <v>55</v>
      </c>
      <c r="B56" s="163" t="str">
        <f t="shared" si="0"/>
        <v>NotApplicable</v>
      </c>
      <c r="D56" s="163" t="e">
        <f>VLOOKUP(C:C,'QT Import for PTC'!B:D,3,0)</f>
        <v>#N/A</v>
      </c>
      <c r="E56" s="165"/>
      <c r="F56" s="165"/>
      <c r="G56" s="165"/>
      <c r="H56" s="165"/>
      <c r="I56" s="165"/>
      <c r="J56" s="166"/>
      <c r="K56" s="163"/>
      <c r="L56" s="167"/>
      <c r="M56" s="165"/>
      <c r="N56" s="163"/>
      <c r="O56" s="163">
        <v>55</v>
      </c>
    </row>
    <row r="57" spans="1:15">
      <c r="A57" s="163">
        <v>56</v>
      </c>
      <c r="B57" s="163" t="str">
        <f t="shared" si="0"/>
        <v>NotApplicable</v>
      </c>
      <c r="D57" s="163" t="e">
        <f>VLOOKUP(C:C,'QT Import for PTC'!B:D,3,0)</f>
        <v>#N/A</v>
      </c>
      <c r="E57" s="165"/>
      <c r="F57" s="165"/>
      <c r="G57" s="165"/>
      <c r="H57" s="165"/>
      <c r="I57" s="165"/>
      <c r="J57" s="166"/>
      <c r="K57" s="163"/>
      <c r="L57" s="167"/>
      <c r="M57" s="165"/>
      <c r="N57" s="163"/>
      <c r="O57" s="163">
        <v>56</v>
      </c>
    </row>
    <row r="58" spans="1:15">
      <c r="A58" s="163">
        <v>57</v>
      </c>
      <c r="B58" s="163" t="str">
        <f t="shared" si="0"/>
        <v>NotApplicable</v>
      </c>
      <c r="D58" s="163" t="e">
        <f>VLOOKUP(C:C,'QT Import for PTC'!B:D,3,0)</f>
        <v>#N/A</v>
      </c>
      <c r="E58" s="165"/>
      <c r="F58" s="165"/>
      <c r="G58" s="165"/>
      <c r="H58" s="165"/>
      <c r="I58" s="165"/>
      <c r="J58" s="166"/>
      <c r="K58" s="163"/>
      <c r="L58" s="167"/>
      <c r="M58" s="165"/>
      <c r="N58" s="163"/>
      <c r="O58" s="163">
        <v>57</v>
      </c>
    </row>
    <row r="59" spans="1:15">
      <c r="A59" s="163">
        <v>58</v>
      </c>
      <c r="B59" s="163" t="str">
        <f t="shared" si="0"/>
        <v>NotApplicable</v>
      </c>
      <c r="D59" s="163" t="e">
        <f>VLOOKUP(C:C,'QT Import for PTC'!B:D,3,0)</f>
        <v>#N/A</v>
      </c>
      <c r="E59" s="165"/>
      <c r="F59" s="165"/>
      <c r="G59" s="165"/>
      <c r="H59" s="165"/>
      <c r="I59" s="165"/>
      <c r="J59" s="166"/>
      <c r="K59" s="163"/>
      <c r="L59" s="167"/>
      <c r="M59" s="165"/>
      <c r="N59" s="163"/>
      <c r="O59" s="163">
        <v>58</v>
      </c>
    </row>
    <row r="60" spans="1:15">
      <c r="A60" s="163">
        <v>59</v>
      </c>
      <c r="B60" s="163" t="str">
        <f t="shared" si="0"/>
        <v>NotApplicable</v>
      </c>
      <c r="D60" s="163" t="e">
        <f>VLOOKUP(C:C,'QT Import for PTC'!B:D,3,0)</f>
        <v>#N/A</v>
      </c>
      <c r="E60" s="165"/>
      <c r="F60" s="165"/>
      <c r="G60" s="165"/>
      <c r="H60" s="165"/>
      <c r="I60" s="165"/>
      <c r="J60" s="166"/>
      <c r="K60" s="163"/>
      <c r="L60" s="167"/>
      <c r="M60" s="165"/>
      <c r="N60" s="163"/>
      <c r="O60" s="163">
        <v>59</v>
      </c>
    </row>
    <row r="61" spans="1:15">
      <c r="A61" s="163">
        <v>60</v>
      </c>
      <c r="B61" s="163" t="str">
        <f t="shared" si="0"/>
        <v>NotApplicable</v>
      </c>
      <c r="D61" s="163" t="e">
        <f>VLOOKUP(C:C,'QT Import for PTC'!B:D,3,0)</f>
        <v>#N/A</v>
      </c>
      <c r="E61" s="165"/>
      <c r="F61" s="165"/>
      <c r="G61" s="165"/>
      <c r="H61" s="165"/>
      <c r="I61" s="165"/>
      <c r="J61" s="166"/>
      <c r="K61" s="163"/>
      <c r="L61" s="167"/>
      <c r="M61" s="165"/>
      <c r="N61" s="163"/>
      <c r="O61" s="163">
        <v>60</v>
      </c>
    </row>
    <row r="62" spans="1:15">
      <c r="A62" s="163">
        <v>61</v>
      </c>
      <c r="B62" s="163" t="str">
        <f t="shared" si="0"/>
        <v>NotApplicable</v>
      </c>
      <c r="D62" s="163" t="e">
        <f>VLOOKUP(C:C,'QT Import for PTC'!B:D,3,0)</f>
        <v>#N/A</v>
      </c>
      <c r="E62" s="165"/>
      <c r="F62" s="165"/>
      <c r="G62" s="165"/>
      <c r="H62" s="165"/>
      <c r="I62" s="165"/>
      <c r="J62" s="166"/>
      <c r="K62" s="163"/>
      <c r="L62" s="167"/>
      <c r="M62" s="165"/>
      <c r="N62" s="163"/>
      <c r="O62" s="163">
        <v>61</v>
      </c>
    </row>
    <row r="63" spans="1:15">
      <c r="A63" s="163">
        <v>62</v>
      </c>
      <c r="B63" s="163" t="str">
        <f t="shared" si="0"/>
        <v>NotApplicable</v>
      </c>
      <c r="D63" s="163" t="e">
        <f>VLOOKUP(C:C,'QT Import for PTC'!B:D,3,0)</f>
        <v>#N/A</v>
      </c>
      <c r="E63" s="165"/>
      <c r="F63" s="165"/>
      <c r="G63" s="165"/>
      <c r="H63" s="165"/>
      <c r="I63" s="165"/>
      <c r="J63" s="166"/>
      <c r="K63" s="163"/>
      <c r="L63" s="167"/>
      <c r="M63" s="165"/>
      <c r="N63" s="163"/>
      <c r="O63" s="163">
        <v>62</v>
      </c>
    </row>
    <row r="64" spans="1:15">
      <c r="A64" s="163">
        <v>63</v>
      </c>
      <c r="B64" s="163" t="str">
        <f t="shared" si="0"/>
        <v>NotApplicable</v>
      </c>
      <c r="D64" s="163" t="e">
        <f>VLOOKUP(C:C,'QT Import for PTC'!B:D,3,0)</f>
        <v>#N/A</v>
      </c>
      <c r="E64" s="165"/>
      <c r="F64" s="165"/>
      <c r="G64" s="165"/>
      <c r="H64" s="165"/>
      <c r="I64" s="165"/>
      <c r="J64" s="166"/>
      <c r="K64" s="163"/>
      <c r="L64" s="167"/>
      <c r="M64" s="165"/>
      <c r="N64" s="163"/>
      <c r="O64" s="163">
        <v>63</v>
      </c>
    </row>
    <row r="65" spans="1:15">
      <c r="A65" s="163">
        <v>64</v>
      </c>
      <c r="B65" s="163" t="str">
        <f t="shared" si="0"/>
        <v>NotApplicable</v>
      </c>
      <c r="D65" s="163" t="e">
        <f>VLOOKUP(C:C,'QT Import for PTC'!B:D,3,0)</f>
        <v>#N/A</v>
      </c>
      <c r="E65" s="165"/>
      <c r="F65" s="165"/>
      <c r="G65" s="165"/>
      <c r="H65" s="165"/>
      <c r="I65" s="165"/>
      <c r="J65" s="166"/>
      <c r="K65" s="163"/>
      <c r="L65" s="167"/>
      <c r="M65" s="165"/>
      <c r="N65" s="163"/>
      <c r="O65" s="163">
        <v>64</v>
      </c>
    </row>
    <row r="66" spans="1:15">
      <c r="A66" s="163">
        <v>65</v>
      </c>
      <c r="B66" s="163" t="str">
        <f t="shared" si="0"/>
        <v>NotApplicable</v>
      </c>
      <c r="D66" s="163" t="e">
        <f>VLOOKUP(C:C,'QT Import for PTC'!B:D,3,0)</f>
        <v>#N/A</v>
      </c>
      <c r="E66" s="165"/>
      <c r="F66" s="165"/>
      <c r="G66" s="165"/>
      <c r="H66" s="165"/>
      <c r="I66" s="165"/>
      <c r="J66" s="166"/>
      <c r="K66" s="163"/>
      <c r="L66" s="167"/>
      <c r="M66" s="165"/>
      <c r="N66" s="163"/>
      <c r="O66" s="163">
        <v>65</v>
      </c>
    </row>
    <row r="67" spans="1:15">
      <c r="A67" s="163">
        <v>66</v>
      </c>
      <c r="B67" s="163" t="str">
        <f t="shared" ref="B67:B130" si="1">IF(ISNA(D67),"NotApplicable","Applicable")</f>
        <v>NotApplicable</v>
      </c>
      <c r="D67" s="163" t="e">
        <f>VLOOKUP(C:C,'QT Import for PTC'!B:D,3,0)</f>
        <v>#N/A</v>
      </c>
      <c r="E67" s="165"/>
      <c r="F67" s="165"/>
      <c r="G67" s="165"/>
      <c r="H67" s="165"/>
      <c r="I67" s="165"/>
      <c r="J67" s="166"/>
      <c r="K67" s="163"/>
      <c r="L67" s="167"/>
      <c r="M67" s="165"/>
      <c r="N67" s="163"/>
      <c r="O67" s="163">
        <v>66</v>
      </c>
    </row>
    <row r="68" spans="1:15">
      <c r="A68" s="163">
        <v>67</v>
      </c>
      <c r="B68" s="163" t="str">
        <f t="shared" si="1"/>
        <v>NotApplicable</v>
      </c>
      <c r="D68" s="163" t="e">
        <f>VLOOKUP(C:C,'QT Import for PTC'!B:D,3,0)</f>
        <v>#N/A</v>
      </c>
      <c r="E68" s="165"/>
      <c r="F68" s="165"/>
      <c r="G68" s="165"/>
      <c r="H68" s="165"/>
      <c r="I68" s="165"/>
      <c r="J68" s="166"/>
      <c r="K68" s="163"/>
      <c r="L68" s="167"/>
      <c r="M68" s="165"/>
      <c r="N68" s="163"/>
      <c r="O68" s="163">
        <v>67</v>
      </c>
    </row>
    <row r="69" spans="1:15">
      <c r="A69" s="163">
        <v>68</v>
      </c>
      <c r="B69" s="163" t="str">
        <f t="shared" si="1"/>
        <v>NotApplicable</v>
      </c>
      <c r="D69" s="163" t="e">
        <f>VLOOKUP(C:C,'QT Import for PTC'!B:D,3,0)</f>
        <v>#N/A</v>
      </c>
      <c r="E69" s="165"/>
      <c r="F69" s="165"/>
      <c r="G69" s="165"/>
      <c r="H69" s="165"/>
      <c r="I69" s="165"/>
      <c r="J69" s="166"/>
      <c r="K69" s="163"/>
      <c r="L69" s="167"/>
      <c r="M69" s="165"/>
      <c r="N69" s="163"/>
      <c r="O69" s="163">
        <v>68</v>
      </c>
    </row>
    <row r="70" spans="1:15">
      <c r="A70" s="163">
        <v>69</v>
      </c>
      <c r="B70" s="163" t="str">
        <f t="shared" si="1"/>
        <v>NotApplicable</v>
      </c>
      <c r="D70" s="163" t="e">
        <f>VLOOKUP(C:C,'QT Import for PTC'!B:D,3,0)</f>
        <v>#N/A</v>
      </c>
      <c r="E70" s="165"/>
      <c r="F70" s="165"/>
      <c r="G70" s="165"/>
      <c r="H70" s="165"/>
      <c r="I70" s="165"/>
      <c r="J70" s="166"/>
      <c r="K70" s="163"/>
      <c r="L70" s="167"/>
      <c r="M70" s="165"/>
      <c r="N70" s="163"/>
      <c r="O70" s="163">
        <v>69</v>
      </c>
    </row>
    <row r="71" spans="1:15">
      <c r="A71" s="163">
        <v>70</v>
      </c>
      <c r="B71" s="163" t="str">
        <f t="shared" si="1"/>
        <v>NotApplicable</v>
      </c>
      <c r="D71" s="163" t="e">
        <f>VLOOKUP(C:C,'QT Import for PTC'!B:D,3,0)</f>
        <v>#N/A</v>
      </c>
      <c r="E71" s="165"/>
      <c r="F71" s="165"/>
      <c r="G71" s="165"/>
      <c r="H71" s="165"/>
      <c r="I71" s="165"/>
      <c r="J71" s="166"/>
      <c r="K71" s="163"/>
      <c r="L71" s="167"/>
      <c r="M71" s="165"/>
      <c r="N71" s="163"/>
      <c r="O71" s="163">
        <v>70</v>
      </c>
    </row>
    <row r="72" spans="1:15">
      <c r="A72" s="163">
        <v>71</v>
      </c>
      <c r="B72" s="163" t="str">
        <f t="shared" si="1"/>
        <v>NotApplicable</v>
      </c>
      <c r="D72" s="163" t="e">
        <f>VLOOKUP(C:C,'QT Import for PTC'!B:D,3,0)</f>
        <v>#N/A</v>
      </c>
      <c r="E72" s="165"/>
      <c r="F72" s="165"/>
      <c r="G72" s="165"/>
      <c r="H72" s="165"/>
      <c r="I72" s="165"/>
      <c r="J72" s="166"/>
      <c r="K72" s="163"/>
      <c r="L72" s="167"/>
      <c r="M72" s="165"/>
      <c r="N72" s="163"/>
      <c r="O72" s="163">
        <v>71</v>
      </c>
    </row>
    <row r="73" spans="1:15">
      <c r="A73" s="163">
        <v>72</v>
      </c>
      <c r="B73" s="163" t="str">
        <f t="shared" si="1"/>
        <v>NotApplicable</v>
      </c>
      <c r="D73" s="163" t="e">
        <f>VLOOKUP(C:C,'QT Import for PTC'!B:D,3,0)</f>
        <v>#N/A</v>
      </c>
      <c r="E73" s="165"/>
      <c r="F73" s="165"/>
      <c r="G73" s="165"/>
      <c r="H73" s="165"/>
      <c r="I73" s="165"/>
      <c r="J73" s="166"/>
      <c r="K73" s="163"/>
      <c r="L73" s="167"/>
      <c r="M73" s="165"/>
      <c r="N73" s="163"/>
      <c r="O73" s="163">
        <v>72</v>
      </c>
    </row>
    <row r="74" spans="1:15">
      <c r="A74" s="163">
        <v>73</v>
      </c>
      <c r="B74" s="163" t="str">
        <f t="shared" si="1"/>
        <v>NotApplicable</v>
      </c>
      <c r="D74" s="163" t="e">
        <f>VLOOKUP(C:C,'QT Import for PTC'!B:D,3,0)</f>
        <v>#N/A</v>
      </c>
      <c r="E74" s="165"/>
      <c r="F74" s="165"/>
      <c r="G74" s="165"/>
      <c r="H74" s="165"/>
      <c r="I74" s="165"/>
      <c r="J74" s="166"/>
      <c r="K74" s="163"/>
      <c r="L74" s="167"/>
      <c r="M74" s="165"/>
      <c r="N74" s="163"/>
      <c r="O74" s="163">
        <v>73</v>
      </c>
    </row>
    <row r="75" spans="1:15">
      <c r="A75" s="163">
        <v>74</v>
      </c>
      <c r="B75" s="163" t="str">
        <f t="shared" si="1"/>
        <v>NotApplicable</v>
      </c>
      <c r="D75" s="163" t="e">
        <f>VLOOKUP(C:C,'QT Import for PTC'!B:D,3,0)</f>
        <v>#N/A</v>
      </c>
      <c r="E75" s="165"/>
      <c r="F75" s="165"/>
      <c r="G75" s="165"/>
      <c r="H75" s="165"/>
      <c r="I75" s="165"/>
      <c r="J75" s="166"/>
      <c r="K75" s="163"/>
      <c r="L75" s="167"/>
      <c r="M75" s="165"/>
      <c r="N75" s="163"/>
      <c r="O75" s="163">
        <v>74</v>
      </c>
    </row>
    <row r="76" spans="1:15">
      <c r="A76" s="163">
        <v>75</v>
      </c>
      <c r="B76" s="163" t="str">
        <f t="shared" si="1"/>
        <v>NotApplicable</v>
      </c>
      <c r="D76" s="163" t="e">
        <f>VLOOKUP(C:C,'QT Import for PTC'!B:D,3,0)</f>
        <v>#N/A</v>
      </c>
      <c r="E76" s="165"/>
      <c r="F76" s="165"/>
      <c r="G76" s="165"/>
      <c r="H76" s="165"/>
      <c r="I76" s="165"/>
      <c r="J76" s="166"/>
      <c r="K76" s="163"/>
      <c r="L76" s="167"/>
      <c r="M76" s="165"/>
      <c r="N76" s="163"/>
      <c r="O76" s="163">
        <v>75</v>
      </c>
    </row>
    <row r="77" spans="1:15">
      <c r="A77" s="163">
        <v>76</v>
      </c>
      <c r="B77" s="163" t="str">
        <f t="shared" si="1"/>
        <v>NotApplicable</v>
      </c>
      <c r="D77" s="163" t="e">
        <f>VLOOKUP(C:C,'QT Import for PTC'!B:D,3,0)</f>
        <v>#N/A</v>
      </c>
      <c r="E77" s="165"/>
      <c r="F77" s="165"/>
      <c r="G77" s="165"/>
      <c r="H77" s="165"/>
      <c r="I77" s="165"/>
      <c r="J77" s="166"/>
      <c r="K77" s="163"/>
      <c r="L77" s="167"/>
      <c r="M77" s="165"/>
      <c r="N77" s="163"/>
      <c r="O77" s="163">
        <v>76</v>
      </c>
    </row>
    <row r="78" spans="1:15">
      <c r="A78" s="163">
        <v>77</v>
      </c>
      <c r="B78" s="163" t="str">
        <f t="shared" si="1"/>
        <v>NotApplicable</v>
      </c>
      <c r="D78" s="163" t="e">
        <f>VLOOKUP(C:C,'QT Import for PTC'!B:D,3,0)</f>
        <v>#N/A</v>
      </c>
      <c r="E78" s="165"/>
      <c r="F78" s="165"/>
      <c r="G78" s="165"/>
      <c r="H78" s="165"/>
      <c r="I78" s="165"/>
      <c r="J78" s="166"/>
      <c r="K78" s="163"/>
      <c r="L78" s="167"/>
      <c r="M78" s="165"/>
      <c r="N78" s="163"/>
      <c r="O78" s="163">
        <v>77</v>
      </c>
    </row>
    <row r="79" spans="1:15">
      <c r="A79" s="163">
        <v>78</v>
      </c>
      <c r="B79" s="163" t="str">
        <f t="shared" si="1"/>
        <v>NotApplicable</v>
      </c>
      <c r="D79" s="163" t="e">
        <f>VLOOKUP(C:C,'QT Import for PTC'!B:D,3,0)</f>
        <v>#N/A</v>
      </c>
      <c r="E79" s="165"/>
      <c r="F79" s="165"/>
      <c r="G79" s="165"/>
      <c r="H79" s="165"/>
      <c r="I79" s="165"/>
      <c r="J79" s="166"/>
      <c r="K79" s="163"/>
      <c r="L79" s="167"/>
      <c r="M79" s="165"/>
      <c r="N79" s="163"/>
      <c r="O79" s="163">
        <v>78</v>
      </c>
    </row>
    <row r="80" spans="1:15">
      <c r="A80" s="163">
        <v>79</v>
      </c>
      <c r="B80" s="163" t="str">
        <f t="shared" si="1"/>
        <v>NotApplicable</v>
      </c>
      <c r="D80" s="163" t="e">
        <f>VLOOKUP(C:C,'QT Import for PTC'!B:D,3,0)</f>
        <v>#N/A</v>
      </c>
      <c r="E80" s="165"/>
      <c r="F80" s="165"/>
      <c r="G80" s="165"/>
      <c r="H80" s="165"/>
      <c r="I80" s="165"/>
      <c r="J80" s="166"/>
      <c r="K80" s="163"/>
      <c r="L80" s="167"/>
      <c r="M80" s="165"/>
      <c r="N80" s="163"/>
      <c r="O80" s="163">
        <v>79</v>
      </c>
    </row>
    <row r="81" spans="1:15">
      <c r="A81" s="163">
        <v>80</v>
      </c>
      <c r="B81" s="163" t="str">
        <f t="shared" si="1"/>
        <v>NotApplicable</v>
      </c>
      <c r="D81" s="163" t="e">
        <f>VLOOKUP(C:C,'QT Import for PTC'!B:D,3,0)</f>
        <v>#N/A</v>
      </c>
      <c r="E81" s="165"/>
      <c r="F81" s="165"/>
      <c r="G81" s="165"/>
      <c r="H81" s="165"/>
      <c r="I81" s="165"/>
      <c r="J81" s="166"/>
      <c r="K81" s="163"/>
      <c r="L81" s="167"/>
      <c r="M81" s="165"/>
      <c r="N81" s="163"/>
      <c r="O81" s="163">
        <v>80</v>
      </c>
    </row>
    <row r="82" spans="1:15">
      <c r="A82" s="163">
        <v>81</v>
      </c>
      <c r="B82" s="163" t="str">
        <f t="shared" si="1"/>
        <v>NotApplicable</v>
      </c>
      <c r="D82" s="163" t="e">
        <f>VLOOKUP(C:C,'QT Import for PTC'!B:D,3,0)</f>
        <v>#N/A</v>
      </c>
      <c r="E82" s="165"/>
      <c r="F82" s="165"/>
      <c r="G82" s="165"/>
      <c r="H82" s="165"/>
      <c r="I82" s="165"/>
      <c r="J82" s="166"/>
      <c r="K82" s="163"/>
      <c r="L82" s="167"/>
      <c r="M82" s="165"/>
      <c r="N82" s="163"/>
      <c r="O82" s="163">
        <v>81</v>
      </c>
    </row>
    <row r="83" spans="1:15">
      <c r="A83" s="163">
        <v>82</v>
      </c>
      <c r="B83" s="163" t="str">
        <f t="shared" si="1"/>
        <v>NotApplicable</v>
      </c>
      <c r="D83" s="163" t="e">
        <f>VLOOKUP(C:C,'QT Import for PTC'!B:D,3,0)</f>
        <v>#N/A</v>
      </c>
      <c r="E83" s="165"/>
      <c r="F83" s="165"/>
      <c r="G83" s="165"/>
      <c r="H83" s="165"/>
      <c r="I83" s="165"/>
      <c r="J83" s="166"/>
      <c r="K83" s="163"/>
      <c r="L83" s="167"/>
      <c r="M83" s="165"/>
      <c r="N83" s="163"/>
      <c r="O83" s="163">
        <v>82</v>
      </c>
    </row>
    <row r="84" spans="1:15">
      <c r="A84" s="163">
        <v>83</v>
      </c>
      <c r="B84" s="163" t="str">
        <f t="shared" si="1"/>
        <v>NotApplicable</v>
      </c>
      <c r="D84" s="163" t="e">
        <f>VLOOKUP(C:C,'QT Import for PTC'!B:D,3,0)</f>
        <v>#N/A</v>
      </c>
      <c r="E84" s="165"/>
      <c r="F84" s="165"/>
      <c r="G84" s="165"/>
      <c r="H84" s="165"/>
      <c r="I84" s="165"/>
      <c r="J84" s="166"/>
      <c r="K84" s="163"/>
      <c r="L84" s="167"/>
      <c r="M84" s="165"/>
      <c r="N84" s="163"/>
      <c r="O84" s="163">
        <v>83</v>
      </c>
    </row>
    <row r="85" spans="1:15">
      <c r="A85" s="163">
        <v>84</v>
      </c>
      <c r="B85" s="163" t="str">
        <f t="shared" si="1"/>
        <v>NotApplicable</v>
      </c>
      <c r="D85" s="163" t="e">
        <f>VLOOKUP(C:C,'QT Import for PTC'!B:D,3,0)</f>
        <v>#N/A</v>
      </c>
      <c r="E85" s="165"/>
      <c r="F85" s="165"/>
      <c r="G85" s="165"/>
      <c r="H85" s="165"/>
      <c r="I85" s="165"/>
      <c r="J85" s="166"/>
      <c r="K85" s="163"/>
      <c r="L85" s="167"/>
      <c r="M85" s="165"/>
      <c r="N85" s="163"/>
      <c r="O85" s="163">
        <v>84</v>
      </c>
    </row>
    <row r="86" spans="1:15">
      <c r="A86" s="163">
        <v>85</v>
      </c>
      <c r="B86" s="163" t="str">
        <f t="shared" si="1"/>
        <v>NotApplicable</v>
      </c>
      <c r="D86" s="163" t="e">
        <f>VLOOKUP(C:C,'QT Import for PTC'!B:D,3,0)</f>
        <v>#N/A</v>
      </c>
      <c r="E86" s="165"/>
      <c r="F86" s="165"/>
      <c r="G86" s="165"/>
      <c r="H86" s="165"/>
      <c r="I86" s="165"/>
      <c r="J86" s="166"/>
      <c r="K86" s="163"/>
      <c r="L86" s="167"/>
      <c r="M86" s="165"/>
      <c r="N86" s="163"/>
      <c r="O86" s="163">
        <v>85</v>
      </c>
    </row>
    <row r="87" spans="1:15">
      <c r="A87" s="163">
        <v>86</v>
      </c>
      <c r="B87" s="163" t="str">
        <f t="shared" si="1"/>
        <v>NotApplicable</v>
      </c>
      <c r="D87" s="163" t="e">
        <f>VLOOKUP(C:C,'QT Import for PTC'!B:D,3,0)</f>
        <v>#N/A</v>
      </c>
      <c r="E87" s="165"/>
      <c r="F87" s="165"/>
      <c r="G87" s="165"/>
      <c r="H87" s="165"/>
      <c r="I87" s="165"/>
      <c r="J87" s="166"/>
      <c r="K87" s="163"/>
      <c r="L87" s="167"/>
      <c r="M87" s="165"/>
      <c r="N87" s="163"/>
      <c r="O87" s="163">
        <v>86</v>
      </c>
    </row>
    <row r="88" spans="1:15">
      <c r="A88" s="163">
        <v>87</v>
      </c>
      <c r="B88" s="163" t="str">
        <f t="shared" si="1"/>
        <v>NotApplicable</v>
      </c>
      <c r="D88" s="163" t="e">
        <f>VLOOKUP(C:C,'QT Import for PTC'!B:D,3,0)</f>
        <v>#N/A</v>
      </c>
      <c r="E88" s="165"/>
      <c r="F88" s="165"/>
      <c r="G88" s="165"/>
      <c r="H88" s="165"/>
      <c r="I88" s="165"/>
      <c r="J88" s="166"/>
      <c r="K88" s="163"/>
      <c r="L88" s="167"/>
      <c r="M88" s="165"/>
      <c r="N88" s="163"/>
      <c r="O88" s="163">
        <v>87</v>
      </c>
    </row>
    <row r="89" spans="1:15">
      <c r="A89" s="163">
        <v>88</v>
      </c>
      <c r="B89" s="163" t="str">
        <f t="shared" si="1"/>
        <v>NotApplicable</v>
      </c>
      <c r="D89" s="163" t="e">
        <f>VLOOKUP(C:C,'QT Import for PTC'!B:D,3,0)</f>
        <v>#N/A</v>
      </c>
      <c r="E89" s="165"/>
      <c r="F89" s="165"/>
      <c r="G89" s="165"/>
      <c r="H89" s="165"/>
      <c r="I89" s="165"/>
      <c r="J89" s="166"/>
      <c r="K89" s="163"/>
      <c r="L89" s="167"/>
      <c r="M89" s="165"/>
      <c r="N89" s="163"/>
      <c r="O89" s="163">
        <v>88</v>
      </c>
    </row>
    <row r="90" spans="1:15">
      <c r="A90" s="163">
        <v>89</v>
      </c>
      <c r="B90" s="163" t="str">
        <f t="shared" si="1"/>
        <v>NotApplicable</v>
      </c>
      <c r="D90" s="163" t="e">
        <f>VLOOKUP(C:C,'QT Import for PTC'!B:D,3,0)</f>
        <v>#N/A</v>
      </c>
      <c r="E90" s="165"/>
      <c r="F90" s="165"/>
      <c r="G90" s="165"/>
      <c r="H90" s="165"/>
      <c r="I90" s="165"/>
      <c r="J90" s="166"/>
      <c r="K90" s="163"/>
      <c r="L90" s="167"/>
      <c r="M90" s="165"/>
      <c r="N90" s="163"/>
      <c r="O90" s="163">
        <v>89</v>
      </c>
    </row>
    <row r="91" spans="1:15">
      <c r="A91" s="163">
        <v>90</v>
      </c>
      <c r="B91" s="163" t="str">
        <f t="shared" si="1"/>
        <v>NotApplicable</v>
      </c>
      <c r="D91" s="163" t="e">
        <f>VLOOKUP(C:C,'QT Import for PTC'!B:D,3,0)</f>
        <v>#N/A</v>
      </c>
      <c r="E91" s="165"/>
      <c r="F91" s="165"/>
      <c r="G91" s="165"/>
      <c r="H91" s="165"/>
      <c r="I91" s="165"/>
      <c r="J91" s="166"/>
      <c r="K91" s="163"/>
      <c r="L91" s="167"/>
      <c r="M91" s="165"/>
      <c r="N91" s="163"/>
      <c r="O91" s="163">
        <v>90</v>
      </c>
    </row>
    <row r="92" spans="1:15">
      <c r="A92" s="163">
        <v>91</v>
      </c>
      <c r="B92" s="163" t="str">
        <f t="shared" si="1"/>
        <v>NotApplicable</v>
      </c>
      <c r="D92" s="163" t="e">
        <f>VLOOKUP(C:C,'QT Import for PTC'!B:D,3,0)</f>
        <v>#N/A</v>
      </c>
      <c r="E92" s="165"/>
      <c r="F92" s="165"/>
      <c r="G92" s="165"/>
      <c r="H92" s="165"/>
      <c r="I92" s="165"/>
      <c r="J92" s="166"/>
      <c r="K92" s="163"/>
      <c r="L92" s="167"/>
      <c r="M92" s="165"/>
      <c r="N92" s="163"/>
      <c r="O92" s="163">
        <v>91</v>
      </c>
    </row>
    <row r="93" spans="1:15">
      <c r="A93" s="163">
        <v>92</v>
      </c>
      <c r="B93" s="163" t="str">
        <f t="shared" si="1"/>
        <v>NotApplicable</v>
      </c>
      <c r="D93" s="163" t="e">
        <f>VLOOKUP(C:C,'QT Import for PTC'!B:D,3,0)</f>
        <v>#N/A</v>
      </c>
      <c r="E93" s="165"/>
      <c r="F93" s="165"/>
      <c r="G93" s="165"/>
      <c r="H93" s="165"/>
      <c r="I93" s="165"/>
      <c r="J93" s="166"/>
      <c r="K93" s="163"/>
      <c r="L93" s="167"/>
      <c r="M93" s="165"/>
      <c r="N93" s="163"/>
      <c r="O93" s="163">
        <v>92</v>
      </c>
    </row>
    <row r="94" spans="1:15">
      <c r="A94" s="163">
        <v>93</v>
      </c>
      <c r="B94" s="163" t="str">
        <f t="shared" si="1"/>
        <v>NotApplicable</v>
      </c>
      <c r="D94" s="163" t="e">
        <f>VLOOKUP(C:C,'QT Import for PTC'!B:D,3,0)</f>
        <v>#N/A</v>
      </c>
      <c r="E94" s="165"/>
      <c r="F94" s="165"/>
      <c r="G94" s="165"/>
      <c r="H94" s="165"/>
      <c r="I94" s="165"/>
      <c r="J94" s="166"/>
      <c r="K94" s="163"/>
      <c r="L94" s="167"/>
      <c r="M94" s="165"/>
      <c r="N94" s="163"/>
      <c r="O94" s="163">
        <v>93</v>
      </c>
    </row>
    <row r="95" spans="1:15">
      <c r="A95" s="163">
        <v>94</v>
      </c>
      <c r="B95" s="163" t="str">
        <f t="shared" si="1"/>
        <v>NotApplicable</v>
      </c>
      <c r="D95" s="163" t="e">
        <f>VLOOKUP(C:C,'QT Import for PTC'!B:D,3,0)</f>
        <v>#N/A</v>
      </c>
      <c r="E95" s="165"/>
      <c r="F95" s="165"/>
      <c r="G95" s="165"/>
      <c r="H95" s="165"/>
      <c r="I95" s="165"/>
      <c r="J95" s="166"/>
      <c r="K95" s="163"/>
      <c r="L95" s="167"/>
      <c r="M95" s="165"/>
      <c r="N95" s="163"/>
      <c r="O95" s="163">
        <v>94</v>
      </c>
    </row>
    <row r="96" spans="1:15">
      <c r="A96" s="163">
        <v>95</v>
      </c>
      <c r="B96" s="163" t="str">
        <f t="shared" si="1"/>
        <v>NotApplicable</v>
      </c>
      <c r="D96" s="163" t="e">
        <f>VLOOKUP(C:C,'QT Import for PTC'!B:D,3,0)</f>
        <v>#N/A</v>
      </c>
      <c r="E96" s="165"/>
      <c r="F96" s="165"/>
      <c r="G96" s="165"/>
      <c r="H96" s="165"/>
      <c r="I96" s="165"/>
      <c r="J96" s="166"/>
      <c r="K96" s="163"/>
      <c r="L96" s="167"/>
      <c r="M96" s="165"/>
      <c r="N96" s="163"/>
      <c r="O96" s="163">
        <v>95</v>
      </c>
    </row>
    <row r="97" spans="1:15">
      <c r="A97" s="163">
        <v>96</v>
      </c>
      <c r="B97" s="163" t="str">
        <f t="shared" si="1"/>
        <v>NotApplicable</v>
      </c>
      <c r="D97" s="163" t="e">
        <f>VLOOKUP(C:C,'QT Import for PTC'!B:D,3,0)</f>
        <v>#N/A</v>
      </c>
      <c r="E97" s="165"/>
      <c r="F97" s="165"/>
      <c r="G97" s="165"/>
      <c r="H97" s="165"/>
      <c r="I97" s="165"/>
      <c r="J97" s="166"/>
      <c r="K97" s="163"/>
      <c r="L97" s="167"/>
      <c r="M97" s="165"/>
      <c r="N97" s="163"/>
      <c r="O97" s="163">
        <v>96</v>
      </c>
    </row>
    <row r="98" spans="1:15">
      <c r="A98" s="163">
        <v>97</v>
      </c>
      <c r="B98" s="163" t="str">
        <f t="shared" si="1"/>
        <v>NotApplicable</v>
      </c>
      <c r="D98" s="163" t="e">
        <f>VLOOKUP(C:C,'QT Import for PTC'!B:D,3,0)</f>
        <v>#N/A</v>
      </c>
      <c r="E98" s="165"/>
      <c r="F98" s="165"/>
      <c r="G98" s="165"/>
      <c r="H98" s="165"/>
      <c r="I98" s="165"/>
      <c r="J98" s="166"/>
      <c r="K98" s="163"/>
      <c r="L98" s="167"/>
      <c r="M98" s="165"/>
      <c r="N98" s="163"/>
      <c r="O98" s="163">
        <v>97</v>
      </c>
    </row>
    <row r="99" spans="1:15">
      <c r="A99" s="163">
        <v>98</v>
      </c>
      <c r="B99" s="163" t="str">
        <f t="shared" si="1"/>
        <v>NotApplicable</v>
      </c>
      <c r="D99" s="163" t="e">
        <f>VLOOKUP(C:C,'QT Import for PTC'!B:D,3,0)</f>
        <v>#N/A</v>
      </c>
      <c r="E99" s="165"/>
      <c r="F99" s="165"/>
      <c r="G99" s="165"/>
      <c r="H99" s="165"/>
      <c r="I99" s="165"/>
      <c r="J99" s="166"/>
      <c r="K99" s="163"/>
      <c r="L99" s="167"/>
      <c r="M99" s="165"/>
      <c r="N99" s="163"/>
      <c r="O99" s="163">
        <v>98</v>
      </c>
    </row>
    <row r="100" spans="1:15">
      <c r="A100" s="163">
        <v>99</v>
      </c>
      <c r="B100" s="163" t="str">
        <f t="shared" si="1"/>
        <v>NotApplicable</v>
      </c>
      <c r="D100" s="163" t="e">
        <f>VLOOKUP(C:C,'QT Import for PTC'!B:D,3,0)</f>
        <v>#N/A</v>
      </c>
      <c r="E100" s="165"/>
      <c r="F100" s="165"/>
      <c r="G100" s="165"/>
      <c r="H100" s="165"/>
      <c r="I100" s="165"/>
      <c r="J100" s="166"/>
      <c r="K100" s="163"/>
      <c r="L100" s="167"/>
      <c r="M100" s="165"/>
      <c r="N100" s="163"/>
      <c r="O100" s="163">
        <v>99</v>
      </c>
    </row>
    <row r="101" spans="1:15">
      <c r="A101" s="163">
        <v>100</v>
      </c>
      <c r="B101" s="163" t="str">
        <f t="shared" si="1"/>
        <v>NotApplicable</v>
      </c>
      <c r="D101" s="163" t="e">
        <f>VLOOKUP(C:C,'QT Import for PTC'!B:D,3,0)</f>
        <v>#N/A</v>
      </c>
      <c r="E101" s="165"/>
      <c r="F101" s="165"/>
      <c r="G101" s="165"/>
      <c r="H101" s="165"/>
      <c r="I101" s="165"/>
      <c r="J101" s="166"/>
      <c r="K101" s="163"/>
      <c r="L101" s="167"/>
      <c r="M101" s="165"/>
      <c r="N101" s="163"/>
      <c r="O101" s="163">
        <v>100</v>
      </c>
    </row>
    <row r="102" spans="1:15">
      <c r="A102" s="163">
        <v>101</v>
      </c>
      <c r="B102" s="163" t="str">
        <f t="shared" si="1"/>
        <v>NotApplicable</v>
      </c>
      <c r="D102" s="163" t="e">
        <f>VLOOKUP(C:C,'QT Import for PTC'!B:D,3,0)</f>
        <v>#N/A</v>
      </c>
      <c r="E102" s="165"/>
      <c r="F102" s="165"/>
      <c r="G102" s="165"/>
      <c r="H102" s="165"/>
      <c r="I102" s="165"/>
      <c r="J102" s="166"/>
      <c r="K102" s="163"/>
      <c r="L102" s="167"/>
      <c r="M102" s="165"/>
      <c r="N102" s="163"/>
      <c r="O102" s="163">
        <v>101</v>
      </c>
    </row>
    <row r="103" spans="1:15">
      <c r="A103" s="163">
        <v>102</v>
      </c>
      <c r="B103" s="163" t="str">
        <f t="shared" si="1"/>
        <v>NotApplicable</v>
      </c>
      <c r="D103" s="163" t="e">
        <f>VLOOKUP(C:C,'QT Import for PTC'!B:D,3,0)</f>
        <v>#N/A</v>
      </c>
      <c r="E103" s="165"/>
      <c r="F103" s="165"/>
      <c r="G103" s="165"/>
      <c r="H103" s="165"/>
      <c r="I103" s="165"/>
      <c r="J103" s="166"/>
      <c r="K103" s="163"/>
      <c r="L103" s="167"/>
      <c r="M103" s="165"/>
      <c r="N103" s="163"/>
      <c r="O103" s="163">
        <v>102</v>
      </c>
    </row>
    <row r="104" spans="1:15">
      <c r="A104" s="163">
        <v>103</v>
      </c>
      <c r="B104" s="163" t="str">
        <f t="shared" si="1"/>
        <v>NotApplicable</v>
      </c>
      <c r="D104" s="163" t="e">
        <f>VLOOKUP(C:C,'QT Import for PTC'!B:D,3,0)</f>
        <v>#N/A</v>
      </c>
      <c r="E104" s="165"/>
      <c r="F104" s="165"/>
      <c r="G104" s="165"/>
      <c r="H104" s="165"/>
      <c r="I104" s="165"/>
      <c r="J104" s="166"/>
      <c r="K104" s="163"/>
      <c r="L104" s="167"/>
      <c r="M104" s="165"/>
      <c r="N104" s="163"/>
      <c r="O104" s="163">
        <v>103</v>
      </c>
    </row>
    <row r="105" spans="1:15">
      <c r="A105" s="163">
        <v>104</v>
      </c>
      <c r="B105" s="163" t="str">
        <f t="shared" si="1"/>
        <v>NotApplicable</v>
      </c>
      <c r="D105" s="163" t="e">
        <f>VLOOKUP(C:C,'QT Import for PTC'!B:D,3,0)</f>
        <v>#N/A</v>
      </c>
      <c r="E105" s="165"/>
      <c r="F105" s="165"/>
      <c r="G105" s="165"/>
      <c r="H105" s="165"/>
      <c r="I105" s="165"/>
      <c r="J105" s="166"/>
      <c r="K105" s="163"/>
      <c r="L105" s="167"/>
      <c r="M105" s="165"/>
      <c r="N105" s="163"/>
      <c r="O105" s="163">
        <v>104</v>
      </c>
    </row>
    <row r="106" spans="1:15">
      <c r="A106" s="163">
        <v>105</v>
      </c>
      <c r="B106" s="163" t="str">
        <f t="shared" si="1"/>
        <v>NotApplicable</v>
      </c>
      <c r="D106" s="163" t="e">
        <f>VLOOKUP(C:C,'QT Import for PTC'!B:D,3,0)</f>
        <v>#N/A</v>
      </c>
      <c r="E106" s="165"/>
      <c r="F106" s="165"/>
      <c r="G106" s="165"/>
      <c r="H106" s="165"/>
      <c r="I106" s="165"/>
      <c r="J106" s="166"/>
      <c r="K106" s="163"/>
      <c r="L106" s="167"/>
      <c r="M106" s="165"/>
      <c r="N106" s="163"/>
      <c r="O106" s="163">
        <v>105</v>
      </c>
    </row>
    <row r="107" spans="1:15">
      <c r="A107" s="163">
        <v>106</v>
      </c>
      <c r="B107" s="163" t="str">
        <f t="shared" si="1"/>
        <v>NotApplicable</v>
      </c>
      <c r="D107" s="163" t="e">
        <f>VLOOKUP(C:C,'QT Import for PTC'!B:D,3,0)</f>
        <v>#N/A</v>
      </c>
      <c r="E107" s="165"/>
      <c r="F107" s="165"/>
      <c r="G107" s="165"/>
      <c r="H107" s="165"/>
      <c r="I107" s="165"/>
      <c r="J107" s="166"/>
      <c r="K107" s="163"/>
      <c r="L107" s="167"/>
      <c r="M107" s="165"/>
      <c r="N107" s="163"/>
      <c r="O107" s="163">
        <v>106</v>
      </c>
    </row>
    <row r="108" spans="1:15">
      <c r="A108" s="163">
        <v>107</v>
      </c>
      <c r="B108" s="163" t="str">
        <f t="shared" si="1"/>
        <v>NotApplicable</v>
      </c>
      <c r="D108" s="163" t="e">
        <f>VLOOKUP(C:C,'QT Import for PTC'!B:D,3,0)</f>
        <v>#N/A</v>
      </c>
      <c r="E108" s="165"/>
      <c r="F108" s="165"/>
      <c r="G108" s="165"/>
      <c r="H108" s="165"/>
      <c r="I108" s="165"/>
      <c r="J108" s="166"/>
      <c r="K108" s="163"/>
      <c r="L108" s="167"/>
      <c r="M108" s="165"/>
      <c r="N108" s="163"/>
      <c r="O108" s="163">
        <v>107</v>
      </c>
    </row>
    <row r="109" spans="1:15">
      <c r="A109" s="163">
        <v>108</v>
      </c>
      <c r="B109" s="163" t="str">
        <f t="shared" si="1"/>
        <v>NotApplicable</v>
      </c>
      <c r="D109" s="163" t="e">
        <f>VLOOKUP(C:C,'QT Import for PTC'!B:D,3,0)</f>
        <v>#N/A</v>
      </c>
      <c r="E109" s="165"/>
      <c r="F109" s="165"/>
      <c r="G109" s="165"/>
      <c r="H109" s="165"/>
      <c r="I109" s="165"/>
      <c r="J109" s="166"/>
      <c r="K109" s="163"/>
      <c r="L109" s="167"/>
      <c r="M109" s="165"/>
      <c r="N109" s="163"/>
      <c r="O109" s="163">
        <v>108</v>
      </c>
    </row>
    <row r="110" spans="1:15">
      <c r="A110" s="163">
        <v>109</v>
      </c>
      <c r="B110" s="163" t="str">
        <f t="shared" si="1"/>
        <v>NotApplicable</v>
      </c>
      <c r="D110" s="163" t="e">
        <f>VLOOKUP(C:C,'QT Import for PTC'!B:D,3,0)</f>
        <v>#N/A</v>
      </c>
      <c r="E110" s="165"/>
      <c r="F110" s="165"/>
      <c r="G110" s="165"/>
      <c r="H110" s="165"/>
      <c r="I110" s="165"/>
      <c r="J110" s="166"/>
      <c r="K110" s="163"/>
      <c r="L110" s="167"/>
      <c r="M110" s="165"/>
      <c r="N110" s="163"/>
      <c r="O110" s="163">
        <v>109</v>
      </c>
    </row>
    <row r="111" spans="1:15">
      <c r="A111" s="163">
        <v>110</v>
      </c>
      <c r="B111" s="163" t="str">
        <f t="shared" si="1"/>
        <v>NotApplicable</v>
      </c>
      <c r="D111" s="163" t="e">
        <f>VLOOKUP(C:C,'QT Import for PTC'!B:D,3,0)</f>
        <v>#N/A</v>
      </c>
      <c r="E111" s="165"/>
      <c r="F111" s="165"/>
      <c r="G111" s="165"/>
      <c r="H111" s="165"/>
      <c r="I111" s="165"/>
      <c r="J111" s="166"/>
      <c r="K111" s="163"/>
      <c r="L111" s="167"/>
      <c r="M111" s="165"/>
      <c r="N111" s="163"/>
      <c r="O111" s="163">
        <v>110</v>
      </c>
    </row>
    <row r="112" spans="1:15">
      <c r="A112" s="163">
        <v>111</v>
      </c>
      <c r="B112" s="163" t="str">
        <f t="shared" si="1"/>
        <v>NotApplicable</v>
      </c>
      <c r="D112" s="163" t="e">
        <f>VLOOKUP(C:C,'QT Import for PTC'!B:D,3,0)</f>
        <v>#N/A</v>
      </c>
      <c r="E112" s="165"/>
      <c r="F112" s="165"/>
      <c r="G112" s="165"/>
      <c r="H112" s="165"/>
      <c r="I112" s="165"/>
      <c r="J112" s="166"/>
      <c r="K112" s="163"/>
      <c r="L112" s="167"/>
      <c r="M112" s="165"/>
      <c r="N112" s="163"/>
      <c r="O112" s="163">
        <v>111</v>
      </c>
    </row>
    <row r="113" spans="1:15">
      <c r="A113" s="163">
        <v>112</v>
      </c>
      <c r="B113" s="163" t="str">
        <f t="shared" si="1"/>
        <v>NotApplicable</v>
      </c>
      <c r="D113" s="163" t="e">
        <f>VLOOKUP(C:C,'QT Import for PTC'!B:D,3,0)</f>
        <v>#N/A</v>
      </c>
      <c r="E113" s="165"/>
      <c r="F113" s="165"/>
      <c r="G113" s="165"/>
      <c r="H113" s="165"/>
      <c r="I113" s="165"/>
      <c r="J113" s="166"/>
      <c r="K113" s="163"/>
      <c r="L113" s="167"/>
      <c r="M113" s="165"/>
      <c r="N113" s="163"/>
      <c r="O113" s="163">
        <v>112</v>
      </c>
    </row>
    <row r="114" spans="1:15">
      <c r="A114" s="163">
        <v>113</v>
      </c>
      <c r="B114" s="163" t="str">
        <f t="shared" si="1"/>
        <v>NotApplicable</v>
      </c>
      <c r="D114" s="163" t="e">
        <f>VLOOKUP(C:C,'QT Import for PTC'!B:D,3,0)</f>
        <v>#N/A</v>
      </c>
      <c r="E114" s="165"/>
      <c r="F114" s="165"/>
      <c r="G114" s="165"/>
      <c r="H114" s="165"/>
      <c r="I114" s="165"/>
      <c r="J114" s="166"/>
      <c r="K114" s="163"/>
      <c r="L114" s="167"/>
      <c r="M114" s="165"/>
      <c r="N114" s="163"/>
      <c r="O114" s="163">
        <v>113</v>
      </c>
    </row>
    <row r="115" spans="1:15">
      <c r="A115" s="163">
        <v>114</v>
      </c>
      <c r="B115" s="163" t="str">
        <f t="shared" si="1"/>
        <v>NotApplicable</v>
      </c>
      <c r="D115" s="163" t="e">
        <f>VLOOKUP(C:C,'QT Import for PTC'!B:D,3,0)</f>
        <v>#N/A</v>
      </c>
      <c r="E115" s="165"/>
      <c r="F115" s="165"/>
      <c r="G115" s="165"/>
      <c r="H115" s="165"/>
      <c r="I115" s="165"/>
      <c r="J115" s="166"/>
      <c r="K115" s="163"/>
      <c r="L115" s="167"/>
      <c r="M115" s="165"/>
      <c r="N115" s="163"/>
      <c r="O115" s="163">
        <v>114</v>
      </c>
    </row>
    <row r="116" spans="1:15">
      <c r="A116" s="163">
        <v>115</v>
      </c>
      <c r="B116" s="163" t="str">
        <f t="shared" si="1"/>
        <v>NotApplicable</v>
      </c>
      <c r="D116" s="163" t="e">
        <f>VLOOKUP(C:C,'QT Import for PTC'!B:D,3,0)</f>
        <v>#N/A</v>
      </c>
      <c r="E116" s="165"/>
      <c r="F116" s="165"/>
      <c r="G116" s="165"/>
      <c r="H116" s="165"/>
      <c r="I116" s="165"/>
      <c r="J116" s="166"/>
      <c r="K116" s="163"/>
      <c r="L116" s="167"/>
      <c r="M116" s="165"/>
      <c r="N116" s="163"/>
      <c r="O116" s="163">
        <v>115</v>
      </c>
    </row>
    <row r="117" spans="1:15">
      <c r="A117" s="163">
        <v>116</v>
      </c>
      <c r="B117" s="163" t="str">
        <f t="shared" si="1"/>
        <v>NotApplicable</v>
      </c>
      <c r="D117" s="163" t="e">
        <f>VLOOKUP(C:C,'QT Import for PTC'!B:D,3,0)</f>
        <v>#N/A</v>
      </c>
      <c r="E117" s="165"/>
      <c r="F117" s="165"/>
      <c r="G117" s="165"/>
      <c r="H117" s="165"/>
      <c r="I117" s="165"/>
      <c r="J117" s="166"/>
      <c r="K117" s="163"/>
      <c r="L117" s="167"/>
      <c r="M117" s="165"/>
      <c r="N117" s="163"/>
      <c r="O117" s="163">
        <v>116</v>
      </c>
    </row>
    <row r="118" spans="1:15">
      <c r="A118" s="163">
        <v>117</v>
      </c>
      <c r="B118" s="163" t="str">
        <f t="shared" si="1"/>
        <v>NotApplicable</v>
      </c>
      <c r="D118" s="163" t="e">
        <f>VLOOKUP(C:C,'QT Import for PTC'!B:D,3,0)</f>
        <v>#N/A</v>
      </c>
      <c r="E118" s="165"/>
      <c r="F118" s="165"/>
      <c r="G118" s="165"/>
      <c r="H118" s="165"/>
      <c r="I118" s="165"/>
      <c r="J118" s="166"/>
      <c r="K118" s="163"/>
      <c r="L118" s="167"/>
      <c r="M118" s="165"/>
      <c r="N118" s="163"/>
      <c r="O118" s="163">
        <v>117</v>
      </c>
    </row>
    <row r="119" spans="1:15">
      <c r="A119" s="163">
        <v>118</v>
      </c>
      <c r="B119" s="163" t="str">
        <f t="shared" si="1"/>
        <v>NotApplicable</v>
      </c>
      <c r="D119" s="163" t="e">
        <f>VLOOKUP(C:C,'QT Import for PTC'!B:D,3,0)</f>
        <v>#N/A</v>
      </c>
      <c r="E119" s="165"/>
      <c r="F119" s="165"/>
      <c r="G119" s="165"/>
      <c r="H119" s="165"/>
      <c r="I119" s="165"/>
      <c r="J119" s="166"/>
      <c r="K119" s="163"/>
      <c r="L119" s="167"/>
      <c r="M119" s="165"/>
      <c r="N119" s="163"/>
      <c r="O119" s="163">
        <v>118</v>
      </c>
    </row>
    <row r="120" spans="1:15">
      <c r="A120" s="163">
        <v>119</v>
      </c>
      <c r="B120" s="163" t="str">
        <f t="shared" si="1"/>
        <v>NotApplicable</v>
      </c>
      <c r="D120" s="163" t="e">
        <f>VLOOKUP(C:C,'QT Import for PTC'!B:D,3,0)</f>
        <v>#N/A</v>
      </c>
      <c r="E120" s="165"/>
      <c r="F120" s="165"/>
      <c r="G120" s="165"/>
      <c r="H120" s="165"/>
      <c r="I120" s="165"/>
      <c r="J120" s="166"/>
      <c r="K120" s="163"/>
      <c r="L120" s="167"/>
      <c r="M120" s="165"/>
      <c r="N120" s="163"/>
      <c r="O120" s="163">
        <v>119</v>
      </c>
    </row>
    <row r="121" spans="1:15">
      <c r="A121" s="163">
        <v>120</v>
      </c>
      <c r="B121" s="163" t="str">
        <f t="shared" si="1"/>
        <v>NotApplicable</v>
      </c>
      <c r="D121" s="163" t="e">
        <f>VLOOKUP(C:C,'QT Import for PTC'!B:D,3,0)</f>
        <v>#N/A</v>
      </c>
      <c r="E121" s="165"/>
      <c r="F121" s="165"/>
      <c r="G121" s="165"/>
      <c r="H121" s="165"/>
      <c r="I121" s="165"/>
      <c r="J121" s="166"/>
      <c r="K121" s="163"/>
      <c r="L121" s="167"/>
      <c r="M121" s="165"/>
      <c r="N121" s="163"/>
      <c r="O121" s="163">
        <v>120</v>
      </c>
    </row>
    <row r="122" spans="1:15">
      <c r="A122" s="163">
        <v>121</v>
      </c>
      <c r="B122" s="163" t="str">
        <f t="shared" si="1"/>
        <v>NotApplicable</v>
      </c>
      <c r="D122" s="163" t="e">
        <f>VLOOKUP(C:C,'QT Import for PTC'!B:D,3,0)</f>
        <v>#N/A</v>
      </c>
      <c r="E122" s="165"/>
      <c r="F122" s="165"/>
      <c r="G122" s="165"/>
      <c r="H122" s="165"/>
      <c r="I122" s="165"/>
      <c r="J122" s="166"/>
      <c r="K122" s="163"/>
      <c r="L122" s="167"/>
      <c r="M122" s="165"/>
      <c r="N122" s="163"/>
      <c r="O122" s="163">
        <v>121</v>
      </c>
    </row>
    <row r="123" spans="1:15">
      <c r="A123" s="163">
        <v>122</v>
      </c>
      <c r="B123" s="163" t="str">
        <f t="shared" si="1"/>
        <v>NotApplicable</v>
      </c>
      <c r="D123" s="163" t="e">
        <f>VLOOKUP(C:C,'QT Import for PTC'!B:D,3,0)</f>
        <v>#N/A</v>
      </c>
      <c r="E123" s="165"/>
      <c r="F123" s="165"/>
      <c r="G123" s="165"/>
      <c r="H123" s="165"/>
      <c r="I123" s="165"/>
      <c r="J123" s="166"/>
      <c r="K123" s="163"/>
      <c r="L123" s="167"/>
      <c r="M123" s="165"/>
      <c r="N123" s="163"/>
      <c r="O123" s="163">
        <v>122</v>
      </c>
    </row>
    <row r="124" spans="1:15">
      <c r="A124" s="163">
        <v>123</v>
      </c>
      <c r="B124" s="163" t="str">
        <f t="shared" si="1"/>
        <v>NotApplicable</v>
      </c>
      <c r="D124" s="163" t="e">
        <f>VLOOKUP(C:C,'QT Import for PTC'!B:D,3,0)</f>
        <v>#N/A</v>
      </c>
      <c r="E124" s="165"/>
      <c r="F124" s="165"/>
      <c r="G124" s="165"/>
      <c r="H124" s="165"/>
      <c r="I124" s="165"/>
      <c r="J124" s="166"/>
      <c r="K124" s="163"/>
      <c r="L124" s="167"/>
      <c r="M124" s="165"/>
      <c r="N124" s="163"/>
      <c r="O124" s="163">
        <v>123</v>
      </c>
    </row>
    <row r="125" spans="1:15">
      <c r="A125" s="163">
        <v>124</v>
      </c>
      <c r="B125" s="163" t="str">
        <f t="shared" si="1"/>
        <v>NotApplicable</v>
      </c>
      <c r="D125" s="163" t="e">
        <f>VLOOKUP(C:C,'QT Import for PTC'!B:D,3,0)</f>
        <v>#N/A</v>
      </c>
      <c r="E125" s="165"/>
      <c r="F125" s="165"/>
      <c r="G125" s="165"/>
      <c r="H125" s="165"/>
      <c r="I125" s="165"/>
      <c r="J125" s="166"/>
      <c r="K125" s="163"/>
      <c r="L125" s="167"/>
      <c r="M125" s="165"/>
      <c r="N125" s="163"/>
      <c r="O125" s="163">
        <v>124</v>
      </c>
    </row>
    <row r="126" spans="1:15">
      <c r="A126" s="163">
        <v>125</v>
      </c>
      <c r="B126" s="163" t="str">
        <f t="shared" si="1"/>
        <v>NotApplicable</v>
      </c>
      <c r="D126" s="163" t="e">
        <f>VLOOKUP(C:C,'QT Import for PTC'!B:D,3,0)</f>
        <v>#N/A</v>
      </c>
      <c r="E126" s="165"/>
      <c r="F126" s="165"/>
      <c r="G126" s="165"/>
      <c r="H126" s="165"/>
      <c r="I126" s="165"/>
      <c r="J126" s="166"/>
      <c r="K126" s="163"/>
      <c r="L126" s="167"/>
      <c r="M126" s="165"/>
      <c r="N126" s="163"/>
      <c r="O126" s="163">
        <v>125</v>
      </c>
    </row>
    <row r="127" spans="1:15">
      <c r="A127" s="163">
        <v>126</v>
      </c>
      <c r="B127" s="163" t="str">
        <f t="shared" si="1"/>
        <v>NotApplicable</v>
      </c>
      <c r="D127" s="163" t="e">
        <f>VLOOKUP(C:C,'QT Import for PTC'!B:D,3,0)</f>
        <v>#N/A</v>
      </c>
      <c r="E127" s="165"/>
      <c r="F127" s="165"/>
      <c r="G127" s="165"/>
      <c r="H127" s="165"/>
      <c r="I127" s="165"/>
      <c r="J127" s="166"/>
      <c r="K127" s="163"/>
      <c r="L127" s="167"/>
      <c r="M127" s="165"/>
      <c r="N127" s="163"/>
      <c r="O127" s="163">
        <v>126</v>
      </c>
    </row>
    <row r="128" spans="1:15">
      <c r="A128" s="163">
        <v>127</v>
      </c>
      <c r="B128" s="163" t="str">
        <f t="shared" si="1"/>
        <v>NotApplicable</v>
      </c>
      <c r="D128" s="163" t="e">
        <f>VLOOKUP(C:C,'QT Import for PTC'!B:D,3,0)</f>
        <v>#N/A</v>
      </c>
      <c r="E128" s="165"/>
      <c r="F128" s="165"/>
      <c r="G128" s="165"/>
      <c r="H128" s="165"/>
      <c r="I128" s="165"/>
      <c r="J128" s="166"/>
      <c r="K128" s="163"/>
      <c r="L128" s="167"/>
      <c r="M128" s="165"/>
      <c r="N128" s="163"/>
      <c r="O128" s="163">
        <v>127</v>
      </c>
    </row>
    <row r="129" spans="1:15">
      <c r="A129" s="163">
        <v>128</v>
      </c>
      <c r="B129" s="163" t="str">
        <f t="shared" si="1"/>
        <v>NotApplicable</v>
      </c>
      <c r="D129" s="163" t="e">
        <f>VLOOKUP(C:C,'QT Import for PTC'!B:D,3,0)</f>
        <v>#N/A</v>
      </c>
      <c r="E129" s="165"/>
      <c r="F129" s="165"/>
      <c r="G129" s="165"/>
      <c r="H129" s="165"/>
      <c r="I129" s="165"/>
      <c r="J129" s="166"/>
      <c r="K129" s="163"/>
      <c r="L129" s="167"/>
      <c r="M129" s="165"/>
      <c r="N129" s="163"/>
      <c r="O129" s="163">
        <v>128</v>
      </c>
    </row>
    <row r="130" spans="1:15">
      <c r="A130" s="163">
        <v>129</v>
      </c>
      <c r="B130" s="163" t="str">
        <f t="shared" si="1"/>
        <v>NotApplicable</v>
      </c>
      <c r="D130" s="163" t="e">
        <f>VLOOKUP(C:C,'QT Import for PTC'!B:D,3,0)</f>
        <v>#N/A</v>
      </c>
      <c r="E130" s="165"/>
      <c r="F130" s="165"/>
      <c r="G130" s="165"/>
      <c r="H130" s="165"/>
      <c r="I130" s="165"/>
      <c r="J130" s="166"/>
      <c r="K130" s="163"/>
      <c r="L130" s="167"/>
      <c r="M130" s="165"/>
      <c r="N130" s="163"/>
      <c r="O130" s="163">
        <v>129</v>
      </c>
    </row>
    <row r="131" spans="1:15">
      <c r="A131" s="163">
        <v>130</v>
      </c>
      <c r="B131" s="163" t="str">
        <f t="shared" ref="B131:B194" si="2">IF(ISNA(D131),"NotApplicable","Applicable")</f>
        <v>NotApplicable</v>
      </c>
      <c r="D131" s="163" t="e">
        <f>VLOOKUP(C:C,'QT Import for PTC'!B:D,3,0)</f>
        <v>#N/A</v>
      </c>
      <c r="E131" s="165"/>
      <c r="F131" s="165"/>
      <c r="G131" s="165"/>
      <c r="H131" s="165"/>
      <c r="I131" s="165"/>
      <c r="J131" s="166"/>
      <c r="K131" s="163"/>
      <c r="L131" s="167"/>
      <c r="M131" s="165"/>
      <c r="N131" s="163"/>
      <c r="O131" s="163">
        <v>130</v>
      </c>
    </row>
    <row r="132" spans="1:15">
      <c r="A132" s="163">
        <v>131</v>
      </c>
      <c r="B132" s="163" t="str">
        <f t="shared" si="2"/>
        <v>NotApplicable</v>
      </c>
      <c r="D132" s="163" t="e">
        <f>VLOOKUP(C:C,'QT Import for PTC'!B:D,3,0)</f>
        <v>#N/A</v>
      </c>
      <c r="E132" s="165"/>
      <c r="F132" s="165"/>
      <c r="G132" s="165"/>
      <c r="H132" s="165"/>
      <c r="I132" s="165"/>
      <c r="J132" s="166"/>
      <c r="K132" s="163"/>
      <c r="L132" s="167"/>
      <c r="M132" s="165"/>
      <c r="N132" s="163"/>
      <c r="O132" s="163">
        <v>131</v>
      </c>
    </row>
    <row r="133" spans="1:15">
      <c r="A133" s="163">
        <v>132</v>
      </c>
      <c r="B133" s="163" t="str">
        <f t="shared" si="2"/>
        <v>NotApplicable</v>
      </c>
      <c r="D133" s="163" t="e">
        <f>VLOOKUP(C:C,'QT Import for PTC'!B:D,3,0)</f>
        <v>#N/A</v>
      </c>
      <c r="E133" s="165"/>
      <c r="F133" s="165"/>
      <c r="G133" s="165"/>
      <c r="H133" s="165"/>
      <c r="I133" s="165"/>
      <c r="J133" s="166"/>
      <c r="K133" s="163"/>
      <c r="L133" s="167"/>
      <c r="M133" s="165"/>
      <c r="N133" s="163"/>
      <c r="O133" s="163">
        <v>132</v>
      </c>
    </row>
    <row r="134" spans="1:15">
      <c r="A134" s="163"/>
      <c r="B134" s="163" t="str">
        <f t="shared" si="2"/>
        <v>NotApplicable</v>
      </c>
      <c r="D134" s="163" t="e">
        <f>VLOOKUP(C:C,'QT Import for PTC'!B:D,3,0)</f>
        <v>#N/A</v>
      </c>
      <c r="E134" s="165"/>
      <c r="F134" s="165"/>
      <c r="G134" s="165"/>
      <c r="H134" s="165"/>
      <c r="I134" s="165"/>
      <c r="J134" s="166"/>
      <c r="K134" s="163"/>
      <c r="L134" s="167"/>
      <c r="M134" s="165"/>
      <c r="N134" s="163"/>
      <c r="O134" s="163">
        <v>133</v>
      </c>
    </row>
    <row r="135" spans="1:15">
      <c r="A135" s="163"/>
      <c r="B135" s="163" t="str">
        <f t="shared" si="2"/>
        <v>NotApplicable</v>
      </c>
      <c r="D135" s="163" t="e">
        <f>VLOOKUP(C:C,'QT Import for PTC'!B:D,3,0)</f>
        <v>#N/A</v>
      </c>
      <c r="E135" s="165"/>
      <c r="F135" s="165"/>
      <c r="G135" s="165"/>
      <c r="H135" s="165"/>
      <c r="I135" s="165"/>
      <c r="J135" s="166"/>
      <c r="K135" s="163"/>
      <c r="L135" s="167"/>
      <c r="M135" s="165"/>
      <c r="N135" s="163"/>
      <c r="O135" s="163">
        <v>134</v>
      </c>
    </row>
    <row r="136" spans="1:15">
      <c r="A136" s="163"/>
      <c r="B136" s="163" t="str">
        <f t="shared" si="2"/>
        <v>NotApplicable</v>
      </c>
      <c r="D136" s="163" t="e">
        <f>VLOOKUP(C:C,'QT Import for PTC'!B:D,3,0)</f>
        <v>#N/A</v>
      </c>
      <c r="E136" s="165"/>
      <c r="F136" s="165"/>
      <c r="G136" s="165"/>
      <c r="H136" s="165"/>
      <c r="I136" s="165"/>
      <c r="J136" s="166"/>
      <c r="K136" s="163"/>
      <c r="L136" s="167"/>
      <c r="M136" s="165"/>
      <c r="N136" s="163"/>
      <c r="O136" s="163">
        <v>135</v>
      </c>
    </row>
    <row r="137" spans="1:15">
      <c r="A137" s="163"/>
      <c r="B137" s="163" t="str">
        <f t="shared" si="2"/>
        <v>NotApplicable</v>
      </c>
      <c r="D137" s="163" t="e">
        <f>VLOOKUP(C:C,'QT Import for PTC'!B:D,3,0)</f>
        <v>#N/A</v>
      </c>
      <c r="E137" s="165"/>
      <c r="F137" s="165"/>
      <c r="G137" s="165"/>
      <c r="H137" s="165"/>
      <c r="I137" s="165"/>
      <c r="J137" s="166"/>
      <c r="K137" s="163"/>
      <c r="L137" s="167"/>
      <c r="M137" s="165"/>
      <c r="N137" s="163"/>
      <c r="O137" s="163">
        <v>136</v>
      </c>
    </row>
    <row r="138" spans="1:15">
      <c r="A138" s="163"/>
      <c r="B138" s="163" t="str">
        <f t="shared" si="2"/>
        <v>NotApplicable</v>
      </c>
      <c r="D138" s="163" t="e">
        <f>VLOOKUP(C:C,'QT Import for PTC'!B:D,3,0)</f>
        <v>#N/A</v>
      </c>
      <c r="E138" s="165"/>
      <c r="F138" s="165"/>
      <c r="G138" s="165"/>
      <c r="H138" s="165"/>
      <c r="I138" s="165"/>
      <c r="J138" s="166"/>
      <c r="K138" s="163"/>
      <c r="L138" s="167"/>
      <c r="M138" s="165"/>
      <c r="N138" s="163"/>
      <c r="O138" s="163">
        <v>137</v>
      </c>
    </row>
    <row r="139" spans="1:15">
      <c r="A139" s="163"/>
      <c r="B139" s="163" t="str">
        <f t="shared" si="2"/>
        <v>NotApplicable</v>
      </c>
      <c r="D139" s="163" t="e">
        <f>VLOOKUP(C:C,'QT Import for PTC'!B:D,3,0)</f>
        <v>#N/A</v>
      </c>
      <c r="E139" s="165"/>
      <c r="F139" s="165"/>
      <c r="G139" s="165"/>
      <c r="H139" s="165"/>
      <c r="I139" s="165"/>
      <c r="J139" s="166"/>
      <c r="K139" s="163"/>
      <c r="L139" s="167"/>
      <c r="M139" s="165"/>
      <c r="N139" s="163"/>
      <c r="O139" s="163">
        <v>138</v>
      </c>
    </row>
    <row r="140" spans="1:15">
      <c r="A140" s="163"/>
      <c r="B140" s="163" t="str">
        <f t="shared" si="2"/>
        <v>NotApplicable</v>
      </c>
      <c r="D140" s="163" t="e">
        <f>VLOOKUP(C:C,'QT Import for PTC'!B:D,3,0)</f>
        <v>#N/A</v>
      </c>
      <c r="E140" s="165"/>
      <c r="F140" s="165"/>
      <c r="G140" s="165"/>
      <c r="H140" s="165"/>
      <c r="I140" s="165"/>
      <c r="J140" s="166"/>
      <c r="K140" s="163"/>
      <c r="L140" s="167"/>
      <c r="M140" s="165"/>
      <c r="N140" s="163"/>
      <c r="O140" s="163">
        <v>139</v>
      </c>
    </row>
    <row r="141" spans="1:15">
      <c r="A141" s="163"/>
      <c r="B141" s="163" t="str">
        <f t="shared" si="2"/>
        <v>NotApplicable</v>
      </c>
      <c r="D141" s="163" t="e">
        <f>VLOOKUP(C:C,'QT Import for PTC'!B:D,3,0)</f>
        <v>#N/A</v>
      </c>
      <c r="E141" s="165"/>
      <c r="F141" s="165"/>
      <c r="G141" s="165"/>
      <c r="H141" s="165"/>
      <c r="I141" s="165"/>
      <c r="J141" s="166"/>
      <c r="K141" s="163"/>
      <c r="L141" s="167"/>
      <c r="M141" s="165"/>
      <c r="N141" s="163"/>
      <c r="O141" s="163">
        <v>140</v>
      </c>
    </row>
    <row r="142" spans="1:15">
      <c r="A142" s="163"/>
      <c r="B142" s="163" t="str">
        <f t="shared" si="2"/>
        <v>NotApplicable</v>
      </c>
      <c r="D142" s="163" t="e">
        <f>VLOOKUP(C:C,'QT Import for PTC'!B:D,3,0)</f>
        <v>#N/A</v>
      </c>
      <c r="E142" s="165"/>
      <c r="F142" s="165"/>
      <c r="G142" s="165"/>
      <c r="H142" s="165"/>
      <c r="I142" s="165"/>
      <c r="J142" s="166"/>
      <c r="K142" s="163"/>
      <c r="L142" s="167"/>
      <c r="M142" s="165"/>
      <c r="N142" s="163"/>
      <c r="O142" s="163">
        <v>141</v>
      </c>
    </row>
    <row r="143" spans="1:15">
      <c r="A143" s="163"/>
      <c r="B143" s="163" t="str">
        <f t="shared" si="2"/>
        <v>NotApplicable</v>
      </c>
      <c r="D143" s="163" t="e">
        <f>VLOOKUP(C:C,'QT Import for PTC'!B:D,3,0)</f>
        <v>#N/A</v>
      </c>
      <c r="E143" s="165"/>
      <c r="F143" s="165"/>
      <c r="G143" s="165"/>
      <c r="H143" s="165"/>
      <c r="I143" s="165"/>
      <c r="J143" s="166"/>
      <c r="K143" s="163"/>
      <c r="L143" s="167"/>
      <c r="M143" s="165"/>
      <c r="N143" s="163"/>
      <c r="O143" s="163">
        <v>142</v>
      </c>
    </row>
    <row r="144" spans="1:15">
      <c r="A144" s="163"/>
      <c r="B144" s="163" t="str">
        <f t="shared" si="2"/>
        <v>NotApplicable</v>
      </c>
      <c r="D144" s="163" t="e">
        <f>VLOOKUP(C:C,'QT Import for PTC'!B:D,3,0)</f>
        <v>#N/A</v>
      </c>
      <c r="E144" s="165"/>
      <c r="F144" s="165"/>
      <c r="G144" s="165"/>
      <c r="H144" s="165"/>
      <c r="I144" s="165"/>
      <c r="J144" s="166"/>
      <c r="K144" s="163"/>
      <c r="L144" s="167"/>
      <c r="M144" s="165"/>
      <c r="N144" s="163"/>
      <c r="O144" s="163">
        <v>143</v>
      </c>
    </row>
    <row r="145" spans="1:15">
      <c r="A145" s="163"/>
      <c r="B145" s="163" t="str">
        <f t="shared" si="2"/>
        <v>NotApplicable</v>
      </c>
      <c r="D145" s="163" t="e">
        <f>VLOOKUP(C:C,'QT Import for PTC'!B:D,3,0)</f>
        <v>#N/A</v>
      </c>
      <c r="E145" s="165"/>
      <c r="F145" s="165"/>
      <c r="G145" s="165"/>
      <c r="H145" s="165"/>
      <c r="I145" s="165"/>
      <c r="J145" s="166"/>
      <c r="K145" s="163"/>
      <c r="L145" s="167"/>
      <c r="M145" s="165"/>
      <c r="N145" s="163"/>
      <c r="O145" s="163">
        <v>144</v>
      </c>
    </row>
    <row r="146" spans="1:15">
      <c r="A146" s="163"/>
      <c r="B146" s="163" t="str">
        <f t="shared" si="2"/>
        <v>NotApplicable</v>
      </c>
      <c r="D146" s="163" t="e">
        <f>VLOOKUP(C:C,'QT Import for PTC'!B:D,3,0)</f>
        <v>#N/A</v>
      </c>
      <c r="E146" s="165"/>
      <c r="F146" s="165"/>
      <c r="G146" s="165"/>
      <c r="H146" s="165"/>
      <c r="I146" s="165"/>
      <c r="J146" s="166"/>
      <c r="K146" s="163"/>
      <c r="L146" s="167"/>
      <c r="M146" s="165"/>
      <c r="N146" s="163"/>
      <c r="O146" s="163">
        <v>145</v>
      </c>
    </row>
    <row r="147" spans="1:15">
      <c r="A147" s="163"/>
      <c r="B147" s="163" t="str">
        <f t="shared" si="2"/>
        <v>NotApplicable</v>
      </c>
      <c r="D147" s="163" t="e">
        <f>VLOOKUP(C:C,'QT Import for PTC'!B:D,3,0)</f>
        <v>#N/A</v>
      </c>
      <c r="E147" s="165"/>
      <c r="F147" s="165"/>
      <c r="G147" s="165"/>
      <c r="H147" s="165"/>
      <c r="I147" s="165"/>
      <c r="J147" s="166"/>
      <c r="K147" s="163"/>
      <c r="L147" s="167"/>
      <c r="M147" s="165"/>
      <c r="N147" s="163"/>
      <c r="O147" s="163">
        <v>146</v>
      </c>
    </row>
    <row r="148" spans="1:15">
      <c r="A148" s="163"/>
      <c r="B148" s="163" t="str">
        <f t="shared" si="2"/>
        <v>NotApplicable</v>
      </c>
      <c r="D148" s="163" t="e">
        <f>VLOOKUP(C:C,'QT Import for PTC'!B:D,3,0)</f>
        <v>#N/A</v>
      </c>
      <c r="E148" s="165"/>
      <c r="F148" s="165"/>
      <c r="G148" s="165"/>
      <c r="H148" s="165"/>
      <c r="I148" s="165"/>
      <c r="J148" s="166"/>
      <c r="K148" s="163"/>
      <c r="L148" s="167"/>
      <c r="M148" s="165"/>
      <c r="N148" s="163"/>
      <c r="O148" s="163">
        <v>147</v>
      </c>
    </row>
    <row r="149" spans="1:15">
      <c r="A149" s="163"/>
      <c r="B149" s="163" t="str">
        <f t="shared" si="2"/>
        <v>NotApplicable</v>
      </c>
      <c r="D149" s="163" t="e">
        <f>VLOOKUP(C:C,'QT Import for PTC'!B:D,3,0)</f>
        <v>#N/A</v>
      </c>
      <c r="E149" s="165"/>
      <c r="F149" s="165"/>
      <c r="G149" s="165"/>
      <c r="H149" s="165"/>
      <c r="I149" s="165"/>
      <c r="J149" s="166"/>
      <c r="K149" s="163"/>
      <c r="L149" s="167"/>
      <c r="M149" s="165"/>
      <c r="N149" s="163"/>
      <c r="O149" s="163">
        <v>148</v>
      </c>
    </row>
    <row r="150" spans="1:15">
      <c r="A150" s="163"/>
      <c r="B150" s="163" t="str">
        <f t="shared" si="2"/>
        <v>NotApplicable</v>
      </c>
      <c r="D150" s="163" t="e">
        <f>VLOOKUP(C:C,'QT Import for PTC'!B:D,3,0)</f>
        <v>#N/A</v>
      </c>
      <c r="E150" s="165"/>
      <c r="F150" s="165"/>
      <c r="G150" s="165"/>
      <c r="H150" s="165"/>
      <c r="I150" s="165"/>
      <c r="J150" s="166"/>
      <c r="K150" s="163"/>
      <c r="L150" s="167"/>
      <c r="M150" s="165"/>
      <c r="N150" s="163"/>
      <c r="O150" s="163">
        <v>149</v>
      </c>
    </row>
    <row r="151" spans="1:15">
      <c r="A151" s="163"/>
      <c r="B151" s="163" t="str">
        <f t="shared" si="2"/>
        <v>NotApplicable</v>
      </c>
      <c r="D151" s="163" t="e">
        <f>VLOOKUP(C:C,'QT Import for PTC'!B:D,3,0)</f>
        <v>#N/A</v>
      </c>
      <c r="E151" s="165"/>
      <c r="F151" s="165"/>
      <c r="G151" s="165"/>
      <c r="H151" s="165"/>
      <c r="I151" s="165"/>
      <c r="J151" s="166"/>
      <c r="K151" s="163"/>
      <c r="L151" s="167"/>
      <c r="M151" s="165"/>
      <c r="N151" s="163"/>
      <c r="O151" s="163">
        <v>150</v>
      </c>
    </row>
    <row r="152" spans="1:15">
      <c r="A152" s="163"/>
      <c r="B152" s="163" t="str">
        <f t="shared" si="2"/>
        <v>NotApplicable</v>
      </c>
      <c r="D152" s="163" t="e">
        <f>VLOOKUP(C:C,'QT Import for PTC'!B:D,3,0)</f>
        <v>#N/A</v>
      </c>
      <c r="E152" s="165"/>
      <c r="F152" s="165"/>
      <c r="G152" s="165"/>
      <c r="H152" s="165"/>
      <c r="I152" s="165"/>
      <c r="J152" s="166"/>
      <c r="K152" s="163"/>
      <c r="L152" s="167"/>
      <c r="M152" s="165"/>
      <c r="N152" s="163"/>
      <c r="O152" s="163">
        <v>151</v>
      </c>
    </row>
    <row r="153" spans="1:15">
      <c r="A153" s="163"/>
      <c r="B153" s="163" t="str">
        <f t="shared" si="2"/>
        <v>NotApplicable</v>
      </c>
      <c r="D153" s="163" t="e">
        <f>VLOOKUP(C:C,'QT Import for PTC'!B:D,3,0)</f>
        <v>#N/A</v>
      </c>
      <c r="E153" s="165"/>
      <c r="F153" s="165"/>
      <c r="G153" s="165"/>
      <c r="H153" s="165"/>
      <c r="I153" s="165"/>
      <c r="J153" s="166"/>
      <c r="K153" s="163"/>
      <c r="L153" s="167"/>
      <c r="M153" s="165"/>
      <c r="N153" s="163"/>
      <c r="O153" s="163">
        <v>152</v>
      </c>
    </row>
    <row r="154" spans="1:15">
      <c r="A154" s="163"/>
      <c r="B154" s="163" t="str">
        <f t="shared" si="2"/>
        <v>NotApplicable</v>
      </c>
      <c r="D154" s="163" t="e">
        <f>VLOOKUP(C:C,'QT Import for PTC'!B:D,3,0)</f>
        <v>#N/A</v>
      </c>
      <c r="E154" s="165"/>
      <c r="F154" s="165"/>
      <c r="G154" s="165"/>
      <c r="H154" s="165"/>
      <c r="I154" s="165"/>
      <c r="J154" s="166"/>
      <c r="K154" s="163"/>
      <c r="L154" s="167"/>
      <c r="M154" s="165"/>
      <c r="N154" s="163"/>
      <c r="O154" s="163">
        <v>153</v>
      </c>
    </row>
    <row r="155" spans="1:15">
      <c r="A155" s="163"/>
      <c r="B155" s="163" t="str">
        <f t="shared" si="2"/>
        <v>NotApplicable</v>
      </c>
      <c r="D155" s="163" t="e">
        <f>VLOOKUP(C:C,'QT Import for PTC'!B:D,3,0)</f>
        <v>#N/A</v>
      </c>
      <c r="E155" s="165"/>
      <c r="F155" s="165"/>
      <c r="G155" s="165"/>
      <c r="H155" s="165"/>
      <c r="I155" s="165"/>
      <c r="J155" s="166"/>
      <c r="K155" s="163"/>
      <c r="L155" s="167"/>
      <c r="M155" s="165"/>
      <c r="N155" s="163"/>
      <c r="O155" s="163">
        <v>154</v>
      </c>
    </row>
    <row r="156" spans="1:15">
      <c r="A156" s="163"/>
      <c r="B156" s="163" t="str">
        <f t="shared" si="2"/>
        <v>NotApplicable</v>
      </c>
      <c r="D156" s="163" t="e">
        <f>VLOOKUP(C:C,'QT Import for PTC'!B:D,3,0)</f>
        <v>#N/A</v>
      </c>
      <c r="E156" s="165"/>
      <c r="F156" s="165"/>
      <c r="G156" s="165"/>
      <c r="H156" s="165"/>
      <c r="I156" s="165"/>
      <c r="J156" s="166"/>
      <c r="K156" s="163"/>
      <c r="L156" s="167"/>
      <c r="M156" s="165"/>
      <c r="N156" s="163"/>
      <c r="O156" s="163">
        <v>155</v>
      </c>
    </row>
    <row r="157" spans="1:15">
      <c r="A157" s="163"/>
      <c r="B157" s="163" t="str">
        <f t="shared" si="2"/>
        <v>NotApplicable</v>
      </c>
      <c r="D157" s="163" t="e">
        <f>VLOOKUP(C:C,'QT Import for PTC'!B:D,3,0)</f>
        <v>#N/A</v>
      </c>
      <c r="E157" s="165"/>
      <c r="F157" s="165"/>
      <c r="G157" s="165"/>
      <c r="H157" s="165"/>
      <c r="I157" s="165"/>
      <c r="J157" s="166"/>
      <c r="K157" s="163"/>
      <c r="L157" s="167"/>
      <c r="M157" s="165"/>
      <c r="N157" s="163"/>
      <c r="O157" s="163">
        <v>156</v>
      </c>
    </row>
    <row r="158" spans="1:15">
      <c r="A158" s="163"/>
      <c r="B158" s="163" t="str">
        <f t="shared" si="2"/>
        <v>NotApplicable</v>
      </c>
      <c r="D158" s="163" t="e">
        <f>VLOOKUP(C:C,'QT Import for PTC'!B:D,3,0)</f>
        <v>#N/A</v>
      </c>
      <c r="E158" s="165"/>
      <c r="F158" s="165"/>
      <c r="G158" s="165"/>
      <c r="H158" s="165"/>
      <c r="I158" s="165"/>
      <c r="J158" s="166"/>
      <c r="K158" s="163"/>
      <c r="L158" s="167"/>
      <c r="M158" s="165"/>
      <c r="N158" s="163"/>
      <c r="O158" s="163">
        <v>157</v>
      </c>
    </row>
    <row r="159" spans="1:15">
      <c r="A159" s="163"/>
      <c r="B159" s="163" t="str">
        <f t="shared" si="2"/>
        <v>NotApplicable</v>
      </c>
      <c r="D159" s="163" t="e">
        <f>VLOOKUP(C:C,'QT Import for PTC'!B:D,3,0)</f>
        <v>#N/A</v>
      </c>
      <c r="E159" s="165"/>
      <c r="F159" s="165"/>
      <c r="G159" s="165"/>
      <c r="H159" s="165"/>
      <c r="I159" s="165"/>
      <c r="J159" s="166"/>
      <c r="K159" s="163"/>
      <c r="L159" s="167"/>
      <c r="M159" s="165"/>
      <c r="N159" s="163"/>
      <c r="O159" s="163">
        <v>158</v>
      </c>
    </row>
    <row r="160" spans="1:15">
      <c r="A160" s="163"/>
      <c r="B160" s="163" t="str">
        <f t="shared" si="2"/>
        <v>NotApplicable</v>
      </c>
      <c r="D160" s="163" t="e">
        <f>VLOOKUP(C:C,'QT Import for PTC'!B:D,3,0)</f>
        <v>#N/A</v>
      </c>
      <c r="E160" s="165"/>
      <c r="F160" s="165"/>
      <c r="G160" s="165"/>
      <c r="H160" s="165"/>
      <c r="I160" s="165"/>
      <c r="J160" s="166"/>
      <c r="K160" s="163"/>
      <c r="L160" s="167"/>
      <c r="M160" s="165"/>
      <c r="N160" s="163"/>
      <c r="O160" s="163">
        <v>159</v>
      </c>
    </row>
    <row r="161" spans="1:15">
      <c r="A161" s="163"/>
      <c r="B161" s="163" t="str">
        <f t="shared" si="2"/>
        <v>NotApplicable</v>
      </c>
      <c r="D161" s="163" t="e">
        <f>VLOOKUP(C:C,'QT Import for PTC'!B:D,3,0)</f>
        <v>#N/A</v>
      </c>
      <c r="E161" s="165"/>
      <c r="F161" s="165"/>
      <c r="G161" s="165"/>
      <c r="H161" s="165"/>
      <c r="I161" s="165"/>
      <c r="J161" s="166"/>
      <c r="K161" s="163"/>
      <c r="L161" s="167"/>
      <c r="M161" s="165"/>
      <c r="N161" s="163"/>
      <c r="O161" s="163">
        <v>160</v>
      </c>
    </row>
    <row r="162" spans="1:15">
      <c r="A162" s="163"/>
      <c r="B162" s="163" t="str">
        <f t="shared" si="2"/>
        <v>NotApplicable</v>
      </c>
      <c r="D162" s="163" t="e">
        <f>VLOOKUP(C:C,'QT Import for PTC'!B:D,3,0)</f>
        <v>#N/A</v>
      </c>
      <c r="E162" s="165"/>
      <c r="F162" s="165"/>
      <c r="G162" s="165"/>
      <c r="H162" s="165"/>
      <c r="I162" s="165"/>
      <c r="J162" s="166"/>
      <c r="K162" s="163"/>
      <c r="L162" s="167"/>
      <c r="M162" s="165"/>
      <c r="N162" s="163"/>
      <c r="O162" s="163">
        <v>161</v>
      </c>
    </row>
    <row r="163" spans="1:15">
      <c r="A163" s="163"/>
      <c r="B163" s="163" t="str">
        <f t="shared" si="2"/>
        <v>NotApplicable</v>
      </c>
      <c r="D163" s="163" t="e">
        <f>VLOOKUP(C:C,'QT Import for PTC'!B:D,3,0)</f>
        <v>#N/A</v>
      </c>
      <c r="E163" s="165"/>
      <c r="F163" s="165"/>
      <c r="G163" s="165"/>
      <c r="H163" s="165"/>
      <c r="I163" s="165"/>
      <c r="J163" s="166"/>
      <c r="K163" s="163"/>
      <c r="L163" s="167"/>
      <c r="M163" s="165"/>
      <c r="N163" s="163"/>
      <c r="O163" s="163">
        <v>162</v>
      </c>
    </row>
    <row r="164" spans="1:15">
      <c r="A164" s="163"/>
      <c r="B164" s="163" t="str">
        <f t="shared" si="2"/>
        <v>NotApplicable</v>
      </c>
      <c r="D164" s="163" t="e">
        <f>VLOOKUP(C:C,'QT Import for PTC'!B:D,3,0)</f>
        <v>#N/A</v>
      </c>
      <c r="E164" s="165"/>
      <c r="F164" s="165"/>
      <c r="G164" s="165"/>
      <c r="H164" s="165"/>
      <c r="I164" s="165"/>
      <c r="J164" s="166"/>
      <c r="K164" s="163"/>
      <c r="L164" s="167"/>
      <c r="M164" s="165"/>
      <c r="N164" s="163"/>
      <c r="O164" s="163">
        <v>163</v>
      </c>
    </row>
    <row r="165" spans="1:15">
      <c r="A165" s="163"/>
      <c r="B165" s="163" t="str">
        <f t="shared" si="2"/>
        <v>NotApplicable</v>
      </c>
      <c r="D165" s="163" t="e">
        <f>VLOOKUP(C:C,'QT Import for PTC'!B:D,3,0)</f>
        <v>#N/A</v>
      </c>
      <c r="E165" s="165"/>
      <c r="F165" s="165"/>
      <c r="G165" s="165"/>
      <c r="H165" s="165"/>
      <c r="I165" s="165"/>
      <c r="J165" s="166"/>
      <c r="K165" s="163"/>
      <c r="L165" s="167"/>
      <c r="M165" s="165"/>
      <c r="N165" s="163"/>
      <c r="O165" s="163">
        <v>164</v>
      </c>
    </row>
    <row r="166" spans="1:15">
      <c r="A166" s="163"/>
      <c r="B166" s="163" t="str">
        <f t="shared" si="2"/>
        <v>NotApplicable</v>
      </c>
      <c r="D166" s="163" t="e">
        <f>VLOOKUP(C:C,'QT Import for PTC'!B:D,3,0)</f>
        <v>#N/A</v>
      </c>
      <c r="E166" s="165"/>
      <c r="F166" s="165"/>
      <c r="G166" s="165"/>
      <c r="H166" s="165"/>
      <c r="I166" s="165"/>
      <c r="J166" s="166"/>
      <c r="K166" s="163"/>
      <c r="L166" s="167"/>
      <c r="M166" s="165"/>
      <c r="N166" s="163"/>
      <c r="O166" s="163">
        <v>165</v>
      </c>
    </row>
    <row r="167" spans="1:15">
      <c r="A167" s="163"/>
      <c r="B167" s="163" t="str">
        <f t="shared" si="2"/>
        <v>NotApplicable</v>
      </c>
      <c r="D167" s="163" t="e">
        <f>VLOOKUP(C:C,'QT Import for PTC'!B:D,3,0)</f>
        <v>#N/A</v>
      </c>
      <c r="E167" s="165"/>
      <c r="F167" s="165"/>
      <c r="G167" s="165"/>
      <c r="H167" s="165"/>
      <c r="I167" s="165"/>
      <c r="J167" s="166"/>
      <c r="K167" s="163"/>
      <c r="L167" s="167"/>
      <c r="M167" s="165"/>
      <c r="N167" s="163"/>
      <c r="O167" s="163">
        <v>166</v>
      </c>
    </row>
    <row r="168" spans="1:15">
      <c r="A168" s="163"/>
      <c r="B168" s="163" t="str">
        <f t="shared" si="2"/>
        <v>NotApplicable</v>
      </c>
      <c r="D168" s="163" t="e">
        <f>VLOOKUP(C:C,'QT Import for PTC'!B:D,3,0)</f>
        <v>#N/A</v>
      </c>
      <c r="E168" s="165"/>
      <c r="F168" s="165"/>
      <c r="G168" s="165"/>
      <c r="H168" s="165"/>
      <c r="I168" s="165"/>
      <c r="J168" s="166"/>
      <c r="K168" s="163"/>
      <c r="L168" s="167"/>
      <c r="M168" s="165"/>
      <c r="N168" s="163"/>
      <c r="O168" s="163">
        <v>167</v>
      </c>
    </row>
    <row r="169" spans="1:15">
      <c r="A169" s="163"/>
      <c r="B169" s="163" t="str">
        <f t="shared" si="2"/>
        <v>NotApplicable</v>
      </c>
      <c r="D169" s="163" t="e">
        <f>VLOOKUP(C:C,'QT Import for PTC'!B:D,3,0)</f>
        <v>#N/A</v>
      </c>
      <c r="E169" s="165"/>
      <c r="F169" s="165"/>
      <c r="G169" s="165"/>
      <c r="H169" s="165"/>
      <c r="I169" s="165"/>
      <c r="J169" s="166"/>
      <c r="K169" s="163"/>
      <c r="L169" s="167"/>
      <c r="M169" s="165"/>
      <c r="N169" s="163"/>
      <c r="O169" s="163">
        <v>168</v>
      </c>
    </row>
    <row r="170" spans="1:15">
      <c r="A170" s="163"/>
      <c r="B170" s="163" t="str">
        <f t="shared" si="2"/>
        <v>NotApplicable</v>
      </c>
      <c r="D170" s="163" t="e">
        <f>VLOOKUP(C:C,'QT Import for PTC'!B:D,3,0)</f>
        <v>#N/A</v>
      </c>
      <c r="E170" s="165"/>
      <c r="F170" s="165"/>
      <c r="G170" s="165"/>
      <c r="H170" s="165"/>
      <c r="I170" s="165"/>
      <c r="J170" s="166"/>
      <c r="K170" s="163"/>
      <c r="L170" s="167"/>
      <c r="M170" s="165"/>
      <c r="N170" s="163"/>
      <c r="O170" s="163">
        <v>169</v>
      </c>
    </row>
    <row r="171" spans="1:15">
      <c r="A171" s="163"/>
      <c r="B171" s="163" t="str">
        <f t="shared" si="2"/>
        <v>NotApplicable</v>
      </c>
      <c r="D171" s="163" t="e">
        <f>VLOOKUP(C:C,'QT Import for PTC'!B:D,3,0)</f>
        <v>#N/A</v>
      </c>
      <c r="E171" s="165"/>
      <c r="F171" s="165"/>
      <c r="G171" s="165"/>
      <c r="H171" s="165"/>
      <c r="I171" s="165"/>
      <c r="J171" s="166"/>
      <c r="K171" s="163"/>
      <c r="L171" s="167"/>
      <c r="M171" s="165"/>
      <c r="N171" s="163"/>
      <c r="O171" s="163">
        <v>170</v>
      </c>
    </row>
    <row r="172" spans="1:15">
      <c r="A172" s="163"/>
      <c r="B172" s="163" t="str">
        <f t="shared" si="2"/>
        <v>NotApplicable</v>
      </c>
      <c r="D172" s="163" t="e">
        <f>VLOOKUP(C:C,'QT Import for PTC'!B:D,3,0)</f>
        <v>#N/A</v>
      </c>
      <c r="E172" s="165"/>
      <c r="F172" s="165"/>
      <c r="G172" s="165"/>
      <c r="H172" s="165"/>
      <c r="I172" s="165"/>
      <c r="J172" s="166"/>
      <c r="K172" s="163"/>
      <c r="L172" s="167"/>
      <c r="M172" s="165"/>
      <c r="N172" s="163"/>
      <c r="O172" s="163">
        <v>171</v>
      </c>
    </row>
    <row r="173" spans="1:15">
      <c r="A173" s="163"/>
      <c r="B173" s="163" t="str">
        <f t="shared" si="2"/>
        <v>NotApplicable</v>
      </c>
      <c r="D173" s="163" t="e">
        <f>VLOOKUP(C:C,'QT Import for PTC'!B:D,3,0)</f>
        <v>#N/A</v>
      </c>
      <c r="E173" s="165"/>
      <c r="F173" s="165"/>
      <c r="G173" s="165"/>
      <c r="H173" s="165"/>
      <c r="I173" s="165"/>
      <c r="J173" s="166"/>
      <c r="K173" s="163"/>
      <c r="L173" s="167"/>
      <c r="M173" s="165"/>
      <c r="N173" s="163"/>
      <c r="O173" s="163">
        <v>172</v>
      </c>
    </row>
    <row r="174" spans="1:15">
      <c r="A174" s="163"/>
      <c r="B174" s="163" t="str">
        <f t="shared" si="2"/>
        <v>NotApplicable</v>
      </c>
      <c r="D174" s="163" t="e">
        <f>VLOOKUP(C:C,'QT Import for PTC'!B:D,3,0)</f>
        <v>#N/A</v>
      </c>
      <c r="E174" s="165"/>
      <c r="F174" s="165"/>
      <c r="G174" s="165"/>
      <c r="H174" s="165"/>
      <c r="I174" s="165"/>
      <c r="J174" s="166"/>
      <c r="K174" s="163"/>
      <c r="L174" s="167"/>
      <c r="M174" s="165"/>
      <c r="N174" s="163"/>
      <c r="O174" s="163">
        <v>173</v>
      </c>
    </row>
    <row r="175" spans="1:15">
      <c r="A175" s="163"/>
      <c r="B175" s="163" t="str">
        <f t="shared" si="2"/>
        <v>NotApplicable</v>
      </c>
      <c r="D175" s="163" t="e">
        <f>VLOOKUP(C:C,'QT Import for PTC'!B:D,3,0)</f>
        <v>#N/A</v>
      </c>
      <c r="E175" s="165"/>
      <c r="F175" s="165"/>
      <c r="G175" s="165"/>
      <c r="H175" s="165"/>
      <c r="I175" s="165"/>
      <c r="J175" s="166"/>
      <c r="K175" s="163"/>
      <c r="L175" s="167"/>
      <c r="M175" s="165"/>
      <c r="N175" s="163"/>
      <c r="O175" s="163">
        <v>174</v>
      </c>
    </row>
    <row r="176" spans="1:15">
      <c r="A176" s="163"/>
      <c r="B176" s="163" t="str">
        <f t="shared" si="2"/>
        <v>NotApplicable</v>
      </c>
      <c r="D176" s="163" t="e">
        <f>VLOOKUP(C:C,'QT Import for PTC'!B:D,3,0)</f>
        <v>#N/A</v>
      </c>
      <c r="E176" s="165"/>
      <c r="F176" s="165"/>
      <c r="G176" s="165"/>
      <c r="H176" s="165"/>
      <c r="I176" s="165"/>
      <c r="J176" s="166"/>
      <c r="K176" s="163"/>
      <c r="L176" s="167"/>
      <c r="M176" s="165"/>
      <c r="N176" s="163"/>
      <c r="O176" s="163">
        <v>175</v>
      </c>
    </row>
    <row r="177" spans="1:15">
      <c r="A177" s="163"/>
      <c r="B177" s="163" t="str">
        <f t="shared" si="2"/>
        <v>NotApplicable</v>
      </c>
      <c r="D177" s="163" t="e">
        <f>VLOOKUP(C:C,'QT Import for PTC'!B:D,3,0)</f>
        <v>#N/A</v>
      </c>
      <c r="E177" s="165"/>
      <c r="F177" s="165"/>
      <c r="G177" s="165"/>
      <c r="H177" s="165"/>
      <c r="I177" s="165"/>
      <c r="J177" s="166"/>
      <c r="K177" s="163"/>
      <c r="L177" s="167"/>
      <c r="M177" s="165"/>
      <c r="N177" s="163"/>
      <c r="O177" s="163">
        <v>176</v>
      </c>
    </row>
    <row r="178" spans="1:15">
      <c r="A178" s="163"/>
      <c r="B178" s="163" t="str">
        <f t="shared" si="2"/>
        <v>NotApplicable</v>
      </c>
      <c r="D178" s="163" t="e">
        <f>VLOOKUP(C:C,'QT Import for PTC'!B:D,3,0)</f>
        <v>#N/A</v>
      </c>
      <c r="E178" s="165"/>
      <c r="F178" s="165"/>
      <c r="G178" s="165"/>
      <c r="H178" s="165"/>
      <c r="I178" s="165"/>
      <c r="J178" s="166"/>
      <c r="K178" s="163"/>
      <c r="L178" s="167"/>
      <c r="M178" s="165"/>
      <c r="N178" s="163"/>
      <c r="O178" s="163">
        <v>177</v>
      </c>
    </row>
    <row r="179" spans="1:15">
      <c r="A179" s="163"/>
      <c r="B179" s="163" t="str">
        <f t="shared" si="2"/>
        <v>NotApplicable</v>
      </c>
      <c r="D179" s="163" t="e">
        <f>VLOOKUP(C:C,'QT Import for PTC'!B:D,3,0)</f>
        <v>#N/A</v>
      </c>
      <c r="E179" s="165"/>
      <c r="F179" s="165"/>
      <c r="G179" s="165"/>
      <c r="H179" s="165"/>
      <c r="I179" s="165"/>
      <c r="J179" s="166"/>
      <c r="K179" s="163"/>
      <c r="L179" s="167"/>
      <c r="M179" s="165"/>
      <c r="N179" s="163"/>
      <c r="O179" s="163">
        <v>178</v>
      </c>
    </row>
    <row r="180" spans="1:15">
      <c r="A180" s="163"/>
      <c r="B180" s="163" t="str">
        <f t="shared" si="2"/>
        <v>NotApplicable</v>
      </c>
      <c r="D180" s="163" t="e">
        <f>VLOOKUP(C:C,'QT Import for PTC'!B:D,3,0)</f>
        <v>#N/A</v>
      </c>
      <c r="E180" s="165"/>
      <c r="F180" s="165"/>
      <c r="G180" s="165"/>
      <c r="H180" s="165"/>
      <c r="I180" s="165"/>
      <c r="J180" s="166"/>
      <c r="K180" s="163"/>
      <c r="L180" s="167"/>
      <c r="M180" s="165"/>
      <c r="N180" s="163"/>
      <c r="O180" s="163">
        <v>179</v>
      </c>
    </row>
    <row r="181" spans="1:15">
      <c r="A181" s="163"/>
      <c r="B181" s="163" t="str">
        <f t="shared" si="2"/>
        <v>NotApplicable</v>
      </c>
      <c r="D181" s="163" t="e">
        <f>VLOOKUP(C:C,'QT Import for PTC'!B:D,3,0)</f>
        <v>#N/A</v>
      </c>
      <c r="E181" s="165"/>
      <c r="F181" s="165"/>
      <c r="G181" s="165"/>
      <c r="H181" s="165"/>
      <c r="I181" s="165"/>
      <c r="J181" s="166"/>
      <c r="K181" s="163"/>
      <c r="L181" s="167"/>
      <c r="M181" s="165"/>
      <c r="N181" s="163"/>
      <c r="O181" s="163">
        <v>180</v>
      </c>
    </row>
    <row r="182" spans="1:15">
      <c r="A182" s="163"/>
      <c r="B182" s="163" t="str">
        <f t="shared" si="2"/>
        <v>NotApplicable</v>
      </c>
      <c r="D182" s="163" t="e">
        <f>VLOOKUP(C:C,'QT Import for PTC'!B:D,3,0)</f>
        <v>#N/A</v>
      </c>
      <c r="E182" s="165"/>
      <c r="F182" s="165"/>
      <c r="G182" s="165"/>
      <c r="H182" s="165"/>
      <c r="I182" s="165"/>
      <c r="J182" s="166"/>
      <c r="K182" s="163"/>
      <c r="L182" s="167"/>
      <c r="M182" s="165"/>
      <c r="N182" s="163"/>
      <c r="O182" s="163">
        <v>181</v>
      </c>
    </row>
    <row r="183" spans="1:15">
      <c r="A183" s="163"/>
      <c r="B183" s="163" t="str">
        <f t="shared" si="2"/>
        <v>NotApplicable</v>
      </c>
      <c r="D183" s="163" t="e">
        <f>VLOOKUP(C:C,'QT Import for PTC'!B:D,3,0)</f>
        <v>#N/A</v>
      </c>
      <c r="E183" s="165"/>
      <c r="F183" s="165"/>
      <c r="G183" s="165"/>
      <c r="H183" s="165"/>
      <c r="I183" s="165"/>
      <c r="J183" s="166"/>
      <c r="K183" s="163"/>
      <c r="L183" s="167"/>
      <c r="M183" s="165"/>
      <c r="N183" s="163"/>
      <c r="O183" s="163">
        <v>182</v>
      </c>
    </row>
    <row r="184" spans="1:15">
      <c r="A184" s="163"/>
      <c r="B184" s="163" t="str">
        <f t="shared" si="2"/>
        <v>NotApplicable</v>
      </c>
      <c r="D184" s="163" t="e">
        <f>VLOOKUP(C:C,'QT Import for PTC'!B:D,3,0)</f>
        <v>#N/A</v>
      </c>
      <c r="E184" s="165"/>
      <c r="F184" s="165"/>
      <c r="G184" s="165"/>
      <c r="H184" s="165"/>
      <c r="I184" s="165"/>
      <c r="J184" s="166"/>
      <c r="K184" s="163"/>
      <c r="L184" s="167"/>
      <c r="M184" s="165"/>
      <c r="N184" s="163"/>
      <c r="O184" s="163">
        <v>183</v>
      </c>
    </row>
    <row r="185" spans="1:15">
      <c r="A185" s="163"/>
      <c r="B185" s="163" t="str">
        <f t="shared" si="2"/>
        <v>NotApplicable</v>
      </c>
      <c r="D185" s="163" t="e">
        <f>VLOOKUP(C:C,'QT Import for PTC'!B:D,3,0)</f>
        <v>#N/A</v>
      </c>
      <c r="E185" s="165"/>
      <c r="F185" s="165"/>
      <c r="G185" s="165"/>
      <c r="H185" s="165"/>
      <c r="I185" s="165"/>
      <c r="J185" s="166"/>
      <c r="K185" s="163"/>
      <c r="L185" s="167"/>
      <c r="M185" s="165"/>
      <c r="N185" s="163"/>
      <c r="O185" s="163">
        <v>184</v>
      </c>
    </row>
    <row r="186" spans="1:15">
      <c r="A186" s="163"/>
      <c r="B186" s="163" t="str">
        <f t="shared" si="2"/>
        <v>NotApplicable</v>
      </c>
      <c r="D186" s="163" t="e">
        <f>VLOOKUP(C:C,'QT Import for PTC'!B:D,3,0)</f>
        <v>#N/A</v>
      </c>
      <c r="E186" s="165"/>
      <c r="F186" s="165"/>
      <c r="G186" s="165"/>
      <c r="H186" s="165"/>
      <c r="I186" s="165"/>
      <c r="J186" s="166"/>
      <c r="K186" s="163"/>
      <c r="L186" s="167"/>
      <c r="M186" s="165"/>
      <c r="N186" s="163"/>
      <c r="O186" s="163">
        <v>185</v>
      </c>
    </row>
    <row r="187" spans="1:15">
      <c r="A187" s="163"/>
      <c r="B187" s="163" t="str">
        <f t="shared" si="2"/>
        <v>NotApplicable</v>
      </c>
      <c r="D187" s="163" t="e">
        <f>VLOOKUP(C:C,'QT Import for PTC'!B:D,3,0)</f>
        <v>#N/A</v>
      </c>
      <c r="E187" s="165"/>
      <c r="F187" s="165"/>
      <c r="G187" s="165"/>
      <c r="H187" s="165"/>
      <c r="I187" s="165"/>
      <c r="J187" s="166"/>
      <c r="K187" s="163"/>
      <c r="L187" s="167"/>
      <c r="M187" s="165"/>
      <c r="N187" s="163"/>
      <c r="O187" s="163">
        <v>186</v>
      </c>
    </row>
    <row r="188" spans="1:15">
      <c r="A188" s="163"/>
      <c r="B188" s="163" t="str">
        <f t="shared" si="2"/>
        <v>NotApplicable</v>
      </c>
      <c r="D188" s="163" t="e">
        <f>VLOOKUP(C:C,'QT Import for PTC'!B:D,3,0)</f>
        <v>#N/A</v>
      </c>
      <c r="E188" s="165"/>
      <c r="F188" s="165"/>
      <c r="G188" s="165"/>
      <c r="H188" s="165"/>
      <c r="I188" s="165"/>
      <c r="J188" s="166"/>
      <c r="K188" s="163"/>
      <c r="L188" s="167"/>
      <c r="M188" s="165"/>
      <c r="N188" s="163"/>
      <c r="O188" s="163">
        <v>187</v>
      </c>
    </row>
    <row r="189" spans="1:15">
      <c r="A189" s="163"/>
      <c r="B189" s="163" t="str">
        <f t="shared" si="2"/>
        <v>NotApplicable</v>
      </c>
      <c r="D189" s="163" t="e">
        <f>VLOOKUP(C:C,'QT Import for PTC'!B:D,3,0)</f>
        <v>#N/A</v>
      </c>
      <c r="E189" s="165"/>
      <c r="F189" s="165"/>
      <c r="G189" s="165"/>
      <c r="H189" s="165"/>
      <c r="I189" s="165"/>
      <c r="J189" s="166"/>
      <c r="K189" s="163"/>
      <c r="L189" s="167"/>
      <c r="M189" s="165"/>
      <c r="N189" s="163"/>
      <c r="O189" s="163">
        <v>188</v>
      </c>
    </row>
    <row r="190" spans="1:15">
      <c r="A190" s="163"/>
      <c r="B190" s="163" t="str">
        <f t="shared" si="2"/>
        <v>NotApplicable</v>
      </c>
      <c r="D190" s="163" t="e">
        <f>VLOOKUP(C:C,'QT Import for PTC'!B:D,3,0)</f>
        <v>#N/A</v>
      </c>
      <c r="E190" s="165"/>
      <c r="F190" s="165"/>
      <c r="G190" s="165"/>
      <c r="H190" s="165"/>
      <c r="I190" s="165"/>
      <c r="J190" s="166"/>
      <c r="K190" s="163"/>
      <c r="L190" s="167"/>
      <c r="M190" s="165"/>
      <c r="N190" s="163"/>
      <c r="O190" s="163">
        <v>189</v>
      </c>
    </row>
    <row r="191" spans="1:15">
      <c r="A191" s="163"/>
      <c r="B191" s="163" t="str">
        <f t="shared" si="2"/>
        <v>NotApplicable</v>
      </c>
      <c r="D191" s="163" t="e">
        <f>VLOOKUP(C:C,'QT Import for PTC'!B:D,3,0)</f>
        <v>#N/A</v>
      </c>
      <c r="E191" s="165"/>
      <c r="F191" s="165"/>
      <c r="G191" s="165"/>
      <c r="H191" s="165"/>
      <c r="I191" s="165"/>
      <c r="J191" s="166"/>
      <c r="K191" s="163"/>
      <c r="L191" s="167"/>
      <c r="M191" s="165"/>
      <c r="N191" s="163"/>
      <c r="O191" s="163">
        <v>190</v>
      </c>
    </row>
    <row r="192" spans="1:15">
      <c r="A192" s="163"/>
      <c r="B192" s="163" t="str">
        <f t="shared" si="2"/>
        <v>NotApplicable</v>
      </c>
      <c r="D192" s="163" t="e">
        <f>VLOOKUP(C:C,'QT Import for PTC'!B:D,3,0)</f>
        <v>#N/A</v>
      </c>
      <c r="E192" s="165"/>
      <c r="F192" s="165"/>
      <c r="G192" s="165"/>
      <c r="H192" s="165"/>
      <c r="I192" s="165"/>
      <c r="J192" s="166"/>
      <c r="K192" s="163"/>
      <c r="L192" s="167"/>
      <c r="M192" s="165"/>
      <c r="N192" s="163"/>
      <c r="O192" s="163">
        <v>191</v>
      </c>
    </row>
    <row r="193" spans="1:15">
      <c r="A193" s="163"/>
      <c r="B193" s="163" t="str">
        <f t="shared" si="2"/>
        <v>NotApplicable</v>
      </c>
      <c r="D193" s="163" t="e">
        <f>VLOOKUP(C:C,'QT Import for PTC'!B:D,3,0)</f>
        <v>#N/A</v>
      </c>
      <c r="E193" s="165"/>
      <c r="F193" s="165"/>
      <c r="G193" s="165"/>
      <c r="H193" s="165"/>
      <c r="I193" s="165"/>
      <c r="J193" s="166"/>
      <c r="K193" s="163"/>
      <c r="L193" s="167"/>
      <c r="M193" s="165"/>
      <c r="N193" s="163"/>
      <c r="O193" s="163">
        <v>192</v>
      </c>
    </row>
    <row r="194" spans="1:15">
      <c r="A194" s="163"/>
      <c r="B194" s="163" t="str">
        <f t="shared" si="2"/>
        <v>NotApplicable</v>
      </c>
      <c r="D194" s="163" t="e">
        <f>VLOOKUP(C:C,'QT Import for PTC'!B:D,3,0)</f>
        <v>#N/A</v>
      </c>
      <c r="E194" s="165"/>
      <c r="F194" s="165"/>
      <c r="G194" s="165"/>
      <c r="H194" s="165"/>
      <c r="I194" s="165"/>
      <c r="J194" s="166"/>
      <c r="K194" s="163"/>
      <c r="L194" s="167"/>
      <c r="M194" s="165"/>
      <c r="N194" s="163"/>
      <c r="O194" s="163">
        <v>193</v>
      </c>
    </row>
    <row r="195" spans="1:15">
      <c r="A195" s="163"/>
      <c r="B195" s="163" t="str">
        <f t="shared" ref="B195:B258" si="3">IF(ISNA(D195),"NotApplicable","Applicable")</f>
        <v>NotApplicable</v>
      </c>
      <c r="D195" s="163" t="e">
        <f>VLOOKUP(C:C,'QT Import for PTC'!B:D,3,0)</f>
        <v>#N/A</v>
      </c>
      <c r="E195" s="165"/>
      <c r="F195" s="165"/>
      <c r="G195" s="165"/>
      <c r="H195" s="165"/>
      <c r="I195" s="165"/>
      <c r="J195" s="166"/>
      <c r="K195" s="163"/>
      <c r="L195" s="167"/>
      <c r="M195" s="165"/>
      <c r="N195" s="163"/>
      <c r="O195" s="163">
        <v>194</v>
      </c>
    </row>
    <row r="196" spans="1:15">
      <c r="A196" s="163"/>
      <c r="B196" s="163" t="str">
        <f t="shared" si="3"/>
        <v>NotApplicable</v>
      </c>
      <c r="D196" s="163" t="e">
        <f>VLOOKUP(C:C,'QT Import for PTC'!B:D,3,0)</f>
        <v>#N/A</v>
      </c>
      <c r="E196" s="165"/>
      <c r="F196" s="165"/>
      <c r="G196" s="165"/>
      <c r="H196" s="165"/>
      <c r="I196" s="165"/>
      <c r="J196" s="166"/>
      <c r="K196" s="163"/>
      <c r="L196" s="167"/>
      <c r="M196" s="165"/>
      <c r="N196" s="163"/>
      <c r="O196" s="163">
        <v>195</v>
      </c>
    </row>
    <row r="197" spans="1:15">
      <c r="A197" s="163"/>
      <c r="B197" s="163" t="str">
        <f t="shared" si="3"/>
        <v>NotApplicable</v>
      </c>
      <c r="D197" s="163" t="e">
        <f>VLOOKUP(C:C,'QT Import for PTC'!B:D,3,0)</f>
        <v>#N/A</v>
      </c>
      <c r="E197" s="165"/>
      <c r="F197" s="165"/>
      <c r="G197" s="165"/>
      <c r="H197" s="165"/>
      <c r="I197" s="165"/>
      <c r="J197" s="166"/>
      <c r="K197" s="163"/>
      <c r="L197" s="167"/>
      <c r="M197" s="165"/>
      <c r="N197" s="163"/>
      <c r="O197" s="163">
        <v>196</v>
      </c>
    </row>
    <row r="198" spans="1:15">
      <c r="A198" s="163"/>
      <c r="B198" s="163" t="str">
        <f t="shared" si="3"/>
        <v>NotApplicable</v>
      </c>
      <c r="D198" s="163" t="e">
        <f>VLOOKUP(C:C,'QT Import for PTC'!B:D,3,0)</f>
        <v>#N/A</v>
      </c>
      <c r="E198" s="165"/>
      <c r="F198" s="165"/>
      <c r="G198" s="165"/>
      <c r="H198" s="165"/>
      <c r="I198" s="165"/>
      <c r="J198" s="166"/>
      <c r="K198" s="163"/>
      <c r="L198" s="167"/>
      <c r="M198" s="165"/>
      <c r="N198" s="163"/>
      <c r="O198" s="163">
        <v>197</v>
      </c>
    </row>
    <row r="199" spans="1:15">
      <c r="A199" s="163"/>
      <c r="B199" s="163" t="str">
        <f t="shared" si="3"/>
        <v>NotApplicable</v>
      </c>
      <c r="D199" s="163" t="e">
        <f>VLOOKUP(C:C,'QT Import for PTC'!B:D,3,0)</f>
        <v>#N/A</v>
      </c>
      <c r="E199" s="165"/>
      <c r="F199" s="165"/>
      <c r="G199" s="165"/>
      <c r="H199" s="165"/>
      <c r="I199" s="165"/>
      <c r="J199" s="166"/>
      <c r="K199" s="163"/>
      <c r="L199" s="167"/>
      <c r="M199" s="165"/>
      <c r="N199" s="163"/>
      <c r="O199" s="163">
        <v>198</v>
      </c>
    </row>
    <row r="200" spans="1:15">
      <c r="A200" s="163"/>
      <c r="B200" s="163" t="str">
        <f t="shared" si="3"/>
        <v>NotApplicable</v>
      </c>
      <c r="D200" s="163" t="e">
        <f>VLOOKUP(C:C,'QT Import for PTC'!B:D,3,0)</f>
        <v>#N/A</v>
      </c>
      <c r="E200" s="165"/>
      <c r="F200" s="165"/>
      <c r="G200" s="165"/>
      <c r="H200" s="165"/>
      <c r="I200" s="165"/>
      <c r="J200" s="166"/>
      <c r="K200" s="163"/>
      <c r="L200" s="167"/>
      <c r="M200" s="165"/>
      <c r="N200" s="163"/>
      <c r="O200" s="163">
        <v>199</v>
      </c>
    </row>
    <row r="201" spans="1:15">
      <c r="A201" s="163"/>
      <c r="B201" s="163" t="str">
        <f t="shared" si="3"/>
        <v>NotApplicable</v>
      </c>
      <c r="D201" s="163" t="e">
        <f>VLOOKUP(C:C,'QT Import for PTC'!B:D,3,0)</f>
        <v>#N/A</v>
      </c>
      <c r="E201" s="165"/>
      <c r="F201" s="165"/>
      <c r="G201" s="165"/>
      <c r="H201" s="165"/>
      <c r="I201" s="165"/>
      <c r="J201" s="166"/>
      <c r="K201" s="163"/>
      <c r="L201" s="167"/>
      <c r="M201" s="165"/>
      <c r="N201" s="163"/>
      <c r="O201" s="163">
        <v>200</v>
      </c>
    </row>
    <row r="202" spans="1:15">
      <c r="A202" s="163"/>
      <c r="B202" s="163" t="str">
        <f t="shared" si="3"/>
        <v>NotApplicable</v>
      </c>
      <c r="D202" s="163" t="e">
        <f>VLOOKUP(C:C,'QT Import for PTC'!B:D,3,0)</f>
        <v>#N/A</v>
      </c>
      <c r="E202" s="165"/>
      <c r="F202" s="165"/>
      <c r="G202" s="165"/>
      <c r="H202" s="165"/>
      <c r="I202" s="165"/>
      <c r="J202" s="166"/>
      <c r="K202" s="163"/>
      <c r="L202" s="167"/>
      <c r="M202" s="165"/>
      <c r="N202" s="163"/>
      <c r="O202" s="163">
        <v>201</v>
      </c>
    </row>
    <row r="203" spans="1:15">
      <c r="A203" s="163"/>
      <c r="B203" s="163" t="str">
        <f t="shared" si="3"/>
        <v>NotApplicable</v>
      </c>
      <c r="D203" s="163" t="e">
        <f>VLOOKUP(C:C,'QT Import for PTC'!B:D,3,0)</f>
        <v>#N/A</v>
      </c>
      <c r="E203" s="165"/>
      <c r="F203" s="165"/>
      <c r="G203" s="165"/>
      <c r="H203" s="165"/>
      <c r="I203" s="165"/>
      <c r="J203" s="166"/>
      <c r="K203" s="163"/>
      <c r="L203" s="167"/>
      <c r="M203" s="165"/>
      <c r="N203" s="163"/>
      <c r="O203" s="163">
        <v>202</v>
      </c>
    </row>
    <row r="204" spans="1:15">
      <c r="A204" s="163"/>
      <c r="B204" s="163" t="str">
        <f t="shared" si="3"/>
        <v>NotApplicable</v>
      </c>
      <c r="D204" s="163" t="e">
        <f>VLOOKUP(C:C,'QT Import for PTC'!B:D,3,0)</f>
        <v>#N/A</v>
      </c>
      <c r="E204" s="165"/>
      <c r="F204" s="165"/>
      <c r="G204" s="165"/>
      <c r="H204" s="165"/>
      <c r="I204" s="165"/>
      <c r="J204" s="166"/>
      <c r="K204" s="163"/>
      <c r="L204" s="167"/>
      <c r="M204" s="165"/>
      <c r="N204" s="163"/>
      <c r="O204" s="163">
        <v>203</v>
      </c>
    </row>
    <row r="205" spans="1:15">
      <c r="A205" s="163"/>
      <c r="B205" s="163" t="str">
        <f t="shared" si="3"/>
        <v>NotApplicable</v>
      </c>
      <c r="D205" s="163" t="e">
        <f>VLOOKUP(C:C,'QT Import for PTC'!B:D,3,0)</f>
        <v>#N/A</v>
      </c>
      <c r="E205" s="165"/>
      <c r="F205" s="165"/>
      <c r="G205" s="165"/>
      <c r="H205" s="165"/>
      <c r="I205" s="165"/>
      <c r="J205" s="166"/>
      <c r="K205" s="163"/>
      <c r="L205" s="167"/>
      <c r="M205" s="165"/>
      <c r="N205" s="163"/>
      <c r="O205" s="163">
        <v>204</v>
      </c>
    </row>
    <row r="206" spans="1:15">
      <c r="A206" s="163"/>
      <c r="B206" s="163" t="str">
        <f t="shared" si="3"/>
        <v>NotApplicable</v>
      </c>
      <c r="D206" s="163" t="e">
        <f>VLOOKUP(C:C,'QT Import for PTC'!B:D,3,0)</f>
        <v>#N/A</v>
      </c>
      <c r="E206" s="165"/>
      <c r="F206" s="165"/>
      <c r="G206" s="165"/>
      <c r="H206" s="165"/>
      <c r="I206" s="165"/>
      <c r="J206" s="166"/>
      <c r="K206" s="163"/>
      <c r="L206" s="167"/>
      <c r="M206" s="165"/>
      <c r="N206" s="163"/>
      <c r="O206" s="163">
        <v>205</v>
      </c>
    </row>
    <row r="207" spans="1:15">
      <c r="A207" s="163"/>
      <c r="B207" s="163" t="str">
        <f t="shared" si="3"/>
        <v>NotApplicable</v>
      </c>
      <c r="D207" s="163" t="e">
        <f>VLOOKUP(C:C,'QT Import for PTC'!B:D,3,0)</f>
        <v>#N/A</v>
      </c>
      <c r="E207" s="165"/>
      <c r="F207" s="165"/>
      <c r="G207" s="165"/>
      <c r="H207" s="165"/>
      <c r="I207" s="165"/>
      <c r="J207" s="166"/>
      <c r="K207" s="163"/>
      <c r="L207" s="167"/>
      <c r="M207" s="165"/>
      <c r="N207" s="163"/>
      <c r="O207" s="163">
        <v>206</v>
      </c>
    </row>
    <row r="208" spans="1:15">
      <c r="A208" s="163"/>
      <c r="B208" s="163" t="str">
        <f t="shared" si="3"/>
        <v>NotApplicable</v>
      </c>
      <c r="D208" s="163" t="e">
        <f>VLOOKUP(C:C,'QT Import for PTC'!B:D,3,0)</f>
        <v>#N/A</v>
      </c>
      <c r="E208" s="165"/>
      <c r="F208" s="165"/>
      <c r="G208" s="165"/>
      <c r="H208" s="165"/>
      <c r="I208" s="165"/>
      <c r="J208" s="166"/>
      <c r="K208" s="163"/>
      <c r="L208" s="167"/>
      <c r="M208" s="165"/>
      <c r="N208" s="163"/>
      <c r="O208" s="163">
        <v>207</v>
      </c>
    </row>
    <row r="209" spans="1:15">
      <c r="A209" s="163"/>
      <c r="B209" s="163" t="str">
        <f t="shared" si="3"/>
        <v>NotApplicable</v>
      </c>
      <c r="D209" s="163" t="e">
        <f>VLOOKUP(C:C,'QT Import for PTC'!B:D,3,0)</f>
        <v>#N/A</v>
      </c>
      <c r="E209" s="165"/>
      <c r="F209" s="165"/>
      <c r="G209" s="165"/>
      <c r="H209" s="165"/>
      <c r="I209" s="165"/>
      <c r="J209" s="166"/>
      <c r="K209" s="163"/>
      <c r="L209" s="167"/>
      <c r="M209" s="165"/>
      <c r="N209" s="163"/>
      <c r="O209" s="163">
        <v>208</v>
      </c>
    </row>
    <row r="210" spans="1:15">
      <c r="A210" s="163"/>
      <c r="B210" s="163" t="str">
        <f t="shared" si="3"/>
        <v>NotApplicable</v>
      </c>
      <c r="D210" s="163" t="e">
        <f>VLOOKUP(C:C,'QT Import for PTC'!B:D,3,0)</f>
        <v>#N/A</v>
      </c>
      <c r="E210" s="165"/>
      <c r="F210" s="165"/>
      <c r="G210" s="165"/>
      <c r="H210" s="165"/>
      <c r="I210" s="165"/>
      <c r="J210" s="166"/>
      <c r="K210" s="163"/>
      <c r="L210" s="167"/>
      <c r="M210" s="165"/>
      <c r="N210" s="163"/>
      <c r="O210" s="163">
        <v>209</v>
      </c>
    </row>
    <row r="211" spans="1:15">
      <c r="A211" s="163"/>
      <c r="B211" s="163" t="str">
        <f t="shared" si="3"/>
        <v>NotApplicable</v>
      </c>
      <c r="D211" s="163" t="e">
        <f>VLOOKUP(C:C,'QT Import for PTC'!B:D,3,0)</f>
        <v>#N/A</v>
      </c>
      <c r="E211" s="165"/>
      <c r="F211" s="165"/>
      <c r="G211" s="165"/>
      <c r="H211" s="165"/>
      <c r="I211" s="165"/>
      <c r="J211" s="166"/>
      <c r="K211" s="163"/>
      <c r="L211" s="167"/>
      <c r="M211" s="165"/>
      <c r="N211" s="163"/>
      <c r="O211" s="163">
        <v>210</v>
      </c>
    </row>
    <row r="212" spans="1:15">
      <c r="A212" s="163"/>
      <c r="B212" s="163" t="str">
        <f t="shared" si="3"/>
        <v>NotApplicable</v>
      </c>
      <c r="D212" s="163" t="e">
        <f>VLOOKUP(C:C,'QT Import for PTC'!B:D,3,0)</f>
        <v>#N/A</v>
      </c>
      <c r="E212" s="165"/>
      <c r="F212" s="165"/>
      <c r="G212" s="165"/>
      <c r="H212" s="165"/>
      <c r="I212" s="165"/>
      <c r="J212" s="166"/>
      <c r="K212" s="163"/>
      <c r="L212" s="167"/>
      <c r="M212" s="165"/>
      <c r="N212" s="163"/>
      <c r="O212" s="163">
        <v>211</v>
      </c>
    </row>
    <row r="213" spans="1:15">
      <c r="A213" s="163"/>
      <c r="B213" s="163" t="str">
        <f t="shared" si="3"/>
        <v>NotApplicable</v>
      </c>
      <c r="D213" s="163" t="e">
        <f>VLOOKUP(C:C,'QT Import for PTC'!B:D,3,0)</f>
        <v>#N/A</v>
      </c>
      <c r="E213" s="165"/>
      <c r="F213" s="165"/>
      <c r="G213" s="165"/>
      <c r="H213" s="165"/>
      <c r="I213" s="165"/>
      <c r="J213" s="166"/>
      <c r="K213" s="163"/>
      <c r="L213" s="167"/>
      <c r="M213" s="165"/>
      <c r="N213" s="163"/>
      <c r="O213" s="163">
        <v>212</v>
      </c>
    </row>
    <row r="214" spans="1:15">
      <c r="A214" s="163"/>
      <c r="B214" s="163" t="str">
        <f t="shared" si="3"/>
        <v>NotApplicable</v>
      </c>
      <c r="D214" s="163" t="e">
        <f>VLOOKUP(C:C,'QT Import for PTC'!B:D,3,0)</f>
        <v>#N/A</v>
      </c>
      <c r="E214" s="165"/>
      <c r="F214" s="165"/>
      <c r="G214" s="165"/>
      <c r="H214" s="165"/>
      <c r="I214" s="165"/>
      <c r="J214" s="166"/>
      <c r="K214" s="163"/>
      <c r="L214" s="167"/>
      <c r="M214" s="165"/>
      <c r="N214" s="163"/>
      <c r="O214" s="163">
        <v>213</v>
      </c>
    </row>
    <row r="215" spans="1:15">
      <c r="A215" s="163"/>
      <c r="B215" s="163" t="str">
        <f t="shared" si="3"/>
        <v>NotApplicable</v>
      </c>
      <c r="D215" s="163" t="e">
        <f>VLOOKUP(C:C,'QT Import for PTC'!B:D,3,0)</f>
        <v>#N/A</v>
      </c>
      <c r="E215" s="165"/>
      <c r="F215" s="165"/>
      <c r="G215" s="165"/>
      <c r="H215" s="165"/>
      <c r="I215" s="165"/>
      <c r="J215" s="166"/>
      <c r="K215" s="163"/>
      <c r="L215" s="167"/>
      <c r="M215" s="165"/>
      <c r="N215" s="163"/>
      <c r="O215" s="163">
        <v>214</v>
      </c>
    </row>
    <row r="216" spans="1:15">
      <c r="A216" s="163"/>
      <c r="B216" s="163" t="str">
        <f t="shared" si="3"/>
        <v>NotApplicable</v>
      </c>
      <c r="D216" s="163" t="e">
        <f>VLOOKUP(C:C,'QT Import for PTC'!B:D,3,0)</f>
        <v>#N/A</v>
      </c>
      <c r="E216" s="165"/>
      <c r="F216" s="165"/>
      <c r="G216" s="165"/>
      <c r="H216" s="165"/>
      <c r="I216" s="165"/>
      <c r="J216" s="166"/>
      <c r="K216" s="163"/>
      <c r="L216" s="167"/>
      <c r="M216" s="165"/>
      <c r="N216" s="163"/>
      <c r="O216" s="163">
        <v>215</v>
      </c>
    </row>
    <row r="217" spans="1:15">
      <c r="A217" s="163"/>
      <c r="B217" s="163" t="str">
        <f t="shared" si="3"/>
        <v>NotApplicable</v>
      </c>
      <c r="D217" s="163" t="e">
        <f>VLOOKUP(C:C,'QT Import for PTC'!B:D,3,0)</f>
        <v>#N/A</v>
      </c>
      <c r="E217" s="165"/>
      <c r="F217" s="165"/>
      <c r="G217" s="165"/>
      <c r="H217" s="165"/>
      <c r="I217" s="165"/>
      <c r="J217" s="166"/>
      <c r="K217" s="163"/>
      <c r="L217" s="167"/>
      <c r="M217" s="165"/>
      <c r="N217" s="163"/>
      <c r="O217" s="163">
        <v>216</v>
      </c>
    </row>
    <row r="218" spans="1:15">
      <c r="A218" s="163"/>
      <c r="B218" s="163" t="str">
        <f t="shared" si="3"/>
        <v>NotApplicable</v>
      </c>
      <c r="D218" s="163" t="e">
        <f>VLOOKUP(C:C,'QT Import for PTC'!B:D,3,0)</f>
        <v>#N/A</v>
      </c>
      <c r="E218" s="165"/>
      <c r="F218" s="165"/>
      <c r="G218" s="165"/>
      <c r="H218" s="165"/>
      <c r="I218" s="165"/>
      <c r="J218" s="166"/>
      <c r="K218" s="163"/>
      <c r="L218" s="167"/>
      <c r="M218" s="165"/>
      <c r="N218" s="163"/>
      <c r="O218" s="163">
        <v>217</v>
      </c>
    </row>
    <row r="219" spans="1:15">
      <c r="A219" s="163"/>
      <c r="B219" s="163" t="str">
        <f t="shared" si="3"/>
        <v>NotApplicable</v>
      </c>
      <c r="D219" s="163" t="e">
        <f>VLOOKUP(C:C,'QT Import for PTC'!B:D,3,0)</f>
        <v>#N/A</v>
      </c>
      <c r="E219" s="165"/>
      <c r="F219" s="165"/>
      <c r="G219" s="165"/>
      <c r="H219" s="165"/>
      <c r="I219" s="165"/>
      <c r="J219" s="166"/>
      <c r="K219" s="163"/>
      <c r="L219" s="167"/>
      <c r="M219" s="165"/>
      <c r="N219" s="163"/>
      <c r="O219" s="163">
        <v>218</v>
      </c>
    </row>
    <row r="220" spans="1:15">
      <c r="A220" s="163"/>
      <c r="B220" s="163" t="str">
        <f t="shared" si="3"/>
        <v>NotApplicable</v>
      </c>
      <c r="D220" s="163" t="e">
        <f>VLOOKUP(C:C,'QT Import for PTC'!B:D,3,0)</f>
        <v>#N/A</v>
      </c>
      <c r="E220" s="165"/>
      <c r="F220" s="165"/>
      <c r="G220" s="165"/>
      <c r="H220" s="165"/>
      <c r="I220" s="165"/>
      <c r="J220" s="166"/>
      <c r="K220" s="163"/>
      <c r="L220" s="167"/>
      <c r="M220" s="165"/>
      <c r="N220" s="163"/>
      <c r="O220" s="163">
        <v>219</v>
      </c>
    </row>
    <row r="221" spans="1:15">
      <c r="A221" s="163"/>
      <c r="B221" s="163" t="str">
        <f t="shared" si="3"/>
        <v>NotApplicable</v>
      </c>
      <c r="D221" s="163" t="e">
        <f>VLOOKUP(C:C,'QT Import for PTC'!B:D,3,0)</f>
        <v>#N/A</v>
      </c>
      <c r="E221" s="165"/>
      <c r="F221" s="165"/>
      <c r="G221" s="165"/>
      <c r="H221" s="165"/>
      <c r="I221" s="165"/>
      <c r="J221" s="166"/>
      <c r="K221" s="163"/>
      <c r="L221" s="167"/>
      <c r="M221" s="165"/>
      <c r="N221" s="163"/>
      <c r="O221" s="163">
        <v>220</v>
      </c>
    </row>
    <row r="222" spans="1:15">
      <c r="A222" s="163"/>
      <c r="B222" s="163" t="str">
        <f t="shared" si="3"/>
        <v>NotApplicable</v>
      </c>
      <c r="D222" s="163" t="e">
        <f>VLOOKUP(C:C,'QT Import for PTC'!B:D,3,0)</f>
        <v>#N/A</v>
      </c>
      <c r="E222" s="165"/>
      <c r="F222" s="165"/>
      <c r="G222" s="165"/>
      <c r="H222" s="165"/>
      <c r="I222" s="165"/>
      <c r="J222" s="166"/>
      <c r="K222" s="163"/>
      <c r="L222" s="167"/>
      <c r="M222" s="165"/>
      <c r="N222" s="163"/>
      <c r="O222" s="163">
        <v>221</v>
      </c>
    </row>
    <row r="223" spans="1:15">
      <c r="A223" s="163"/>
      <c r="B223" s="163" t="str">
        <f t="shared" si="3"/>
        <v>NotApplicable</v>
      </c>
      <c r="D223" s="163" t="e">
        <f>VLOOKUP(C:C,'QT Import for PTC'!B:D,3,0)</f>
        <v>#N/A</v>
      </c>
      <c r="E223" s="165"/>
      <c r="F223" s="165"/>
      <c r="G223" s="165"/>
      <c r="H223" s="165"/>
      <c r="I223" s="165"/>
      <c r="J223" s="166"/>
      <c r="K223" s="163"/>
      <c r="L223" s="167"/>
      <c r="M223" s="165"/>
      <c r="N223" s="163"/>
      <c r="O223" s="163">
        <v>222</v>
      </c>
    </row>
    <row r="224" spans="1:15">
      <c r="A224" s="163"/>
      <c r="B224" s="163" t="str">
        <f t="shared" si="3"/>
        <v>NotApplicable</v>
      </c>
      <c r="D224" s="163" t="e">
        <f>VLOOKUP(C:C,'QT Import for PTC'!B:D,3,0)</f>
        <v>#N/A</v>
      </c>
      <c r="E224" s="165"/>
      <c r="F224" s="165"/>
      <c r="G224" s="165"/>
      <c r="H224" s="165"/>
      <c r="I224" s="165"/>
      <c r="J224" s="166"/>
      <c r="K224" s="163"/>
      <c r="L224" s="167"/>
      <c r="M224" s="165"/>
      <c r="N224" s="163"/>
      <c r="O224" s="163">
        <v>223</v>
      </c>
    </row>
    <row r="225" spans="1:15">
      <c r="A225" s="163"/>
      <c r="B225" s="163" t="str">
        <f t="shared" si="3"/>
        <v>NotApplicable</v>
      </c>
      <c r="D225" s="163" t="e">
        <f>VLOOKUP(C:C,'QT Import for PTC'!B:D,3,0)</f>
        <v>#N/A</v>
      </c>
      <c r="E225" s="165"/>
      <c r="F225" s="165"/>
      <c r="G225" s="165"/>
      <c r="H225" s="165"/>
      <c r="I225" s="165"/>
      <c r="J225" s="166"/>
      <c r="K225" s="163"/>
      <c r="L225" s="167"/>
      <c r="M225" s="165"/>
      <c r="N225" s="163"/>
      <c r="O225" s="163">
        <v>224</v>
      </c>
    </row>
    <row r="226" spans="1:15">
      <c r="A226" s="163"/>
      <c r="B226" s="163" t="str">
        <f t="shared" si="3"/>
        <v>NotApplicable</v>
      </c>
      <c r="D226" s="163" t="e">
        <f>VLOOKUP(C:C,'QT Import for PTC'!B:D,3,0)</f>
        <v>#N/A</v>
      </c>
      <c r="E226" s="165"/>
      <c r="F226" s="165"/>
      <c r="G226" s="165"/>
      <c r="H226" s="165"/>
      <c r="I226" s="165"/>
      <c r="J226" s="166"/>
      <c r="K226" s="163"/>
      <c r="L226" s="167"/>
      <c r="M226" s="165"/>
      <c r="N226" s="163"/>
      <c r="O226" s="163">
        <v>225</v>
      </c>
    </row>
    <row r="227" spans="1:15">
      <c r="A227" s="163"/>
      <c r="B227" s="163" t="str">
        <f t="shared" si="3"/>
        <v>NotApplicable</v>
      </c>
      <c r="D227" s="163" t="e">
        <f>VLOOKUP(C:C,'QT Import for PTC'!B:D,3,0)</f>
        <v>#N/A</v>
      </c>
      <c r="E227" s="165"/>
      <c r="F227" s="165"/>
      <c r="G227" s="165"/>
      <c r="H227" s="165"/>
      <c r="I227" s="165"/>
      <c r="J227" s="166"/>
      <c r="K227" s="163"/>
      <c r="L227" s="167"/>
      <c r="M227" s="165"/>
      <c r="N227" s="163"/>
      <c r="O227" s="163">
        <v>226</v>
      </c>
    </row>
    <row r="228" spans="1:15">
      <c r="A228" s="163"/>
      <c r="B228" s="163" t="str">
        <f t="shared" si="3"/>
        <v>NotApplicable</v>
      </c>
      <c r="D228" s="163" t="e">
        <f>VLOOKUP(C:C,'QT Import for PTC'!B:D,3,0)</f>
        <v>#N/A</v>
      </c>
      <c r="E228" s="165"/>
      <c r="F228" s="165"/>
      <c r="G228" s="165"/>
      <c r="H228" s="165"/>
      <c r="I228" s="165"/>
      <c r="J228" s="166"/>
      <c r="K228" s="163"/>
      <c r="L228" s="167"/>
      <c r="M228" s="165"/>
      <c r="N228" s="163"/>
      <c r="O228" s="163">
        <v>227</v>
      </c>
    </row>
    <row r="229" spans="1:15">
      <c r="A229" s="163"/>
      <c r="B229" s="163" t="str">
        <f t="shared" si="3"/>
        <v>NotApplicable</v>
      </c>
      <c r="D229" s="163" t="e">
        <f>VLOOKUP(C:C,'QT Import for PTC'!B:D,3,0)</f>
        <v>#N/A</v>
      </c>
      <c r="E229" s="165"/>
      <c r="F229" s="165"/>
      <c r="G229" s="165"/>
      <c r="H229" s="165"/>
      <c r="I229" s="165"/>
      <c r="J229" s="166"/>
      <c r="K229" s="163"/>
      <c r="L229" s="167"/>
      <c r="M229" s="165"/>
      <c r="N229" s="163"/>
      <c r="O229" s="163">
        <v>228</v>
      </c>
    </row>
    <row r="230" spans="1:15">
      <c r="A230" s="163"/>
      <c r="B230" s="163" t="str">
        <f t="shared" si="3"/>
        <v>NotApplicable</v>
      </c>
      <c r="D230" s="163" t="e">
        <f>VLOOKUP(C:C,'QT Import for PTC'!B:D,3,0)</f>
        <v>#N/A</v>
      </c>
      <c r="E230" s="165"/>
      <c r="F230" s="165"/>
      <c r="G230" s="165"/>
      <c r="H230" s="165"/>
      <c r="I230" s="165"/>
      <c r="J230" s="166"/>
      <c r="K230" s="163"/>
      <c r="L230" s="167"/>
      <c r="M230" s="165"/>
      <c r="N230" s="163"/>
      <c r="O230" s="163">
        <v>229</v>
      </c>
    </row>
    <row r="231" spans="1:15">
      <c r="A231" s="163"/>
      <c r="B231" s="163" t="str">
        <f t="shared" si="3"/>
        <v>NotApplicable</v>
      </c>
      <c r="D231" s="163" t="e">
        <f>VLOOKUP(C:C,'QT Import for PTC'!B:D,3,0)</f>
        <v>#N/A</v>
      </c>
      <c r="E231" s="165"/>
      <c r="F231" s="165"/>
      <c r="G231" s="165"/>
      <c r="H231" s="165"/>
      <c r="I231" s="165"/>
      <c r="J231" s="166"/>
      <c r="K231" s="163"/>
      <c r="L231" s="167"/>
      <c r="M231" s="165"/>
      <c r="N231" s="163"/>
      <c r="O231" s="163">
        <v>230</v>
      </c>
    </row>
    <row r="232" spans="1:15">
      <c r="A232" s="163"/>
      <c r="B232" s="163" t="str">
        <f t="shared" si="3"/>
        <v>NotApplicable</v>
      </c>
      <c r="D232" s="163" t="e">
        <f>VLOOKUP(C:C,'QT Import for PTC'!B:D,3,0)</f>
        <v>#N/A</v>
      </c>
      <c r="E232" s="165"/>
      <c r="F232" s="165"/>
      <c r="G232" s="165"/>
      <c r="H232" s="165"/>
      <c r="I232" s="165"/>
      <c r="J232" s="166"/>
      <c r="K232" s="163"/>
      <c r="L232" s="167"/>
      <c r="M232" s="165"/>
      <c r="N232" s="163"/>
      <c r="O232" s="163">
        <v>231</v>
      </c>
    </row>
    <row r="233" spans="1:15">
      <c r="A233" s="163"/>
      <c r="B233" s="163" t="str">
        <f t="shared" si="3"/>
        <v>NotApplicable</v>
      </c>
      <c r="D233" s="163" t="e">
        <f>VLOOKUP(C:C,'QT Import for PTC'!B:D,3,0)</f>
        <v>#N/A</v>
      </c>
      <c r="E233" s="165"/>
      <c r="F233" s="165"/>
      <c r="G233" s="165"/>
      <c r="H233" s="165"/>
      <c r="I233" s="165"/>
      <c r="J233" s="166"/>
      <c r="K233" s="163"/>
      <c r="L233" s="167"/>
      <c r="M233" s="165"/>
      <c r="N233" s="163"/>
      <c r="O233" s="163">
        <v>232</v>
      </c>
    </row>
    <row r="234" spans="1:15">
      <c r="A234" s="163"/>
      <c r="B234" s="163" t="str">
        <f t="shared" si="3"/>
        <v>NotApplicable</v>
      </c>
      <c r="D234" s="163" t="e">
        <f>VLOOKUP(C:C,'QT Import for PTC'!B:D,3,0)</f>
        <v>#N/A</v>
      </c>
      <c r="E234" s="165"/>
      <c r="F234" s="165"/>
      <c r="G234" s="165"/>
      <c r="H234" s="165"/>
      <c r="I234" s="165"/>
      <c r="J234" s="166"/>
      <c r="K234" s="163"/>
      <c r="L234" s="167"/>
      <c r="M234" s="165"/>
      <c r="N234" s="163"/>
      <c r="O234" s="163">
        <v>233</v>
      </c>
    </row>
    <row r="235" spans="1:15">
      <c r="A235" s="163"/>
      <c r="B235" s="163" t="str">
        <f t="shared" si="3"/>
        <v>NotApplicable</v>
      </c>
      <c r="D235" s="163" t="e">
        <f>VLOOKUP(C:C,'QT Import for PTC'!B:D,3,0)</f>
        <v>#N/A</v>
      </c>
      <c r="E235" s="165"/>
      <c r="F235" s="165"/>
      <c r="G235" s="165"/>
      <c r="H235" s="165"/>
      <c r="I235" s="165"/>
      <c r="J235" s="166"/>
      <c r="K235" s="163"/>
      <c r="L235" s="167"/>
      <c r="M235" s="165"/>
      <c r="N235" s="163"/>
      <c r="O235" s="163">
        <v>234</v>
      </c>
    </row>
    <row r="236" spans="1:15">
      <c r="A236" s="163"/>
      <c r="B236" s="163" t="str">
        <f t="shared" si="3"/>
        <v>NotApplicable</v>
      </c>
      <c r="D236" s="163" t="e">
        <f>VLOOKUP(C:C,'QT Import for PTC'!B:D,3,0)</f>
        <v>#N/A</v>
      </c>
      <c r="E236" s="165"/>
      <c r="F236" s="165"/>
      <c r="G236" s="165"/>
      <c r="H236" s="165"/>
      <c r="I236" s="165"/>
      <c r="J236" s="166"/>
      <c r="K236" s="163"/>
      <c r="L236" s="167"/>
      <c r="M236" s="165"/>
      <c r="N236" s="163"/>
      <c r="O236" s="163">
        <v>235</v>
      </c>
    </row>
    <row r="237" spans="1:15">
      <c r="A237" s="163"/>
      <c r="B237" s="163" t="str">
        <f t="shared" si="3"/>
        <v>NotApplicable</v>
      </c>
      <c r="D237" s="163" t="e">
        <f>VLOOKUP(C:C,'QT Import for PTC'!B:D,3,0)</f>
        <v>#N/A</v>
      </c>
      <c r="E237" s="165"/>
      <c r="F237" s="165"/>
      <c r="G237" s="165"/>
      <c r="H237" s="165"/>
      <c r="I237" s="165"/>
      <c r="J237" s="166"/>
      <c r="K237" s="163"/>
      <c r="L237" s="167"/>
      <c r="M237" s="165"/>
      <c r="N237" s="163"/>
      <c r="O237" s="163">
        <v>236</v>
      </c>
    </row>
    <row r="238" spans="1:15">
      <c r="A238" s="163"/>
      <c r="B238" s="163" t="str">
        <f t="shared" si="3"/>
        <v>NotApplicable</v>
      </c>
      <c r="D238" s="163" t="e">
        <f>VLOOKUP(C:C,'QT Import for PTC'!B:D,3,0)</f>
        <v>#N/A</v>
      </c>
      <c r="E238" s="165"/>
      <c r="F238" s="165"/>
      <c r="G238" s="165"/>
      <c r="H238" s="165"/>
      <c r="I238" s="165"/>
      <c r="J238" s="166"/>
      <c r="K238" s="163"/>
      <c r="L238" s="167"/>
      <c r="M238" s="165"/>
      <c r="N238" s="163"/>
      <c r="O238" s="163">
        <v>237</v>
      </c>
    </row>
    <row r="239" spans="1:15">
      <c r="A239" s="163"/>
      <c r="B239" s="163" t="str">
        <f t="shared" si="3"/>
        <v>NotApplicable</v>
      </c>
      <c r="D239" s="163" t="e">
        <f>VLOOKUP(C:C,'QT Import for PTC'!B:D,3,0)</f>
        <v>#N/A</v>
      </c>
      <c r="E239" s="165"/>
      <c r="F239" s="165"/>
      <c r="G239" s="165"/>
      <c r="H239" s="165"/>
      <c r="I239" s="165"/>
      <c r="J239" s="166"/>
      <c r="K239" s="163"/>
      <c r="L239" s="167"/>
      <c r="M239" s="165"/>
      <c r="N239" s="163"/>
      <c r="O239" s="163">
        <v>238</v>
      </c>
    </row>
    <row r="240" spans="1:15">
      <c r="A240" s="163"/>
      <c r="B240" s="163" t="str">
        <f t="shared" si="3"/>
        <v>NotApplicable</v>
      </c>
      <c r="D240" s="163" t="e">
        <f>VLOOKUP(C:C,'QT Import for PTC'!B:D,3,0)</f>
        <v>#N/A</v>
      </c>
      <c r="E240" s="165"/>
      <c r="F240" s="165"/>
      <c r="G240" s="165"/>
      <c r="H240" s="165"/>
      <c r="I240" s="165"/>
      <c r="J240" s="166"/>
      <c r="K240" s="163"/>
      <c r="L240" s="167"/>
      <c r="M240" s="165"/>
      <c r="N240" s="163"/>
      <c r="O240" s="163">
        <v>239</v>
      </c>
    </row>
    <row r="241" spans="1:15">
      <c r="A241" s="163"/>
      <c r="B241" s="163" t="str">
        <f t="shared" si="3"/>
        <v>NotApplicable</v>
      </c>
      <c r="D241" s="163" t="e">
        <f>VLOOKUP(C:C,'QT Import for PTC'!B:D,3,0)</f>
        <v>#N/A</v>
      </c>
      <c r="E241" s="165"/>
      <c r="F241" s="165"/>
      <c r="G241" s="165"/>
      <c r="H241" s="165"/>
      <c r="I241" s="165"/>
      <c r="J241" s="166"/>
      <c r="K241" s="163"/>
      <c r="L241" s="167"/>
      <c r="M241" s="165"/>
      <c r="N241" s="163"/>
      <c r="O241" s="163">
        <v>240</v>
      </c>
    </row>
    <row r="242" spans="1:15">
      <c r="A242" s="163"/>
      <c r="B242" s="163" t="str">
        <f t="shared" si="3"/>
        <v>NotApplicable</v>
      </c>
      <c r="D242" s="163" t="e">
        <f>VLOOKUP(C:C,'QT Import for PTC'!B:D,3,0)</f>
        <v>#N/A</v>
      </c>
      <c r="E242" s="165"/>
      <c r="F242" s="165"/>
      <c r="G242" s="165"/>
      <c r="H242" s="165"/>
      <c r="I242" s="165"/>
      <c r="J242" s="166"/>
      <c r="K242" s="163"/>
      <c r="L242" s="167"/>
      <c r="M242" s="165"/>
      <c r="N242" s="163"/>
      <c r="O242" s="163">
        <v>241</v>
      </c>
    </row>
    <row r="243" spans="1:15">
      <c r="A243" s="163"/>
      <c r="B243" s="163" t="str">
        <f t="shared" si="3"/>
        <v>NotApplicable</v>
      </c>
      <c r="D243" s="163" t="e">
        <f>VLOOKUP(C:C,'QT Import for PTC'!B:D,3,0)</f>
        <v>#N/A</v>
      </c>
      <c r="E243" s="165"/>
      <c r="F243" s="165"/>
      <c r="G243" s="165"/>
      <c r="H243" s="165"/>
      <c r="I243" s="165"/>
      <c r="J243" s="166"/>
      <c r="K243" s="163"/>
      <c r="L243" s="167"/>
      <c r="M243" s="165"/>
      <c r="N243" s="163"/>
      <c r="O243" s="163">
        <v>242</v>
      </c>
    </row>
    <row r="244" spans="1:15">
      <c r="A244" s="163"/>
      <c r="B244" s="163" t="str">
        <f t="shared" si="3"/>
        <v>NotApplicable</v>
      </c>
      <c r="D244" s="163" t="e">
        <f>VLOOKUP(C:C,'QT Import for PTC'!B:D,3,0)</f>
        <v>#N/A</v>
      </c>
      <c r="E244" s="165"/>
      <c r="F244" s="165"/>
      <c r="G244" s="165"/>
      <c r="H244" s="165"/>
      <c r="I244" s="165"/>
      <c r="J244" s="166"/>
      <c r="K244" s="163"/>
      <c r="L244" s="167"/>
      <c r="M244" s="165"/>
      <c r="N244" s="163"/>
      <c r="O244" s="163">
        <v>243</v>
      </c>
    </row>
    <row r="245" spans="1:15">
      <c r="A245" s="163"/>
      <c r="B245" s="163" t="str">
        <f t="shared" si="3"/>
        <v>NotApplicable</v>
      </c>
      <c r="D245" s="163" t="e">
        <f>VLOOKUP(C:C,'QT Import for PTC'!B:D,3,0)</f>
        <v>#N/A</v>
      </c>
      <c r="E245" s="165"/>
      <c r="F245" s="165"/>
      <c r="G245" s="165"/>
      <c r="H245" s="165"/>
      <c r="I245" s="165"/>
      <c r="J245" s="166"/>
      <c r="K245" s="163"/>
      <c r="L245" s="167"/>
      <c r="M245" s="165"/>
      <c r="N245" s="163"/>
      <c r="O245" s="163">
        <v>244</v>
      </c>
    </row>
    <row r="246" spans="1:15">
      <c r="A246" s="163"/>
      <c r="B246" s="163" t="str">
        <f t="shared" si="3"/>
        <v>NotApplicable</v>
      </c>
      <c r="D246" s="163" t="e">
        <f>VLOOKUP(C:C,'QT Import for PTC'!B:D,3,0)</f>
        <v>#N/A</v>
      </c>
      <c r="E246" s="165"/>
      <c r="F246" s="165"/>
      <c r="G246" s="165"/>
      <c r="H246" s="165"/>
      <c r="I246" s="165"/>
      <c r="J246" s="166"/>
      <c r="K246" s="163"/>
      <c r="L246" s="167"/>
      <c r="M246" s="165"/>
      <c r="N246" s="163"/>
      <c r="O246" s="163">
        <v>245</v>
      </c>
    </row>
    <row r="247" spans="1:15">
      <c r="A247" s="163"/>
      <c r="B247" s="163" t="str">
        <f t="shared" si="3"/>
        <v>NotApplicable</v>
      </c>
      <c r="D247" s="163" t="e">
        <f>VLOOKUP(C:C,'QT Import for PTC'!B:D,3,0)</f>
        <v>#N/A</v>
      </c>
      <c r="E247" s="165"/>
      <c r="F247" s="165"/>
      <c r="G247" s="165"/>
      <c r="H247" s="165"/>
      <c r="I247" s="165"/>
      <c r="J247" s="166"/>
      <c r="K247" s="163"/>
      <c r="L247" s="167"/>
      <c r="M247" s="165"/>
      <c r="N247" s="163"/>
      <c r="O247" s="163">
        <v>246</v>
      </c>
    </row>
    <row r="248" spans="1:15">
      <c r="A248" s="163"/>
      <c r="B248" s="163" t="str">
        <f t="shared" si="3"/>
        <v>NotApplicable</v>
      </c>
      <c r="D248" s="163" t="e">
        <f>VLOOKUP(C:C,'QT Import for PTC'!B:D,3,0)</f>
        <v>#N/A</v>
      </c>
      <c r="E248" s="165"/>
      <c r="F248" s="165"/>
      <c r="G248" s="165"/>
      <c r="H248" s="165"/>
      <c r="I248" s="165"/>
      <c r="J248" s="166"/>
      <c r="K248" s="163"/>
      <c r="L248" s="167"/>
      <c r="M248" s="165"/>
      <c r="N248" s="163"/>
      <c r="O248" s="163">
        <v>247</v>
      </c>
    </row>
    <row r="249" spans="1:15">
      <c r="A249" s="163"/>
      <c r="B249" s="163" t="str">
        <f t="shared" si="3"/>
        <v>NotApplicable</v>
      </c>
      <c r="D249" s="163" t="e">
        <f>VLOOKUP(C:C,'QT Import for PTC'!B:D,3,0)</f>
        <v>#N/A</v>
      </c>
      <c r="E249" s="165"/>
      <c r="F249" s="165"/>
      <c r="G249" s="165"/>
      <c r="H249" s="165"/>
      <c r="I249" s="165"/>
      <c r="J249" s="166"/>
      <c r="K249" s="163"/>
      <c r="L249" s="167"/>
      <c r="M249" s="165"/>
      <c r="N249" s="163"/>
      <c r="O249" s="163">
        <v>248</v>
      </c>
    </row>
    <row r="250" spans="1:15">
      <c r="A250" s="163"/>
      <c r="B250" s="163" t="str">
        <f t="shared" si="3"/>
        <v>NotApplicable</v>
      </c>
      <c r="D250" s="163" t="e">
        <f>VLOOKUP(C:C,'QT Import for PTC'!B:D,3,0)</f>
        <v>#N/A</v>
      </c>
      <c r="E250" s="165"/>
      <c r="F250" s="165"/>
      <c r="G250" s="165"/>
      <c r="H250" s="165"/>
      <c r="I250" s="165"/>
      <c r="J250" s="166"/>
      <c r="K250" s="163"/>
      <c r="L250" s="167"/>
      <c r="M250" s="165"/>
      <c r="N250" s="163"/>
      <c r="O250" s="163">
        <v>249</v>
      </c>
    </row>
    <row r="251" spans="1:15">
      <c r="A251" s="163"/>
      <c r="B251" s="163" t="str">
        <f t="shared" si="3"/>
        <v>NotApplicable</v>
      </c>
      <c r="D251" s="163" t="e">
        <f>VLOOKUP(C:C,'QT Import for PTC'!B:D,3,0)</f>
        <v>#N/A</v>
      </c>
      <c r="E251" s="165"/>
      <c r="F251" s="165"/>
      <c r="G251" s="165"/>
      <c r="H251" s="165"/>
      <c r="I251" s="165"/>
      <c r="J251" s="166"/>
      <c r="K251" s="163"/>
      <c r="L251" s="167"/>
      <c r="M251" s="165"/>
      <c r="N251" s="163"/>
      <c r="O251" s="163">
        <v>250</v>
      </c>
    </row>
    <row r="252" spans="1:15">
      <c r="A252" s="163"/>
      <c r="B252" s="163" t="str">
        <f t="shared" si="3"/>
        <v>NotApplicable</v>
      </c>
      <c r="D252" s="163" t="e">
        <f>VLOOKUP(C:C,'QT Import for PTC'!B:D,3,0)</f>
        <v>#N/A</v>
      </c>
      <c r="E252" s="165"/>
      <c r="F252" s="165"/>
      <c r="G252" s="165"/>
      <c r="H252" s="165"/>
      <c r="I252" s="165"/>
      <c r="J252" s="166"/>
      <c r="K252" s="163"/>
      <c r="L252" s="167"/>
      <c r="M252" s="165"/>
      <c r="N252" s="163"/>
      <c r="O252" s="163">
        <v>251</v>
      </c>
    </row>
    <row r="253" spans="1:15">
      <c r="A253" s="163"/>
      <c r="B253" s="163" t="str">
        <f t="shared" si="3"/>
        <v>NotApplicable</v>
      </c>
      <c r="D253" s="163" t="e">
        <f>VLOOKUP(C:C,'QT Import for PTC'!B:D,3,0)</f>
        <v>#N/A</v>
      </c>
      <c r="E253" s="165"/>
      <c r="F253" s="165"/>
      <c r="G253" s="165"/>
      <c r="H253" s="165"/>
      <c r="I253" s="165"/>
      <c r="J253" s="166"/>
      <c r="K253" s="163"/>
      <c r="L253" s="167"/>
      <c r="M253" s="165"/>
      <c r="N253" s="163"/>
      <c r="O253" s="163">
        <v>252</v>
      </c>
    </row>
    <row r="254" spans="1:15">
      <c r="A254" s="163"/>
      <c r="B254" s="163" t="str">
        <f t="shared" si="3"/>
        <v>NotApplicable</v>
      </c>
      <c r="D254" s="163" t="e">
        <f>VLOOKUP(C:C,'QT Import for PTC'!B:D,3,0)</f>
        <v>#N/A</v>
      </c>
      <c r="E254" s="165"/>
      <c r="F254" s="165"/>
      <c r="G254" s="165"/>
      <c r="H254" s="165"/>
      <c r="I254" s="165"/>
      <c r="J254" s="166"/>
      <c r="K254" s="163"/>
      <c r="L254" s="167"/>
      <c r="M254" s="165"/>
      <c r="N254" s="163"/>
      <c r="O254" s="163">
        <v>253</v>
      </c>
    </row>
    <row r="255" spans="1:15">
      <c r="A255" s="163"/>
      <c r="B255" s="163" t="str">
        <f t="shared" si="3"/>
        <v>NotApplicable</v>
      </c>
      <c r="D255" s="163" t="e">
        <f>VLOOKUP(C:C,'QT Import for PTC'!B:D,3,0)</f>
        <v>#N/A</v>
      </c>
      <c r="E255" s="165"/>
      <c r="F255" s="165"/>
      <c r="G255" s="165"/>
      <c r="H255" s="165"/>
      <c r="I255" s="165"/>
      <c r="J255" s="166"/>
      <c r="K255" s="163"/>
      <c r="L255" s="167"/>
      <c r="M255" s="165"/>
      <c r="N255" s="163"/>
      <c r="O255" s="163">
        <v>254</v>
      </c>
    </row>
    <row r="256" spans="1:15">
      <c r="A256" s="163"/>
      <c r="B256" s="163" t="str">
        <f t="shared" si="3"/>
        <v>NotApplicable</v>
      </c>
      <c r="D256" s="163" t="e">
        <f>VLOOKUP(C:C,'QT Import for PTC'!B:D,3,0)</f>
        <v>#N/A</v>
      </c>
      <c r="E256" s="165"/>
      <c r="F256" s="165"/>
      <c r="G256" s="165"/>
      <c r="H256" s="165"/>
      <c r="I256" s="165"/>
      <c r="J256" s="166"/>
      <c r="K256" s="163"/>
      <c r="L256" s="167"/>
      <c r="M256" s="165"/>
      <c r="N256" s="163"/>
      <c r="O256" s="163">
        <v>255</v>
      </c>
    </row>
    <row r="257" spans="1:15">
      <c r="A257" s="163"/>
      <c r="B257" s="163" t="str">
        <f t="shared" si="3"/>
        <v>NotApplicable</v>
      </c>
      <c r="D257" s="163" t="e">
        <f>VLOOKUP(C:C,'QT Import for PTC'!B:D,3,0)</f>
        <v>#N/A</v>
      </c>
      <c r="E257" s="165"/>
      <c r="F257" s="165"/>
      <c r="G257" s="165"/>
      <c r="H257" s="165"/>
      <c r="I257" s="165"/>
      <c r="J257" s="166"/>
      <c r="K257" s="163"/>
      <c r="L257" s="167"/>
      <c r="M257" s="165"/>
      <c r="N257" s="163"/>
      <c r="O257" s="163">
        <v>256</v>
      </c>
    </row>
    <row r="258" spans="1:15">
      <c r="A258" s="163"/>
      <c r="B258" s="163" t="str">
        <f t="shared" si="3"/>
        <v>NotApplicable</v>
      </c>
      <c r="D258" s="163" t="e">
        <f>VLOOKUP(C:C,'QT Import for PTC'!B:D,3,0)</f>
        <v>#N/A</v>
      </c>
      <c r="E258" s="165"/>
      <c r="F258" s="165"/>
      <c r="G258" s="165"/>
      <c r="H258" s="165"/>
      <c r="I258" s="165"/>
      <c r="J258" s="166"/>
      <c r="K258" s="163"/>
      <c r="L258" s="167"/>
      <c r="M258" s="165"/>
      <c r="N258" s="163"/>
      <c r="O258" s="163">
        <v>257</v>
      </c>
    </row>
    <row r="259" spans="1:15">
      <c r="A259" s="163"/>
      <c r="B259" s="163" t="str">
        <f t="shared" ref="B259:B322" si="4">IF(ISNA(D259),"NotApplicable","Applicable")</f>
        <v>NotApplicable</v>
      </c>
      <c r="D259" s="163" t="e">
        <f>VLOOKUP(C:C,'QT Import for PTC'!B:D,3,0)</f>
        <v>#N/A</v>
      </c>
      <c r="E259" s="165"/>
      <c r="F259" s="165"/>
      <c r="G259" s="165"/>
      <c r="H259" s="165"/>
      <c r="I259" s="165"/>
      <c r="J259" s="166"/>
      <c r="K259" s="163"/>
      <c r="L259" s="167"/>
      <c r="M259" s="165"/>
      <c r="N259" s="163"/>
      <c r="O259" s="163">
        <v>258</v>
      </c>
    </row>
    <row r="260" spans="1:15">
      <c r="A260" s="163"/>
      <c r="B260" s="163" t="str">
        <f t="shared" si="4"/>
        <v>NotApplicable</v>
      </c>
      <c r="D260" s="163" t="e">
        <f>VLOOKUP(C:C,'QT Import for PTC'!B:D,3,0)</f>
        <v>#N/A</v>
      </c>
      <c r="E260" s="165"/>
      <c r="F260" s="165"/>
      <c r="G260" s="165"/>
      <c r="H260" s="165"/>
      <c r="I260" s="165"/>
      <c r="J260" s="166"/>
      <c r="K260" s="163"/>
      <c r="L260" s="167"/>
      <c r="M260" s="165"/>
      <c r="N260" s="163"/>
      <c r="O260" s="163">
        <v>259</v>
      </c>
    </row>
    <row r="261" spans="1:15">
      <c r="A261" s="163"/>
      <c r="B261" s="163" t="str">
        <f t="shared" si="4"/>
        <v>NotApplicable</v>
      </c>
      <c r="D261" s="163" t="e">
        <f>VLOOKUP(C:C,'QT Import for PTC'!B:D,3,0)</f>
        <v>#N/A</v>
      </c>
      <c r="E261" s="165"/>
      <c r="F261" s="165"/>
      <c r="G261" s="165"/>
      <c r="H261" s="165"/>
      <c r="I261" s="165"/>
      <c r="J261" s="166"/>
      <c r="K261" s="163"/>
      <c r="L261" s="167"/>
      <c r="M261" s="165"/>
      <c r="N261" s="163"/>
      <c r="O261" s="163">
        <v>260</v>
      </c>
    </row>
    <row r="262" spans="1:15">
      <c r="A262" s="163"/>
      <c r="B262" s="163" t="str">
        <f t="shared" si="4"/>
        <v>NotApplicable</v>
      </c>
      <c r="D262" s="163" t="e">
        <f>VLOOKUP(C:C,'QT Import for PTC'!B:D,3,0)</f>
        <v>#N/A</v>
      </c>
      <c r="E262" s="165"/>
      <c r="F262" s="165"/>
      <c r="G262" s="165"/>
      <c r="H262" s="165"/>
      <c r="I262" s="165"/>
      <c r="J262" s="166"/>
      <c r="K262" s="163"/>
      <c r="L262" s="167"/>
      <c r="M262" s="165"/>
      <c r="N262" s="163"/>
      <c r="O262" s="163">
        <v>261</v>
      </c>
    </row>
    <row r="263" spans="1:15">
      <c r="A263" s="163"/>
      <c r="B263" s="163" t="str">
        <f t="shared" si="4"/>
        <v>NotApplicable</v>
      </c>
      <c r="D263" s="163" t="e">
        <f>VLOOKUP(C:C,'QT Import for PTC'!B:D,3,0)</f>
        <v>#N/A</v>
      </c>
      <c r="E263" s="165"/>
      <c r="F263" s="165"/>
      <c r="G263" s="165"/>
      <c r="H263" s="165"/>
      <c r="I263" s="165"/>
      <c r="J263" s="166"/>
      <c r="K263" s="163"/>
      <c r="L263" s="167"/>
      <c r="M263" s="165"/>
      <c r="N263" s="163"/>
      <c r="O263" s="163">
        <v>262</v>
      </c>
    </row>
    <row r="264" spans="1:15">
      <c r="A264" s="163"/>
      <c r="B264" s="163" t="str">
        <f t="shared" si="4"/>
        <v>NotApplicable</v>
      </c>
      <c r="D264" s="163" t="e">
        <f>VLOOKUP(C:C,'QT Import for PTC'!B:D,3,0)</f>
        <v>#N/A</v>
      </c>
      <c r="E264" s="165"/>
      <c r="F264" s="165"/>
      <c r="G264" s="165"/>
      <c r="H264" s="165"/>
      <c r="I264" s="165"/>
      <c r="J264" s="166"/>
      <c r="K264" s="163"/>
      <c r="L264" s="167"/>
      <c r="M264" s="165"/>
      <c r="N264" s="163"/>
      <c r="O264" s="163">
        <v>263</v>
      </c>
    </row>
    <row r="265" spans="1:15">
      <c r="A265" s="163"/>
      <c r="B265" s="163" t="str">
        <f t="shared" si="4"/>
        <v>NotApplicable</v>
      </c>
      <c r="D265" s="163" t="e">
        <f>VLOOKUP(C:C,'QT Import for PTC'!B:D,3,0)</f>
        <v>#N/A</v>
      </c>
      <c r="E265" s="165"/>
      <c r="F265" s="165"/>
      <c r="G265" s="165"/>
      <c r="H265" s="165"/>
      <c r="I265" s="165"/>
      <c r="J265" s="166"/>
      <c r="K265" s="163"/>
      <c r="L265" s="167"/>
      <c r="M265" s="165"/>
      <c r="N265" s="163"/>
      <c r="O265" s="163">
        <v>264</v>
      </c>
    </row>
    <row r="266" spans="1:15">
      <c r="A266" s="163"/>
      <c r="B266" s="163" t="str">
        <f t="shared" si="4"/>
        <v>NotApplicable</v>
      </c>
      <c r="D266" s="163" t="e">
        <f>VLOOKUP(C:C,'QT Import for PTC'!B:D,3,0)</f>
        <v>#N/A</v>
      </c>
      <c r="E266" s="165"/>
      <c r="F266" s="165"/>
      <c r="G266" s="165"/>
      <c r="H266" s="165"/>
      <c r="I266" s="165"/>
      <c r="J266" s="166"/>
      <c r="K266" s="163"/>
      <c r="L266" s="167"/>
      <c r="M266" s="165"/>
      <c r="N266" s="163"/>
      <c r="O266" s="163">
        <v>265</v>
      </c>
    </row>
    <row r="267" spans="1:15">
      <c r="A267" s="163"/>
      <c r="B267" s="163" t="str">
        <f t="shared" si="4"/>
        <v>NotApplicable</v>
      </c>
      <c r="D267" s="163" t="e">
        <f>VLOOKUP(C:C,'QT Import for PTC'!B:D,3,0)</f>
        <v>#N/A</v>
      </c>
      <c r="E267" s="165"/>
      <c r="F267" s="165"/>
      <c r="G267" s="165"/>
      <c r="H267" s="165"/>
      <c r="I267" s="165"/>
      <c r="J267" s="166"/>
      <c r="K267" s="163"/>
      <c r="L267" s="167"/>
      <c r="M267" s="165"/>
      <c r="N267" s="163"/>
      <c r="O267" s="163">
        <v>266</v>
      </c>
    </row>
    <row r="268" spans="1:15">
      <c r="A268" s="163"/>
      <c r="B268" s="163" t="str">
        <f t="shared" si="4"/>
        <v>NotApplicable</v>
      </c>
      <c r="D268" s="163" t="e">
        <f>VLOOKUP(C:C,'QT Import for PTC'!B:D,3,0)</f>
        <v>#N/A</v>
      </c>
      <c r="E268" s="165"/>
      <c r="F268" s="165"/>
      <c r="G268" s="165"/>
      <c r="H268" s="165"/>
      <c r="I268" s="165"/>
      <c r="J268" s="166"/>
      <c r="K268" s="163"/>
      <c r="L268" s="167"/>
      <c r="M268" s="165"/>
      <c r="N268" s="163"/>
      <c r="O268" s="163">
        <v>267</v>
      </c>
    </row>
    <row r="269" spans="1:15">
      <c r="A269" s="163"/>
      <c r="B269" s="163" t="str">
        <f t="shared" si="4"/>
        <v>NotApplicable</v>
      </c>
      <c r="D269" s="163" t="e">
        <f>VLOOKUP(C:C,'QT Import for PTC'!B:D,3,0)</f>
        <v>#N/A</v>
      </c>
      <c r="E269" s="165"/>
      <c r="F269" s="165"/>
      <c r="G269" s="165"/>
      <c r="H269" s="165"/>
      <c r="I269" s="165"/>
      <c r="J269" s="166"/>
      <c r="K269" s="163"/>
      <c r="L269" s="167"/>
      <c r="M269" s="165"/>
      <c r="N269" s="163"/>
      <c r="O269" s="163">
        <v>268</v>
      </c>
    </row>
    <row r="270" spans="1:15">
      <c r="A270" s="163"/>
      <c r="B270" s="163" t="str">
        <f t="shared" si="4"/>
        <v>NotApplicable</v>
      </c>
      <c r="D270" s="163" t="e">
        <f>VLOOKUP(C:C,'QT Import for PTC'!B:D,3,0)</f>
        <v>#N/A</v>
      </c>
      <c r="E270" s="165"/>
      <c r="F270" s="165"/>
      <c r="G270" s="165"/>
      <c r="H270" s="165"/>
      <c r="I270" s="165"/>
      <c r="J270" s="166"/>
      <c r="K270" s="163"/>
      <c r="L270" s="167"/>
      <c r="M270" s="165"/>
      <c r="N270" s="163"/>
      <c r="O270" s="163">
        <v>269</v>
      </c>
    </row>
    <row r="271" spans="1:15">
      <c r="A271" s="163"/>
      <c r="B271" s="163" t="str">
        <f t="shared" si="4"/>
        <v>NotApplicable</v>
      </c>
      <c r="D271" s="163" t="e">
        <f>VLOOKUP(C:C,'QT Import for PTC'!B:D,3,0)</f>
        <v>#N/A</v>
      </c>
      <c r="E271" s="165"/>
      <c r="F271" s="165"/>
      <c r="G271" s="165"/>
      <c r="H271" s="165"/>
      <c r="I271" s="165"/>
      <c r="J271" s="166"/>
      <c r="K271" s="163"/>
      <c r="L271" s="167"/>
      <c r="M271" s="165"/>
      <c r="N271" s="163"/>
      <c r="O271" s="163">
        <v>270</v>
      </c>
    </row>
    <row r="272" spans="1:15">
      <c r="A272" s="163"/>
      <c r="B272" s="163" t="str">
        <f t="shared" si="4"/>
        <v>NotApplicable</v>
      </c>
      <c r="D272" s="163" t="e">
        <f>VLOOKUP(C:C,'QT Import for PTC'!B:D,3,0)</f>
        <v>#N/A</v>
      </c>
      <c r="E272" s="165"/>
      <c r="F272" s="165"/>
      <c r="G272" s="165"/>
      <c r="H272" s="165"/>
      <c r="I272" s="165"/>
      <c r="J272" s="166"/>
      <c r="K272" s="163"/>
      <c r="L272" s="167"/>
      <c r="M272" s="165"/>
      <c r="N272" s="163"/>
      <c r="O272" s="163">
        <v>271</v>
      </c>
    </row>
    <row r="273" spans="1:15">
      <c r="A273" s="163"/>
      <c r="B273" s="163" t="str">
        <f t="shared" si="4"/>
        <v>NotApplicable</v>
      </c>
      <c r="D273" s="163" t="e">
        <f>VLOOKUP(C:C,'QT Import for PTC'!B:D,3,0)</f>
        <v>#N/A</v>
      </c>
      <c r="E273" s="165"/>
      <c r="F273" s="165"/>
      <c r="G273" s="165"/>
      <c r="H273" s="165"/>
      <c r="I273" s="165"/>
      <c r="J273" s="166"/>
      <c r="K273" s="163"/>
      <c r="L273" s="167"/>
      <c r="M273" s="165"/>
      <c r="N273" s="163"/>
      <c r="O273" s="163">
        <v>272</v>
      </c>
    </row>
    <row r="274" spans="1:15">
      <c r="A274" s="163"/>
      <c r="B274" s="163" t="str">
        <f t="shared" si="4"/>
        <v>NotApplicable</v>
      </c>
      <c r="D274" s="163" t="e">
        <f>VLOOKUP(C:C,'QT Import for PTC'!B:D,3,0)</f>
        <v>#N/A</v>
      </c>
      <c r="E274" s="165"/>
      <c r="F274" s="165"/>
      <c r="G274" s="165"/>
      <c r="H274" s="165"/>
      <c r="I274" s="165"/>
      <c r="J274" s="166"/>
      <c r="K274" s="163"/>
      <c r="L274" s="167"/>
      <c r="M274" s="165"/>
      <c r="N274" s="163"/>
      <c r="O274" s="163">
        <v>273</v>
      </c>
    </row>
    <row r="275" spans="1:15">
      <c r="A275" s="163"/>
      <c r="B275" s="163" t="str">
        <f t="shared" si="4"/>
        <v>NotApplicable</v>
      </c>
      <c r="D275" s="163" t="e">
        <f>VLOOKUP(C:C,'QT Import for PTC'!B:D,3,0)</f>
        <v>#N/A</v>
      </c>
      <c r="E275" s="165"/>
      <c r="F275" s="165"/>
      <c r="G275" s="165"/>
      <c r="H275" s="165"/>
      <c r="I275" s="165"/>
      <c r="J275" s="166"/>
      <c r="K275" s="163"/>
      <c r="L275" s="167"/>
      <c r="M275" s="165"/>
      <c r="N275" s="163"/>
      <c r="O275" s="163">
        <v>274</v>
      </c>
    </row>
    <row r="276" spans="1:15">
      <c r="A276" s="163"/>
      <c r="B276" s="163" t="str">
        <f t="shared" si="4"/>
        <v>NotApplicable</v>
      </c>
      <c r="D276" s="163" t="e">
        <f>VLOOKUP(C:C,'QT Import for PTC'!B:D,3,0)</f>
        <v>#N/A</v>
      </c>
      <c r="E276" s="165"/>
      <c r="F276" s="165"/>
      <c r="G276" s="165"/>
      <c r="H276" s="165"/>
      <c r="I276" s="165"/>
      <c r="J276" s="166"/>
      <c r="K276" s="163"/>
      <c r="L276" s="167"/>
      <c r="M276" s="165"/>
      <c r="N276" s="163"/>
      <c r="O276" s="163">
        <v>275</v>
      </c>
    </row>
    <row r="277" spans="1:15">
      <c r="A277" s="163"/>
      <c r="B277" s="163" t="str">
        <f t="shared" si="4"/>
        <v>NotApplicable</v>
      </c>
      <c r="D277" s="163" t="e">
        <f>VLOOKUP(C:C,'QT Import for PTC'!B:D,3,0)</f>
        <v>#N/A</v>
      </c>
      <c r="E277" s="165"/>
      <c r="F277" s="165"/>
      <c r="G277" s="165"/>
      <c r="H277" s="165"/>
      <c r="I277" s="165"/>
      <c r="J277" s="166"/>
      <c r="K277" s="163"/>
      <c r="L277" s="167"/>
      <c r="M277" s="165"/>
      <c r="N277" s="163"/>
      <c r="O277" s="163">
        <v>276</v>
      </c>
    </row>
    <row r="278" spans="1:15">
      <c r="A278" s="163"/>
      <c r="B278" s="163" t="str">
        <f t="shared" si="4"/>
        <v>NotApplicable</v>
      </c>
      <c r="D278" s="163" t="e">
        <f>VLOOKUP(C:C,'QT Import for PTC'!B:D,3,0)</f>
        <v>#N/A</v>
      </c>
      <c r="E278" s="165"/>
      <c r="F278" s="165"/>
      <c r="G278" s="165"/>
      <c r="H278" s="165"/>
      <c r="I278" s="165"/>
      <c r="J278" s="166"/>
      <c r="K278" s="163"/>
      <c r="L278" s="167"/>
      <c r="M278" s="165"/>
      <c r="N278" s="163"/>
      <c r="O278" s="163">
        <v>277</v>
      </c>
    </row>
    <row r="279" spans="1:15">
      <c r="A279" s="163"/>
      <c r="B279" s="163" t="str">
        <f t="shared" si="4"/>
        <v>NotApplicable</v>
      </c>
      <c r="D279" s="163" t="e">
        <f>VLOOKUP(C:C,'QT Import for PTC'!B:D,3,0)</f>
        <v>#N/A</v>
      </c>
      <c r="E279" s="165"/>
      <c r="F279" s="165"/>
      <c r="G279" s="165"/>
      <c r="H279" s="165"/>
      <c r="I279" s="165"/>
      <c r="J279" s="166"/>
      <c r="K279" s="163"/>
      <c r="L279" s="167"/>
      <c r="M279" s="165"/>
      <c r="N279" s="163"/>
      <c r="O279" s="163">
        <v>278</v>
      </c>
    </row>
    <row r="280" spans="1:15">
      <c r="A280" s="163"/>
      <c r="B280" s="163" t="str">
        <f t="shared" si="4"/>
        <v>NotApplicable</v>
      </c>
      <c r="D280" s="163" t="e">
        <f>VLOOKUP(C:C,'QT Import for PTC'!B:D,3,0)</f>
        <v>#N/A</v>
      </c>
      <c r="E280" s="165"/>
      <c r="F280" s="165"/>
      <c r="G280" s="165"/>
      <c r="H280" s="165"/>
      <c r="I280" s="165"/>
      <c r="J280" s="166"/>
      <c r="K280" s="163"/>
      <c r="L280" s="167"/>
      <c r="M280" s="165"/>
      <c r="N280" s="163"/>
      <c r="O280" s="163">
        <v>279</v>
      </c>
    </row>
    <row r="281" spans="1:15">
      <c r="A281" s="163"/>
      <c r="B281" s="163" t="str">
        <f t="shared" si="4"/>
        <v>NotApplicable</v>
      </c>
      <c r="D281" s="163" t="e">
        <f>VLOOKUP(C:C,'QT Import for PTC'!B:D,3,0)</f>
        <v>#N/A</v>
      </c>
      <c r="E281" s="165"/>
      <c r="F281" s="165"/>
      <c r="G281" s="165"/>
      <c r="H281" s="165"/>
      <c r="I281" s="165"/>
      <c r="J281" s="166"/>
      <c r="K281" s="163"/>
      <c r="L281" s="167"/>
      <c r="M281" s="165"/>
      <c r="N281" s="163"/>
      <c r="O281" s="163">
        <v>280</v>
      </c>
    </row>
    <row r="282" spans="1:15">
      <c r="A282" s="163"/>
      <c r="B282" s="163" t="str">
        <f t="shared" si="4"/>
        <v>NotApplicable</v>
      </c>
      <c r="D282" s="163" t="e">
        <f>VLOOKUP(C:C,'QT Import for PTC'!B:D,3,0)</f>
        <v>#N/A</v>
      </c>
      <c r="E282" s="165"/>
      <c r="F282" s="165"/>
      <c r="G282" s="165"/>
      <c r="H282" s="165"/>
      <c r="I282" s="165"/>
      <c r="J282" s="166"/>
      <c r="K282" s="163"/>
      <c r="L282" s="167"/>
      <c r="M282" s="165"/>
      <c r="N282" s="163"/>
      <c r="O282" s="163">
        <v>281</v>
      </c>
    </row>
    <row r="283" spans="1:15">
      <c r="A283" s="163"/>
      <c r="B283" s="163" t="str">
        <f t="shared" si="4"/>
        <v>NotApplicable</v>
      </c>
      <c r="D283" s="163" t="e">
        <f>VLOOKUP(C:C,'QT Import for PTC'!B:D,3,0)</f>
        <v>#N/A</v>
      </c>
      <c r="E283" s="165"/>
      <c r="F283" s="165"/>
      <c r="G283" s="165"/>
      <c r="H283" s="165"/>
      <c r="I283" s="165"/>
      <c r="J283" s="166"/>
      <c r="K283" s="163"/>
      <c r="L283" s="167"/>
      <c r="M283" s="165"/>
      <c r="N283" s="163"/>
      <c r="O283" s="163">
        <v>282</v>
      </c>
    </row>
    <row r="284" spans="1:15">
      <c r="A284" s="163"/>
      <c r="B284" s="163" t="str">
        <f t="shared" si="4"/>
        <v>NotApplicable</v>
      </c>
      <c r="D284" s="163" t="e">
        <f>VLOOKUP(C:C,'QT Import for PTC'!B:D,3,0)</f>
        <v>#N/A</v>
      </c>
      <c r="E284" s="165"/>
      <c r="F284" s="165"/>
      <c r="G284" s="165"/>
      <c r="H284" s="165"/>
      <c r="I284" s="165"/>
      <c r="J284" s="166"/>
      <c r="K284" s="163"/>
      <c r="L284" s="167"/>
      <c r="M284" s="165"/>
      <c r="N284" s="163"/>
      <c r="O284" s="163">
        <v>283</v>
      </c>
    </row>
    <row r="285" spans="1:15">
      <c r="A285" s="163"/>
      <c r="B285" s="163" t="str">
        <f t="shared" si="4"/>
        <v>NotApplicable</v>
      </c>
      <c r="D285" s="163" t="e">
        <f>VLOOKUP(C:C,'QT Import for PTC'!B:D,3,0)</f>
        <v>#N/A</v>
      </c>
      <c r="E285" s="165"/>
      <c r="F285" s="165"/>
      <c r="G285" s="165"/>
      <c r="H285" s="165"/>
      <c r="I285" s="165"/>
      <c r="J285" s="166"/>
      <c r="K285" s="163"/>
      <c r="L285" s="167"/>
      <c r="M285" s="165"/>
      <c r="N285" s="163"/>
      <c r="O285" s="163">
        <v>284</v>
      </c>
    </row>
    <row r="286" spans="1:15">
      <c r="A286" s="163"/>
      <c r="B286" s="163" t="str">
        <f t="shared" si="4"/>
        <v>NotApplicable</v>
      </c>
      <c r="D286" s="163" t="e">
        <f>VLOOKUP(C:C,'QT Import for PTC'!B:D,3,0)</f>
        <v>#N/A</v>
      </c>
      <c r="E286" s="165"/>
      <c r="F286" s="165"/>
      <c r="G286" s="165"/>
      <c r="H286" s="165"/>
      <c r="I286" s="165"/>
      <c r="J286" s="166"/>
      <c r="K286" s="163"/>
      <c r="L286" s="167"/>
      <c r="M286" s="165"/>
      <c r="N286" s="163"/>
      <c r="O286" s="163">
        <v>285</v>
      </c>
    </row>
    <row r="287" spans="1:15">
      <c r="A287" s="163"/>
      <c r="B287" s="163" t="str">
        <f t="shared" si="4"/>
        <v>NotApplicable</v>
      </c>
      <c r="D287" s="163" t="e">
        <f>VLOOKUP(C:C,'QT Import for PTC'!B:D,3,0)</f>
        <v>#N/A</v>
      </c>
      <c r="E287" s="165"/>
      <c r="F287" s="165"/>
      <c r="G287" s="165"/>
      <c r="H287" s="165"/>
      <c r="I287" s="165"/>
      <c r="J287" s="166"/>
      <c r="K287" s="163"/>
      <c r="L287" s="167"/>
      <c r="M287" s="165"/>
      <c r="N287" s="163"/>
      <c r="O287" s="163">
        <v>286</v>
      </c>
    </row>
    <row r="288" spans="1:15">
      <c r="A288" s="163"/>
      <c r="B288" s="163" t="str">
        <f t="shared" si="4"/>
        <v>NotApplicable</v>
      </c>
      <c r="D288" s="163" t="e">
        <f>VLOOKUP(C:C,'QT Import for PTC'!B:D,3,0)</f>
        <v>#N/A</v>
      </c>
      <c r="E288" s="165"/>
      <c r="F288" s="165"/>
      <c r="G288" s="165"/>
      <c r="H288" s="165"/>
      <c r="I288" s="165"/>
      <c r="J288" s="166"/>
      <c r="K288" s="163"/>
      <c r="L288" s="167"/>
      <c r="M288" s="165"/>
      <c r="N288" s="163"/>
      <c r="O288" s="163">
        <v>287</v>
      </c>
    </row>
    <row r="289" spans="1:15">
      <c r="A289" s="163"/>
      <c r="B289" s="163" t="str">
        <f t="shared" si="4"/>
        <v>NotApplicable</v>
      </c>
      <c r="D289" s="163" t="e">
        <f>VLOOKUP(C:C,'QT Import for PTC'!B:D,3,0)</f>
        <v>#N/A</v>
      </c>
      <c r="E289" s="165"/>
      <c r="F289" s="165"/>
      <c r="G289" s="165"/>
      <c r="H289" s="165"/>
      <c r="I289" s="165"/>
      <c r="J289" s="166"/>
      <c r="K289" s="163"/>
      <c r="L289" s="167"/>
      <c r="M289" s="165"/>
      <c r="N289" s="163"/>
      <c r="O289" s="163">
        <v>288</v>
      </c>
    </row>
    <row r="290" spans="1:15">
      <c r="A290" s="163"/>
      <c r="B290" s="163" t="str">
        <f t="shared" si="4"/>
        <v>NotApplicable</v>
      </c>
      <c r="D290" s="163" t="e">
        <f>VLOOKUP(C:C,'QT Import for PTC'!B:D,3,0)</f>
        <v>#N/A</v>
      </c>
      <c r="E290" s="165"/>
      <c r="F290" s="165"/>
      <c r="G290" s="165"/>
      <c r="H290" s="165"/>
      <c r="I290" s="165"/>
      <c r="J290" s="166"/>
      <c r="K290" s="163"/>
      <c r="L290" s="167"/>
      <c r="M290" s="165"/>
      <c r="N290" s="163"/>
      <c r="O290" s="163">
        <v>289</v>
      </c>
    </row>
    <row r="291" spans="1:15">
      <c r="A291" s="163"/>
      <c r="B291" s="163" t="str">
        <f t="shared" si="4"/>
        <v>NotApplicable</v>
      </c>
      <c r="D291" s="163" t="e">
        <f>VLOOKUP(C:C,'QT Import for PTC'!B:D,3,0)</f>
        <v>#N/A</v>
      </c>
      <c r="E291" s="165"/>
      <c r="F291" s="165"/>
      <c r="G291" s="165"/>
      <c r="H291" s="165"/>
      <c r="I291" s="165"/>
      <c r="J291" s="166"/>
      <c r="K291" s="163"/>
      <c r="L291" s="167"/>
      <c r="M291" s="165"/>
      <c r="N291" s="163"/>
      <c r="O291" s="163">
        <v>290</v>
      </c>
    </row>
    <row r="292" spans="1:15">
      <c r="A292" s="163"/>
      <c r="B292" s="163" t="str">
        <f t="shared" si="4"/>
        <v>NotApplicable</v>
      </c>
      <c r="D292" s="163" t="e">
        <f>VLOOKUP(C:C,'QT Import for PTC'!B:D,3,0)</f>
        <v>#N/A</v>
      </c>
      <c r="E292" s="165"/>
      <c r="F292" s="165"/>
      <c r="G292" s="165"/>
      <c r="H292" s="165"/>
      <c r="I292" s="165"/>
      <c r="J292" s="166"/>
      <c r="K292" s="163"/>
      <c r="L292" s="167"/>
      <c r="M292" s="165"/>
      <c r="N292" s="163"/>
      <c r="O292" s="163">
        <v>291</v>
      </c>
    </row>
    <row r="293" spans="1:15">
      <c r="A293" s="163"/>
      <c r="B293" s="163" t="str">
        <f t="shared" si="4"/>
        <v>NotApplicable</v>
      </c>
      <c r="D293" s="163" t="e">
        <f>VLOOKUP(C:C,'QT Import for PTC'!B:D,3,0)</f>
        <v>#N/A</v>
      </c>
      <c r="E293" s="165"/>
      <c r="F293" s="165"/>
      <c r="G293" s="165"/>
      <c r="H293" s="165"/>
      <c r="I293" s="165"/>
      <c r="J293" s="166"/>
      <c r="K293" s="163"/>
      <c r="L293" s="167"/>
      <c r="M293" s="165"/>
      <c r="N293" s="163"/>
      <c r="O293" s="163">
        <v>292</v>
      </c>
    </row>
    <row r="294" spans="1:15">
      <c r="A294" s="163"/>
      <c r="B294" s="163" t="str">
        <f t="shared" si="4"/>
        <v>NotApplicable</v>
      </c>
      <c r="D294" s="163" t="e">
        <f>VLOOKUP(C:C,'QT Import for PTC'!B:D,3,0)</f>
        <v>#N/A</v>
      </c>
      <c r="E294" s="165"/>
      <c r="F294" s="165"/>
      <c r="G294" s="165"/>
      <c r="H294" s="165"/>
      <c r="I294" s="165"/>
      <c r="J294" s="166"/>
      <c r="K294" s="163"/>
      <c r="L294" s="167"/>
      <c r="M294" s="165"/>
      <c r="N294" s="163"/>
      <c r="O294" s="163">
        <v>293</v>
      </c>
    </row>
    <row r="295" spans="1:15">
      <c r="A295" s="163"/>
      <c r="B295" s="163" t="str">
        <f t="shared" si="4"/>
        <v>NotApplicable</v>
      </c>
      <c r="D295" s="163" t="e">
        <f>VLOOKUP(C:C,'QT Import for PTC'!B:D,3,0)</f>
        <v>#N/A</v>
      </c>
      <c r="E295" s="165"/>
      <c r="F295" s="165"/>
      <c r="G295" s="165"/>
      <c r="H295" s="165"/>
      <c r="I295" s="165"/>
      <c r="J295" s="166"/>
      <c r="K295" s="163"/>
      <c r="L295" s="167"/>
      <c r="M295" s="165"/>
      <c r="N295" s="163"/>
      <c r="O295" s="163">
        <v>294</v>
      </c>
    </row>
    <row r="296" spans="1:15">
      <c r="A296" s="163"/>
      <c r="B296" s="163" t="str">
        <f t="shared" si="4"/>
        <v>NotApplicable</v>
      </c>
      <c r="D296" s="163" t="e">
        <f>VLOOKUP(C:C,'QT Import for PTC'!B:D,3,0)</f>
        <v>#N/A</v>
      </c>
      <c r="E296" s="165"/>
      <c r="F296" s="165"/>
      <c r="G296" s="165"/>
      <c r="H296" s="165"/>
      <c r="I296" s="165"/>
      <c r="J296" s="166"/>
      <c r="K296" s="163"/>
      <c r="L296" s="167"/>
      <c r="M296" s="165"/>
      <c r="N296" s="163"/>
      <c r="O296" s="163">
        <v>295</v>
      </c>
    </row>
    <row r="297" spans="1:15">
      <c r="A297" s="163"/>
      <c r="B297" s="163" t="str">
        <f t="shared" si="4"/>
        <v>NotApplicable</v>
      </c>
      <c r="D297" s="163" t="e">
        <f>VLOOKUP(C:C,'QT Import for PTC'!B:D,3,0)</f>
        <v>#N/A</v>
      </c>
      <c r="E297" s="165"/>
      <c r="F297" s="165"/>
      <c r="G297" s="165"/>
      <c r="H297" s="165"/>
      <c r="I297" s="165"/>
      <c r="J297" s="166"/>
      <c r="K297" s="163"/>
      <c r="L297" s="167"/>
      <c r="M297" s="165"/>
      <c r="N297" s="163"/>
      <c r="O297" s="163">
        <v>296</v>
      </c>
    </row>
    <row r="298" spans="1:15">
      <c r="A298" s="163"/>
      <c r="B298" s="163" t="str">
        <f t="shared" si="4"/>
        <v>NotApplicable</v>
      </c>
      <c r="D298" s="163" t="e">
        <f>VLOOKUP(C:C,'QT Import for PTC'!B:D,3,0)</f>
        <v>#N/A</v>
      </c>
      <c r="E298" s="165"/>
      <c r="F298" s="165"/>
      <c r="G298" s="165"/>
      <c r="H298" s="165"/>
      <c r="I298" s="165"/>
      <c r="J298" s="166"/>
      <c r="K298" s="163"/>
      <c r="L298" s="167"/>
      <c r="M298" s="165"/>
      <c r="N298" s="163"/>
      <c r="O298" s="163">
        <v>297</v>
      </c>
    </row>
    <row r="299" spans="1:15">
      <c r="A299" s="163"/>
      <c r="B299" s="163" t="str">
        <f t="shared" si="4"/>
        <v>NotApplicable</v>
      </c>
      <c r="D299" s="163" t="e">
        <f>VLOOKUP(C:C,'QT Import for PTC'!B:D,3,0)</f>
        <v>#N/A</v>
      </c>
      <c r="E299" s="165"/>
      <c r="F299" s="165"/>
      <c r="G299" s="165"/>
      <c r="H299" s="165"/>
      <c r="I299" s="165"/>
      <c r="J299" s="166"/>
      <c r="K299" s="163"/>
      <c r="L299" s="167"/>
      <c r="M299" s="165"/>
      <c r="N299" s="163"/>
      <c r="O299" s="163">
        <v>298</v>
      </c>
    </row>
    <row r="300" spans="1:15">
      <c r="A300" s="163"/>
      <c r="B300" s="163" t="str">
        <f t="shared" si="4"/>
        <v>NotApplicable</v>
      </c>
      <c r="D300" s="163" t="e">
        <f>VLOOKUP(C:C,'QT Import for PTC'!B:D,3,0)</f>
        <v>#N/A</v>
      </c>
      <c r="E300" s="165"/>
      <c r="F300" s="165"/>
      <c r="G300" s="165"/>
      <c r="H300" s="165"/>
      <c r="I300" s="165"/>
      <c r="J300" s="166"/>
      <c r="K300" s="163"/>
      <c r="L300" s="167"/>
      <c r="M300" s="165"/>
      <c r="N300" s="163"/>
      <c r="O300" s="163">
        <v>299</v>
      </c>
    </row>
    <row r="301" spans="1:15">
      <c r="A301" s="163"/>
      <c r="B301" s="163" t="str">
        <f t="shared" si="4"/>
        <v>NotApplicable</v>
      </c>
      <c r="D301" s="163" t="e">
        <f>VLOOKUP(C:C,'QT Import for PTC'!B:D,3,0)</f>
        <v>#N/A</v>
      </c>
      <c r="E301" s="165"/>
      <c r="F301" s="165"/>
      <c r="G301" s="165"/>
      <c r="H301" s="165"/>
      <c r="I301" s="165"/>
      <c r="J301" s="166"/>
      <c r="K301" s="163"/>
      <c r="L301" s="167"/>
      <c r="M301" s="165"/>
      <c r="N301" s="163"/>
      <c r="O301" s="163">
        <v>300</v>
      </c>
    </row>
    <row r="302" spans="1:15">
      <c r="A302" s="163"/>
      <c r="B302" s="163" t="str">
        <f t="shared" si="4"/>
        <v>NotApplicable</v>
      </c>
      <c r="D302" s="163" t="e">
        <f>VLOOKUP(C:C,'QT Import for PTC'!B:D,3,0)</f>
        <v>#N/A</v>
      </c>
      <c r="E302" s="165"/>
      <c r="F302" s="165"/>
      <c r="G302" s="165"/>
      <c r="H302" s="165"/>
      <c r="I302" s="165"/>
      <c r="J302" s="166"/>
      <c r="K302" s="163"/>
      <c r="L302" s="167"/>
      <c r="M302" s="165"/>
      <c r="N302" s="163"/>
      <c r="O302" s="163">
        <v>301</v>
      </c>
    </row>
    <row r="303" spans="1:15">
      <c r="A303" s="163"/>
      <c r="B303" s="163" t="str">
        <f t="shared" si="4"/>
        <v>NotApplicable</v>
      </c>
      <c r="D303" s="163" t="e">
        <f>VLOOKUP(C:C,'QT Import for PTC'!B:D,3,0)</f>
        <v>#N/A</v>
      </c>
      <c r="E303" s="165"/>
      <c r="F303" s="165"/>
      <c r="G303" s="165"/>
      <c r="H303" s="165"/>
      <c r="I303" s="165"/>
      <c r="J303" s="166"/>
      <c r="K303" s="163"/>
      <c r="L303" s="167"/>
      <c r="M303" s="165"/>
      <c r="N303" s="163"/>
      <c r="O303" s="163">
        <v>302</v>
      </c>
    </row>
    <row r="304" spans="1:15">
      <c r="A304" s="163"/>
      <c r="B304" s="163" t="str">
        <f t="shared" si="4"/>
        <v>NotApplicable</v>
      </c>
      <c r="D304" s="163" t="e">
        <f>VLOOKUP(C:C,'QT Import for PTC'!B:D,3,0)</f>
        <v>#N/A</v>
      </c>
      <c r="E304" s="165"/>
      <c r="F304" s="165"/>
      <c r="G304" s="165"/>
      <c r="H304" s="165"/>
      <c r="I304" s="165"/>
      <c r="J304" s="166"/>
      <c r="K304" s="163"/>
      <c r="L304" s="167"/>
      <c r="M304" s="165"/>
      <c r="N304" s="163"/>
      <c r="O304" s="163">
        <v>303</v>
      </c>
    </row>
    <row r="305" spans="1:15">
      <c r="A305" s="163"/>
      <c r="B305" s="163" t="str">
        <f t="shared" si="4"/>
        <v>NotApplicable</v>
      </c>
      <c r="D305" s="163" t="e">
        <f>VLOOKUP(C:C,'QT Import for PTC'!B:D,3,0)</f>
        <v>#N/A</v>
      </c>
      <c r="E305" s="165"/>
      <c r="F305" s="165"/>
      <c r="G305" s="165"/>
      <c r="H305" s="165"/>
      <c r="I305" s="165"/>
      <c r="J305" s="166"/>
      <c r="K305" s="163"/>
      <c r="L305" s="167"/>
      <c r="M305" s="165"/>
      <c r="N305" s="163"/>
      <c r="O305" s="163">
        <v>304</v>
      </c>
    </row>
    <row r="306" spans="1:15">
      <c r="A306" s="163"/>
      <c r="B306" s="163" t="str">
        <f t="shared" si="4"/>
        <v>NotApplicable</v>
      </c>
      <c r="D306" s="163" t="e">
        <f>VLOOKUP(C:C,'QT Import for PTC'!B:D,3,0)</f>
        <v>#N/A</v>
      </c>
      <c r="E306" s="165"/>
      <c r="F306" s="165"/>
      <c r="G306" s="165"/>
      <c r="H306" s="165"/>
      <c r="I306" s="165"/>
      <c r="J306" s="166"/>
      <c r="K306" s="163"/>
      <c r="L306" s="167"/>
      <c r="M306" s="165"/>
      <c r="N306" s="163"/>
      <c r="O306" s="163">
        <v>305</v>
      </c>
    </row>
    <row r="307" spans="1:15">
      <c r="A307" s="163"/>
      <c r="B307" s="163" t="str">
        <f t="shared" si="4"/>
        <v>NotApplicable</v>
      </c>
      <c r="D307" s="163" t="e">
        <f>VLOOKUP(C:C,'QT Import for PTC'!B:D,3,0)</f>
        <v>#N/A</v>
      </c>
      <c r="E307" s="165"/>
      <c r="F307" s="165"/>
      <c r="G307" s="165"/>
      <c r="H307" s="165"/>
      <c r="I307" s="165"/>
      <c r="J307" s="166"/>
      <c r="K307" s="163"/>
      <c r="L307" s="167"/>
      <c r="M307" s="165"/>
      <c r="N307" s="163"/>
      <c r="O307" s="163">
        <v>306</v>
      </c>
    </row>
    <row r="308" spans="1:15">
      <c r="A308" s="163"/>
      <c r="B308" s="163" t="str">
        <f t="shared" si="4"/>
        <v>NotApplicable</v>
      </c>
      <c r="D308" s="163" t="e">
        <f>VLOOKUP(C:C,'QT Import for PTC'!B:D,3,0)</f>
        <v>#N/A</v>
      </c>
      <c r="E308" s="165"/>
      <c r="F308" s="165"/>
      <c r="G308" s="165"/>
      <c r="H308" s="165"/>
      <c r="I308" s="165"/>
      <c r="J308" s="166"/>
      <c r="K308" s="163"/>
      <c r="L308" s="167"/>
      <c r="M308" s="165"/>
      <c r="N308" s="163"/>
      <c r="O308" s="163">
        <v>307</v>
      </c>
    </row>
    <row r="309" spans="1:15">
      <c r="A309" s="163"/>
      <c r="B309" s="163" t="str">
        <f t="shared" si="4"/>
        <v>NotApplicable</v>
      </c>
      <c r="D309" s="163" t="e">
        <f>VLOOKUP(C:C,'QT Import for PTC'!B:D,3,0)</f>
        <v>#N/A</v>
      </c>
      <c r="E309" s="165"/>
      <c r="F309" s="165"/>
      <c r="G309" s="165"/>
      <c r="H309" s="165"/>
      <c r="I309" s="165"/>
      <c r="J309" s="166"/>
      <c r="K309" s="163"/>
      <c r="L309" s="167"/>
      <c r="M309" s="165"/>
      <c r="N309" s="163"/>
      <c r="O309" s="163">
        <v>308</v>
      </c>
    </row>
    <row r="310" spans="1:15">
      <c r="A310" s="163"/>
      <c r="B310" s="163" t="str">
        <f t="shared" si="4"/>
        <v>NotApplicable</v>
      </c>
      <c r="D310" s="163" t="e">
        <f>VLOOKUP(C:C,'QT Import for PTC'!B:D,3,0)</f>
        <v>#N/A</v>
      </c>
      <c r="E310" s="165"/>
      <c r="F310" s="165"/>
      <c r="G310" s="165"/>
      <c r="H310" s="165"/>
      <c r="I310" s="165"/>
      <c r="J310" s="166"/>
      <c r="K310" s="163"/>
      <c r="L310" s="167"/>
      <c r="M310" s="165"/>
      <c r="N310" s="163"/>
      <c r="O310" s="163">
        <v>309</v>
      </c>
    </row>
    <row r="311" spans="1:15">
      <c r="A311" s="163"/>
      <c r="B311" s="163" t="str">
        <f t="shared" si="4"/>
        <v>NotApplicable</v>
      </c>
      <c r="D311" s="163" t="e">
        <f>VLOOKUP(C:C,'QT Import for PTC'!B:D,3,0)</f>
        <v>#N/A</v>
      </c>
      <c r="E311" s="165"/>
      <c r="F311" s="165"/>
      <c r="G311" s="165"/>
      <c r="H311" s="165"/>
      <c r="I311" s="165"/>
      <c r="J311" s="166"/>
      <c r="K311" s="163"/>
      <c r="L311" s="167"/>
      <c r="M311" s="165"/>
      <c r="N311" s="163"/>
      <c r="O311" s="163">
        <v>310</v>
      </c>
    </row>
    <row r="312" spans="1:15">
      <c r="A312" s="163"/>
      <c r="B312" s="163" t="str">
        <f t="shared" si="4"/>
        <v>NotApplicable</v>
      </c>
      <c r="D312" s="163" t="e">
        <f>VLOOKUP(C:C,'QT Import for PTC'!B:D,3,0)</f>
        <v>#N/A</v>
      </c>
      <c r="E312" s="165"/>
      <c r="F312" s="165"/>
      <c r="G312" s="165"/>
      <c r="H312" s="165"/>
      <c r="I312" s="165"/>
      <c r="J312" s="166"/>
      <c r="K312" s="163"/>
      <c r="L312" s="167"/>
      <c r="M312" s="165"/>
      <c r="N312" s="163"/>
      <c r="O312" s="163">
        <v>311</v>
      </c>
    </row>
    <row r="313" spans="1:15">
      <c r="A313" s="163"/>
      <c r="B313" s="163" t="str">
        <f t="shared" si="4"/>
        <v>NotApplicable</v>
      </c>
      <c r="D313" s="163" t="e">
        <f>VLOOKUP(C:C,'QT Import for PTC'!B:D,3,0)</f>
        <v>#N/A</v>
      </c>
      <c r="E313" s="165"/>
      <c r="F313" s="165"/>
      <c r="G313" s="165"/>
      <c r="H313" s="165"/>
      <c r="I313" s="165"/>
      <c r="J313" s="166"/>
      <c r="K313" s="163"/>
      <c r="L313" s="167"/>
      <c r="M313" s="165"/>
      <c r="N313" s="163"/>
      <c r="O313" s="163">
        <v>312</v>
      </c>
    </row>
    <row r="314" spans="1:15">
      <c r="A314" s="163"/>
      <c r="B314" s="163" t="str">
        <f t="shared" si="4"/>
        <v>NotApplicable</v>
      </c>
      <c r="D314" s="163" t="e">
        <f>VLOOKUP(C:C,'QT Import for PTC'!B:D,3,0)</f>
        <v>#N/A</v>
      </c>
      <c r="E314" s="165"/>
      <c r="F314" s="165"/>
      <c r="G314" s="165"/>
      <c r="H314" s="165"/>
      <c r="I314" s="165"/>
      <c r="J314" s="166"/>
      <c r="K314" s="163"/>
      <c r="L314" s="167"/>
      <c r="M314" s="165"/>
      <c r="N314" s="163"/>
      <c r="O314" s="163">
        <v>313</v>
      </c>
    </row>
    <row r="315" spans="1:15">
      <c r="A315" s="163"/>
      <c r="B315" s="163" t="str">
        <f t="shared" si="4"/>
        <v>NotApplicable</v>
      </c>
      <c r="D315" s="163" t="e">
        <f>VLOOKUP(C:C,'QT Import for PTC'!B:D,3,0)</f>
        <v>#N/A</v>
      </c>
      <c r="E315" s="165"/>
      <c r="F315" s="165"/>
      <c r="G315" s="165"/>
      <c r="H315" s="165"/>
      <c r="I315" s="165"/>
      <c r="J315" s="166"/>
      <c r="K315" s="163"/>
      <c r="L315" s="167"/>
      <c r="M315" s="165"/>
      <c r="N315" s="163"/>
      <c r="O315" s="163">
        <v>314</v>
      </c>
    </row>
    <row r="316" spans="1:15">
      <c r="A316" s="163"/>
      <c r="B316" s="163" t="str">
        <f t="shared" si="4"/>
        <v>NotApplicable</v>
      </c>
      <c r="D316" s="163" t="e">
        <f>VLOOKUP(C:C,'QT Import for PTC'!B:D,3,0)</f>
        <v>#N/A</v>
      </c>
      <c r="E316" s="165"/>
      <c r="F316" s="165"/>
      <c r="G316" s="165"/>
      <c r="H316" s="165"/>
      <c r="I316" s="165"/>
      <c r="J316" s="166"/>
      <c r="K316" s="163"/>
      <c r="L316" s="167"/>
      <c r="M316" s="165"/>
      <c r="N316" s="163"/>
      <c r="O316" s="163">
        <v>315</v>
      </c>
    </row>
    <row r="317" spans="1:15">
      <c r="A317" s="163"/>
      <c r="B317" s="163" t="str">
        <f t="shared" si="4"/>
        <v>NotApplicable</v>
      </c>
      <c r="D317" s="163" t="e">
        <f>VLOOKUP(C:C,'QT Import for PTC'!B:D,3,0)</f>
        <v>#N/A</v>
      </c>
      <c r="E317" s="165"/>
      <c r="F317" s="165"/>
      <c r="G317" s="165"/>
      <c r="H317" s="165"/>
      <c r="I317" s="165"/>
      <c r="J317" s="166"/>
      <c r="K317" s="163"/>
      <c r="L317" s="167"/>
      <c r="M317" s="165"/>
      <c r="N317" s="163"/>
      <c r="O317" s="163">
        <v>316</v>
      </c>
    </row>
    <row r="318" spans="1:15">
      <c r="A318" s="163"/>
      <c r="B318" s="163" t="str">
        <f t="shared" si="4"/>
        <v>NotApplicable</v>
      </c>
      <c r="D318" s="163" t="e">
        <f>VLOOKUP(C:C,'QT Import for PTC'!B:D,3,0)</f>
        <v>#N/A</v>
      </c>
      <c r="E318" s="165"/>
      <c r="F318" s="165"/>
      <c r="G318" s="165"/>
      <c r="H318" s="165"/>
      <c r="I318" s="165"/>
      <c r="J318" s="166"/>
      <c r="K318" s="163"/>
      <c r="L318" s="167"/>
      <c r="M318" s="165"/>
      <c r="N318" s="163"/>
      <c r="O318" s="163">
        <v>317</v>
      </c>
    </row>
    <row r="319" spans="1:15">
      <c r="A319" s="163"/>
      <c r="B319" s="163" t="str">
        <f t="shared" si="4"/>
        <v>NotApplicable</v>
      </c>
      <c r="D319" s="163" t="e">
        <f>VLOOKUP(C:C,'QT Import for PTC'!B:D,3,0)</f>
        <v>#N/A</v>
      </c>
      <c r="E319" s="165"/>
      <c r="F319" s="165"/>
      <c r="G319" s="165"/>
      <c r="H319" s="165"/>
      <c r="I319" s="165"/>
      <c r="J319" s="166"/>
      <c r="K319" s="163"/>
      <c r="L319" s="167"/>
      <c r="M319" s="165"/>
      <c r="N319" s="163"/>
      <c r="O319" s="163">
        <v>318</v>
      </c>
    </row>
    <row r="320" spans="1:15">
      <c r="A320" s="163"/>
      <c r="B320" s="163" t="str">
        <f t="shared" si="4"/>
        <v>NotApplicable</v>
      </c>
      <c r="D320" s="163" t="e">
        <f>VLOOKUP(C:C,'QT Import for PTC'!B:D,3,0)</f>
        <v>#N/A</v>
      </c>
      <c r="E320" s="165"/>
      <c r="F320" s="165"/>
      <c r="G320" s="165"/>
      <c r="H320" s="165"/>
      <c r="I320" s="165"/>
      <c r="J320" s="166"/>
      <c r="K320" s="163"/>
      <c r="L320" s="167"/>
      <c r="M320" s="165"/>
      <c r="N320" s="163"/>
      <c r="O320" s="163">
        <v>319</v>
      </c>
    </row>
    <row r="321" spans="1:15">
      <c r="A321" s="163"/>
      <c r="B321" s="163" t="str">
        <f t="shared" si="4"/>
        <v>NotApplicable</v>
      </c>
      <c r="D321" s="163" t="e">
        <f>VLOOKUP(C:C,'QT Import for PTC'!B:D,3,0)</f>
        <v>#N/A</v>
      </c>
      <c r="E321" s="165"/>
      <c r="F321" s="165"/>
      <c r="G321" s="165"/>
      <c r="H321" s="165"/>
      <c r="I321" s="165"/>
      <c r="J321" s="166"/>
      <c r="K321" s="163"/>
      <c r="L321" s="167"/>
      <c r="M321" s="165"/>
      <c r="N321" s="163"/>
      <c r="O321" s="163">
        <v>320</v>
      </c>
    </row>
    <row r="322" spans="1:15">
      <c r="A322" s="163"/>
      <c r="B322" s="163" t="str">
        <f t="shared" si="4"/>
        <v>NotApplicable</v>
      </c>
      <c r="D322" s="163" t="e">
        <f>VLOOKUP(C:C,'QT Import for PTC'!B:D,3,0)</f>
        <v>#N/A</v>
      </c>
      <c r="E322" s="165"/>
      <c r="F322" s="165"/>
      <c r="G322" s="165"/>
      <c r="H322" s="165"/>
      <c r="I322" s="165"/>
      <c r="J322" s="166"/>
      <c r="K322" s="163"/>
      <c r="L322" s="167"/>
      <c r="M322" s="165"/>
      <c r="N322" s="163"/>
      <c r="O322" s="163">
        <v>321</v>
      </c>
    </row>
    <row r="323" spans="1:15">
      <c r="A323" s="163"/>
      <c r="B323" s="163" t="str">
        <f t="shared" ref="B323:B344" si="5">IF(ISNA(D323),"NotApplicable","Applicable")</f>
        <v>NotApplicable</v>
      </c>
      <c r="D323" s="163" t="e">
        <f>VLOOKUP(C:C,'QT Import for PTC'!B:D,3,0)</f>
        <v>#N/A</v>
      </c>
      <c r="E323" s="165"/>
      <c r="F323" s="165"/>
      <c r="G323" s="165"/>
      <c r="H323" s="165"/>
      <c r="I323" s="165"/>
      <c r="J323" s="166"/>
      <c r="K323" s="163"/>
      <c r="L323" s="167"/>
      <c r="M323" s="165"/>
      <c r="N323" s="163"/>
      <c r="O323" s="163">
        <v>322</v>
      </c>
    </row>
    <row r="324" spans="1:15">
      <c r="A324" s="163"/>
      <c r="B324" s="163" t="str">
        <f t="shared" si="5"/>
        <v>NotApplicable</v>
      </c>
      <c r="D324" s="163" t="e">
        <f>VLOOKUP(C:C,'QT Import for PTC'!B:D,3,0)</f>
        <v>#N/A</v>
      </c>
      <c r="E324" s="165"/>
      <c r="F324" s="165"/>
      <c r="G324" s="165"/>
      <c r="H324" s="165"/>
      <c r="I324" s="165"/>
      <c r="J324" s="166"/>
      <c r="K324" s="163"/>
      <c r="L324" s="167"/>
      <c r="M324" s="165"/>
      <c r="N324" s="163"/>
      <c r="O324" s="163">
        <v>323</v>
      </c>
    </row>
    <row r="325" spans="1:15">
      <c r="A325" s="163"/>
      <c r="B325" s="163" t="str">
        <f t="shared" si="5"/>
        <v>NotApplicable</v>
      </c>
      <c r="D325" s="163" t="e">
        <f>VLOOKUP(C:C,'QT Import for PTC'!B:D,3,0)</f>
        <v>#N/A</v>
      </c>
      <c r="E325" s="165"/>
      <c r="F325" s="165"/>
      <c r="G325" s="165"/>
      <c r="H325" s="165"/>
      <c r="I325" s="165"/>
      <c r="J325" s="166"/>
      <c r="K325" s="163"/>
      <c r="L325" s="167"/>
      <c r="M325" s="165"/>
      <c r="N325" s="163"/>
      <c r="O325" s="163">
        <v>324</v>
      </c>
    </row>
    <row r="326" spans="1:15">
      <c r="A326" s="163"/>
      <c r="B326" s="163" t="str">
        <f t="shared" si="5"/>
        <v>NotApplicable</v>
      </c>
      <c r="D326" s="163" t="e">
        <f>VLOOKUP(C:C,'QT Import for PTC'!B:D,3,0)</f>
        <v>#N/A</v>
      </c>
      <c r="E326" s="165"/>
      <c r="F326" s="165"/>
      <c r="G326" s="165"/>
      <c r="H326" s="165"/>
      <c r="I326" s="165"/>
      <c r="J326" s="166"/>
      <c r="K326" s="163"/>
      <c r="L326" s="167"/>
      <c r="M326" s="165"/>
      <c r="N326" s="163"/>
      <c r="O326" s="163">
        <v>325</v>
      </c>
    </row>
    <row r="327" spans="1:15">
      <c r="A327" s="163"/>
      <c r="B327" s="163" t="str">
        <f t="shared" si="5"/>
        <v>NotApplicable</v>
      </c>
      <c r="D327" s="163" t="e">
        <f>VLOOKUP(C:C,'QT Import for PTC'!B:D,3,0)</f>
        <v>#N/A</v>
      </c>
      <c r="E327" s="165"/>
      <c r="F327" s="165"/>
      <c r="G327" s="165"/>
      <c r="H327" s="165"/>
      <c r="I327" s="165"/>
      <c r="J327" s="166"/>
      <c r="K327" s="163"/>
      <c r="L327" s="167"/>
      <c r="M327" s="165"/>
      <c r="N327" s="163"/>
      <c r="O327" s="163">
        <v>326</v>
      </c>
    </row>
    <row r="328" spans="1:15">
      <c r="A328" s="163"/>
      <c r="B328" s="163" t="str">
        <f t="shared" si="5"/>
        <v>NotApplicable</v>
      </c>
      <c r="D328" s="163" t="e">
        <f>VLOOKUP(C:C,'QT Import for PTC'!B:D,3,0)</f>
        <v>#N/A</v>
      </c>
      <c r="E328" s="165"/>
      <c r="F328" s="165"/>
      <c r="G328" s="165"/>
      <c r="H328" s="165"/>
      <c r="I328" s="165"/>
      <c r="J328" s="166"/>
      <c r="K328" s="163"/>
      <c r="L328" s="167"/>
      <c r="M328" s="165"/>
      <c r="N328" s="163"/>
      <c r="O328" s="163">
        <v>327</v>
      </c>
    </row>
    <row r="329" spans="1:15">
      <c r="A329" s="163"/>
      <c r="B329" s="163" t="str">
        <f t="shared" si="5"/>
        <v>NotApplicable</v>
      </c>
      <c r="D329" s="163" t="e">
        <f>VLOOKUP(C:C,'QT Import for PTC'!B:D,3,0)</f>
        <v>#N/A</v>
      </c>
      <c r="E329" s="165"/>
      <c r="F329" s="165"/>
      <c r="G329" s="165"/>
      <c r="H329" s="165"/>
      <c r="I329" s="165"/>
      <c r="J329" s="166"/>
      <c r="K329" s="163"/>
      <c r="L329" s="167"/>
      <c r="M329" s="165"/>
      <c r="N329" s="163"/>
      <c r="O329" s="163">
        <v>328</v>
      </c>
    </row>
    <row r="330" spans="1:15">
      <c r="A330" s="163"/>
      <c r="B330" s="163" t="str">
        <f t="shared" si="5"/>
        <v>NotApplicable</v>
      </c>
      <c r="D330" s="163" t="e">
        <f>VLOOKUP(C:C,'QT Import for PTC'!B:D,3,0)</f>
        <v>#N/A</v>
      </c>
      <c r="E330" s="165"/>
      <c r="F330" s="165"/>
      <c r="G330" s="165"/>
      <c r="H330" s="165"/>
      <c r="I330" s="165"/>
      <c r="J330" s="166"/>
      <c r="K330" s="163"/>
      <c r="L330" s="167"/>
      <c r="M330" s="165"/>
      <c r="N330" s="163"/>
      <c r="O330" s="163">
        <v>329</v>
      </c>
    </row>
    <row r="331" spans="1:15">
      <c r="A331" s="163"/>
      <c r="B331" s="163" t="str">
        <f t="shared" si="5"/>
        <v>NotApplicable</v>
      </c>
      <c r="D331" s="163" t="e">
        <f>VLOOKUP(C:C,'QT Import for PTC'!B:D,3,0)</f>
        <v>#N/A</v>
      </c>
      <c r="E331" s="165"/>
      <c r="F331" s="165"/>
      <c r="G331" s="165"/>
      <c r="H331" s="165"/>
      <c r="I331" s="165"/>
      <c r="J331" s="166"/>
      <c r="K331" s="163"/>
      <c r="L331" s="167"/>
      <c r="M331" s="165"/>
      <c r="N331" s="163"/>
      <c r="O331" s="163">
        <v>330</v>
      </c>
    </row>
    <row r="332" spans="1:15">
      <c r="A332" s="163"/>
      <c r="B332" s="163" t="str">
        <f t="shared" si="5"/>
        <v>NotApplicable</v>
      </c>
      <c r="D332" s="163" t="e">
        <f>VLOOKUP(C:C,'QT Import for PTC'!B:D,3,0)</f>
        <v>#N/A</v>
      </c>
      <c r="E332" s="165"/>
      <c r="F332" s="165"/>
      <c r="G332" s="165"/>
      <c r="H332" s="165"/>
      <c r="I332" s="165"/>
      <c r="J332" s="166"/>
      <c r="K332" s="163"/>
      <c r="L332" s="167"/>
      <c r="M332" s="165"/>
      <c r="N332" s="163"/>
      <c r="O332" s="163">
        <v>331</v>
      </c>
    </row>
    <row r="333" spans="1:15">
      <c r="A333" s="163"/>
      <c r="B333" s="163" t="str">
        <f t="shared" si="5"/>
        <v>NotApplicable</v>
      </c>
      <c r="D333" s="163" t="e">
        <f>VLOOKUP(C:C,'QT Import for PTC'!B:D,3,0)</f>
        <v>#N/A</v>
      </c>
      <c r="E333" s="165"/>
      <c r="F333" s="165"/>
      <c r="G333" s="165"/>
      <c r="H333" s="165"/>
      <c r="I333" s="165"/>
      <c r="J333" s="166"/>
      <c r="K333" s="163"/>
      <c r="L333" s="167"/>
      <c r="M333" s="165"/>
      <c r="N333" s="163"/>
      <c r="O333" s="163">
        <v>332</v>
      </c>
    </row>
    <row r="334" spans="1:15">
      <c r="A334" s="163"/>
      <c r="B334" s="163" t="str">
        <f t="shared" si="5"/>
        <v>NotApplicable</v>
      </c>
      <c r="D334" s="163" t="e">
        <f>VLOOKUP(C:C,'QT Import for PTC'!B:D,3,0)</f>
        <v>#N/A</v>
      </c>
      <c r="E334" s="165"/>
      <c r="F334" s="165"/>
      <c r="G334" s="165"/>
      <c r="H334" s="165"/>
      <c r="I334" s="165"/>
      <c r="J334" s="166"/>
      <c r="K334" s="163"/>
      <c r="L334" s="167"/>
      <c r="M334" s="165"/>
      <c r="N334" s="163"/>
      <c r="O334" s="163">
        <v>333</v>
      </c>
    </row>
    <row r="335" spans="1:15">
      <c r="A335" s="163"/>
      <c r="B335" s="163" t="str">
        <f t="shared" si="5"/>
        <v>NotApplicable</v>
      </c>
      <c r="D335" s="163" t="e">
        <f>VLOOKUP(C:C,'QT Import for PTC'!B:D,3,0)</f>
        <v>#N/A</v>
      </c>
      <c r="E335" s="165"/>
      <c r="F335" s="165"/>
      <c r="G335" s="165"/>
      <c r="H335" s="165"/>
      <c r="I335" s="165"/>
      <c r="J335" s="166"/>
      <c r="K335" s="163"/>
      <c r="L335" s="167"/>
      <c r="M335" s="165"/>
      <c r="N335" s="163"/>
      <c r="O335" s="163">
        <v>334</v>
      </c>
    </row>
    <row r="336" spans="1:15">
      <c r="A336" s="163"/>
      <c r="B336" s="163" t="str">
        <f t="shared" si="5"/>
        <v>NotApplicable</v>
      </c>
      <c r="D336" s="163" t="e">
        <f>VLOOKUP(C:C,'QT Import for PTC'!B:D,3,0)</f>
        <v>#N/A</v>
      </c>
      <c r="E336" s="165"/>
      <c r="F336" s="165"/>
      <c r="G336" s="165"/>
      <c r="H336" s="165"/>
      <c r="I336" s="165"/>
      <c r="J336" s="166"/>
      <c r="K336" s="163"/>
      <c r="L336" s="167"/>
      <c r="M336" s="165"/>
      <c r="N336" s="163"/>
      <c r="O336" s="163">
        <v>335</v>
      </c>
    </row>
    <row r="337" spans="1:15">
      <c r="A337" s="163"/>
      <c r="B337" s="163" t="str">
        <f t="shared" si="5"/>
        <v>NotApplicable</v>
      </c>
      <c r="D337" s="163" t="e">
        <f>VLOOKUP(C:C,'QT Import for PTC'!B:D,3,0)</f>
        <v>#N/A</v>
      </c>
      <c r="E337" s="165"/>
      <c r="F337" s="165"/>
      <c r="G337" s="165"/>
      <c r="H337" s="165"/>
      <c r="I337" s="165"/>
      <c r="J337" s="166"/>
      <c r="K337" s="163"/>
      <c r="L337" s="167"/>
      <c r="M337" s="165"/>
      <c r="N337" s="163"/>
      <c r="O337" s="163">
        <v>336</v>
      </c>
    </row>
    <row r="338" spans="1:15">
      <c r="A338" s="163"/>
      <c r="B338" s="163" t="str">
        <f t="shared" si="5"/>
        <v>NotApplicable</v>
      </c>
      <c r="D338" s="163" t="e">
        <f>VLOOKUP(C:C,'QT Import for PTC'!B:D,3,0)</f>
        <v>#N/A</v>
      </c>
      <c r="E338" s="165"/>
      <c r="F338" s="165"/>
      <c r="G338" s="165"/>
      <c r="H338" s="165"/>
      <c r="I338" s="165"/>
      <c r="J338" s="166"/>
      <c r="K338" s="163"/>
      <c r="L338" s="167"/>
      <c r="M338" s="165"/>
      <c r="N338" s="163"/>
      <c r="O338" s="163">
        <v>337</v>
      </c>
    </row>
    <row r="339" spans="1:15">
      <c r="A339" s="163"/>
      <c r="B339" s="163" t="str">
        <f t="shared" si="5"/>
        <v>NotApplicable</v>
      </c>
      <c r="D339" s="163" t="e">
        <f>VLOOKUP(C:C,'QT Import for PTC'!B:D,3,0)</f>
        <v>#N/A</v>
      </c>
      <c r="E339" s="165"/>
      <c r="F339" s="165"/>
      <c r="G339" s="165"/>
      <c r="H339" s="165"/>
      <c r="I339" s="165"/>
      <c r="J339" s="166"/>
      <c r="K339" s="163"/>
      <c r="L339" s="167"/>
      <c r="M339" s="165"/>
      <c r="N339" s="163"/>
      <c r="O339" s="163">
        <v>338</v>
      </c>
    </row>
    <row r="340" spans="1:15">
      <c r="A340" s="163"/>
      <c r="B340" s="163" t="str">
        <f t="shared" si="5"/>
        <v>NotApplicable</v>
      </c>
      <c r="D340" s="163" t="e">
        <f>VLOOKUP(C:C,'QT Import for PTC'!B:D,3,0)</f>
        <v>#N/A</v>
      </c>
      <c r="E340" s="165"/>
      <c r="F340" s="165"/>
      <c r="G340" s="165"/>
      <c r="H340" s="165"/>
      <c r="I340" s="165"/>
      <c r="J340" s="166"/>
      <c r="K340" s="163"/>
      <c r="L340" s="167"/>
      <c r="M340" s="165"/>
      <c r="N340" s="163"/>
      <c r="O340" s="163">
        <v>339</v>
      </c>
    </row>
    <row r="341" spans="1:15">
      <c r="A341" s="163"/>
      <c r="B341" s="163" t="str">
        <f t="shared" si="5"/>
        <v>NotApplicable</v>
      </c>
      <c r="D341" s="163" t="e">
        <f>VLOOKUP(C:C,'QT Import for PTC'!B:D,3,0)</f>
        <v>#N/A</v>
      </c>
      <c r="E341" s="165"/>
      <c r="F341" s="165"/>
      <c r="G341" s="165"/>
      <c r="H341" s="165"/>
      <c r="I341" s="165"/>
      <c r="J341" s="166"/>
      <c r="K341" s="163"/>
      <c r="L341" s="167"/>
      <c r="M341" s="165"/>
      <c r="N341" s="163"/>
      <c r="O341" s="163">
        <v>340</v>
      </c>
    </row>
    <row r="342" spans="1:15">
      <c r="A342" s="163"/>
      <c r="B342" s="163" t="str">
        <f t="shared" si="5"/>
        <v>NotApplicable</v>
      </c>
      <c r="D342" s="163" t="e">
        <f>VLOOKUP(C:C,'QT Import for PTC'!B:D,3,0)</f>
        <v>#N/A</v>
      </c>
      <c r="E342" s="165"/>
      <c r="F342" s="165"/>
      <c r="G342" s="165"/>
      <c r="H342" s="165"/>
      <c r="I342" s="165"/>
      <c r="J342" s="166"/>
      <c r="K342" s="163"/>
      <c r="L342" s="167"/>
      <c r="M342" s="165"/>
      <c r="N342" s="163"/>
      <c r="O342" s="163">
        <v>341</v>
      </c>
    </row>
    <row r="343" spans="1:15">
      <c r="A343" s="163"/>
      <c r="B343" s="163" t="str">
        <f t="shared" si="5"/>
        <v>NotApplicable</v>
      </c>
      <c r="D343" s="163" t="e">
        <f>VLOOKUP(C:C,'QT Import for PTC'!B:D,3,0)</f>
        <v>#N/A</v>
      </c>
      <c r="E343" s="165"/>
      <c r="F343" s="165"/>
      <c r="G343" s="165"/>
      <c r="H343" s="165"/>
      <c r="I343" s="165"/>
      <c r="J343" s="166"/>
      <c r="K343" s="163"/>
      <c r="L343" s="167"/>
      <c r="M343" s="165"/>
      <c r="N343" s="163"/>
      <c r="O343" s="163">
        <v>342</v>
      </c>
    </row>
    <row r="344" spans="1:15">
      <c r="A344" s="163"/>
      <c r="B344" s="163" t="str">
        <f t="shared" si="5"/>
        <v>NotApplicable</v>
      </c>
      <c r="D344" s="163" t="e">
        <f>VLOOKUP(C:C,'QT Import for PTC'!B:D,3,0)</f>
        <v>#N/A</v>
      </c>
      <c r="E344" s="165"/>
      <c r="F344" s="165"/>
      <c r="G344" s="165"/>
      <c r="H344" s="165"/>
      <c r="I344" s="165"/>
      <c r="J344" s="166"/>
      <c r="K344" s="163"/>
      <c r="L344" s="167"/>
      <c r="M344" s="165"/>
      <c r="N344" s="163"/>
      <c r="O344" s="16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522" priority="7">
      <formula>AND($M2="Fixed",$N2="Approved")</formula>
    </cfRule>
  </conditionalFormatting>
  <conditionalFormatting sqref="N2:N344">
    <cfRule type="expression" dxfId="1521" priority="6">
      <formula>$N2="Approved"</formula>
    </cfRule>
    <cfRule type="expression" dxfId="1520"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519" priority="8">
      <formula>$M2="Open"</formula>
    </cfRule>
    <cfRule type="expression" dxfId="1518" priority="9">
      <formula>$M2="Fixed"</formula>
    </cfRule>
    <cfRule type="expression" dxfId="1517" priority="10">
      <formula>$M2="Postponed"</formula>
    </cfRule>
    <cfRule type="expression" dxfId="1516"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5"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4" priority="2">
      <formula>$M4="Open"</formula>
    </cfRule>
    <cfRule type="expression" dxfId="1513" priority="3">
      <formula>$M4="Fixed"</formula>
    </cfRule>
    <cfRule type="expression" dxfId="1512" priority="4">
      <formula>$M4="Postponed"</formula>
    </cfRule>
    <cfRule type="expression" dxfId="1511"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5271-536C-4E3C-85D5-F242E8271ECE}">
  <sheetPr codeName="ReviewFirstLevel1">
    <tabColor theme="6" tint="-0.249977111117893"/>
  </sheetPr>
  <dimension ref="A1:Q4982"/>
  <sheetViews>
    <sheetView showGridLines="0" zoomScaleNormal="100" workbookViewId="0">
      <selection activeCell="C15" sqref="C15"/>
    </sheetView>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4</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header with the correct value                                  ERRORS: "&amp;COUNTIF(I2:I7000,"NOK")</f>
        <v>Is the tag  -Full Automation- from the script header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t="s">
        <v>974</v>
      </c>
      <c r="B2" s="172" t="s">
        <v>972</v>
      </c>
      <c r="C2" s="172" t="s">
        <v>972</v>
      </c>
      <c r="D2" s="172" t="s">
        <v>972</v>
      </c>
      <c r="E2" s="172" t="s">
        <v>972</v>
      </c>
      <c r="F2" s="172" t="s">
        <v>972</v>
      </c>
      <c r="G2" s="172" t="s">
        <v>972</v>
      </c>
      <c r="H2" s="172" t="s">
        <v>972</v>
      </c>
      <c r="I2" s="172" t="s">
        <v>972</v>
      </c>
      <c r="J2" s="172" t="s">
        <v>972</v>
      </c>
      <c r="K2" s="172" t="s">
        <v>972</v>
      </c>
      <c r="L2" s="172" t="s">
        <v>972</v>
      </c>
      <c r="M2" s="172" t="s">
        <v>972</v>
      </c>
      <c r="N2" s="172" t="s">
        <v>972</v>
      </c>
      <c r="O2" s="172" t="s">
        <v>972</v>
      </c>
      <c r="P2" s="175" t="s">
        <v>979</v>
      </c>
    </row>
    <row r="3" spans="1:17">
      <c r="A3" t="s">
        <v>975</v>
      </c>
      <c r="B3" s="172" t="s">
        <v>972</v>
      </c>
      <c r="C3" s="172" t="s">
        <v>972</v>
      </c>
      <c r="D3" s="172" t="s">
        <v>972</v>
      </c>
      <c r="E3" s="172" t="s">
        <v>972</v>
      </c>
      <c r="F3" s="172" t="s">
        <v>972</v>
      </c>
      <c r="G3" s="172" t="s">
        <v>972</v>
      </c>
      <c r="H3" s="172" t="s">
        <v>972</v>
      </c>
      <c r="I3" s="172" t="s">
        <v>972</v>
      </c>
      <c r="J3" s="172" t="s">
        <v>972</v>
      </c>
      <c r="K3" s="172" t="s">
        <v>972</v>
      </c>
      <c r="L3" s="172" t="s">
        <v>972</v>
      </c>
      <c r="M3" s="172" t="s">
        <v>972</v>
      </c>
      <c r="N3" s="172" t="s">
        <v>972</v>
      </c>
      <c r="O3" s="172" t="s">
        <v>972</v>
      </c>
      <c r="P3" s="175" t="s">
        <v>979</v>
      </c>
    </row>
    <row r="4" spans="1:17">
      <c r="A4" t="s">
        <v>976</v>
      </c>
      <c r="B4" s="172" t="s">
        <v>972</v>
      </c>
      <c r="C4" s="172" t="s">
        <v>972</v>
      </c>
      <c r="D4" s="172" t="s">
        <v>972</v>
      </c>
      <c r="E4" s="172" t="s">
        <v>972</v>
      </c>
      <c r="F4" s="172" t="s">
        <v>972</v>
      </c>
      <c r="G4" s="172" t="s">
        <v>972</v>
      </c>
      <c r="H4" s="172" t="s">
        <v>972</v>
      </c>
      <c r="I4" s="172" t="s">
        <v>972</v>
      </c>
      <c r="J4" s="172" t="s">
        <v>972</v>
      </c>
      <c r="K4" s="172" t="s">
        <v>972</v>
      </c>
      <c r="L4" s="172" t="s">
        <v>972</v>
      </c>
      <c r="M4" s="172" t="s">
        <v>972</v>
      </c>
      <c r="N4" s="172" t="s">
        <v>972</v>
      </c>
      <c r="O4" s="172" t="s">
        <v>972</v>
      </c>
      <c r="P4" s="175" t="s">
        <v>979</v>
      </c>
    </row>
    <row r="5" spans="1:17">
      <c r="A5" t="s">
        <v>977</v>
      </c>
      <c r="B5" s="172" t="s">
        <v>972</v>
      </c>
      <c r="C5" s="172" t="s">
        <v>972</v>
      </c>
      <c r="D5" s="172" t="s">
        <v>972</v>
      </c>
      <c r="E5" s="172" t="s">
        <v>972</v>
      </c>
      <c r="F5" s="172" t="s">
        <v>972</v>
      </c>
      <c r="G5" s="172" t="s">
        <v>972</v>
      </c>
      <c r="H5" s="172" t="s">
        <v>972</v>
      </c>
      <c r="I5" s="172" t="s">
        <v>972</v>
      </c>
      <c r="J5" s="172" t="s">
        <v>972</v>
      </c>
      <c r="K5" s="172" t="s">
        <v>972</v>
      </c>
      <c r="L5" s="172" t="s">
        <v>972</v>
      </c>
      <c r="M5" s="172" t="s">
        <v>972</v>
      </c>
      <c r="N5" s="172" t="s">
        <v>972</v>
      </c>
      <c r="O5" s="172" t="s">
        <v>972</v>
      </c>
      <c r="P5" s="175" t="s">
        <v>979</v>
      </c>
    </row>
    <row r="6" spans="1:17">
      <c r="A6"/>
      <c r="B6" s="172"/>
      <c r="C6" s="172"/>
      <c r="D6" s="172"/>
      <c r="E6" s="172"/>
      <c r="F6" s="172"/>
      <c r="H6" s="172"/>
      <c r="I6" s="172"/>
      <c r="J6" s="172"/>
      <c r="K6" s="172"/>
      <c r="L6" s="172"/>
      <c r="N6" s="172"/>
    </row>
    <row r="7" spans="1:17">
      <c r="A7"/>
      <c r="B7" s="172"/>
      <c r="C7" s="172"/>
      <c r="D7" s="172"/>
      <c r="E7" s="172"/>
      <c r="F7" s="172"/>
      <c r="H7" s="172"/>
      <c r="I7" s="172"/>
      <c r="J7" s="172"/>
      <c r="K7" s="172"/>
      <c r="L7" s="172"/>
      <c r="N7" s="172"/>
    </row>
    <row r="8" spans="1:17">
      <c r="A8"/>
      <c r="B8" s="172"/>
      <c r="C8" s="172"/>
      <c r="D8" s="172"/>
      <c r="E8" s="172"/>
      <c r="F8" s="172"/>
      <c r="H8" s="172"/>
      <c r="I8" s="172"/>
      <c r="J8" s="172"/>
      <c r="K8" s="172"/>
      <c r="L8" s="172"/>
      <c r="N8" s="172"/>
    </row>
    <row r="9" spans="1:17">
      <c r="A9"/>
      <c r="B9" s="172"/>
      <c r="C9" s="172"/>
      <c r="D9" s="172"/>
      <c r="E9" s="172"/>
      <c r="F9" s="172"/>
      <c r="H9" s="172"/>
      <c r="I9" s="172"/>
      <c r="J9" s="172"/>
      <c r="K9" s="172"/>
      <c r="L9" s="172"/>
      <c r="N9" s="172"/>
    </row>
    <row r="10" spans="1:17">
      <c r="A10"/>
      <c r="B10" s="172"/>
      <c r="C10" s="172"/>
      <c r="D10" s="172"/>
      <c r="E10" s="172"/>
      <c r="F10" s="172"/>
      <c r="H10" s="172"/>
      <c r="I10" s="172"/>
      <c r="J10" s="172"/>
      <c r="K10" s="172"/>
      <c r="L10" s="172"/>
      <c r="N10" s="172"/>
    </row>
    <row r="11" spans="1:17">
      <c r="A11"/>
      <c r="B11" s="172"/>
      <c r="C11" s="172"/>
      <c r="D11" s="172"/>
      <c r="E11" s="172"/>
      <c r="F11" s="172"/>
      <c r="H11" s="172"/>
      <c r="I11" s="172"/>
      <c r="J11" s="172"/>
      <c r="K11" s="172"/>
      <c r="L11" s="172"/>
      <c r="N11" s="172"/>
    </row>
    <row r="12" spans="1:17">
      <c r="A12"/>
      <c r="B12" s="172"/>
      <c r="C12" s="172"/>
      <c r="D12" s="172"/>
      <c r="E12" s="172"/>
      <c r="F12" s="172"/>
      <c r="H12" s="172"/>
      <c r="I12" s="172"/>
      <c r="J12" s="172"/>
      <c r="K12" s="172"/>
      <c r="L12" s="172"/>
      <c r="N12" s="172"/>
    </row>
    <row r="13" spans="1:17">
      <c r="A13"/>
      <c r="B13" s="172"/>
      <c r="C13" s="172"/>
      <c r="D13" s="172"/>
      <c r="E13" s="172"/>
      <c r="F13" s="172"/>
      <c r="H13" s="172"/>
      <c r="I13" s="172"/>
      <c r="J13" s="172"/>
      <c r="K13" s="172"/>
      <c r="L13" s="172"/>
      <c r="N13" s="172"/>
    </row>
    <row r="14" spans="1:17">
      <c r="A14"/>
      <c r="B14" s="172"/>
      <c r="C14" s="172"/>
      <c r="D14" s="172"/>
      <c r="E14" s="172"/>
      <c r="F14" s="172"/>
      <c r="H14" s="172"/>
      <c r="I14" s="172"/>
      <c r="J14" s="172"/>
      <c r="K14" s="172"/>
      <c r="L14" s="172"/>
      <c r="N14" s="172"/>
    </row>
    <row r="15" spans="1:17">
      <c r="A15"/>
      <c r="B15" s="172"/>
      <c r="C15" s="172"/>
      <c r="D15" s="172"/>
      <c r="E15" s="172"/>
      <c r="F15" s="172"/>
      <c r="H15" s="172"/>
      <c r="I15" s="172"/>
      <c r="J15" s="172"/>
      <c r="K15" s="172"/>
      <c r="L15" s="172"/>
      <c r="N15" s="172"/>
    </row>
    <row r="16" spans="1:17">
      <c r="A16"/>
      <c r="B16" s="172"/>
      <c r="C16" s="172"/>
      <c r="D16" s="172"/>
      <c r="E16" s="172"/>
      <c r="F16" s="172"/>
      <c r="H16" s="172"/>
      <c r="I16" s="172"/>
      <c r="J16" s="172"/>
      <c r="K16" s="172"/>
      <c r="L16" s="172"/>
      <c r="N16" s="172"/>
    </row>
    <row r="17" spans="1:14">
      <c r="A17"/>
      <c r="B17" s="172"/>
      <c r="C17" s="172"/>
      <c r="D17" s="172"/>
      <c r="E17" s="172"/>
      <c r="F17" s="172"/>
      <c r="H17" s="172"/>
      <c r="I17" s="172"/>
      <c r="J17" s="172"/>
      <c r="K17" s="172"/>
      <c r="L17" s="172"/>
      <c r="N17" s="172"/>
    </row>
    <row r="18" spans="1:14">
      <c r="A18"/>
      <c r="B18" s="172"/>
      <c r="C18" s="172"/>
      <c r="D18" s="172"/>
      <c r="E18" s="172"/>
      <c r="F18" s="172"/>
      <c r="H18" s="172"/>
      <c r="I18" s="172"/>
      <c r="J18" s="172"/>
      <c r="K18" s="172"/>
      <c r="L18" s="172"/>
      <c r="N18" s="172"/>
    </row>
    <row r="19" spans="1:14">
      <c r="A19" s="162"/>
      <c r="B19" s="172"/>
      <c r="C19" s="172"/>
      <c r="D19" s="172"/>
      <c r="E19" s="172"/>
      <c r="F19" s="172"/>
      <c r="G19" s="175"/>
      <c r="I19" s="174"/>
      <c r="J19" s="172"/>
    </row>
    <row r="20" spans="1:14">
      <c r="A20" s="162"/>
      <c r="B20" s="172"/>
      <c r="C20" s="172"/>
      <c r="D20" s="172"/>
      <c r="E20" s="172"/>
      <c r="F20" s="172"/>
      <c r="G20" s="175"/>
      <c r="I20" s="174"/>
      <c r="J20" s="172"/>
    </row>
    <row r="21" spans="1:14">
      <c r="A21" s="162"/>
      <c r="B21" s="172"/>
      <c r="C21" s="172"/>
      <c r="D21" s="172"/>
      <c r="E21" s="172"/>
      <c r="F21" s="172"/>
      <c r="G21" s="175"/>
      <c r="I21" s="174"/>
      <c r="J21" s="172"/>
    </row>
    <row r="22" spans="1:14">
      <c r="A22" s="162"/>
      <c r="B22" s="172"/>
      <c r="C22" s="172"/>
      <c r="D22" s="172"/>
      <c r="E22" s="172"/>
      <c r="F22" s="172"/>
      <c r="G22" s="175"/>
      <c r="I22" s="174"/>
      <c r="J22" s="172"/>
    </row>
    <row r="23" spans="1:14">
      <c r="A23" s="162"/>
      <c r="B23" s="172"/>
      <c r="C23" s="172"/>
      <c r="D23" s="172"/>
      <c r="E23" s="172"/>
      <c r="F23" s="172"/>
      <c r="I23" s="174"/>
      <c r="J23" s="172"/>
    </row>
    <row r="24" spans="1:14">
      <c r="A24" s="162"/>
      <c r="B24" s="172"/>
      <c r="C24" s="172"/>
      <c r="D24" s="172"/>
      <c r="E24" s="172"/>
      <c r="F24" s="172"/>
      <c r="G24" s="175"/>
      <c r="I24" s="174"/>
      <c r="J24" s="172"/>
    </row>
    <row r="25" spans="1:14">
      <c r="A25" s="162"/>
      <c r="B25" s="172"/>
      <c r="C25" s="172"/>
      <c r="D25" s="172"/>
      <c r="E25" s="172"/>
      <c r="F25" s="172"/>
      <c r="G25" s="175"/>
      <c r="I25" s="174"/>
      <c r="J25" s="172"/>
    </row>
    <row r="26" spans="1:14">
      <c r="A26" s="162"/>
      <c r="B26" s="172"/>
      <c r="C26" s="172"/>
      <c r="D26" s="172"/>
      <c r="E26" s="172"/>
      <c r="F26" s="172"/>
      <c r="G26" s="175"/>
      <c r="I26" s="174"/>
      <c r="J26" s="172"/>
    </row>
    <row r="27" spans="1:14">
      <c r="A27" s="162"/>
      <c r="B27" s="172"/>
      <c r="C27" s="172"/>
      <c r="D27" s="172"/>
      <c r="E27" s="172"/>
      <c r="F27" s="172"/>
      <c r="G27" s="175"/>
      <c r="I27" s="174"/>
      <c r="J27" s="172"/>
    </row>
    <row r="28" spans="1:14">
      <c r="A28" s="162"/>
      <c r="B28" s="172"/>
      <c r="C28" s="172"/>
      <c r="D28" s="172"/>
      <c r="E28" s="172"/>
      <c r="F28" s="172"/>
      <c r="G28" s="175"/>
      <c r="I28" s="174"/>
      <c r="J28" s="172"/>
    </row>
    <row r="29" spans="1:14">
      <c r="A29" s="162"/>
      <c r="B29" s="172"/>
      <c r="C29" s="172"/>
      <c r="D29" s="172"/>
      <c r="E29" s="172"/>
      <c r="F29" s="172"/>
      <c r="G29" s="175"/>
      <c r="I29" s="174"/>
      <c r="J29" s="172"/>
    </row>
    <row r="30" spans="1:14">
      <c r="A30" s="162"/>
      <c r="B30" s="172"/>
      <c r="C30" s="172"/>
      <c r="D30" s="172"/>
      <c r="E30" s="172"/>
      <c r="F30" s="172"/>
      <c r="G30" s="175"/>
      <c r="I30" s="174"/>
      <c r="J30" s="172"/>
    </row>
    <row r="31" spans="1:14">
      <c r="A31" s="162"/>
      <c r="B31" s="172"/>
      <c r="C31" s="172"/>
      <c r="D31" s="172"/>
      <c r="E31" s="172"/>
      <c r="F31" s="172"/>
      <c r="G31" s="175"/>
      <c r="I31" s="174"/>
      <c r="J31" s="172"/>
    </row>
    <row r="32" spans="1:14">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I2:O4777 B2:G4777 C2:O18">
    <cfRule type="cellIs" dxfId="1510" priority="5" operator="equal">
      <formula>"nok"</formula>
    </cfRule>
  </conditionalFormatting>
  <conditionalFormatting sqref="B4737:G4783 I4737:J4783">
    <cfRule type="cellIs" dxfId="1509" priority="4" operator="equal">
      <formula>"nok"</formula>
    </cfRule>
  </conditionalFormatting>
  <conditionalFormatting sqref="I2:J4736 B2:G4736 C2:O18">
    <cfRule type="cellIs" dxfId="1508" priority="3" operator="equal">
      <formula>"OK"</formula>
    </cfRule>
  </conditionalFormatting>
  <conditionalFormatting sqref="B4737:G4777 I4737:J4777">
    <cfRule type="cellIs" dxfId="1507" priority="2" operator="equal">
      <formula>"OK"</formula>
    </cfRule>
  </conditionalFormatting>
  <conditionalFormatting sqref="A2:O7000">
    <cfRule type="cellIs" dxfId="1506" priority="1" operator="equal">
      <formula>"OK"</formula>
    </cfRule>
  </conditionalFormatting>
  <dataValidations count="3">
    <dataValidation type="list" allowBlank="1" showInputMessage="1" showErrorMessage="1" sqref="I19:O2860 C2:O18 B2:B2860 C19:F2860" xr:uid="{EAC82F2A-DD00-4CE8-9A11-1C7D5D006183}">
      <formula1>"OK,NOK,FIXED,WILL NOT FIX"</formula1>
    </dataValidation>
    <dataValidation type="list" showInputMessage="1" showErrorMessage="1" sqref="I19:O5023 C2:O18 B2:B5023 C19:F5023" xr:uid="{A6C36F29-91D5-479C-8CA2-20043354BD8C}">
      <formula1>"OK,NOK,FIXED,WILL NOT FIX"</formula1>
    </dataValidation>
    <dataValidation type="list" showInputMessage="1" showErrorMessage="1" sqref="C19:F4736 C2:O18 B2:B4736 I19:J4736" xr:uid="{EE2D1FF9-756C-4E23-B775-936C9CE9738B}">
      <formula1>"OK,NOK,FIXED"</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135489"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135489" r:id="rId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AB1C4-0B5D-486A-9A20-BAFAA162F7CA}">
  <sheetPr codeName="ReviewSecondLevel1">
    <tabColor theme="6" tint="-0.249977111117893"/>
  </sheetPr>
  <dimension ref="A1:Q344"/>
  <sheetViews>
    <sheetView showGridLines="0" zoomScaleNormal="100" workbookViewId="0">
      <selection activeCell="F28" sqref="F28"/>
    </sheetView>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11" width="18.85546875" style="168" customWidth="1"/>
    <col min="12" max="12" width="47.5703125" style="169" bestFit="1" customWidth="1"/>
    <col min="13" max="13" width="21.42578125" style="168" customWidth="1"/>
    <col min="14" max="14" width="9.5703125" style="170" bestFit="1" customWidth="1"/>
    <col min="15" max="15" width="16.140625" style="168" bestFit="1" customWidth="1"/>
    <col min="16" max="16" width="19.5703125" style="168" bestFit="1" customWidth="1"/>
    <col min="17" max="17" width="8.28515625" style="168" bestFit="1" customWidth="1"/>
    <col min="18" max="16384" width="9.140625" style="162"/>
  </cols>
  <sheetData>
    <row r="1" spans="1:17" ht="103.5" customHeight="1" thickBot="1">
      <c r="A1" s="180" t="s">
        <v>84</v>
      </c>
      <c r="B1" s="181" t="s">
        <v>268</v>
      </c>
      <c r="C1" s="182" t="s">
        <v>269</v>
      </c>
      <c r="D1" s="183" t="s">
        <v>270</v>
      </c>
      <c r="E1" s="184" t="s">
        <v>271</v>
      </c>
      <c r="F1" s="184" t="s">
        <v>171</v>
      </c>
      <c r="G1" s="184" t="s">
        <v>272</v>
      </c>
      <c r="H1" s="184" t="s">
        <v>962</v>
      </c>
      <c r="I1" s="184" t="s">
        <v>960</v>
      </c>
      <c r="J1" s="184" t="s">
        <v>961</v>
      </c>
      <c r="K1" s="184" t="s">
        <v>963</v>
      </c>
      <c r="L1" s="184" t="s">
        <v>275</v>
      </c>
      <c r="M1" s="184" t="s">
        <v>276</v>
      </c>
      <c r="N1" s="184" t="s">
        <v>277</v>
      </c>
      <c r="O1" s="184" t="s">
        <v>278</v>
      </c>
      <c r="P1" s="185" t="s">
        <v>279</v>
      </c>
      <c r="Q1" s="161"/>
    </row>
    <row r="2" spans="1:17">
      <c r="A2" s="163">
        <v>1</v>
      </c>
      <c r="B2" s="163" t="s">
        <v>966</v>
      </c>
      <c r="C2" s="223" t="s">
        <v>974</v>
      </c>
      <c r="D2" s="163">
        <v>1.1000000000000001</v>
      </c>
      <c r="E2" s="163" t="s">
        <v>967</v>
      </c>
      <c r="F2" s="163" t="s">
        <v>968</v>
      </c>
      <c r="G2" s="165" t="s">
        <v>109</v>
      </c>
      <c r="H2" s="165" t="s">
        <v>109</v>
      </c>
      <c r="I2" s="165" t="s">
        <v>109</v>
      </c>
      <c r="J2" s="165" t="s">
        <v>109</v>
      </c>
      <c r="K2" s="165" t="s">
        <v>109</v>
      </c>
      <c r="L2" s="166" t="s">
        <v>969</v>
      </c>
      <c r="M2" s="163" t="s">
        <v>979</v>
      </c>
      <c r="N2" s="167"/>
      <c r="O2" s="165"/>
      <c r="P2" s="163"/>
      <c r="Q2" s="163">
        <v>1</v>
      </c>
    </row>
    <row r="3" spans="1:17">
      <c r="A3" s="163">
        <v>2</v>
      </c>
      <c r="B3" s="163" t="s">
        <v>966</v>
      </c>
      <c r="C3" s="223" t="s">
        <v>975</v>
      </c>
      <c r="D3" s="163">
        <v>1.1000000000000001</v>
      </c>
      <c r="E3" s="163" t="s">
        <v>967</v>
      </c>
      <c r="F3" s="163" t="s">
        <v>968</v>
      </c>
      <c r="G3" s="165" t="s">
        <v>109</v>
      </c>
      <c r="H3" s="165" t="s">
        <v>109</v>
      </c>
      <c r="I3" s="165" t="s">
        <v>109</v>
      </c>
      <c r="J3" s="165" t="s">
        <v>109</v>
      </c>
      <c r="K3" s="165" t="s">
        <v>109</v>
      </c>
      <c r="L3" s="166" t="s">
        <v>969</v>
      </c>
      <c r="M3" s="163" t="s">
        <v>979</v>
      </c>
      <c r="N3" s="167"/>
      <c r="O3" s="165"/>
      <c r="P3" s="163"/>
      <c r="Q3" s="163">
        <v>2</v>
      </c>
    </row>
    <row r="4" spans="1:17">
      <c r="A4" s="163">
        <v>3</v>
      </c>
      <c r="B4" s="163" t="s">
        <v>966</v>
      </c>
      <c r="C4" s="223" t="s">
        <v>976</v>
      </c>
      <c r="D4" s="163">
        <v>1.1000000000000001</v>
      </c>
      <c r="E4" s="163" t="s">
        <v>967</v>
      </c>
      <c r="F4" s="163" t="s">
        <v>968</v>
      </c>
      <c r="G4" s="165" t="s">
        <v>109</v>
      </c>
      <c r="H4" s="165" t="s">
        <v>109</v>
      </c>
      <c r="I4" s="165" t="s">
        <v>109</v>
      </c>
      <c r="J4" s="165" t="s">
        <v>109</v>
      </c>
      <c r="K4" s="165" t="s">
        <v>109</v>
      </c>
      <c r="L4" s="166" t="s">
        <v>969</v>
      </c>
      <c r="M4" s="163" t="s">
        <v>979</v>
      </c>
      <c r="N4" s="167"/>
      <c r="O4" s="165"/>
      <c r="P4" s="163"/>
      <c r="Q4" s="163">
        <v>3</v>
      </c>
    </row>
    <row r="5" spans="1:17">
      <c r="A5" s="163">
        <v>4</v>
      </c>
      <c r="B5" s="163" t="s">
        <v>966</v>
      </c>
      <c r="C5" s="223" t="s">
        <v>977</v>
      </c>
      <c r="D5" s="163">
        <v>1.1000000000000001</v>
      </c>
      <c r="E5" s="163" t="s">
        <v>967</v>
      </c>
      <c r="F5" s="163" t="s">
        <v>968</v>
      </c>
      <c r="G5" s="165" t="s">
        <v>109</v>
      </c>
      <c r="H5" s="165" t="s">
        <v>109</v>
      </c>
      <c r="I5" s="165" t="s">
        <v>109</v>
      </c>
      <c r="J5" s="165" t="s">
        <v>109</v>
      </c>
      <c r="K5" s="165" t="s">
        <v>109</v>
      </c>
      <c r="L5" s="166" t="s">
        <v>969</v>
      </c>
      <c r="M5" s="163" t="s">
        <v>979</v>
      </c>
      <c r="N5" s="167"/>
      <c r="O5" s="165"/>
      <c r="P5" s="163"/>
      <c r="Q5" s="163">
        <v>4</v>
      </c>
    </row>
    <row r="6" spans="1:17">
      <c r="A6" s="163">
        <v>5</v>
      </c>
      <c r="B6" s="163" t="str">
        <f t="shared" ref="B6:B18" si="0">IF(ISNA(D6),"NotApplicable","Applicable")</f>
        <v>NotApplicable</v>
      </c>
      <c r="C6" s="223"/>
      <c r="D6" s="163" t="e">
        <f>VLOOKUP(C:C,'QT Import for PTC'!B:D,3,0)</f>
        <v>#N/A</v>
      </c>
      <c r="E6" s="163"/>
      <c r="F6" s="163"/>
      <c r="G6" s="165"/>
      <c r="H6" s="165"/>
      <c r="I6" s="165"/>
      <c r="J6" s="165"/>
      <c r="K6" s="165"/>
      <c r="L6" s="166"/>
      <c r="M6" s="163"/>
      <c r="N6" s="167"/>
      <c r="O6" s="165"/>
      <c r="P6" s="163"/>
      <c r="Q6" s="163">
        <v>5</v>
      </c>
    </row>
    <row r="7" spans="1:17">
      <c r="A7" s="163">
        <v>6</v>
      </c>
      <c r="B7" s="163" t="str">
        <f t="shared" si="0"/>
        <v>NotApplicable</v>
      </c>
      <c r="C7" s="223"/>
      <c r="D7" s="163" t="e">
        <f>VLOOKUP(C:C,'QT Import for PTC'!B:D,3,0)</f>
        <v>#N/A</v>
      </c>
      <c r="E7" s="163"/>
      <c r="F7" s="163"/>
      <c r="G7" s="165"/>
      <c r="H7" s="165"/>
      <c r="I7" s="165"/>
      <c r="J7" s="165"/>
      <c r="K7" s="165"/>
      <c r="L7" s="166"/>
      <c r="M7" s="163"/>
      <c r="N7" s="167"/>
      <c r="O7" s="165"/>
      <c r="P7" s="163"/>
      <c r="Q7" s="163">
        <v>6</v>
      </c>
    </row>
    <row r="8" spans="1:17">
      <c r="A8" s="163">
        <v>7</v>
      </c>
      <c r="B8" s="163" t="str">
        <f t="shared" si="0"/>
        <v>NotApplicable</v>
      </c>
      <c r="C8" s="223"/>
      <c r="D8" s="163" t="e">
        <f>VLOOKUP(C:C,'QT Import for PTC'!B:D,3,0)</f>
        <v>#N/A</v>
      </c>
      <c r="E8" s="163"/>
      <c r="F8" s="163"/>
      <c r="G8" s="165"/>
      <c r="H8" s="165"/>
      <c r="I8" s="165"/>
      <c r="J8" s="165"/>
      <c r="K8" s="165"/>
      <c r="L8" s="166"/>
      <c r="M8" s="163"/>
      <c r="N8" s="167"/>
      <c r="O8" s="165"/>
      <c r="P8" s="163"/>
      <c r="Q8" s="163">
        <v>7</v>
      </c>
    </row>
    <row r="9" spans="1:17">
      <c r="A9" s="163">
        <v>8</v>
      </c>
      <c r="B9" s="163" t="str">
        <f t="shared" si="0"/>
        <v>NotApplicable</v>
      </c>
      <c r="C9" s="223"/>
      <c r="D9" s="163" t="e">
        <f>VLOOKUP(C:C,'QT Import for PTC'!B:D,3,0)</f>
        <v>#N/A</v>
      </c>
      <c r="E9" s="163"/>
      <c r="F9" s="163"/>
      <c r="G9" s="165"/>
      <c r="H9" s="165"/>
      <c r="I9" s="165"/>
      <c r="J9" s="165"/>
      <c r="K9" s="165"/>
      <c r="L9" s="166"/>
      <c r="M9" s="163"/>
      <c r="N9" s="167"/>
      <c r="O9" s="165"/>
      <c r="P9" s="163"/>
      <c r="Q9" s="163">
        <v>8</v>
      </c>
    </row>
    <row r="10" spans="1:17">
      <c r="A10" s="163">
        <v>9</v>
      </c>
      <c r="B10" s="163" t="str">
        <f t="shared" si="0"/>
        <v>NotApplicable</v>
      </c>
      <c r="C10" s="223"/>
      <c r="D10" s="163" t="e">
        <f>VLOOKUP(C:C,'QT Import for PTC'!B:D,3,0)</f>
        <v>#N/A</v>
      </c>
      <c r="E10" s="163"/>
      <c r="F10" s="163"/>
      <c r="G10" s="165"/>
      <c r="H10" s="165"/>
      <c r="I10" s="165"/>
      <c r="J10" s="165"/>
      <c r="K10" s="165"/>
      <c r="L10" s="166"/>
      <c r="M10" s="163"/>
      <c r="N10" s="167"/>
      <c r="O10" s="165"/>
      <c r="P10" s="163"/>
      <c r="Q10" s="163">
        <v>9</v>
      </c>
    </row>
    <row r="11" spans="1:17">
      <c r="A11" s="163">
        <v>10</v>
      </c>
      <c r="B11" s="163" t="str">
        <f t="shared" si="0"/>
        <v>NotApplicable</v>
      </c>
      <c r="C11" s="223"/>
      <c r="D11" s="163" t="e">
        <f>VLOOKUP(C:C,'QT Import for PTC'!B:D,3,0)</f>
        <v>#N/A</v>
      </c>
      <c r="E11" s="163"/>
      <c r="F11" s="163"/>
      <c r="G11" s="165"/>
      <c r="H11" s="165"/>
      <c r="I11" s="165"/>
      <c r="J11" s="165"/>
      <c r="K11" s="165"/>
      <c r="L11" s="166"/>
      <c r="M11" s="163"/>
      <c r="N11" s="167"/>
      <c r="O11" s="165"/>
      <c r="P11" s="163"/>
      <c r="Q11" s="163">
        <v>10</v>
      </c>
    </row>
    <row r="12" spans="1:17">
      <c r="A12" s="163">
        <v>11</v>
      </c>
      <c r="B12" s="163" t="str">
        <f t="shared" si="0"/>
        <v>NotApplicable</v>
      </c>
      <c r="C12" s="223"/>
      <c r="D12" s="163" t="e">
        <f>VLOOKUP(C:C,'QT Import for PTC'!B:D,3,0)</f>
        <v>#N/A</v>
      </c>
      <c r="E12" s="163"/>
      <c r="F12" s="163"/>
      <c r="G12" s="165"/>
      <c r="H12" s="165"/>
      <c r="I12" s="165"/>
      <c r="J12" s="165"/>
      <c r="K12" s="165"/>
      <c r="L12" s="166"/>
      <c r="M12" s="163"/>
      <c r="N12" s="167"/>
      <c r="O12" s="165"/>
      <c r="P12" s="163"/>
      <c r="Q12" s="163">
        <v>11</v>
      </c>
    </row>
    <row r="13" spans="1:17">
      <c r="A13" s="163">
        <v>12</v>
      </c>
      <c r="B13" s="163" t="str">
        <f t="shared" si="0"/>
        <v>NotApplicable</v>
      </c>
      <c r="C13" s="223"/>
      <c r="D13" s="163" t="e">
        <f>VLOOKUP(C:C,'QT Import for PTC'!B:D,3,0)</f>
        <v>#N/A</v>
      </c>
      <c r="E13" s="163"/>
      <c r="F13" s="163"/>
      <c r="G13" s="165"/>
      <c r="H13" s="165"/>
      <c r="I13" s="165"/>
      <c r="J13" s="165"/>
      <c r="K13" s="165"/>
      <c r="L13" s="166"/>
      <c r="M13" s="163"/>
      <c r="N13" s="167"/>
      <c r="O13" s="165"/>
      <c r="P13" s="163"/>
      <c r="Q13" s="163">
        <v>12</v>
      </c>
    </row>
    <row r="14" spans="1:17">
      <c r="A14" s="163">
        <v>13</v>
      </c>
      <c r="B14" s="163" t="str">
        <f t="shared" si="0"/>
        <v>NotApplicable</v>
      </c>
      <c r="C14" s="223"/>
      <c r="D14" s="163" t="e">
        <f>VLOOKUP(C:C,'QT Import for PTC'!B:D,3,0)</f>
        <v>#N/A</v>
      </c>
      <c r="E14" s="163"/>
      <c r="F14" s="163"/>
      <c r="G14" s="165"/>
      <c r="H14" s="165"/>
      <c r="I14" s="165"/>
      <c r="J14" s="165"/>
      <c r="K14" s="165"/>
      <c r="L14" s="166"/>
      <c r="M14" s="163"/>
      <c r="N14" s="167"/>
      <c r="O14" s="165"/>
      <c r="P14" s="163"/>
      <c r="Q14" s="163">
        <v>13</v>
      </c>
    </row>
    <row r="15" spans="1:17">
      <c r="A15" s="163">
        <v>14</v>
      </c>
      <c r="B15" s="163" t="str">
        <f t="shared" si="0"/>
        <v>NotApplicable</v>
      </c>
      <c r="C15" s="223"/>
      <c r="D15" s="163" t="e">
        <f>VLOOKUP(C:C,'QT Import for PTC'!B:D,3,0)</f>
        <v>#N/A</v>
      </c>
      <c r="E15" s="163"/>
      <c r="F15" s="163"/>
      <c r="G15" s="165"/>
      <c r="H15" s="165"/>
      <c r="I15" s="165"/>
      <c r="J15" s="165"/>
      <c r="K15" s="165"/>
      <c r="L15" s="166"/>
      <c r="M15" s="163"/>
      <c r="N15" s="167"/>
      <c r="O15" s="165"/>
      <c r="P15" s="163"/>
      <c r="Q15" s="163">
        <v>14</v>
      </c>
    </row>
    <row r="16" spans="1:17">
      <c r="A16" s="163">
        <v>15</v>
      </c>
      <c r="B16" s="163" t="str">
        <f t="shared" si="0"/>
        <v>NotApplicable</v>
      </c>
      <c r="C16" s="223"/>
      <c r="D16" s="163" t="e">
        <f>VLOOKUP(C:C,'QT Import for PTC'!B:D,3,0)</f>
        <v>#N/A</v>
      </c>
      <c r="E16" s="163"/>
      <c r="F16" s="163"/>
      <c r="G16" s="165"/>
      <c r="H16" s="165"/>
      <c r="I16" s="165"/>
      <c r="J16" s="165"/>
      <c r="K16" s="165"/>
      <c r="L16" s="166"/>
      <c r="M16" s="163"/>
      <c r="N16" s="167"/>
      <c r="O16" s="165"/>
      <c r="P16" s="163"/>
      <c r="Q16" s="163">
        <v>15</v>
      </c>
    </row>
    <row r="17" spans="1:17">
      <c r="A17" s="163">
        <v>16</v>
      </c>
      <c r="B17" s="163" t="str">
        <f t="shared" si="0"/>
        <v>NotApplicable</v>
      </c>
      <c r="C17" s="223"/>
      <c r="D17" s="163" t="e">
        <f>VLOOKUP(C:C,'QT Import for PTC'!B:D,3,0)</f>
        <v>#N/A</v>
      </c>
      <c r="E17" s="163"/>
      <c r="F17" s="163"/>
      <c r="G17" s="165"/>
      <c r="H17" s="165"/>
      <c r="I17" s="165"/>
      <c r="J17" s="165"/>
      <c r="K17" s="165"/>
      <c r="L17" s="166"/>
      <c r="M17" s="163"/>
      <c r="N17" s="167"/>
      <c r="O17" s="165"/>
      <c r="P17" s="163"/>
      <c r="Q17" s="163">
        <v>16</v>
      </c>
    </row>
    <row r="18" spans="1:17">
      <c r="A18" s="163">
        <v>17</v>
      </c>
      <c r="B18" s="163" t="str">
        <f t="shared" si="0"/>
        <v>NotApplicable</v>
      </c>
      <c r="C18" s="223"/>
      <c r="D18" s="163" t="e">
        <f>VLOOKUP(C:C,'QT Import for PTC'!B:D,3,0)</f>
        <v>#N/A</v>
      </c>
      <c r="E18" s="163"/>
      <c r="F18" s="163"/>
      <c r="G18" s="165"/>
      <c r="H18" s="165"/>
      <c r="I18" s="165"/>
      <c r="J18" s="165"/>
      <c r="K18" s="165"/>
      <c r="L18" s="166"/>
      <c r="M18" s="163"/>
      <c r="N18" s="167"/>
      <c r="O18" s="165"/>
      <c r="P18" s="163"/>
      <c r="Q18" s="163">
        <v>17</v>
      </c>
    </row>
    <row r="19" spans="1:17">
      <c r="A19" s="163">
        <v>18</v>
      </c>
      <c r="B19" s="163" t="str">
        <f t="shared" ref="B19:B66" si="1">IF(ISNA(D19),"NotApplicable","Applicable")</f>
        <v>NotApplicable</v>
      </c>
      <c r="D19" s="163" t="e">
        <f>VLOOKUP(C:C,'QT Import for PTC'!B:D,3,0)</f>
        <v>#N/A</v>
      </c>
      <c r="E19" s="165"/>
      <c r="F19" s="165"/>
      <c r="G19" s="165"/>
      <c r="H19" s="165"/>
      <c r="I19" s="165"/>
      <c r="J19" s="165"/>
      <c r="K19" s="165"/>
      <c r="L19" s="166"/>
      <c r="M19" s="163"/>
      <c r="N19" s="167"/>
      <c r="O19" s="165"/>
      <c r="P19" s="163"/>
      <c r="Q19" s="163">
        <v>18</v>
      </c>
    </row>
    <row r="20" spans="1:17">
      <c r="A20" s="163">
        <v>19</v>
      </c>
      <c r="B20" s="163" t="str">
        <f t="shared" si="1"/>
        <v>NotApplicable</v>
      </c>
      <c r="D20" s="163" t="e">
        <f>VLOOKUP(C:C,'QT Import for PTC'!B:D,3,0)</f>
        <v>#N/A</v>
      </c>
      <c r="E20" s="165"/>
      <c r="F20" s="165"/>
      <c r="G20" s="165"/>
      <c r="H20" s="165"/>
      <c r="I20" s="165"/>
      <c r="J20" s="165"/>
      <c r="K20" s="165"/>
      <c r="L20" s="166"/>
      <c r="M20" s="163"/>
      <c r="N20" s="167"/>
      <c r="O20" s="165"/>
      <c r="P20" s="163"/>
      <c r="Q20" s="163">
        <v>19</v>
      </c>
    </row>
    <row r="21" spans="1:17">
      <c r="A21" s="163">
        <v>20</v>
      </c>
      <c r="B21" s="163" t="str">
        <f t="shared" si="1"/>
        <v>NotApplicable</v>
      </c>
      <c r="D21" s="163" t="e">
        <f>VLOOKUP(C:C,'QT Import for PTC'!B:D,3,0)</f>
        <v>#N/A</v>
      </c>
      <c r="E21" s="165"/>
      <c r="F21" s="165"/>
      <c r="G21" s="165"/>
      <c r="H21" s="165"/>
      <c r="I21" s="165"/>
      <c r="J21" s="165"/>
      <c r="K21" s="165"/>
      <c r="L21" s="166"/>
      <c r="M21" s="163"/>
      <c r="N21" s="167"/>
      <c r="O21" s="165"/>
      <c r="P21" s="163"/>
      <c r="Q21" s="163">
        <v>20</v>
      </c>
    </row>
    <row r="22" spans="1:17">
      <c r="A22" s="163">
        <v>21</v>
      </c>
      <c r="B22" s="163" t="str">
        <f t="shared" si="1"/>
        <v>NotApplicable</v>
      </c>
      <c r="D22" s="163" t="e">
        <f>VLOOKUP(C:C,'QT Import for PTC'!B:D,3,0)</f>
        <v>#N/A</v>
      </c>
      <c r="E22" s="165"/>
      <c r="F22" s="165"/>
      <c r="G22" s="165"/>
      <c r="H22" s="165"/>
      <c r="I22" s="165"/>
      <c r="J22" s="165"/>
      <c r="K22" s="165"/>
      <c r="L22" s="166"/>
      <c r="M22" s="163"/>
      <c r="N22" s="167"/>
      <c r="O22" s="165"/>
      <c r="P22" s="163"/>
      <c r="Q22" s="163">
        <v>21</v>
      </c>
    </row>
    <row r="23" spans="1:17">
      <c r="A23" s="163">
        <v>22</v>
      </c>
      <c r="B23" s="163" t="str">
        <f t="shared" si="1"/>
        <v>NotApplicable</v>
      </c>
      <c r="D23" s="163" t="e">
        <f>VLOOKUP(C:C,'QT Import for PTC'!B:D,3,0)</f>
        <v>#N/A</v>
      </c>
      <c r="E23" s="165"/>
      <c r="F23" s="165"/>
      <c r="G23" s="165"/>
      <c r="H23" s="165"/>
      <c r="I23" s="165"/>
      <c r="J23" s="165"/>
      <c r="K23" s="165"/>
      <c r="L23" s="166"/>
      <c r="M23" s="163"/>
      <c r="N23" s="167"/>
      <c r="O23" s="165"/>
      <c r="P23" s="163"/>
      <c r="Q23" s="163">
        <v>22</v>
      </c>
    </row>
    <row r="24" spans="1:17">
      <c r="A24" s="163">
        <v>23</v>
      </c>
      <c r="B24" s="163" t="str">
        <f t="shared" si="1"/>
        <v>NotApplicable</v>
      </c>
      <c r="D24" s="163" t="e">
        <f>VLOOKUP(C:C,'QT Import for PTC'!B:D,3,0)</f>
        <v>#N/A</v>
      </c>
      <c r="E24" s="165"/>
      <c r="F24" s="165"/>
      <c r="G24" s="165"/>
      <c r="H24" s="165"/>
      <c r="I24" s="165"/>
      <c r="J24" s="165"/>
      <c r="K24" s="165"/>
      <c r="L24" s="166"/>
      <c r="M24" s="163"/>
      <c r="N24" s="167"/>
      <c r="O24" s="165"/>
      <c r="P24" s="163"/>
      <c r="Q24" s="163">
        <v>23</v>
      </c>
    </row>
    <row r="25" spans="1:17">
      <c r="A25" s="163">
        <v>24</v>
      </c>
      <c r="B25" s="163" t="str">
        <f t="shared" si="1"/>
        <v>NotApplicable</v>
      </c>
      <c r="D25" s="163" t="e">
        <f>VLOOKUP(C:C,'QT Import for PTC'!B:D,3,0)</f>
        <v>#N/A</v>
      </c>
      <c r="E25" s="165"/>
      <c r="F25" s="165"/>
      <c r="G25" s="165"/>
      <c r="H25" s="165"/>
      <c r="I25" s="165"/>
      <c r="J25" s="165"/>
      <c r="K25" s="165"/>
      <c r="L25" s="166"/>
      <c r="M25" s="163"/>
      <c r="N25" s="167"/>
      <c r="O25" s="165"/>
      <c r="P25" s="163"/>
      <c r="Q25" s="163">
        <v>24</v>
      </c>
    </row>
    <row r="26" spans="1:17">
      <c r="A26" s="163">
        <v>25</v>
      </c>
      <c r="B26" s="163" t="str">
        <f t="shared" si="1"/>
        <v>NotApplicable</v>
      </c>
      <c r="D26" s="163" t="e">
        <f>VLOOKUP(C:C,'QT Import for PTC'!B:D,3,0)</f>
        <v>#N/A</v>
      </c>
      <c r="E26" s="165"/>
      <c r="F26" s="165"/>
      <c r="G26" s="165"/>
      <c r="H26" s="165"/>
      <c r="I26" s="165"/>
      <c r="J26" s="165"/>
      <c r="K26" s="165"/>
      <c r="L26" s="166"/>
      <c r="M26" s="163"/>
      <c r="N26" s="167"/>
      <c r="O26" s="165"/>
      <c r="P26" s="163"/>
      <c r="Q26" s="163">
        <v>25</v>
      </c>
    </row>
    <row r="27" spans="1:17">
      <c r="A27" s="163">
        <v>26</v>
      </c>
      <c r="B27" s="163" t="str">
        <f t="shared" si="1"/>
        <v>NotApplicable</v>
      </c>
      <c r="D27" s="163" t="e">
        <f>VLOOKUP(C:C,'QT Import for PTC'!B:D,3,0)</f>
        <v>#N/A</v>
      </c>
      <c r="E27" s="165"/>
      <c r="F27" s="165"/>
      <c r="G27" s="165"/>
      <c r="H27" s="165"/>
      <c r="I27" s="165"/>
      <c r="J27" s="165"/>
      <c r="K27" s="165"/>
      <c r="L27" s="166"/>
      <c r="M27" s="163"/>
      <c r="N27" s="167"/>
      <c r="O27" s="165"/>
      <c r="P27" s="163"/>
      <c r="Q27" s="163">
        <v>26</v>
      </c>
    </row>
    <row r="28" spans="1:17">
      <c r="A28" s="163">
        <v>27</v>
      </c>
      <c r="B28" s="163" t="str">
        <f t="shared" si="1"/>
        <v>NotApplicable</v>
      </c>
      <c r="D28" s="163" t="e">
        <f>VLOOKUP(C:C,'QT Import for PTC'!B:D,3,0)</f>
        <v>#N/A</v>
      </c>
      <c r="E28" s="165"/>
      <c r="F28" s="165"/>
      <c r="G28" s="165"/>
      <c r="H28" s="165"/>
      <c r="I28" s="165"/>
      <c r="J28" s="165"/>
      <c r="K28" s="165"/>
      <c r="L28" s="166"/>
      <c r="M28" s="163"/>
      <c r="N28" s="167"/>
      <c r="O28" s="165"/>
      <c r="P28" s="163"/>
      <c r="Q28" s="163">
        <v>27</v>
      </c>
    </row>
    <row r="29" spans="1:17">
      <c r="A29" s="163">
        <v>28</v>
      </c>
      <c r="B29" s="163" t="str">
        <f t="shared" si="1"/>
        <v>NotApplicable</v>
      </c>
      <c r="D29" s="163" t="e">
        <f>VLOOKUP(C:C,'QT Import for PTC'!B:D,3,0)</f>
        <v>#N/A</v>
      </c>
      <c r="E29" s="165"/>
      <c r="F29" s="165"/>
      <c r="G29" s="165"/>
      <c r="H29" s="165"/>
      <c r="I29" s="165"/>
      <c r="J29" s="165"/>
      <c r="K29" s="165"/>
      <c r="L29" s="166"/>
      <c r="M29" s="163"/>
      <c r="N29" s="167"/>
      <c r="O29" s="165"/>
      <c r="P29" s="163"/>
      <c r="Q29" s="163">
        <v>28</v>
      </c>
    </row>
    <row r="30" spans="1:17">
      <c r="A30" s="163">
        <v>29</v>
      </c>
      <c r="B30" s="163" t="str">
        <f t="shared" si="1"/>
        <v>NotApplicable</v>
      </c>
      <c r="D30" s="163" t="e">
        <f>VLOOKUP(C:C,'QT Import for PTC'!B:D,3,0)</f>
        <v>#N/A</v>
      </c>
      <c r="E30" s="165"/>
      <c r="F30" s="165"/>
      <c r="G30" s="165"/>
      <c r="H30" s="165"/>
      <c r="I30" s="165"/>
      <c r="J30" s="165"/>
      <c r="K30" s="165"/>
      <c r="L30" s="166"/>
      <c r="M30" s="163"/>
      <c r="N30" s="167"/>
      <c r="O30" s="165"/>
      <c r="P30" s="163"/>
      <c r="Q30" s="163">
        <v>29</v>
      </c>
    </row>
    <row r="31" spans="1:17">
      <c r="A31" s="163">
        <v>30</v>
      </c>
      <c r="B31" s="163" t="str">
        <f t="shared" si="1"/>
        <v>NotApplicable</v>
      </c>
      <c r="D31" s="163" t="e">
        <f>VLOOKUP(C:C,'QT Import for PTC'!B:D,3,0)</f>
        <v>#N/A</v>
      </c>
      <c r="E31" s="165"/>
      <c r="F31" s="165"/>
      <c r="G31" s="165"/>
      <c r="H31" s="165"/>
      <c r="I31" s="165"/>
      <c r="J31" s="165"/>
      <c r="K31" s="165"/>
      <c r="L31" s="166"/>
      <c r="M31" s="163"/>
      <c r="N31" s="167"/>
      <c r="O31" s="165"/>
      <c r="P31" s="163"/>
      <c r="Q31" s="163">
        <v>30</v>
      </c>
    </row>
    <row r="32" spans="1:17">
      <c r="A32" s="163">
        <v>31</v>
      </c>
      <c r="B32" s="163" t="str">
        <f t="shared" si="1"/>
        <v>NotApplicable</v>
      </c>
      <c r="D32" s="163" t="e">
        <f>VLOOKUP(C:C,'QT Import for PTC'!B:D,3,0)</f>
        <v>#N/A</v>
      </c>
      <c r="E32" s="165"/>
      <c r="F32" s="165"/>
      <c r="G32" s="165"/>
      <c r="H32" s="165"/>
      <c r="I32" s="165"/>
      <c r="J32" s="165"/>
      <c r="K32" s="165"/>
      <c r="L32" s="166"/>
      <c r="M32" s="163"/>
      <c r="N32" s="167"/>
      <c r="O32" s="165"/>
      <c r="P32" s="163"/>
      <c r="Q32" s="163">
        <v>31</v>
      </c>
    </row>
    <row r="33" spans="1:17">
      <c r="A33" s="163">
        <v>32</v>
      </c>
      <c r="B33" s="163" t="str">
        <f t="shared" si="1"/>
        <v>NotApplicable</v>
      </c>
      <c r="D33" s="163" t="e">
        <f>VLOOKUP(C:C,'QT Import for PTC'!B:D,3,0)</f>
        <v>#N/A</v>
      </c>
      <c r="E33" s="165"/>
      <c r="F33" s="165"/>
      <c r="G33" s="165"/>
      <c r="H33" s="165"/>
      <c r="I33" s="165"/>
      <c r="J33" s="165"/>
      <c r="K33" s="165"/>
      <c r="L33" s="166"/>
      <c r="M33" s="163"/>
      <c r="N33" s="167"/>
      <c r="O33" s="165"/>
      <c r="P33" s="163"/>
      <c r="Q33" s="163">
        <v>32</v>
      </c>
    </row>
    <row r="34" spans="1:17">
      <c r="A34" s="163">
        <v>33</v>
      </c>
      <c r="B34" s="163" t="str">
        <f t="shared" si="1"/>
        <v>NotApplicable</v>
      </c>
      <c r="D34" s="163" t="e">
        <f>VLOOKUP(C:C,'QT Import for PTC'!B:D,3,0)</f>
        <v>#N/A</v>
      </c>
      <c r="E34" s="165"/>
      <c r="F34" s="165"/>
      <c r="G34" s="165"/>
      <c r="H34" s="165"/>
      <c r="I34" s="165"/>
      <c r="J34" s="165"/>
      <c r="K34" s="165"/>
      <c r="L34" s="166"/>
      <c r="M34" s="163"/>
      <c r="N34" s="167"/>
      <c r="O34" s="165"/>
      <c r="P34" s="163"/>
      <c r="Q34" s="163">
        <v>33</v>
      </c>
    </row>
    <row r="35" spans="1:17">
      <c r="A35" s="163">
        <v>34</v>
      </c>
      <c r="B35" s="163" t="str">
        <f t="shared" si="1"/>
        <v>NotApplicable</v>
      </c>
      <c r="D35" s="163" t="e">
        <f>VLOOKUP(C:C,'QT Import for PTC'!B:D,3,0)</f>
        <v>#N/A</v>
      </c>
      <c r="E35" s="165"/>
      <c r="F35" s="165"/>
      <c r="G35" s="165"/>
      <c r="H35" s="165"/>
      <c r="I35" s="165"/>
      <c r="J35" s="165"/>
      <c r="K35" s="165"/>
      <c r="L35" s="166"/>
      <c r="M35" s="163"/>
      <c r="N35" s="167"/>
      <c r="O35" s="165"/>
      <c r="P35" s="163"/>
      <c r="Q35" s="163">
        <v>34</v>
      </c>
    </row>
    <row r="36" spans="1:17">
      <c r="A36" s="163">
        <v>35</v>
      </c>
      <c r="B36" s="163" t="str">
        <f t="shared" si="1"/>
        <v>NotApplicable</v>
      </c>
      <c r="D36" s="163" t="e">
        <f>VLOOKUP(C:C,'QT Import for PTC'!B:D,3,0)</f>
        <v>#N/A</v>
      </c>
      <c r="E36" s="165"/>
      <c r="F36" s="165"/>
      <c r="G36" s="165"/>
      <c r="H36" s="165"/>
      <c r="I36" s="165"/>
      <c r="J36" s="165"/>
      <c r="K36" s="165"/>
      <c r="L36" s="166"/>
      <c r="M36" s="163"/>
      <c r="N36" s="167"/>
      <c r="O36" s="165"/>
      <c r="P36" s="163"/>
      <c r="Q36" s="163">
        <v>35</v>
      </c>
    </row>
    <row r="37" spans="1:17">
      <c r="A37" s="163">
        <v>36</v>
      </c>
      <c r="B37" s="163" t="str">
        <f t="shared" si="1"/>
        <v>NotApplicable</v>
      </c>
      <c r="D37" s="163" t="e">
        <f>VLOOKUP(C:C,'QT Import for PTC'!B:D,3,0)</f>
        <v>#N/A</v>
      </c>
      <c r="E37" s="165"/>
      <c r="F37" s="165"/>
      <c r="G37" s="165"/>
      <c r="H37" s="165"/>
      <c r="I37" s="165"/>
      <c r="J37" s="165"/>
      <c r="K37" s="165"/>
      <c r="L37" s="166"/>
      <c r="M37" s="163"/>
      <c r="N37" s="167"/>
      <c r="O37" s="165"/>
      <c r="P37" s="163"/>
      <c r="Q37" s="163">
        <v>36</v>
      </c>
    </row>
    <row r="38" spans="1:17">
      <c r="A38" s="163">
        <v>37</v>
      </c>
      <c r="B38" s="163" t="str">
        <f t="shared" si="1"/>
        <v>NotApplicable</v>
      </c>
      <c r="D38" s="163" t="e">
        <f>VLOOKUP(C:C,'QT Import for PTC'!B:D,3,0)</f>
        <v>#N/A</v>
      </c>
      <c r="E38" s="165"/>
      <c r="F38" s="165"/>
      <c r="G38" s="165"/>
      <c r="H38" s="165"/>
      <c r="I38" s="165"/>
      <c r="J38" s="165"/>
      <c r="K38" s="165"/>
      <c r="L38" s="166"/>
      <c r="M38" s="163"/>
      <c r="N38" s="167"/>
      <c r="O38" s="165"/>
      <c r="P38" s="163"/>
      <c r="Q38" s="163">
        <v>37</v>
      </c>
    </row>
    <row r="39" spans="1:17">
      <c r="A39" s="163">
        <v>38</v>
      </c>
      <c r="B39" s="163" t="str">
        <f t="shared" si="1"/>
        <v>NotApplicable</v>
      </c>
      <c r="D39" s="163" t="e">
        <f>VLOOKUP(C:C,'QT Import for PTC'!B:D,3,0)</f>
        <v>#N/A</v>
      </c>
      <c r="E39" s="165"/>
      <c r="F39" s="165"/>
      <c r="G39" s="165"/>
      <c r="H39" s="165"/>
      <c r="I39" s="165"/>
      <c r="J39" s="165"/>
      <c r="K39" s="165"/>
      <c r="L39" s="166"/>
      <c r="M39" s="163"/>
      <c r="N39" s="167"/>
      <c r="O39" s="165"/>
      <c r="P39" s="163"/>
      <c r="Q39" s="163">
        <v>38</v>
      </c>
    </row>
    <row r="40" spans="1:17">
      <c r="A40" s="163">
        <v>39</v>
      </c>
      <c r="B40" s="163" t="str">
        <f t="shared" si="1"/>
        <v>NotApplicable</v>
      </c>
      <c r="D40" s="163" t="e">
        <f>VLOOKUP(C:C,'QT Import for PTC'!B:D,3,0)</f>
        <v>#N/A</v>
      </c>
      <c r="E40" s="165"/>
      <c r="F40" s="165"/>
      <c r="G40" s="165"/>
      <c r="H40" s="165"/>
      <c r="I40" s="165"/>
      <c r="J40" s="165"/>
      <c r="K40" s="165"/>
      <c r="L40" s="166"/>
      <c r="M40" s="163"/>
      <c r="N40" s="167"/>
      <c r="O40" s="165"/>
      <c r="P40" s="163"/>
      <c r="Q40" s="163">
        <v>39</v>
      </c>
    </row>
    <row r="41" spans="1:17">
      <c r="A41" s="163">
        <v>40</v>
      </c>
      <c r="B41" s="163" t="str">
        <f t="shared" si="1"/>
        <v>NotApplicable</v>
      </c>
      <c r="D41" s="163" t="e">
        <f>VLOOKUP(C:C,'QT Import for PTC'!B:D,3,0)</f>
        <v>#N/A</v>
      </c>
      <c r="E41" s="165"/>
      <c r="F41" s="165"/>
      <c r="G41" s="165"/>
      <c r="H41" s="165"/>
      <c r="I41" s="165"/>
      <c r="J41" s="165"/>
      <c r="K41" s="165"/>
      <c r="L41" s="166"/>
      <c r="M41" s="163"/>
      <c r="N41" s="167"/>
      <c r="O41" s="165"/>
      <c r="P41" s="163"/>
      <c r="Q41" s="163">
        <v>40</v>
      </c>
    </row>
    <row r="42" spans="1:17">
      <c r="A42" s="163">
        <v>41</v>
      </c>
      <c r="B42" s="163" t="str">
        <f t="shared" si="1"/>
        <v>NotApplicable</v>
      </c>
      <c r="D42" s="163" t="e">
        <f>VLOOKUP(C:C,'QT Import for PTC'!B:D,3,0)</f>
        <v>#N/A</v>
      </c>
      <c r="E42" s="165"/>
      <c r="F42" s="165"/>
      <c r="G42" s="165"/>
      <c r="H42" s="165"/>
      <c r="I42" s="165"/>
      <c r="J42" s="165"/>
      <c r="K42" s="165"/>
      <c r="L42" s="166"/>
      <c r="M42" s="163"/>
      <c r="N42" s="167"/>
      <c r="O42" s="165"/>
      <c r="P42" s="163"/>
      <c r="Q42" s="163">
        <v>41</v>
      </c>
    </row>
    <row r="43" spans="1:17">
      <c r="A43" s="163">
        <v>42</v>
      </c>
      <c r="B43" s="163" t="str">
        <f t="shared" si="1"/>
        <v>NotApplicable</v>
      </c>
      <c r="D43" s="163" t="e">
        <f>VLOOKUP(C:C,'QT Import for PTC'!B:D,3,0)</f>
        <v>#N/A</v>
      </c>
      <c r="E43" s="165"/>
      <c r="F43" s="165"/>
      <c r="G43" s="165"/>
      <c r="H43" s="165"/>
      <c r="I43" s="165"/>
      <c r="J43" s="165"/>
      <c r="K43" s="165"/>
      <c r="L43" s="166"/>
      <c r="M43" s="163"/>
      <c r="N43" s="167"/>
      <c r="O43" s="165"/>
      <c r="P43" s="163"/>
      <c r="Q43" s="163">
        <v>42</v>
      </c>
    </row>
    <row r="44" spans="1:17">
      <c r="A44" s="163">
        <v>43</v>
      </c>
      <c r="B44" s="163" t="str">
        <f t="shared" si="1"/>
        <v>NotApplicable</v>
      </c>
      <c r="D44" s="163" t="e">
        <f>VLOOKUP(C:C,'QT Import for PTC'!B:D,3,0)</f>
        <v>#N/A</v>
      </c>
      <c r="E44" s="165"/>
      <c r="F44" s="165"/>
      <c r="G44" s="165"/>
      <c r="H44" s="165"/>
      <c r="I44" s="165"/>
      <c r="J44" s="165"/>
      <c r="K44" s="165"/>
      <c r="L44" s="166"/>
      <c r="M44" s="163"/>
      <c r="N44" s="167"/>
      <c r="O44" s="165"/>
      <c r="P44" s="163"/>
      <c r="Q44" s="163">
        <v>43</v>
      </c>
    </row>
    <row r="45" spans="1:17">
      <c r="A45" s="163">
        <v>44</v>
      </c>
      <c r="B45" s="163" t="str">
        <f t="shared" si="1"/>
        <v>NotApplicable</v>
      </c>
      <c r="D45" s="163" t="e">
        <f>VLOOKUP(C:C,'QT Import for PTC'!B:D,3,0)</f>
        <v>#N/A</v>
      </c>
      <c r="E45" s="165"/>
      <c r="F45" s="165"/>
      <c r="G45" s="165"/>
      <c r="H45" s="165"/>
      <c r="I45" s="165"/>
      <c r="J45" s="165"/>
      <c r="K45" s="165"/>
      <c r="L45" s="166"/>
      <c r="M45" s="163"/>
      <c r="N45" s="167"/>
      <c r="O45" s="165"/>
      <c r="P45" s="163"/>
      <c r="Q45" s="163">
        <v>44</v>
      </c>
    </row>
    <row r="46" spans="1:17">
      <c r="A46" s="163">
        <v>45</v>
      </c>
      <c r="B46" s="163" t="str">
        <f t="shared" si="1"/>
        <v>NotApplicable</v>
      </c>
      <c r="D46" s="163" t="e">
        <f>VLOOKUP(C:C,'QT Import for PTC'!B:D,3,0)</f>
        <v>#N/A</v>
      </c>
      <c r="E46" s="165"/>
      <c r="F46" s="165"/>
      <c r="G46" s="165"/>
      <c r="H46" s="165"/>
      <c r="I46" s="165"/>
      <c r="J46" s="165"/>
      <c r="K46" s="165"/>
      <c r="L46" s="166"/>
      <c r="M46" s="163"/>
      <c r="N46" s="167"/>
      <c r="O46" s="165"/>
      <c r="P46" s="163"/>
      <c r="Q46" s="163">
        <v>45</v>
      </c>
    </row>
    <row r="47" spans="1:17">
      <c r="A47" s="163">
        <v>46</v>
      </c>
      <c r="B47" s="163" t="str">
        <f t="shared" si="1"/>
        <v>NotApplicable</v>
      </c>
      <c r="D47" s="163" t="e">
        <f>VLOOKUP(C:C,'QT Import for PTC'!B:D,3,0)</f>
        <v>#N/A</v>
      </c>
      <c r="E47" s="165"/>
      <c r="F47" s="165"/>
      <c r="G47" s="165"/>
      <c r="H47" s="165"/>
      <c r="I47" s="165"/>
      <c r="J47" s="165"/>
      <c r="K47" s="165"/>
      <c r="L47" s="166"/>
      <c r="M47" s="163"/>
      <c r="N47" s="167"/>
      <c r="O47" s="165"/>
      <c r="P47" s="163"/>
      <c r="Q47" s="163">
        <v>46</v>
      </c>
    </row>
    <row r="48" spans="1:17">
      <c r="A48" s="163">
        <v>47</v>
      </c>
      <c r="B48" s="163" t="str">
        <f t="shared" si="1"/>
        <v>NotApplicable</v>
      </c>
      <c r="D48" s="163" t="e">
        <f>VLOOKUP(C:C,'QT Import for PTC'!B:D,3,0)</f>
        <v>#N/A</v>
      </c>
      <c r="E48" s="165"/>
      <c r="F48" s="165"/>
      <c r="G48" s="165"/>
      <c r="H48" s="165"/>
      <c r="I48" s="165"/>
      <c r="J48" s="165"/>
      <c r="K48" s="165"/>
      <c r="L48" s="166"/>
      <c r="M48" s="163"/>
      <c r="N48" s="167"/>
      <c r="O48" s="165"/>
      <c r="P48" s="163"/>
      <c r="Q48" s="163">
        <v>47</v>
      </c>
    </row>
    <row r="49" spans="1:17">
      <c r="A49" s="163">
        <v>48</v>
      </c>
      <c r="B49" s="163" t="str">
        <f t="shared" si="1"/>
        <v>NotApplicable</v>
      </c>
      <c r="D49" s="163" t="e">
        <f>VLOOKUP(C:C,'QT Import for PTC'!B:D,3,0)</f>
        <v>#N/A</v>
      </c>
      <c r="E49" s="165"/>
      <c r="F49" s="165"/>
      <c r="G49" s="165"/>
      <c r="H49" s="165"/>
      <c r="I49" s="165"/>
      <c r="J49" s="165"/>
      <c r="K49" s="165"/>
      <c r="L49" s="166"/>
      <c r="M49" s="163"/>
      <c r="N49" s="167"/>
      <c r="O49" s="165"/>
      <c r="P49" s="163"/>
      <c r="Q49" s="163">
        <v>48</v>
      </c>
    </row>
    <row r="50" spans="1:17">
      <c r="A50" s="163">
        <v>49</v>
      </c>
      <c r="B50" s="163" t="str">
        <f t="shared" si="1"/>
        <v>NotApplicable</v>
      </c>
      <c r="D50" s="163" t="e">
        <f>VLOOKUP(C:C,'QT Import for PTC'!B:D,3,0)</f>
        <v>#N/A</v>
      </c>
      <c r="E50" s="165"/>
      <c r="F50" s="165"/>
      <c r="G50" s="165"/>
      <c r="H50" s="165"/>
      <c r="I50" s="165"/>
      <c r="J50" s="165"/>
      <c r="K50" s="165"/>
      <c r="L50" s="166"/>
      <c r="M50" s="163"/>
      <c r="N50" s="167"/>
      <c r="O50" s="165"/>
      <c r="P50" s="163"/>
      <c r="Q50" s="163">
        <v>49</v>
      </c>
    </row>
    <row r="51" spans="1:17">
      <c r="A51" s="163">
        <v>50</v>
      </c>
      <c r="B51" s="163" t="str">
        <f t="shared" si="1"/>
        <v>NotApplicable</v>
      </c>
      <c r="D51" s="163" t="e">
        <f>VLOOKUP(C:C,'QT Import for PTC'!B:D,3,0)</f>
        <v>#N/A</v>
      </c>
      <c r="E51" s="165"/>
      <c r="F51" s="165"/>
      <c r="G51" s="165"/>
      <c r="H51" s="165"/>
      <c r="I51" s="165"/>
      <c r="J51" s="165"/>
      <c r="K51" s="165"/>
      <c r="L51" s="166"/>
      <c r="M51" s="163"/>
      <c r="N51" s="167"/>
      <c r="O51" s="165"/>
      <c r="P51" s="163"/>
      <c r="Q51" s="163">
        <v>50</v>
      </c>
    </row>
    <row r="52" spans="1:17">
      <c r="A52" s="163">
        <v>51</v>
      </c>
      <c r="B52" s="163" t="str">
        <f t="shared" si="1"/>
        <v>NotApplicable</v>
      </c>
      <c r="D52" s="163" t="e">
        <f>VLOOKUP(C:C,'QT Import for PTC'!B:D,3,0)</f>
        <v>#N/A</v>
      </c>
      <c r="E52" s="165"/>
      <c r="F52" s="165"/>
      <c r="G52" s="165"/>
      <c r="H52" s="165"/>
      <c r="I52" s="165"/>
      <c r="J52" s="165"/>
      <c r="K52" s="165"/>
      <c r="L52" s="166"/>
      <c r="M52" s="163"/>
      <c r="N52" s="167"/>
      <c r="O52" s="165"/>
      <c r="P52" s="163"/>
      <c r="Q52" s="163">
        <v>51</v>
      </c>
    </row>
    <row r="53" spans="1:17">
      <c r="A53" s="163">
        <v>52</v>
      </c>
      <c r="B53" s="163" t="str">
        <f t="shared" si="1"/>
        <v>NotApplicable</v>
      </c>
      <c r="D53" s="163" t="e">
        <f>VLOOKUP(C:C,'QT Import for PTC'!B:D,3,0)</f>
        <v>#N/A</v>
      </c>
      <c r="E53" s="165"/>
      <c r="F53" s="165"/>
      <c r="G53" s="165"/>
      <c r="H53" s="165"/>
      <c r="I53" s="165"/>
      <c r="J53" s="165"/>
      <c r="K53" s="165"/>
      <c r="L53" s="166"/>
      <c r="M53" s="163"/>
      <c r="N53" s="167"/>
      <c r="O53" s="165"/>
      <c r="P53" s="163"/>
      <c r="Q53" s="163">
        <v>52</v>
      </c>
    </row>
    <row r="54" spans="1:17">
      <c r="A54" s="163">
        <v>53</v>
      </c>
      <c r="B54" s="163" t="str">
        <f t="shared" si="1"/>
        <v>NotApplicable</v>
      </c>
      <c r="D54" s="163" t="e">
        <f>VLOOKUP(C:C,'QT Import for PTC'!B:D,3,0)</f>
        <v>#N/A</v>
      </c>
      <c r="E54" s="165"/>
      <c r="F54" s="165"/>
      <c r="G54" s="165"/>
      <c r="H54" s="165"/>
      <c r="I54" s="165"/>
      <c r="J54" s="165"/>
      <c r="K54" s="165"/>
      <c r="L54" s="166"/>
      <c r="M54" s="163"/>
      <c r="N54" s="167"/>
      <c r="O54" s="165"/>
      <c r="P54" s="163"/>
      <c r="Q54" s="163">
        <v>53</v>
      </c>
    </row>
    <row r="55" spans="1:17">
      <c r="A55" s="163">
        <v>54</v>
      </c>
      <c r="B55" s="163" t="str">
        <f t="shared" si="1"/>
        <v>NotApplicable</v>
      </c>
      <c r="D55" s="163" t="e">
        <f>VLOOKUP(C:C,'QT Import for PTC'!B:D,3,0)</f>
        <v>#N/A</v>
      </c>
      <c r="E55" s="165"/>
      <c r="F55" s="165"/>
      <c r="G55" s="165"/>
      <c r="H55" s="165"/>
      <c r="I55" s="165"/>
      <c r="J55" s="165"/>
      <c r="K55" s="165"/>
      <c r="L55" s="166"/>
      <c r="M55" s="163"/>
      <c r="N55" s="167"/>
      <c r="O55" s="165"/>
      <c r="P55" s="163"/>
      <c r="Q55" s="163">
        <v>54</v>
      </c>
    </row>
    <row r="56" spans="1:17">
      <c r="A56" s="163">
        <v>55</v>
      </c>
      <c r="B56" s="163" t="str">
        <f t="shared" si="1"/>
        <v>NotApplicable</v>
      </c>
      <c r="D56" s="163" t="e">
        <f>VLOOKUP(C:C,'QT Import for PTC'!B:D,3,0)</f>
        <v>#N/A</v>
      </c>
      <c r="E56" s="165"/>
      <c r="F56" s="165"/>
      <c r="G56" s="165"/>
      <c r="H56" s="165"/>
      <c r="I56" s="165"/>
      <c r="J56" s="165"/>
      <c r="K56" s="165"/>
      <c r="L56" s="166"/>
      <c r="M56" s="163"/>
      <c r="N56" s="167"/>
      <c r="O56" s="165"/>
      <c r="P56" s="163"/>
      <c r="Q56" s="163">
        <v>55</v>
      </c>
    </row>
    <row r="57" spans="1:17">
      <c r="A57" s="163">
        <v>56</v>
      </c>
      <c r="B57" s="163" t="str">
        <f t="shared" si="1"/>
        <v>NotApplicable</v>
      </c>
      <c r="D57" s="163" t="e">
        <f>VLOOKUP(C:C,'QT Import for PTC'!B:D,3,0)</f>
        <v>#N/A</v>
      </c>
      <c r="E57" s="165"/>
      <c r="F57" s="165"/>
      <c r="G57" s="165"/>
      <c r="H57" s="165"/>
      <c r="I57" s="165"/>
      <c r="J57" s="165"/>
      <c r="K57" s="165"/>
      <c r="L57" s="166"/>
      <c r="M57" s="163"/>
      <c r="N57" s="167"/>
      <c r="O57" s="165"/>
      <c r="P57" s="163"/>
      <c r="Q57" s="163">
        <v>56</v>
      </c>
    </row>
    <row r="58" spans="1:17">
      <c r="A58" s="163">
        <v>57</v>
      </c>
      <c r="B58" s="163" t="str">
        <f t="shared" si="1"/>
        <v>NotApplicable</v>
      </c>
      <c r="D58" s="163" t="e">
        <f>VLOOKUP(C:C,'QT Import for PTC'!B:D,3,0)</f>
        <v>#N/A</v>
      </c>
      <c r="E58" s="165"/>
      <c r="F58" s="165"/>
      <c r="G58" s="165"/>
      <c r="H58" s="165"/>
      <c r="I58" s="165"/>
      <c r="J58" s="165"/>
      <c r="K58" s="165"/>
      <c r="L58" s="166"/>
      <c r="M58" s="163"/>
      <c r="N58" s="167"/>
      <c r="O58" s="165"/>
      <c r="P58" s="163"/>
      <c r="Q58" s="163">
        <v>57</v>
      </c>
    </row>
    <row r="59" spans="1:17">
      <c r="A59" s="163">
        <v>58</v>
      </c>
      <c r="B59" s="163" t="str">
        <f t="shared" si="1"/>
        <v>NotApplicable</v>
      </c>
      <c r="D59" s="163" t="e">
        <f>VLOOKUP(C:C,'QT Import for PTC'!B:D,3,0)</f>
        <v>#N/A</v>
      </c>
      <c r="E59" s="165"/>
      <c r="F59" s="165"/>
      <c r="G59" s="165"/>
      <c r="H59" s="165"/>
      <c r="I59" s="165"/>
      <c r="J59" s="165"/>
      <c r="K59" s="165"/>
      <c r="L59" s="166"/>
      <c r="M59" s="163"/>
      <c r="N59" s="167"/>
      <c r="O59" s="165"/>
      <c r="P59" s="163"/>
      <c r="Q59" s="163">
        <v>58</v>
      </c>
    </row>
    <row r="60" spans="1:17">
      <c r="A60" s="163">
        <v>59</v>
      </c>
      <c r="B60" s="163" t="str">
        <f t="shared" si="1"/>
        <v>NotApplicable</v>
      </c>
      <c r="D60" s="163" t="e">
        <f>VLOOKUP(C:C,'QT Import for PTC'!B:D,3,0)</f>
        <v>#N/A</v>
      </c>
      <c r="E60" s="165"/>
      <c r="F60" s="165"/>
      <c r="G60" s="165"/>
      <c r="H60" s="165"/>
      <c r="I60" s="165"/>
      <c r="J60" s="165"/>
      <c r="K60" s="165"/>
      <c r="L60" s="166"/>
      <c r="M60" s="163"/>
      <c r="N60" s="167"/>
      <c r="O60" s="165"/>
      <c r="P60" s="163"/>
      <c r="Q60" s="163">
        <v>59</v>
      </c>
    </row>
    <row r="61" spans="1:17">
      <c r="A61" s="163">
        <v>60</v>
      </c>
      <c r="B61" s="163" t="str">
        <f t="shared" si="1"/>
        <v>NotApplicable</v>
      </c>
      <c r="D61" s="163" t="e">
        <f>VLOOKUP(C:C,'QT Import for PTC'!B:D,3,0)</f>
        <v>#N/A</v>
      </c>
      <c r="E61" s="165"/>
      <c r="F61" s="165"/>
      <c r="G61" s="165"/>
      <c r="H61" s="165"/>
      <c r="I61" s="165"/>
      <c r="J61" s="165"/>
      <c r="K61" s="165"/>
      <c r="L61" s="166"/>
      <c r="M61" s="163"/>
      <c r="N61" s="167"/>
      <c r="O61" s="165"/>
      <c r="P61" s="163"/>
      <c r="Q61" s="163">
        <v>60</v>
      </c>
    </row>
    <row r="62" spans="1:17">
      <c r="A62" s="163">
        <v>61</v>
      </c>
      <c r="B62" s="163" t="str">
        <f t="shared" si="1"/>
        <v>NotApplicable</v>
      </c>
      <c r="D62" s="163" t="e">
        <f>VLOOKUP(C:C,'QT Import for PTC'!B:D,3,0)</f>
        <v>#N/A</v>
      </c>
      <c r="E62" s="165"/>
      <c r="F62" s="165"/>
      <c r="G62" s="165"/>
      <c r="H62" s="165"/>
      <c r="I62" s="165"/>
      <c r="J62" s="165"/>
      <c r="K62" s="165"/>
      <c r="L62" s="166"/>
      <c r="M62" s="163"/>
      <c r="N62" s="167"/>
      <c r="O62" s="165"/>
      <c r="P62" s="163"/>
      <c r="Q62" s="163">
        <v>61</v>
      </c>
    </row>
    <row r="63" spans="1:17">
      <c r="A63" s="163">
        <v>62</v>
      </c>
      <c r="B63" s="163" t="str">
        <f t="shared" si="1"/>
        <v>NotApplicable</v>
      </c>
      <c r="D63" s="163" t="e">
        <f>VLOOKUP(C:C,'QT Import for PTC'!B:D,3,0)</f>
        <v>#N/A</v>
      </c>
      <c r="E63" s="165"/>
      <c r="F63" s="165"/>
      <c r="G63" s="165"/>
      <c r="H63" s="165"/>
      <c r="I63" s="165"/>
      <c r="J63" s="165"/>
      <c r="K63" s="165"/>
      <c r="L63" s="166"/>
      <c r="M63" s="163"/>
      <c r="N63" s="167"/>
      <c r="O63" s="165"/>
      <c r="P63" s="163"/>
      <c r="Q63" s="163">
        <v>62</v>
      </c>
    </row>
    <row r="64" spans="1:17">
      <c r="A64" s="163">
        <v>63</v>
      </c>
      <c r="B64" s="163" t="str">
        <f t="shared" si="1"/>
        <v>NotApplicable</v>
      </c>
      <c r="D64" s="163" t="e">
        <f>VLOOKUP(C:C,'QT Import for PTC'!B:D,3,0)</f>
        <v>#N/A</v>
      </c>
      <c r="E64" s="165"/>
      <c r="F64" s="165"/>
      <c r="G64" s="165"/>
      <c r="H64" s="165"/>
      <c r="I64" s="165"/>
      <c r="J64" s="165"/>
      <c r="K64" s="165"/>
      <c r="L64" s="166"/>
      <c r="M64" s="163"/>
      <c r="N64" s="167"/>
      <c r="O64" s="165"/>
      <c r="P64" s="163"/>
      <c r="Q64" s="163">
        <v>63</v>
      </c>
    </row>
    <row r="65" spans="1:17">
      <c r="A65" s="163">
        <v>64</v>
      </c>
      <c r="B65" s="163" t="str">
        <f t="shared" si="1"/>
        <v>NotApplicable</v>
      </c>
      <c r="D65" s="163" t="e">
        <f>VLOOKUP(C:C,'QT Import for PTC'!B:D,3,0)</f>
        <v>#N/A</v>
      </c>
      <c r="E65" s="165"/>
      <c r="F65" s="165"/>
      <c r="G65" s="165"/>
      <c r="H65" s="165"/>
      <c r="I65" s="165"/>
      <c r="J65" s="165"/>
      <c r="K65" s="165"/>
      <c r="L65" s="166"/>
      <c r="M65" s="163"/>
      <c r="N65" s="167"/>
      <c r="O65" s="165"/>
      <c r="P65" s="163"/>
      <c r="Q65" s="163">
        <v>64</v>
      </c>
    </row>
    <row r="66" spans="1:17">
      <c r="A66" s="163">
        <v>65</v>
      </c>
      <c r="B66" s="163" t="str">
        <f t="shared" si="1"/>
        <v>NotApplicable</v>
      </c>
      <c r="D66" s="163" t="e">
        <f>VLOOKUP(C:C,'QT Import for PTC'!B:D,3,0)</f>
        <v>#N/A</v>
      </c>
      <c r="E66" s="165"/>
      <c r="F66" s="165"/>
      <c r="G66" s="165"/>
      <c r="H66" s="165"/>
      <c r="I66" s="165"/>
      <c r="J66" s="165"/>
      <c r="K66" s="165"/>
      <c r="L66" s="166"/>
      <c r="M66" s="163"/>
      <c r="N66" s="167"/>
      <c r="O66" s="165"/>
      <c r="P66" s="163"/>
      <c r="Q66" s="163">
        <v>65</v>
      </c>
    </row>
    <row r="67" spans="1:17">
      <c r="A67" s="163">
        <v>66</v>
      </c>
      <c r="B67" s="163" t="str">
        <f t="shared" ref="B67:B130" si="2">IF(ISNA(D67),"NotApplicable","Applicable")</f>
        <v>NotApplicable</v>
      </c>
      <c r="D67" s="163" t="e">
        <f>VLOOKUP(C:C,'QT Import for PTC'!B:D,3,0)</f>
        <v>#N/A</v>
      </c>
      <c r="E67" s="165"/>
      <c r="F67" s="165"/>
      <c r="G67" s="165"/>
      <c r="H67" s="165"/>
      <c r="I67" s="165"/>
      <c r="J67" s="165"/>
      <c r="K67" s="165"/>
      <c r="L67" s="166"/>
      <c r="M67" s="163"/>
      <c r="N67" s="167"/>
      <c r="O67" s="165"/>
      <c r="P67" s="163"/>
      <c r="Q67" s="163">
        <v>66</v>
      </c>
    </row>
    <row r="68" spans="1:17">
      <c r="A68" s="163">
        <v>67</v>
      </c>
      <c r="B68" s="163" t="str">
        <f t="shared" si="2"/>
        <v>NotApplicable</v>
      </c>
      <c r="D68" s="163" t="e">
        <f>VLOOKUP(C:C,'QT Import for PTC'!B:D,3,0)</f>
        <v>#N/A</v>
      </c>
      <c r="E68" s="165"/>
      <c r="F68" s="165"/>
      <c r="G68" s="165"/>
      <c r="H68" s="165"/>
      <c r="I68" s="165"/>
      <c r="J68" s="165"/>
      <c r="K68" s="165"/>
      <c r="L68" s="166"/>
      <c r="M68" s="163"/>
      <c r="N68" s="167"/>
      <c r="O68" s="165"/>
      <c r="P68" s="163"/>
      <c r="Q68" s="163">
        <v>67</v>
      </c>
    </row>
    <row r="69" spans="1:17">
      <c r="A69" s="163">
        <v>68</v>
      </c>
      <c r="B69" s="163" t="str">
        <f t="shared" si="2"/>
        <v>NotApplicable</v>
      </c>
      <c r="D69" s="163" t="e">
        <f>VLOOKUP(C:C,'QT Import for PTC'!B:D,3,0)</f>
        <v>#N/A</v>
      </c>
      <c r="E69" s="165"/>
      <c r="F69" s="165"/>
      <c r="G69" s="165"/>
      <c r="H69" s="165"/>
      <c r="I69" s="165"/>
      <c r="J69" s="165"/>
      <c r="K69" s="165"/>
      <c r="L69" s="166"/>
      <c r="M69" s="163"/>
      <c r="N69" s="167"/>
      <c r="O69" s="165"/>
      <c r="P69" s="163"/>
      <c r="Q69" s="163">
        <v>68</v>
      </c>
    </row>
    <row r="70" spans="1:17">
      <c r="A70" s="163">
        <v>69</v>
      </c>
      <c r="B70" s="163" t="str">
        <f t="shared" si="2"/>
        <v>NotApplicable</v>
      </c>
      <c r="D70" s="163" t="e">
        <f>VLOOKUP(C:C,'QT Import for PTC'!B:D,3,0)</f>
        <v>#N/A</v>
      </c>
      <c r="E70" s="165"/>
      <c r="F70" s="165"/>
      <c r="G70" s="165"/>
      <c r="H70" s="165"/>
      <c r="I70" s="165"/>
      <c r="J70" s="165"/>
      <c r="K70" s="165"/>
      <c r="L70" s="166"/>
      <c r="M70" s="163"/>
      <c r="N70" s="167"/>
      <c r="O70" s="165"/>
      <c r="P70" s="163"/>
      <c r="Q70" s="163">
        <v>69</v>
      </c>
    </row>
    <row r="71" spans="1:17">
      <c r="A71" s="163">
        <v>70</v>
      </c>
      <c r="B71" s="163" t="str">
        <f t="shared" si="2"/>
        <v>NotApplicable</v>
      </c>
      <c r="D71" s="163" t="e">
        <f>VLOOKUP(C:C,'QT Import for PTC'!B:D,3,0)</f>
        <v>#N/A</v>
      </c>
      <c r="E71" s="165"/>
      <c r="F71" s="165"/>
      <c r="G71" s="165"/>
      <c r="H71" s="165"/>
      <c r="I71" s="165"/>
      <c r="J71" s="165"/>
      <c r="K71" s="165"/>
      <c r="L71" s="166"/>
      <c r="M71" s="163"/>
      <c r="N71" s="167"/>
      <c r="O71" s="165"/>
      <c r="P71" s="163"/>
      <c r="Q71" s="163">
        <v>70</v>
      </c>
    </row>
    <row r="72" spans="1:17">
      <c r="A72" s="163">
        <v>71</v>
      </c>
      <c r="B72" s="163" t="str">
        <f t="shared" si="2"/>
        <v>NotApplicable</v>
      </c>
      <c r="D72" s="163" t="e">
        <f>VLOOKUP(C:C,'QT Import for PTC'!B:D,3,0)</f>
        <v>#N/A</v>
      </c>
      <c r="E72" s="165"/>
      <c r="F72" s="165"/>
      <c r="G72" s="165"/>
      <c r="H72" s="165"/>
      <c r="I72" s="165"/>
      <c r="J72" s="165"/>
      <c r="K72" s="165"/>
      <c r="L72" s="166"/>
      <c r="M72" s="163"/>
      <c r="N72" s="167"/>
      <c r="O72" s="165"/>
      <c r="P72" s="163"/>
      <c r="Q72" s="163">
        <v>71</v>
      </c>
    </row>
    <row r="73" spans="1:17">
      <c r="A73" s="163">
        <v>72</v>
      </c>
      <c r="B73" s="163" t="str">
        <f t="shared" si="2"/>
        <v>NotApplicable</v>
      </c>
      <c r="D73" s="163" t="e">
        <f>VLOOKUP(C:C,'QT Import for PTC'!B:D,3,0)</f>
        <v>#N/A</v>
      </c>
      <c r="E73" s="165"/>
      <c r="F73" s="165"/>
      <c r="G73" s="165"/>
      <c r="H73" s="165"/>
      <c r="I73" s="165"/>
      <c r="J73" s="165"/>
      <c r="K73" s="165"/>
      <c r="L73" s="166"/>
      <c r="M73" s="163"/>
      <c r="N73" s="167"/>
      <c r="O73" s="165"/>
      <c r="P73" s="163"/>
      <c r="Q73" s="163">
        <v>72</v>
      </c>
    </row>
    <row r="74" spans="1:17">
      <c r="A74" s="163">
        <v>73</v>
      </c>
      <c r="B74" s="163" t="str">
        <f t="shared" si="2"/>
        <v>NotApplicable</v>
      </c>
      <c r="D74" s="163" t="e">
        <f>VLOOKUP(C:C,'QT Import for PTC'!B:D,3,0)</f>
        <v>#N/A</v>
      </c>
      <c r="E74" s="165"/>
      <c r="F74" s="165"/>
      <c r="G74" s="165"/>
      <c r="H74" s="165"/>
      <c r="I74" s="165"/>
      <c r="J74" s="165"/>
      <c r="K74" s="165"/>
      <c r="L74" s="166"/>
      <c r="M74" s="163"/>
      <c r="N74" s="167"/>
      <c r="O74" s="165"/>
      <c r="P74" s="163"/>
      <c r="Q74" s="163">
        <v>73</v>
      </c>
    </row>
    <row r="75" spans="1:17">
      <c r="A75" s="163">
        <v>74</v>
      </c>
      <c r="B75" s="163" t="str">
        <f t="shared" si="2"/>
        <v>NotApplicable</v>
      </c>
      <c r="D75" s="163" t="e">
        <f>VLOOKUP(C:C,'QT Import for PTC'!B:D,3,0)</f>
        <v>#N/A</v>
      </c>
      <c r="E75" s="165"/>
      <c r="F75" s="165"/>
      <c r="G75" s="165"/>
      <c r="H75" s="165"/>
      <c r="I75" s="165"/>
      <c r="J75" s="165"/>
      <c r="K75" s="165"/>
      <c r="L75" s="166"/>
      <c r="M75" s="163"/>
      <c r="N75" s="167"/>
      <c r="O75" s="165"/>
      <c r="P75" s="163"/>
      <c r="Q75" s="163">
        <v>74</v>
      </c>
    </row>
    <row r="76" spans="1:17">
      <c r="A76" s="163">
        <v>75</v>
      </c>
      <c r="B76" s="163" t="str">
        <f t="shared" si="2"/>
        <v>NotApplicable</v>
      </c>
      <c r="D76" s="163" t="e">
        <f>VLOOKUP(C:C,'QT Import for PTC'!B:D,3,0)</f>
        <v>#N/A</v>
      </c>
      <c r="E76" s="165"/>
      <c r="F76" s="165"/>
      <c r="G76" s="165"/>
      <c r="H76" s="165"/>
      <c r="I76" s="165"/>
      <c r="J76" s="165"/>
      <c r="K76" s="165"/>
      <c r="L76" s="166"/>
      <c r="M76" s="163"/>
      <c r="N76" s="167"/>
      <c r="O76" s="165"/>
      <c r="P76" s="163"/>
      <c r="Q76" s="163">
        <v>75</v>
      </c>
    </row>
    <row r="77" spans="1:17">
      <c r="A77" s="163">
        <v>76</v>
      </c>
      <c r="B77" s="163" t="str">
        <f t="shared" si="2"/>
        <v>NotApplicable</v>
      </c>
      <c r="D77" s="163" t="e">
        <f>VLOOKUP(C:C,'QT Import for PTC'!B:D,3,0)</f>
        <v>#N/A</v>
      </c>
      <c r="E77" s="165"/>
      <c r="F77" s="165"/>
      <c r="G77" s="165"/>
      <c r="H77" s="165"/>
      <c r="I77" s="165"/>
      <c r="J77" s="165"/>
      <c r="K77" s="165"/>
      <c r="L77" s="166"/>
      <c r="M77" s="163"/>
      <c r="N77" s="167"/>
      <c r="O77" s="165"/>
      <c r="P77" s="163"/>
      <c r="Q77" s="163">
        <v>76</v>
      </c>
    </row>
    <row r="78" spans="1:17">
      <c r="A78" s="163">
        <v>77</v>
      </c>
      <c r="B78" s="163" t="str">
        <f t="shared" si="2"/>
        <v>NotApplicable</v>
      </c>
      <c r="D78" s="163" t="e">
        <f>VLOOKUP(C:C,'QT Import for PTC'!B:D,3,0)</f>
        <v>#N/A</v>
      </c>
      <c r="E78" s="165"/>
      <c r="F78" s="165"/>
      <c r="G78" s="165"/>
      <c r="H78" s="165"/>
      <c r="I78" s="165"/>
      <c r="J78" s="165"/>
      <c r="K78" s="165"/>
      <c r="L78" s="166"/>
      <c r="M78" s="163"/>
      <c r="N78" s="167"/>
      <c r="O78" s="165"/>
      <c r="P78" s="163"/>
      <c r="Q78" s="163">
        <v>77</v>
      </c>
    </row>
    <row r="79" spans="1:17">
      <c r="A79" s="163">
        <v>78</v>
      </c>
      <c r="B79" s="163" t="str">
        <f t="shared" si="2"/>
        <v>NotApplicable</v>
      </c>
      <c r="D79" s="163" t="e">
        <f>VLOOKUP(C:C,'QT Import for PTC'!B:D,3,0)</f>
        <v>#N/A</v>
      </c>
      <c r="E79" s="165"/>
      <c r="F79" s="165"/>
      <c r="G79" s="165"/>
      <c r="H79" s="165"/>
      <c r="I79" s="165"/>
      <c r="J79" s="165"/>
      <c r="K79" s="165"/>
      <c r="L79" s="166"/>
      <c r="M79" s="163"/>
      <c r="N79" s="167"/>
      <c r="O79" s="165"/>
      <c r="P79" s="163"/>
      <c r="Q79" s="163">
        <v>78</v>
      </c>
    </row>
    <row r="80" spans="1:17">
      <c r="A80" s="163">
        <v>79</v>
      </c>
      <c r="B80" s="163" t="str">
        <f t="shared" si="2"/>
        <v>NotApplicable</v>
      </c>
      <c r="D80" s="163" t="e">
        <f>VLOOKUP(C:C,'QT Import for PTC'!B:D,3,0)</f>
        <v>#N/A</v>
      </c>
      <c r="E80" s="165"/>
      <c r="F80" s="165"/>
      <c r="G80" s="165"/>
      <c r="H80" s="165"/>
      <c r="I80" s="165"/>
      <c r="J80" s="165"/>
      <c r="K80" s="165"/>
      <c r="L80" s="166"/>
      <c r="M80" s="163"/>
      <c r="N80" s="167"/>
      <c r="O80" s="165"/>
      <c r="P80" s="163"/>
      <c r="Q80" s="163">
        <v>79</v>
      </c>
    </row>
    <row r="81" spans="1:17">
      <c r="A81" s="163">
        <v>80</v>
      </c>
      <c r="B81" s="163" t="str">
        <f t="shared" si="2"/>
        <v>NotApplicable</v>
      </c>
      <c r="D81" s="163" t="e">
        <f>VLOOKUP(C:C,'QT Import for PTC'!B:D,3,0)</f>
        <v>#N/A</v>
      </c>
      <c r="E81" s="165"/>
      <c r="F81" s="165"/>
      <c r="G81" s="165"/>
      <c r="H81" s="165"/>
      <c r="I81" s="165"/>
      <c r="J81" s="165"/>
      <c r="K81" s="165"/>
      <c r="L81" s="166"/>
      <c r="M81" s="163"/>
      <c r="N81" s="167"/>
      <c r="O81" s="165"/>
      <c r="P81" s="163"/>
      <c r="Q81" s="163">
        <v>80</v>
      </c>
    </row>
    <row r="82" spans="1:17">
      <c r="A82" s="163">
        <v>81</v>
      </c>
      <c r="B82" s="163" t="str">
        <f t="shared" si="2"/>
        <v>NotApplicable</v>
      </c>
      <c r="D82" s="163" t="e">
        <f>VLOOKUP(C:C,'QT Import for PTC'!B:D,3,0)</f>
        <v>#N/A</v>
      </c>
      <c r="E82" s="165"/>
      <c r="F82" s="165"/>
      <c r="G82" s="165"/>
      <c r="H82" s="165"/>
      <c r="I82" s="165"/>
      <c r="J82" s="165"/>
      <c r="K82" s="165"/>
      <c r="L82" s="166"/>
      <c r="M82" s="163"/>
      <c r="N82" s="167"/>
      <c r="O82" s="165"/>
      <c r="P82" s="163"/>
      <c r="Q82" s="163">
        <v>81</v>
      </c>
    </row>
    <row r="83" spans="1:17">
      <c r="A83" s="163">
        <v>82</v>
      </c>
      <c r="B83" s="163" t="str">
        <f t="shared" si="2"/>
        <v>NotApplicable</v>
      </c>
      <c r="D83" s="163" t="e">
        <f>VLOOKUP(C:C,'QT Import for PTC'!B:D,3,0)</f>
        <v>#N/A</v>
      </c>
      <c r="E83" s="165"/>
      <c r="F83" s="165"/>
      <c r="G83" s="165"/>
      <c r="H83" s="165"/>
      <c r="I83" s="165"/>
      <c r="J83" s="165"/>
      <c r="K83" s="165"/>
      <c r="L83" s="166"/>
      <c r="M83" s="163"/>
      <c r="N83" s="167"/>
      <c r="O83" s="165"/>
      <c r="P83" s="163"/>
      <c r="Q83" s="163">
        <v>82</v>
      </c>
    </row>
    <row r="84" spans="1:17">
      <c r="A84" s="163">
        <v>83</v>
      </c>
      <c r="B84" s="163" t="str">
        <f t="shared" si="2"/>
        <v>NotApplicable</v>
      </c>
      <c r="D84" s="163" t="e">
        <f>VLOOKUP(C:C,'QT Import for PTC'!B:D,3,0)</f>
        <v>#N/A</v>
      </c>
      <c r="E84" s="165"/>
      <c r="F84" s="165"/>
      <c r="G84" s="165"/>
      <c r="H84" s="165"/>
      <c r="I84" s="165"/>
      <c r="J84" s="165"/>
      <c r="K84" s="165"/>
      <c r="L84" s="166"/>
      <c r="M84" s="163"/>
      <c r="N84" s="167"/>
      <c r="O84" s="165"/>
      <c r="P84" s="163"/>
      <c r="Q84" s="163">
        <v>83</v>
      </c>
    </row>
    <row r="85" spans="1:17">
      <c r="A85" s="163">
        <v>84</v>
      </c>
      <c r="B85" s="163" t="str">
        <f t="shared" si="2"/>
        <v>NotApplicable</v>
      </c>
      <c r="D85" s="163" t="e">
        <f>VLOOKUP(C:C,'QT Import for PTC'!B:D,3,0)</f>
        <v>#N/A</v>
      </c>
      <c r="E85" s="165"/>
      <c r="F85" s="165"/>
      <c r="G85" s="165"/>
      <c r="H85" s="165"/>
      <c r="I85" s="165"/>
      <c r="J85" s="165"/>
      <c r="K85" s="165"/>
      <c r="L85" s="166"/>
      <c r="M85" s="163"/>
      <c r="N85" s="167"/>
      <c r="O85" s="165"/>
      <c r="P85" s="163"/>
      <c r="Q85" s="163">
        <v>84</v>
      </c>
    </row>
    <row r="86" spans="1:17">
      <c r="A86" s="163">
        <v>85</v>
      </c>
      <c r="B86" s="163" t="str">
        <f t="shared" si="2"/>
        <v>NotApplicable</v>
      </c>
      <c r="D86" s="163" t="e">
        <f>VLOOKUP(C:C,'QT Import for PTC'!B:D,3,0)</f>
        <v>#N/A</v>
      </c>
      <c r="E86" s="165"/>
      <c r="F86" s="165"/>
      <c r="G86" s="165"/>
      <c r="H86" s="165"/>
      <c r="I86" s="165"/>
      <c r="J86" s="165"/>
      <c r="K86" s="165"/>
      <c r="L86" s="166"/>
      <c r="M86" s="163"/>
      <c r="N86" s="167"/>
      <c r="O86" s="165"/>
      <c r="P86" s="163"/>
      <c r="Q86" s="163">
        <v>85</v>
      </c>
    </row>
    <row r="87" spans="1:17">
      <c r="A87" s="163">
        <v>86</v>
      </c>
      <c r="B87" s="163" t="str">
        <f t="shared" si="2"/>
        <v>NotApplicable</v>
      </c>
      <c r="D87" s="163" t="e">
        <f>VLOOKUP(C:C,'QT Import for PTC'!B:D,3,0)</f>
        <v>#N/A</v>
      </c>
      <c r="E87" s="165"/>
      <c r="F87" s="165"/>
      <c r="G87" s="165"/>
      <c r="H87" s="165"/>
      <c r="I87" s="165"/>
      <c r="J87" s="165"/>
      <c r="K87" s="165"/>
      <c r="L87" s="166"/>
      <c r="M87" s="163"/>
      <c r="N87" s="167"/>
      <c r="O87" s="165"/>
      <c r="P87" s="163"/>
      <c r="Q87" s="163">
        <v>86</v>
      </c>
    </row>
    <row r="88" spans="1:17">
      <c r="A88" s="163">
        <v>87</v>
      </c>
      <c r="B88" s="163" t="str">
        <f t="shared" si="2"/>
        <v>NotApplicable</v>
      </c>
      <c r="D88" s="163" t="e">
        <f>VLOOKUP(C:C,'QT Import for PTC'!B:D,3,0)</f>
        <v>#N/A</v>
      </c>
      <c r="E88" s="165"/>
      <c r="F88" s="165"/>
      <c r="G88" s="165"/>
      <c r="H88" s="165"/>
      <c r="I88" s="165"/>
      <c r="J88" s="165"/>
      <c r="K88" s="165"/>
      <c r="L88" s="166"/>
      <c r="M88" s="163"/>
      <c r="N88" s="167"/>
      <c r="O88" s="165"/>
      <c r="P88" s="163"/>
      <c r="Q88" s="163">
        <v>87</v>
      </c>
    </row>
    <row r="89" spans="1:17">
      <c r="A89" s="163">
        <v>88</v>
      </c>
      <c r="B89" s="163" t="str">
        <f t="shared" si="2"/>
        <v>NotApplicable</v>
      </c>
      <c r="D89" s="163" t="e">
        <f>VLOOKUP(C:C,'QT Import for PTC'!B:D,3,0)</f>
        <v>#N/A</v>
      </c>
      <c r="E89" s="165"/>
      <c r="F89" s="165"/>
      <c r="G89" s="165"/>
      <c r="H89" s="165"/>
      <c r="I89" s="165"/>
      <c r="J89" s="165"/>
      <c r="K89" s="165"/>
      <c r="L89" s="166"/>
      <c r="M89" s="163"/>
      <c r="N89" s="167"/>
      <c r="O89" s="165"/>
      <c r="P89" s="163"/>
      <c r="Q89" s="163">
        <v>88</v>
      </c>
    </row>
    <row r="90" spans="1:17">
      <c r="A90" s="163">
        <v>89</v>
      </c>
      <c r="B90" s="163" t="str">
        <f t="shared" si="2"/>
        <v>NotApplicable</v>
      </c>
      <c r="D90" s="163" t="e">
        <f>VLOOKUP(C:C,'QT Import for PTC'!B:D,3,0)</f>
        <v>#N/A</v>
      </c>
      <c r="E90" s="165"/>
      <c r="F90" s="165"/>
      <c r="G90" s="165"/>
      <c r="H90" s="165"/>
      <c r="I90" s="165"/>
      <c r="J90" s="165"/>
      <c r="K90" s="165"/>
      <c r="L90" s="166"/>
      <c r="M90" s="163"/>
      <c r="N90" s="167"/>
      <c r="O90" s="165"/>
      <c r="P90" s="163"/>
      <c r="Q90" s="163">
        <v>89</v>
      </c>
    </row>
    <row r="91" spans="1:17">
      <c r="A91" s="163">
        <v>90</v>
      </c>
      <c r="B91" s="163" t="str">
        <f t="shared" si="2"/>
        <v>NotApplicable</v>
      </c>
      <c r="D91" s="163" t="e">
        <f>VLOOKUP(C:C,'QT Import for PTC'!B:D,3,0)</f>
        <v>#N/A</v>
      </c>
      <c r="E91" s="165"/>
      <c r="F91" s="165"/>
      <c r="G91" s="165"/>
      <c r="H91" s="165"/>
      <c r="I91" s="165"/>
      <c r="J91" s="165"/>
      <c r="K91" s="165"/>
      <c r="L91" s="166"/>
      <c r="M91" s="163"/>
      <c r="N91" s="167"/>
      <c r="O91" s="165"/>
      <c r="P91" s="163"/>
      <c r="Q91" s="163">
        <v>90</v>
      </c>
    </row>
    <row r="92" spans="1:17">
      <c r="A92" s="163">
        <v>91</v>
      </c>
      <c r="B92" s="163" t="str">
        <f t="shared" si="2"/>
        <v>NotApplicable</v>
      </c>
      <c r="D92" s="163" t="e">
        <f>VLOOKUP(C:C,'QT Import for PTC'!B:D,3,0)</f>
        <v>#N/A</v>
      </c>
      <c r="E92" s="165"/>
      <c r="F92" s="165"/>
      <c r="G92" s="165"/>
      <c r="H92" s="165"/>
      <c r="I92" s="165"/>
      <c r="J92" s="165"/>
      <c r="K92" s="165"/>
      <c r="L92" s="166"/>
      <c r="M92" s="163"/>
      <c r="N92" s="167"/>
      <c r="O92" s="165"/>
      <c r="P92" s="163"/>
      <c r="Q92" s="163">
        <v>91</v>
      </c>
    </row>
    <row r="93" spans="1:17">
      <c r="A93" s="163">
        <v>92</v>
      </c>
      <c r="B93" s="163" t="str">
        <f t="shared" si="2"/>
        <v>NotApplicable</v>
      </c>
      <c r="D93" s="163" t="e">
        <f>VLOOKUP(C:C,'QT Import for PTC'!B:D,3,0)</f>
        <v>#N/A</v>
      </c>
      <c r="E93" s="165"/>
      <c r="F93" s="165"/>
      <c r="G93" s="165"/>
      <c r="H93" s="165"/>
      <c r="I93" s="165"/>
      <c r="J93" s="165"/>
      <c r="K93" s="165"/>
      <c r="L93" s="166"/>
      <c r="M93" s="163"/>
      <c r="N93" s="167"/>
      <c r="O93" s="165"/>
      <c r="P93" s="163"/>
      <c r="Q93" s="163">
        <v>92</v>
      </c>
    </row>
    <row r="94" spans="1:17">
      <c r="A94" s="163">
        <v>93</v>
      </c>
      <c r="B94" s="163" t="str">
        <f t="shared" si="2"/>
        <v>NotApplicable</v>
      </c>
      <c r="D94" s="163" t="e">
        <f>VLOOKUP(C:C,'QT Import for PTC'!B:D,3,0)</f>
        <v>#N/A</v>
      </c>
      <c r="E94" s="165"/>
      <c r="F94" s="165"/>
      <c r="G94" s="165"/>
      <c r="H94" s="165"/>
      <c r="I94" s="165"/>
      <c r="J94" s="165"/>
      <c r="K94" s="165"/>
      <c r="L94" s="166"/>
      <c r="M94" s="163"/>
      <c r="N94" s="167"/>
      <c r="O94" s="165"/>
      <c r="P94" s="163"/>
      <c r="Q94" s="163">
        <v>93</v>
      </c>
    </row>
    <row r="95" spans="1:17">
      <c r="A95" s="163">
        <v>94</v>
      </c>
      <c r="B95" s="163" t="str">
        <f t="shared" si="2"/>
        <v>NotApplicable</v>
      </c>
      <c r="D95" s="163" t="e">
        <f>VLOOKUP(C:C,'QT Import for PTC'!B:D,3,0)</f>
        <v>#N/A</v>
      </c>
      <c r="E95" s="165"/>
      <c r="F95" s="165"/>
      <c r="G95" s="165"/>
      <c r="H95" s="165"/>
      <c r="I95" s="165"/>
      <c r="J95" s="165"/>
      <c r="K95" s="165"/>
      <c r="L95" s="166"/>
      <c r="M95" s="163"/>
      <c r="N95" s="167"/>
      <c r="O95" s="165"/>
      <c r="P95" s="163"/>
      <c r="Q95" s="163">
        <v>94</v>
      </c>
    </row>
    <row r="96" spans="1:17">
      <c r="A96" s="163">
        <v>95</v>
      </c>
      <c r="B96" s="163" t="str">
        <f t="shared" si="2"/>
        <v>NotApplicable</v>
      </c>
      <c r="D96" s="163" t="e">
        <f>VLOOKUP(C:C,'QT Import for PTC'!B:D,3,0)</f>
        <v>#N/A</v>
      </c>
      <c r="E96" s="165"/>
      <c r="F96" s="165"/>
      <c r="G96" s="165"/>
      <c r="H96" s="165"/>
      <c r="I96" s="165"/>
      <c r="J96" s="165"/>
      <c r="K96" s="165"/>
      <c r="L96" s="166"/>
      <c r="M96" s="163"/>
      <c r="N96" s="167"/>
      <c r="O96" s="165"/>
      <c r="P96" s="163"/>
      <c r="Q96" s="163">
        <v>95</v>
      </c>
    </row>
    <row r="97" spans="1:17">
      <c r="A97" s="163">
        <v>96</v>
      </c>
      <c r="B97" s="163" t="str">
        <f t="shared" si="2"/>
        <v>NotApplicable</v>
      </c>
      <c r="D97" s="163" t="e">
        <f>VLOOKUP(C:C,'QT Import for PTC'!B:D,3,0)</f>
        <v>#N/A</v>
      </c>
      <c r="E97" s="165"/>
      <c r="F97" s="165"/>
      <c r="G97" s="165"/>
      <c r="H97" s="165"/>
      <c r="I97" s="165"/>
      <c r="J97" s="165"/>
      <c r="K97" s="165"/>
      <c r="L97" s="166"/>
      <c r="M97" s="163"/>
      <c r="N97" s="167"/>
      <c r="O97" s="165"/>
      <c r="P97" s="163"/>
      <c r="Q97" s="163">
        <v>96</v>
      </c>
    </row>
    <row r="98" spans="1:17">
      <c r="A98" s="163">
        <v>97</v>
      </c>
      <c r="B98" s="163" t="str">
        <f t="shared" si="2"/>
        <v>NotApplicable</v>
      </c>
      <c r="D98" s="163" t="e">
        <f>VLOOKUP(C:C,'QT Import for PTC'!B:D,3,0)</f>
        <v>#N/A</v>
      </c>
      <c r="E98" s="165"/>
      <c r="F98" s="165"/>
      <c r="G98" s="165"/>
      <c r="H98" s="165"/>
      <c r="I98" s="165"/>
      <c r="J98" s="165"/>
      <c r="K98" s="165"/>
      <c r="L98" s="166"/>
      <c r="M98" s="163"/>
      <c r="N98" s="167"/>
      <c r="O98" s="165"/>
      <c r="P98" s="163"/>
      <c r="Q98" s="163">
        <v>97</v>
      </c>
    </row>
    <row r="99" spans="1:17">
      <c r="A99" s="163">
        <v>98</v>
      </c>
      <c r="B99" s="163" t="str">
        <f t="shared" si="2"/>
        <v>NotApplicable</v>
      </c>
      <c r="D99" s="163" t="e">
        <f>VLOOKUP(C:C,'QT Import for PTC'!B:D,3,0)</f>
        <v>#N/A</v>
      </c>
      <c r="E99" s="165"/>
      <c r="F99" s="165"/>
      <c r="G99" s="165"/>
      <c r="H99" s="165"/>
      <c r="I99" s="165"/>
      <c r="J99" s="165"/>
      <c r="K99" s="165"/>
      <c r="L99" s="166"/>
      <c r="M99" s="163"/>
      <c r="N99" s="167"/>
      <c r="O99" s="165"/>
      <c r="P99" s="163"/>
      <c r="Q99" s="163">
        <v>98</v>
      </c>
    </row>
    <row r="100" spans="1:17">
      <c r="A100" s="163">
        <v>99</v>
      </c>
      <c r="B100" s="163" t="str">
        <f t="shared" si="2"/>
        <v>NotApplicable</v>
      </c>
      <c r="D100" s="163" t="e">
        <f>VLOOKUP(C:C,'QT Import for PTC'!B:D,3,0)</f>
        <v>#N/A</v>
      </c>
      <c r="E100" s="165"/>
      <c r="F100" s="165"/>
      <c r="G100" s="165"/>
      <c r="H100" s="165"/>
      <c r="I100" s="165"/>
      <c r="J100" s="165"/>
      <c r="K100" s="165"/>
      <c r="L100" s="166"/>
      <c r="M100" s="163"/>
      <c r="N100" s="167"/>
      <c r="O100" s="165"/>
      <c r="P100" s="163"/>
      <c r="Q100" s="163">
        <v>99</v>
      </c>
    </row>
    <row r="101" spans="1:17">
      <c r="A101" s="163">
        <v>100</v>
      </c>
      <c r="B101" s="163" t="str">
        <f t="shared" si="2"/>
        <v>NotApplicable</v>
      </c>
      <c r="D101" s="163" t="e">
        <f>VLOOKUP(C:C,'QT Import for PTC'!B:D,3,0)</f>
        <v>#N/A</v>
      </c>
      <c r="E101" s="165"/>
      <c r="F101" s="165"/>
      <c r="G101" s="165"/>
      <c r="H101" s="165"/>
      <c r="I101" s="165"/>
      <c r="J101" s="165"/>
      <c r="K101" s="165"/>
      <c r="L101" s="166"/>
      <c r="M101" s="163"/>
      <c r="N101" s="167"/>
      <c r="O101" s="165"/>
      <c r="P101" s="163"/>
      <c r="Q101" s="163">
        <v>100</v>
      </c>
    </row>
    <row r="102" spans="1:17">
      <c r="A102" s="163">
        <v>101</v>
      </c>
      <c r="B102" s="163" t="str">
        <f t="shared" si="2"/>
        <v>NotApplicable</v>
      </c>
      <c r="D102" s="163" t="e">
        <f>VLOOKUP(C:C,'QT Import for PTC'!B:D,3,0)</f>
        <v>#N/A</v>
      </c>
      <c r="E102" s="165"/>
      <c r="F102" s="165"/>
      <c r="G102" s="165"/>
      <c r="H102" s="165"/>
      <c r="I102" s="165"/>
      <c r="J102" s="165"/>
      <c r="K102" s="165"/>
      <c r="L102" s="166"/>
      <c r="M102" s="163"/>
      <c r="N102" s="167"/>
      <c r="O102" s="165"/>
      <c r="P102" s="163"/>
      <c r="Q102" s="163">
        <v>101</v>
      </c>
    </row>
    <row r="103" spans="1:17">
      <c r="A103" s="163">
        <v>102</v>
      </c>
      <c r="B103" s="163" t="str">
        <f t="shared" si="2"/>
        <v>NotApplicable</v>
      </c>
      <c r="D103" s="163" t="e">
        <f>VLOOKUP(C:C,'QT Import for PTC'!B:D,3,0)</f>
        <v>#N/A</v>
      </c>
      <c r="E103" s="165"/>
      <c r="F103" s="165"/>
      <c r="G103" s="165"/>
      <c r="H103" s="165"/>
      <c r="I103" s="165"/>
      <c r="J103" s="165"/>
      <c r="K103" s="165"/>
      <c r="L103" s="166"/>
      <c r="M103" s="163"/>
      <c r="N103" s="167"/>
      <c r="O103" s="165"/>
      <c r="P103" s="163"/>
      <c r="Q103" s="163">
        <v>102</v>
      </c>
    </row>
    <row r="104" spans="1:17">
      <c r="A104" s="163">
        <v>103</v>
      </c>
      <c r="B104" s="163" t="str">
        <f t="shared" si="2"/>
        <v>NotApplicable</v>
      </c>
      <c r="D104" s="163" t="e">
        <f>VLOOKUP(C:C,'QT Import for PTC'!B:D,3,0)</f>
        <v>#N/A</v>
      </c>
      <c r="E104" s="165"/>
      <c r="F104" s="165"/>
      <c r="G104" s="165"/>
      <c r="H104" s="165"/>
      <c r="I104" s="165"/>
      <c r="J104" s="165"/>
      <c r="K104" s="165"/>
      <c r="L104" s="166"/>
      <c r="M104" s="163"/>
      <c r="N104" s="167"/>
      <c r="O104" s="165"/>
      <c r="P104" s="163"/>
      <c r="Q104" s="163">
        <v>103</v>
      </c>
    </row>
    <row r="105" spans="1:17">
      <c r="A105" s="163">
        <v>104</v>
      </c>
      <c r="B105" s="163" t="str">
        <f t="shared" si="2"/>
        <v>NotApplicable</v>
      </c>
      <c r="D105" s="163" t="e">
        <f>VLOOKUP(C:C,'QT Import for PTC'!B:D,3,0)</f>
        <v>#N/A</v>
      </c>
      <c r="E105" s="165"/>
      <c r="F105" s="165"/>
      <c r="G105" s="165"/>
      <c r="H105" s="165"/>
      <c r="I105" s="165"/>
      <c r="J105" s="165"/>
      <c r="K105" s="165"/>
      <c r="L105" s="166"/>
      <c r="M105" s="163"/>
      <c r="N105" s="167"/>
      <c r="O105" s="165"/>
      <c r="P105" s="163"/>
      <c r="Q105" s="163">
        <v>104</v>
      </c>
    </row>
    <row r="106" spans="1:17">
      <c r="A106" s="163">
        <v>105</v>
      </c>
      <c r="B106" s="163" t="str">
        <f t="shared" si="2"/>
        <v>NotApplicable</v>
      </c>
      <c r="D106" s="163" t="e">
        <f>VLOOKUP(C:C,'QT Import for PTC'!B:D,3,0)</f>
        <v>#N/A</v>
      </c>
      <c r="E106" s="165"/>
      <c r="F106" s="165"/>
      <c r="G106" s="165"/>
      <c r="H106" s="165"/>
      <c r="I106" s="165"/>
      <c r="J106" s="165"/>
      <c r="K106" s="165"/>
      <c r="L106" s="166"/>
      <c r="M106" s="163"/>
      <c r="N106" s="167"/>
      <c r="O106" s="165"/>
      <c r="P106" s="163"/>
      <c r="Q106" s="163">
        <v>105</v>
      </c>
    </row>
    <row r="107" spans="1:17">
      <c r="A107" s="163">
        <v>106</v>
      </c>
      <c r="B107" s="163" t="str">
        <f t="shared" si="2"/>
        <v>NotApplicable</v>
      </c>
      <c r="D107" s="163" t="e">
        <f>VLOOKUP(C:C,'QT Import for PTC'!B:D,3,0)</f>
        <v>#N/A</v>
      </c>
      <c r="E107" s="165"/>
      <c r="F107" s="165"/>
      <c r="G107" s="165"/>
      <c r="H107" s="165"/>
      <c r="I107" s="165"/>
      <c r="J107" s="165"/>
      <c r="K107" s="165"/>
      <c r="L107" s="166"/>
      <c r="M107" s="163"/>
      <c r="N107" s="167"/>
      <c r="O107" s="165"/>
      <c r="P107" s="163"/>
      <c r="Q107" s="163">
        <v>106</v>
      </c>
    </row>
    <row r="108" spans="1:17">
      <c r="A108" s="163">
        <v>107</v>
      </c>
      <c r="B108" s="163" t="str">
        <f t="shared" si="2"/>
        <v>NotApplicable</v>
      </c>
      <c r="D108" s="163" t="e">
        <f>VLOOKUP(C:C,'QT Import for PTC'!B:D,3,0)</f>
        <v>#N/A</v>
      </c>
      <c r="E108" s="165"/>
      <c r="F108" s="165"/>
      <c r="G108" s="165"/>
      <c r="H108" s="165"/>
      <c r="I108" s="165"/>
      <c r="J108" s="165"/>
      <c r="K108" s="165"/>
      <c r="L108" s="166"/>
      <c r="M108" s="163"/>
      <c r="N108" s="167"/>
      <c r="O108" s="165"/>
      <c r="P108" s="163"/>
      <c r="Q108" s="163">
        <v>107</v>
      </c>
    </row>
    <row r="109" spans="1:17">
      <c r="A109" s="163">
        <v>108</v>
      </c>
      <c r="B109" s="163" t="str">
        <f t="shared" si="2"/>
        <v>NotApplicable</v>
      </c>
      <c r="D109" s="163" t="e">
        <f>VLOOKUP(C:C,'QT Import for PTC'!B:D,3,0)</f>
        <v>#N/A</v>
      </c>
      <c r="E109" s="165"/>
      <c r="F109" s="165"/>
      <c r="G109" s="165"/>
      <c r="H109" s="165"/>
      <c r="I109" s="165"/>
      <c r="J109" s="165"/>
      <c r="K109" s="165"/>
      <c r="L109" s="166"/>
      <c r="M109" s="163"/>
      <c r="N109" s="167"/>
      <c r="O109" s="165"/>
      <c r="P109" s="163"/>
      <c r="Q109" s="163">
        <v>108</v>
      </c>
    </row>
    <row r="110" spans="1:17">
      <c r="A110" s="163">
        <v>109</v>
      </c>
      <c r="B110" s="163" t="str">
        <f t="shared" si="2"/>
        <v>NotApplicable</v>
      </c>
      <c r="D110" s="163" t="e">
        <f>VLOOKUP(C:C,'QT Import for PTC'!B:D,3,0)</f>
        <v>#N/A</v>
      </c>
      <c r="E110" s="165"/>
      <c r="F110" s="165"/>
      <c r="G110" s="165"/>
      <c r="H110" s="165"/>
      <c r="I110" s="165"/>
      <c r="J110" s="165"/>
      <c r="K110" s="165"/>
      <c r="L110" s="166"/>
      <c r="M110" s="163"/>
      <c r="N110" s="167"/>
      <c r="O110" s="165"/>
      <c r="P110" s="163"/>
      <c r="Q110" s="163">
        <v>109</v>
      </c>
    </row>
    <row r="111" spans="1:17">
      <c r="A111" s="163">
        <v>110</v>
      </c>
      <c r="B111" s="163" t="str">
        <f t="shared" si="2"/>
        <v>NotApplicable</v>
      </c>
      <c r="D111" s="163" t="e">
        <f>VLOOKUP(C:C,'QT Import for PTC'!B:D,3,0)</f>
        <v>#N/A</v>
      </c>
      <c r="E111" s="165"/>
      <c r="F111" s="165"/>
      <c r="G111" s="165"/>
      <c r="H111" s="165"/>
      <c r="I111" s="165"/>
      <c r="J111" s="165"/>
      <c r="K111" s="165"/>
      <c r="L111" s="166"/>
      <c r="M111" s="163"/>
      <c r="N111" s="167"/>
      <c r="O111" s="165"/>
      <c r="P111" s="163"/>
      <c r="Q111" s="163">
        <v>110</v>
      </c>
    </row>
    <row r="112" spans="1:17">
      <c r="A112" s="163">
        <v>111</v>
      </c>
      <c r="B112" s="163" t="str">
        <f t="shared" si="2"/>
        <v>NotApplicable</v>
      </c>
      <c r="D112" s="163" t="e">
        <f>VLOOKUP(C:C,'QT Import for PTC'!B:D,3,0)</f>
        <v>#N/A</v>
      </c>
      <c r="E112" s="165"/>
      <c r="F112" s="165"/>
      <c r="G112" s="165"/>
      <c r="H112" s="165"/>
      <c r="I112" s="165"/>
      <c r="J112" s="165"/>
      <c r="K112" s="165"/>
      <c r="L112" s="166"/>
      <c r="M112" s="163"/>
      <c r="N112" s="167"/>
      <c r="O112" s="165"/>
      <c r="P112" s="163"/>
      <c r="Q112" s="163">
        <v>111</v>
      </c>
    </row>
    <row r="113" spans="1:17">
      <c r="A113" s="163">
        <v>112</v>
      </c>
      <c r="B113" s="163" t="str">
        <f t="shared" si="2"/>
        <v>NotApplicable</v>
      </c>
      <c r="D113" s="163" t="e">
        <f>VLOOKUP(C:C,'QT Import for PTC'!B:D,3,0)</f>
        <v>#N/A</v>
      </c>
      <c r="E113" s="165"/>
      <c r="F113" s="165"/>
      <c r="G113" s="165"/>
      <c r="H113" s="165"/>
      <c r="I113" s="165"/>
      <c r="J113" s="165"/>
      <c r="K113" s="165"/>
      <c r="L113" s="166"/>
      <c r="M113" s="163"/>
      <c r="N113" s="167"/>
      <c r="O113" s="165"/>
      <c r="P113" s="163"/>
      <c r="Q113" s="163">
        <v>112</v>
      </c>
    </row>
    <row r="114" spans="1:17">
      <c r="A114" s="163">
        <v>113</v>
      </c>
      <c r="B114" s="163" t="str">
        <f t="shared" si="2"/>
        <v>NotApplicable</v>
      </c>
      <c r="D114" s="163" t="e">
        <f>VLOOKUP(C:C,'QT Import for PTC'!B:D,3,0)</f>
        <v>#N/A</v>
      </c>
      <c r="E114" s="165"/>
      <c r="F114" s="165"/>
      <c r="G114" s="165"/>
      <c r="H114" s="165"/>
      <c r="I114" s="165"/>
      <c r="J114" s="165"/>
      <c r="K114" s="165"/>
      <c r="L114" s="166"/>
      <c r="M114" s="163"/>
      <c r="N114" s="167"/>
      <c r="O114" s="165"/>
      <c r="P114" s="163"/>
      <c r="Q114" s="163">
        <v>113</v>
      </c>
    </row>
    <row r="115" spans="1:17">
      <c r="A115" s="163">
        <v>114</v>
      </c>
      <c r="B115" s="163" t="str">
        <f t="shared" si="2"/>
        <v>NotApplicable</v>
      </c>
      <c r="D115" s="163" t="e">
        <f>VLOOKUP(C:C,'QT Import for PTC'!B:D,3,0)</f>
        <v>#N/A</v>
      </c>
      <c r="E115" s="165"/>
      <c r="F115" s="165"/>
      <c r="G115" s="165"/>
      <c r="H115" s="165"/>
      <c r="I115" s="165"/>
      <c r="J115" s="165"/>
      <c r="K115" s="165"/>
      <c r="L115" s="166"/>
      <c r="M115" s="163"/>
      <c r="N115" s="167"/>
      <c r="O115" s="165"/>
      <c r="P115" s="163"/>
      <c r="Q115" s="163">
        <v>114</v>
      </c>
    </row>
    <row r="116" spans="1:17">
      <c r="A116" s="163">
        <v>115</v>
      </c>
      <c r="B116" s="163" t="str">
        <f t="shared" si="2"/>
        <v>NotApplicable</v>
      </c>
      <c r="D116" s="163" t="e">
        <f>VLOOKUP(C:C,'QT Import for PTC'!B:D,3,0)</f>
        <v>#N/A</v>
      </c>
      <c r="E116" s="165"/>
      <c r="F116" s="165"/>
      <c r="G116" s="165"/>
      <c r="H116" s="165"/>
      <c r="I116" s="165"/>
      <c r="J116" s="165"/>
      <c r="K116" s="165"/>
      <c r="L116" s="166"/>
      <c r="M116" s="163"/>
      <c r="N116" s="167"/>
      <c r="O116" s="165"/>
      <c r="P116" s="163"/>
      <c r="Q116" s="163">
        <v>115</v>
      </c>
    </row>
    <row r="117" spans="1:17">
      <c r="A117" s="163">
        <v>116</v>
      </c>
      <c r="B117" s="163" t="str">
        <f t="shared" si="2"/>
        <v>NotApplicable</v>
      </c>
      <c r="D117" s="163" t="e">
        <f>VLOOKUP(C:C,'QT Import for PTC'!B:D,3,0)</f>
        <v>#N/A</v>
      </c>
      <c r="E117" s="165"/>
      <c r="F117" s="165"/>
      <c r="G117" s="165"/>
      <c r="H117" s="165"/>
      <c r="I117" s="165"/>
      <c r="J117" s="165"/>
      <c r="K117" s="165"/>
      <c r="L117" s="166"/>
      <c r="M117" s="163"/>
      <c r="N117" s="167"/>
      <c r="O117" s="165"/>
      <c r="P117" s="163"/>
      <c r="Q117" s="163">
        <v>116</v>
      </c>
    </row>
    <row r="118" spans="1:17">
      <c r="A118" s="163">
        <v>117</v>
      </c>
      <c r="B118" s="163" t="str">
        <f t="shared" si="2"/>
        <v>NotApplicable</v>
      </c>
      <c r="D118" s="163" t="e">
        <f>VLOOKUP(C:C,'QT Import for PTC'!B:D,3,0)</f>
        <v>#N/A</v>
      </c>
      <c r="E118" s="165"/>
      <c r="F118" s="165"/>
      <c r="G118" s="165"/>
      <c r="H118" s="165"/>
      <c r="I118" s="165"/>
      <c r="J118" s="165"/>
      <c r="K118" s="165"/>
      <c r="L118" s="166"/>
      <c r="M118" s="163"/>
      <c r="N118" s="167"/>
      <c r="O118" s="165"/>
      <c r="P118" s="163"/>
      <c r="Q118" s="163">
        <v>117</v>
      </c>
    </row>
    <row r="119" spans="1:17">
      <c r="A119" s="163">
        <v>118</v>
      </c>
      <c r="B119" s="163" t="str">
        <f t="shared" si="2"/>
        <v>NotApplicable</v>
      </c>
      <c r="D119" s="163" t="e">
        <f>VLOOKUP(C:C,'QT Import for PTC'!B:D,3,0)</f>
        <v>#N/A</v>
      </c>
      <c r="E119" s="165"/>
      <c r="F119" s="165"/>
      <c r="G119" s="165"/>
      <c r="H119" s="165"/>
      <c r="I119" s="165"/>
      <c r="J119" s="165"/>
      <c r="K119" s="165"/>
      <c r="L119" s="166"/>
      <c r="M119" s="163"/>
      <c r="N119" s="167"/>
      <c r="O119" s="165"/>
      <c r="P119" s="163"/>
      <c r="Q119" s="163">
        <v>118</v>
      </c>
    </row>
    <row r="120" spans="1:17">
      <c r="A120" s="163">
        <v>119</v>
      </c>
      <c r="B120" s="163" t="str">
        <f t="shared" si="2"/>
        <v>NotApplicable</v>
      </c>
      <c r="D120" s="163" t="e">
        <f>VLOOKUP(C:C,'QT Import for PTC'!B:D,3,0)</f>
        <v>#N/A</v>
      </c>
      <c r="E120" s="165"/>
      <c r="F120" s="165"/>
      <c r="G120" s="165"/>
      <c r="H120" s="165"/>
      <c r="I120" s="165"/>
      <c r="J120" s="165"/>
      <c r="K120" s="165"/>
      <c r="L120" s="166"/>
      <c r="M120" s="163"/>
      <c r="N120" s="167"/>
      <c r="O120" s="165"/>
      <c r="P120" s="163"/>
      <c r="Q120" s="163">
        <v>119</v>
      </c>
    </row>
    <row r="121" spans="1:17">
      <c r="A121" s="163">
        <v>120</v>
      </c>
      <c r="B121" s="163" t="str">
        <f t="shared" si="2"/>
        <v>NotApplicable</v>
      </c>
      <c r="D121" s="163" t="e">
        <f>VLOOKUP(C:C,'QT Import for PTC'!B:D,3,0)</f>
        <v>#N/A</v>
      </c>
      <c r="E121" s="165"/>
      <c r="F121" s="165"/>
      <c r="G121" s="165"/>
      <c r="H121" s="165"/>
      <c r="I121" s="165"/>
      <c r="J121" s="165"/>
      <c r="K121" s="165"/>
      <c r="L121" s="166"/>
      <c r="M121" s="163"/>
      <c r="N121" s="167"/>
      <c r="O121" s="165"/>
      <c r="P121" s="163"/>
      <c r="Q121" s="163">
        <v>120</v>
      </c>
    </row>
    <row r="122" spans="1:17">
      <c r="A122" s="163">
        <v>121</v>
      </c>
      <c r="B122" s="163" t="str">
        <f t="shared" si="2"/>
        <v>NotApplicable</v>
      </c>
      <c r="D122" s="163" t="e">
        <f>VLOOKUP(C:C,'QT Import for PTC'!B:D,3,0)</f>
        <v>#N/A</v>
      </c>
      <c r="E122" s="165"/>
      <c r="F122" s="165"/>
      <c r="G122" s="165"/>
      <c r="H122" s="165"/>
      <c r="I122" s="165"/>
      <c r="J122" s="165"/>
      <c r="K122" s="165"/>
      <c r="L122" s="166"/>
      <c r="M122" s="163"/>
      <c r="N122" s="167"/>
      <c r="O122" s="165"/>
      <c r="P122" s="163"/>
      <c r="Q122" s="163">
        <v>121</v>
      </c>
    </row>
    <row r="123" spans="1:17">
      <c r="A123" s="163">
        <v>122</v>
      </c>
      <c r="B123" s="163" t="str">
        <f t="shared" si="2"/>
        <v>NotApplicable</v>
      </c>
      <c r="D123" s="163" t="e">
        <f>VLOOKUP(C:C,'QT Import for PTC'!B:D,3,0)</f>
        <v>#N/A</v>
      </c>
      <c r="E123" s="165"/>
      <c r="F123" s="165"/>
      <c r="G123" s="165"/>
      <c r="H123" s="165"/>
      <c r="I123" s="165"/>
      <c r="J123" s="165"/>
      <c r="K123" s="165"/>
      <c r="L123" s="166"/>
      <c r="M123" s="163"/>
      <c r="N123" s="167"/>
      <c r="O123" s="165"/>
      <c r="P123" s="163"/>
      <c r="Q123" s="163">
        <v>122</v>
      </c>
    </row>
    <row r="124" spans="1:17">
      <c r="A124" s="163">
        <v>123</v>
      </c>
      <c r="B124" s="163" t="str">
        <f t="shared" si="2"/>
        <v>NotApplicable</v>
      </c>
      <c r="D124" s="163" t="e">
        <f>VLOOKUP(C:C,'QT Import for PTC'!B:D,3,0)</f>
        <v>#N/A</v>
      </c>
      <c r="E124" s="165"/>
      <c r="F124" s="165"/>
      <c r="G124" s="165"/>
      <c r="H124" s="165"/>
      <c r="I124" s="165"/>
      <c r="J124" s="165"/>
      <c r="K124" s="165"/>
      <c r="L124" s="166"/>
      <c r="M124" s="163"/>
      <c r="N124" s="167"/>
      <c r="O124" s="165"/>
      <c r="P124" s="163"/>
      <c r="Q124" s="163">
        <v>123</v>
      </c>
    </row>
    <row r="125" spans="1:17">
      <c r="A125" s="163">
        <v>124</v>
      </c>
      <c r="B125" s="163" t="str">
        <f t="shared" si="2"/>
        <v>NotApplicable</v>
      </c>
      <c r="D125" s="163" t="e">
        <f>VLOOKUP(C:C,'QT Import for PTC'!B:D,3,0)</f>
        <v>#N/A</v>
      </c>
      <c r="E125" s="165"/>
      <c r="F125" s="165"/>
      <c r="G125" s="165"/>
      <c r="H125" s="165"/>
      <c r="I125" s="165"/>
      <c r="J125" s="165"/>
      <c r="K125" s="165"/>
      <c r="L125" s="166"/>
      <c r="M125" s="163"/>
      <c r="N125" s="167"/>
      <c r="O125" s="165"/>
      <c r="P125" s="163"/>
      <c r="Q125" s="163">
        <v>124</v>
      </c>
    </row>
    <row r="126" spans="1:17">
      <c r="A126" s="163">
        <v>125</v>
      </c>
      <c r="B126" s="163" t="str">
        <f t="shared" si="2"/>
        <v>NotApplicable</v>
      </c>
      <c r="D126" s="163" t="e">
        <f>VLOOKUP(C:C,'QT Import for PTC'!B:D,3,0)</f>
        <v>#N/A</v>
      </c>
      <c r="E126" s="165"/>
      <c r="F126" s="165"/>
      <c r="G126" s="165"/>
      <c r="H126" s="165"/>
      <c r="I126" s="165"/>
      <c r="J126" s="165"/>
      <c r="K126" s="165"/>
      <c r="L126" s="166"/>
      <c r="M126" s="163"/>
      <c r="N126" s="167"/>
      <c r="O126" s="165"/>
      <c r="P126" s="163"/>
      <c r="Q126" s="163">
        <v>125</v>
      </c>
    </row>
    <row r="127" spans="1:17">
      <c r="A127" s="163">
        <v>126</v>
      </c>
      <c r="B127" s="163" t="str">
        <f t="shared" si="2"/>
        <v>NotApplicable</v>
      </c>
      <c r="D127" s="163" t="e">
        <f>VLOOKUP(C:C,'QT Import for PTC'!B:D,3,0)</f>
        <v>#N/A</v>
      </c>
      <c r="E127" s="165"/>
      <c r="F127" s="165"/>
      <c r="G127" s="165"/>
      <c r="H127" s="165"/>
      <c r="I127" s="165"/>
      <c r="J127" s="165"/>
      <c r="K127" s="165"/>
      <c r="L127" s="166"/>
      <c r="M127" s="163"/>
      <c r="N127" s="167"/>
      <c r="O127" s="165"/>
      <c r="P127" s="163"/>
      <c r="Q127" s="163">
        <v>126</v>
      </c>
    </row>
    <row r="128" spans="1:17">
      <c r="A128" s="163">
        <v>127</v>
      </c>
      <c r="B128" s="163" t="str">
        <f t="shared" si="2"/>
        <v>NotApplicable</v>
      </c>
      <c r="D128" s="163" t="e">
        <f>VLOOKUP(C:C,'QT Import for PTC'!B:D,3,0)</f>
        <v>#N/A</v>
      </c>
      <c r="E128" s="165"/>
      <c r="F128" s="165"/>
      <c r="G128" s="165"/>
      <c r="H128" s="165"/>
      <c r="I128" s="165"/>
      <c r="J128" s="165"/>
      <c r="K128" s="165"/>
      <c r="L128" s="166"/>
      <c r="M128" s="163"/>
      <c r="N128" s="167"/>
      <c r="O128" s="165"/>
      <c r="P128" s="163"/>
      <c r="Q128" s="163">
        <v>127</v>
      </c>
    </row>
    <row r="129" spans="1:17">
      <c r="A129" s="163">
        <v>128</v>
      </c>
      <c r="B129" s="163" t="str">
        <f t="shared" si="2"/>
        <v>NotApplicable</v>
      </c>
      <c r="D129" s="163" t="e">
        <f>VLOOKUP(C:C,'QT Import for PTC'!B:D,3,0)</f>
        <v>#N/A</v>
      </c>
      <c r="E129" s="165"/>
      <c r="F129" s="165"/>
      <c r="G129" s="165"/>
      <c r="H129" s="165"/>
      <c r="I129" s="165"/>
      <c r="J129" s="165"/>
      <c r="K129" s="165"/>
      <c r="L129" s="166"/>
      <c r="M129" s="163"/>
      <c r="N129" s="167"/>
      <c r="O129" s="165"/>
      <c r="P129" s="163"/>
      <c r="Q129" s="163">
        <v>128</v>
      </c>
    </row>
    <row r="130" spans="1:17">
      <c r="A130" s="163">
        <v>129</v>
      </c>
      <c r="B130" s="163" t="str">
        <f t="shared" si="2"/>
        <v>NotApplicable</v>
      </c>
      <c r="D130" s="163" t="e">
        <f>VLOOKUP(C:C,'QT Import for PTC'!B:D,3,0)</f>
        <v>#N/A</v>
      </c>
      <c r="E130" s="165"/>
      <c r="F130" s="165"/>
      <c r="G130" s="165"/>
      <c r="H130" s="165"/>
      <c r="I130" s="165"/>
      <c r="J130" s="165"/>
      <c r="K130" s="165"/>
      <c r="L130" s="166"/>
      <c r="M130" s="163"/>
      <c r="N130" s="167"/>
      <c r="O130" s="165"/>
      <c r="P130" s="163"/>
      <c r="Q130" s="163">
        <v>129</v>
      </c>
    </row>
    <row r="131" spans="1:17">
      <c r="A131" s="163">
        <v>130</v>
      </c>
      <c r="B131" s="163" t="str">
        <f t="shared" ref="B131:B194" si="3">IF(ISNA(D131),"NotApplicable","Applicable")</f>
        <v>NotApplicable</v>
      </c>
      <c r="D131" s="163" t="e">
        <f>VLOOKUP(C:C,'QT Import for PTC'!B:D,3,0)</f>
        <v>#N/A</v>
      </c>
      <c r="E131" s="165"/>
      <c r="F131" s="165"/>
      <c r="G131" s="165"/>
      <c r="H131" s="165"/>
      <c r="I131" s="165"/>
      <c r="J131" s="165"/>
      <c r="K131" s="165"/>
      <c r="L131" s="166"/>
      <c r="M131" s="163"/>
      <c r="N131" s="167"/>
      <c r="O131" s="165"/>
      <c r="P131" s="163"/>
      <c r="Q131" s="163">
        <v>130</v>
      </c>
    </row>
    <row r="132" spans="1:17">
      <c r="A132" s="163">
        <v>131</v>
      </c>
      <c r="B132" s="163" t="str">
        <f t="shared" si="3"/>
        <v>NotApplicable</v>
      </c>
      <c r="D132" s="163" t="e">
        <f>VLOOKUP(C:C,'QT Import for PTC'!B:D,3,0)</f>
        <v>#N/A</v>
      </c>
      <c r="E132" s="165"/>
      <c r="F132" s="165"/>
      <c r="G132" s="165"/>
      <c r="H132" s="165"/>
      <c r="I132" s="165"/>
      <c r="J132" s="165"/>
      <c r="K132" s="165"/>
      <c r="L132" s="166"/>
      <c r="M132" s="163"/>
      <c r="N132" s="167"/>
      <c r="O132" s="165"/>
      <c r="P132" s="163"/>
      <c r="Q132" s="163">
        <v>131</v>
      </c>
    </row>
    <row r="133" spans="1:17">
      <c r="A133" s="163">
        <v>132</v>
      </c>
      <c r="B133" s="163" t="str">
        <f t="shared" si="3"/>
        <v>NotApplicable</v>
      </c>
      <c r="D133" s="163" t="e">
        <f>VLOOKUP(C:C,'QT Import for PTC'!B:D,3,0)</f>
        <v>#N/A</v>
      </c>
      <c r="E133" s="165"/>
      <c r="F133" s="165"/>
      <c r="G133" s="165"/>
      <c r="H133" s="165"/>
      <c r="I133" s="165"/>
      <c r="J133" s="165"/>
      <c r="K133" s="165"/>
      <c r="L133" s="166"/>
      <c r="M133" s="163"/>
      <c r="N133" s="167"/>
      <c r="O133" s="165"/>
      <c r="P133" s="163"/>
      <c r="Q133" s="163">
        <v>132</v>
      </c>
    </row>
    <row r="134" spans="1:17">
      <c r="A134" s="163"/>
      <c r="B134" s="163" t="str">
        <f t="shared" si="3"/>
        <v>NotApplicable</v>
      </c>
      <c r="D134" s="163" t="e">
        <f>VLOOKUP(C:C,'QT Import for PTC'!B:D,3,0)</f>
        <v>#N/A</v>
      </c>
      <c r="E134" s="165"/>
      <c r="F134" s="165"/>
      <c r="G134" s="165"/>
      <c r="H134" s="165"/>
      <c r="I134" s="165"/>
      <c r="J134" s="165"/>
      <c r="K134" s="165"/>
      <c r="L134" s="166"/>
      <c r="M134" s="163"/>
      <c r="N134" s="167"/>
      <c r="O134" s="165"/>
      <c r="P134" s="163"/>
      <c r="Q134" s="163">
        <v>133</v>
      </c>
    </row>
    <row r="135" spans="1:17">
      <c r="A135" s="163"/>
      <c r="B135" s="163" t="str">
        <f t="shared" si="3"/>
        <v>NotApplicable</v>
      </c>
      <c r="D135" s="163" t="e">
        <f>VLOOKUP(C:C,'QT Import for PTC'!B:D,3,0)</f>
        <v>#N/A</v>
      </c>
      <c r="E135" s="165"/>
      <c r="F135" s="165"/>
      <c r="G135" s="165"/>
      <c r="H135" s="165"/>
      <c r="I135" s="165"/>
      <c r="J135" s="165"/>
      <c r="K135" s="165"/>
      <c r="L135" s="166"/>
      <c r="M135" s="163"/>
      <c r="N135" s="167"/>
      <c r="O135" s="165"/>
      <c r="P135" s="163"/>
      <c r="Q135" s="163">
        <v>134</v>
      </c>
    </row>
    <row r="136" spans="1:17">
      <c r="A136" s="163"/>
      <c r="B136" s="163" t="str">
        <f t="shared" si="3"/>
        <v>NotApplicable</v>
      </c>
      <c r="D136" s="163" t="e">
        <f>VLOOKUP(C:C,'QT Import for PTC'!B:D,3,0)</f>
        <v>#N/A</v>
      </c>
      <c r="E136" s="165"/>
      <c r="F136" s="165"/>
      <c r="G136" s="165"/>
      <c r="H136" s="165"/>
      <c r="I136" s="165"/>
      <c r="J136" s="165"/>
      <c r="K136" s="165"/>
      <c r="L136" s="166"/>
      <c r="M136" s="163"/>
      <c r="N136" s="167"/>
      <c r="O136" s="165"/>
      <c r="P136" s="163"/>
      <c r="Q136" s="163">
        <v>135</v>
      </c>
    </row>
    <row r="137" spans="1:17">
      <c r="A137" s="163"/>
      <c r="B137" s="163" t="str">
        <f t="shared" si="3"/>
        <v>NotApplicable</v>
      </c>
      <c r="D137" s="163" t="e">
        <f>VLOOKUP(C:C,'QT Import for PTC'!B:D,3,0)</f>
        <v>#N/A</v>
      </c>
      <c r="E137" s="165"/>
      <c r="F137" s="165"/>
      <c r="G137" s="165"/>
      <c r="H137" s="165"/>
      <c r="I137" s="165"/>
      <c r="J137" s="165"/>
      <c r="K137" s="165"/>
      <c r="L137" s="166"/>
      <c r="M137" s="163"/>
      <c r="N137" s="167"/>
      <c r="O137" s="165"/>
      <c r="P137" s="163"/>
      <c r="Q137" s="163">
        <v>136</v>
      </c>
    </row>
    <row r="138" spans="1:17">
      <c r="A138" s="163"/>
      <c r="B138" s="163" t="str">
        <f t="shared" si="3"/>
        <v>NotApplicable</v>
      </c>
      <c r="D138" s="163" t="e">
        <f>VLOOKUP(C:C,'QT Import for PTC'!B:D,3,0)</f>
        <v>#N/A</v>
      </c>
      <c r="E138" s="165"/>
      <c r="F138" s="165"/>
      <c r="G138" s="165"/>
      <c r="H138" s="165"/>
      <c r="I138" s="165"/>
      <c r="J138" s="165"/>
      <c r="K138" s="165"/>
      <c r="L138" s="166"/>
      <c r="M138" s="163"/>
      <c r="N138" s="167"/>
      <c r="O138" s="165"/>
      <c r="P138" s="163"/>
      <c r="Q138" s="163">
        <v>137</v>
      </c>
    </row>
    <row r="139" spans="1:17">
      <c r="A139" s="163"/>
      <c r="B139" s="163" t="str">
        <f t="shared" si="3"/>
        <v>NotApplicable</v>
      </c>
      <c r="D139" s="163" t="e">
        <f>VLOOKUP(C:C,'QT Import for PTC'!B:D,3,0)</f>
        <v>#N/A</v>
      </c>
      <c r="E139" s="165"/>
      <c r="F139" s="165"/>
      <c r="G139" s="165"/>
      <c r="H139" s="165"/>
      <c r="I139" s="165"/>
      <c r="J139" s="165"/>
      <c r="K139" s="165"/>
      <c r="L139" s="166"/>
      <c r="M139" s="163"/>
      <c r="N139" s="167"/>
      <c r="O139" s="165"/>
      <c r="P139" s="163"/>
      <c r="Q139" s="163">
        <v>138</v>
      </c>
    </row>
    <row r="140" spans="1:17">
      <c r="A140" s="163"/>
      <c r="B140" s="163" t="str">
        <f t="shared" si="3"/>
        <v>NotApplicable</v>
      </c>
      <c r="D140" s="163" t="e">
        <f>VLOOKUP(C:C,'QT Import for PTC'!B:D,3,0)</f>
        <v>#N/A</v>
      </c>
      <c r="E140" s="165"/>
      <c r="F140" s="165"/>
      <c r="G140" s="165"/>
      <c r="H140" s="165"/>
      <c r="I140" s="165"/>
      <c r="J140" s="165"/>
      <c r="K140" s="165"/>
      <c r="L140" s="166"/>
      <c r="M140" s="163"/>
      <c r="N140" s="167"/>
      <c r="O140" s="165"/>
      <c r="P140" s="163"/>
      <c r="Q140" s="163">
        <v>139</v>
      </c>
    </row>
    <row r="141" spans="1:17">
      <c r="A141" s="163"/>
      <c r="B141" s="163" t="str">
        <f t="shared" si="3"/>
        <v>NotApplicable</v>
      </c>
      <c r="D141" s="163" t="e">
        <f>VLOOKUP(C:C,'QT Import for PTC'!B:D,3,0)</f>
        <v>#N/A</v>
      </c>
      <c r="E141" s="165"/>
      <c r="F141" s="165"/>
      <c r="G141" s="165"/>
      <c r="H141" s="165"/>
      <c r="I141" s="165"/>
      <c r="J141" s="165"/>
      <c r="K141" s="165"/>
      <c r="L141" s="166"/>
      <c r="M141" s="163"/>
      <c r="N141" s="167"/>
      <c r="O141" s="165"/>
      <c r="P141" s="163"/>
      <c r="Q141" s="163">
        <v>140</v>
      </c>
    </row>
    <row r="142" spans="1:17">
      <c r="A142" s="163"/>
      <c r="B142" s="163" t="str">
        <f t="shared" si="3"/>
        <v>NotApplicable</v>
      </c>
      <c r="D142" s="163" t="e">
        <f>VLOOKUP(C:C,'QT Import for PTC'!B:D,3,0)</f>
        <v>#N/A</v>
      </c>
      <c r="E142" s="165"/>
      <c r="F142" s="165"/>
      <c r="G142" s="165"/>
      <c r="H142" s="165"/>
      <c r="I142" s="165"/>
      <c r="J142" s="165"/>
      <c r="K142" s="165"/>
      <c r="L142" s="166"/>
      <c r="M142" s="163"/>
      <c r="N142" s="167"/>
      <c r="O142" s="165"/>
      <c r="P142" s="163"/>
      <c r="Q142" s="163">
        <v>141</v>
      </c>
    </row>
    <row r="143" spans="1:17">
      <c r="A143" s="163"/>
      <c r="B143" s="163" t="str">
        <f t="shared" si="3"/>
        <v>NotApplicable</v>
      </c>
      <c r="D143" s="163" t="e">
        <f>VLOOKUP(C:C,'QT Import for PTC'!B:D,3,0)</f>
        <v>#N/A</v>
      </c>
      <c r="E143" s="165"/>
      <c r="F143" s="165"/>
      <c r="G143" s="165"/>
      <c r="H143" s="165"/>
      <c r="I143" s="165"/>
      <c r="J143" s="165"/>
      <c r="K143" s="165"/>
      <c r="L143" s="166"/>
      <c r="M143" s="163"/>
      <c r="N143" s="167"/>
      <c r="O143" s="165"/>
      <c r="P143" s="163"/>
      <c r="Q143" s="163">
        <v>142</v>
      </c>
    </row>
    <row r="144" spans="1:17">
      <c r="A144" s="163"/>
      <c r="B144" s="163" t="str">
        <f t="shared" si="3"/>
        <v>NotApplicable</v>
      </c>
      <c r="D144" s="163" t="e">
        <f>VLOOKUP(C:C,'QT Import for PTC'!B:D,3,0)</f>
        <v>#N/A</v>
      </c>
      <c r="E144" s="165"/>
      <c r="F144" s="165"/>
      <c r="G144" s="165"/>
      <c r="H144" s="165"/>
      <c r="I144" s="165"/>
      <c r="J144" s="165"/>
      <c r="K144" s="165"/>
      <c r="L144" s="166"/>
      <c r="M144" s="163"/>
      <c r="N144" s="167"/>
      <c r="O144" s="165"/>
      <c r="P144" s="163"/>
      <c r="Q144" s="163">
        <v>143</v>
      </c>
    </row>
    <row r="145" spans="1:17">
      <c r="A145" s="163"/>
      <c r="B145" s="163" t="str">
        <f t="shared" si="3"/>
        <v>NotApplicable</v>
      </c>
      <c r="D145" s="163" t="e">
        <f>VLOOKUP(C:C,'QT Import for PTC'!B:D,3,0)</f>
        <v>#N/A</v>
      </c>
      <c r="E145" s="165"/>
      <c r="F145" s="165"/>
      <c r="G145" s="165"/>
      <c r="H145" s="165"/>
      <c r="I145" s="165"/>
      <c r="J145" s="165"/>
      <c r="K145" s="165"/>
      <c r="L145" s="166"/>
      <c r="M145" s="163"/>
      <c r="N145" s="167"/>
      <c r="O145" s="165"/>
      <c r="P145" s="163"/>
      <c r="Q145" s="163">
        <v>144</v>
      </c>
    </row>
    <row r="146" spans="1:17">
      <c r="A146" s="163"/>
      <c r="B146" s="163" t="str">
        <f t="shared" si="3"/>
        <v>NotApplicable</v>
      </c>
      <c r="D146" s="163" t="e">
        <f>VLOOKUP(C:C,'QT Import for PTC'!B:D,3,0)</f>
        <v>#N/A</v>
      </c>
      <c r="E146" s="165"/>
      <c r="F146" s="165"/>
      <c r="G146" s="165"/>
      <c r="H146" s="165"/>
      <c r="I146" s="165"/>
      <c r="J146" s="165"/>
      <c r="K146" s="165"/>
      <c r="L146" s="166"/>
      <c r="M146" s="163"/>
      <c r="N146" s="167"/>
      <c r="O146" s="165"/>
      <c r="P146" s="163"/>
      <c r="Q146" s="163">
        <v>145</v>
      </c>
    </row>
    <row r="147" spans="1:17">
      <c r="A147" s="163"/>
      <c r="B147" s="163" t="str">
        <f t="shared" si="3"/>
        <v>NotApplicable</v>
      </c>
      <c r="D147" s="163" t="e">
        <f>VLOOKUP(C:C,'QT Import for PTC'!B:D,3,0)</f>
        <v>#N/A</v>
      </c>
      <c r="E147" s="165"/>
      <c r="F147" s="165"/>
      <c r="G147" s="165"/>
      <c r="H147" s="165"/>
      <c r="I147" s="165"/>
      <c r="J147" s="165"/>
      <c r="K147" s="165"/>
      <c r="L147" s="166"/>
      <c r="M147" s="163"/>
      <c r="N147" s="167"/>
      <c r="O147" s="165"/>
      <c r="P147" s="163"/>
      <c r="Q147" s="163">
        <v>146</v>
      </c>
    </row>
    <row r="148" spans="1:17">
      <c r="A148" s="163"/>
      <c r="B148" s="163" t="str">
        <f t="shared" si="3"/>
        <v>NotApplicable</v>
      </c>
      <c r="D148" s="163" t="e">
        <f>VLOOKUP(C:C,'QT Import for PTC'!B:D,3,0)</f>
        <v>#N/A</v>
      </c>
      <c r="E148" s="165"/>
      <c r="F148" s="165"/>
      <c r="G148" s="165"/>
      <c r="H148" s="165"/>
      <c r="I148" s="165"/>
      <c r="J148" s="165"/>
      <c r="K148" s="165"/>
      <c r="L148" s="166"/>
      <c r="M148" s="163"/>
      <c r="N148" s="167"/>
      <c r="O148" s="165"/>
      <c r="P148" s="163"/>
      <c r="Q148" s="163">
        <v>147</v>
      </c>
    </row>
    <row r="149" spans="1:17">
      <c r="A149" s="163"/>
      <c r="B149" s="163" t="str">
        <f t="shared" si="3"/>
        <v>NotApplicable</v>
      </c>
      <c r="D149" s="163" t="e">
        <f>VLOOKUP(C:C,'QT Import for PTC'!B:D,3,0)</f>
        <v>#N/A</v>
      </c>
      <c r="E149" s="165"/>
      <c r="F149" s="165"/>
      <c r="G149" s="165"/>
      <c r="H149" s="165"/>
      <c r="I149" s="165"/>
      <c r="J149" s="165"/>
      <c r="K149" s="165"/>
      <c r="L149" s="166"/>
      <c r="M149" s="163"/>
      <c r="N149" s="167"/>
      <c r="O149" s="165"/>
      <c r="P149" s="163"/>
      <c r="Q149" s="163">
        <v>148</v>
      </c>
    </row>
    <row r="150" spans="1:17">
      <c r="A150" s="163"/>
      <c r="B150" s="163" t="str">
        <f t="shared" si="3"/>
        <v>NotApplicable</v>
      </c>
      <c r="D150" s="163" t="e">
        <f>VLOOKUP(C:C,'QT Import for PTC'!B:D,3,0)</f>
        <v>#N/A</v>
      </c>
      <c r="E150" s="165"/>
      <c r="F150" s="165"/>
      <c r="G150" s="165"/>
      <c r="H150" s="165"/>
      <c r="I150" s="165"/>
      <c r="J150" s="165"/>
      <c r="K150" s="165"/>
      <c r="L150" s="166"/>
      <c r="M150" s="163"/>
      <c r="N150" s="167"/>
      <c r="O150" s="165"/>
      <c r="P150" s="163"/>
      <c r="Q150" s="163">
        <v>149</v>
      </c>
    </row>
    <row r="151" spans="1:17">
      <c r="A151" s="163"/>
      <c r="B151" s="163" t="str">
        <f t="shared" si="3"/>
        <v>NotApplicable</v>
      </c>
      <c r="D151" s="163" t="e">
        <f>VLOOKUP(C:C,'QT Import for PTC'!B:D,3,0)</f>
        <v>#N/A</v>
      </c>
      <c r="E151" s="165"/>
      <c r="F151" s="165"/>
      <c r="G151" s="165"/>
      <c r="H151" s="165"/>
      <c r="I151" s="165"/>
      <c r="J151" s="165"/>
      <c r="K151" s="165"/>
      <c r="L151" s="166"/>
      <c r="M151" s="163"/>
      <c r="N151" s="167"/>
      <c r="O151" s="165"/>
      <c r="P151" s="163"/>
      <c r="Q151" s="163">
        <v>150</v>
      </c>
    </row>
    <row r="152" spans="1:17">
      <c r="A152" s="163"/>
      <c r="B152" s="163" t="str">
        <f t="shared" si="3"/>
        <v>NotApplicable</v>
      </c>
      <c r="D152" s="163" t="e">
        <f>VLOOKUP(C:C,'QT Import for PTC'!B:D,3,0)</f>
        <v>#N/A</v>
      </c>
      <c r="E152" s="165"/>
      <c r="F152" s="165"/>
      <c r="G152" s="165"/>
      <c r="H152" s="165"/>
      <c r="I152" s="165"/>
      <c r="J152" s="165"/>
      <c r="K152" s="165"/>
      <c r="L152" s="166"/>
      <c r="M152" s="163"/>
      <c r="N152" s="167"/>
      <c r="O152" s="165"/>
      <c r="P152" s="163"/>
      <c r="Q152" s="163">
        <v>151</v>
      </c>
    </row>
    <row r="153" spans="1:17">
      <c r="A153" s="163"/>
      <c r="B153" s="163" t="str">
        <f t="shared" si="3"/>
        <v>NotApplicable</v>
      </c>
      <c r="D153" s="163" t="e">
        <f>VLOOKUP(C:C,'QT Import for PTC'!B:D,3,0)</f>
        <v>#N/A</v>
      </c>
      <c r="E153" s="165"/>
      <c r="F153" s="165"/>
      <c r="G153" s="165"/>
      <c r="H153" s="165"/>
      <c r="I153" s="165"/>
      <c r="J153" s="165"/>
      <c r="K153" s="165"/>
      <c r="L153" s="166"/>
      <c r="M153" s="163"/>
      <c r="N153" s="167"/>
      <c r="O153" s="165"/>
      <c r="P153" s="163"/>
      <c r="Q153" s="163">
        <v>152</v>
      </c>
    </row>
    <row r="154" spans="1:17">
      <c r="A154" s="163"/>
      <c r="B154" s="163" t="str">
        <f t="shared" si="3"/>
        <v>NotApplicable</v>
      </c>
      <c r="D154" s="163" t="e">
        <f>VLOOKUP(C:C,'QT Import for PTC'!B:D,3,0)</f>
        <v>#N/A</v>
      </c>
      <c r="E154" s="165"/>
      <c r="F154" s="165"/>
      <c r="G154" s="165"/>
      <c r="H154" s="165"/>
      <c r="I154" s="165"/>
      <c r="J154" s="165"/>
      <c r="K154" s="165"/>
      <c r="L154" s="166"/>
      <c r="M154" s="163"/>
      <c r="N154" s="167"/>
      <c r="O154" s="165"/>
      <c r="P154" s="163"/>
      <c r="Q154" s="163">
        <v>153</v>
      </c>
    </row>
    <row r="155" spans="1:17">
      <c r="A155" s="163"/>
      <c r="B155" s="163" t="str">
        <f t="shared" si="3"/>
        <v>NotApplicable</v>
      </c>
      <c r="D155" s="163" t="e">
        <f>VLOOKUP(C:C,'QT Import for PTC'!B:D,3,0)</f>
        <v>#N/A</v>
      </c>
      <c r="E155" s="165"/>
      <c r="F155" s="165"/>
      <c r="G155" s="165"/>
      <c r="H155" s="165"/>
      <c r="I155" s="165"/>
      <c r="J155" s="165"/>
      <c r="K155" s="165"/>
      <c r="L155" s="166"/>
      <c r="M155" s="163"/>
      <c r="N155" s="167"/>
      <c r="O155" s="165"/>
      <c r="P155" s="163"/>
      <c r="Q155" s="163">
        <v>154</v>
      </c>
    </row>
    <row r="156" spans="1:17">
      <c r="A156" s="163"/>
      <c r="B156" s="163" t="str">
        <f t="shared" si="3"/>
        <v>NotApplicable</v>
      </c>
      <c r="D156" s="163" t="e">
        <f>VLOOKUP(C:C,'QT Import for PTC'!B:D,3,0)</f>
        <v>#N/A</v>
      </c>
      <c r="E156" s="165"/>
      <c r="F156" s="165"/>
      <c r="G156" s="165"/>
      <c r="H156" s="165"/>
      <c r="I156" s="165"/>
      <c r="J156" s="165"/>
      <c r="K156" s="165"/>
      <c r="L156" s="166"/>
      <c r="M156" s="163"/>
      <c r="N156" s="167"/>
      <c r="O156" s="165"/>
      <c r="P156" s="163"/>
      <c r="Q156" s="163">
        <v>155</v>
      </c>
    </row>
    <row r="157" spans="1:17">
      <c r="A157" s="163"/>
      <c r="B157" s="163" t="str">
        <f t="shared" si="3"/>
        <v>NotApplicable</v>
      </c>
      <c r="D157" s="163" t="e">
        <f>VLOOKUP(C:C,'QT Import for PTC'!B:D,3,0)</f>
        <v>#N/A</v>
      </c>
      <c r="E157" s="165"/>
      <c r="F157" s="165"/>
      <c r="G157" s="165"/>
      <c r="H157" s="165"/>
      <c r="I157" s="165"/>
      <c r="J157" s="165"/>
      <c r="K157" s="165"/>
      <c r="L157" s="166"/>
      <c r="M157" s="163"/>
      <c r="N157" s="167"/>
      <c r="O157" s="165"/>
      <c r="P157" s="163"/>
      <c r="Q157" s="163">
        <v>156</v>
      </c>
    </row>
    <row r="158" spans="1:17">
      <c r="A158" s="163"/>
      <c r="B158" s="163" t="str">
        <f t="shared" si="3"/>
        <v>NotApplicable</v>
      </c>
      <c r="D158" s="163" t="e">
        <f>VLOOKUP(C:C,'QT Import for PTC'!B:D,3,0)</f>
        <v>#N/A</v>
      </c>
      <c r="E158" s="165"/>
      <c r="F158" s="165"/>
      <c r="G158" s="165"/>
      <c r="H158" s="165"/>
      <c r="I158" s="165"/>
      <c r="J158" s="165"/>
      <c r="K158" s="165"/>
      <c r="L158" s="166"/>
      <c r="M158" s="163"/>
      <c r="N158" s="167"/>
      <c r="O158" s="165"/>
      <c r="P158" s="163"/>
      <c r="Q158" s="163">
        <v>157</v>
      </c>
    </row>
    <row r="159" spans="1:17">
      <c r="A159" s="163"/>
      <c r="B159" s="163" t="str">
        <f t="shared" si="3"/>
        <v>NotApplicable</v>
      </c>
      <c r="D159" s="163" t="e">
        <f>VLOOKUP(C:C,'QT Import for PTC'!B:D,3,0)</f>
        <v>#N/A</v>
      </c>
      <c r="E159" s="165"/>
      <c r="F159" s="165"/>
      <c r="G159" s="165"/>
      <c r="H159" s="165"/>
      <c r="I159" s="165"/>
      <c r="J159" s="165"/>
      <c r="K159" s="165"/>
      <c r="L159" s="166"/>
      <c r="M159" s="163"/>
      <c r="N159" s="167"/>
      <c r="O159" s="165"/>
      <c r="P159" s="163"/>
      <c r="Q159" s="163">
        <v>158</v>
      </c>
    </row>
    <row r="160" spans="1:17">
      <c r="A160" s="163"/>
      <c r="B160" s="163" t="str">
        <f t="shared" si="3"/>
        <v>NotApplicable</v>
      </c>
      <c r="D160" s="163" t="e">
        <f>VLOOKUP(C:C,'QT Import for PTC'!B:D,3,0)</f>
        <v>#N/A</v>
      </c>
      <c r="E160" s="165"/>
      <c r="F160" s="165"/>
      <c r="G160" s="165"/>
      <c r="H160" s="165"/>
      <c r="I160" s="165"/>
      <c r="J160" s="165"/>
      <c r="K160" s="165"/>
      <c r="L160" s="166"/>
      <c r="M160" s="163"/>
      <c r="N160" s="167"/>
      <c r="O160" s="165"/>
      <c r="P160" s="163"/>
      <c r="Q160" s="163">
        <v>159</v>
      </c>
    </row>
    <row r="161" spans="1:17">
      <c r="A161" s="163"/>
      <c r="B161" s="163" t="str">
        <f t="shared" si="3"/>
        <v>NotApplicable</v>
      </c>
      <c r="D161" s="163" t="e">
        <f>VLOOKUP(C:C,'QT Import for PTC'!B:D,3,0)</f>
        <v>#N/A</v>
      </c>
      <c r="E161" s="165"/>
      <c r="F161" s="165"/>
      <c r="G161" s="165"/>
      <c r="H161" s="165"/>
      <c r="I161" s="165"/>
      <c r="J161" s="165"/>
      <c r="K161" s="165"/>
      <c r="L161" s="166"/>
      <c r="M161" s="163"/>
      <c r="N161" s="167"/>
      <c r="O161" s="165"/>
      <c r="P161" s="163"/>
      <c r="Q161" s="163">
        <v>160</v>
      </c>
    </row>
    <row r="162" spans="1:17">
      <c r="A162" s="163"/>
      <c r="B162" s="163" t="str">
        <f t="shared" si="3"/>
        <v>NotApplicable</v>
      </c>
      <c r="D162" s="163" t="e">
        <f>VLOOKUP(C:C,'QT Import for PTC'!B:D,3,0)</f>
        <v>#N/A</v>
      </c>
      <c r="E162" s="165"/>
      <c r="F162" s="165"/>
      <c r="G162" s="165"/>
      <c r="H162" s="165"/>
      <c r="I162" s="165"/>
      <c r="J162" s="165"/>
      <c r="K162" s="165"/>
      <c r="L162" s="166"/>
      <c r="M162" s="163"/>
      <c r="N162" s="167"/>
      <c r="O162" s="165"/>
      <c r="P162" s="163"/>
      <c r="Q162" s="163">
        <v>161</v>
      </c>
    </row>
    <row r="163" spans="1:17">
      <c r="A163" s="163"/>
      <c r="B163" s="163" t="str">
        <f t="shared" si="3"/>
        <v>NotApplicable</v>
      </c>
      <c r="D163" s="163" t="e">
        <f>VLOOKUP(C:C,'QT Import for PTC'!B:D,3,0)</f>
        <v>#N/A</v>
      </c>
      <c r="E163" s="165"/>
      <c r="F163" s="165"/>
      <c r="G163" s="165"/>
      <c r="H163" s="165"/>
      <c r="I163" s="165"/>
      <c r="J163" s="165"/>
      <c r="K163" s="165"/>
      <c r="L163" s="166"/>
      <c r="M163" s="163"/>
      <c r="N163" s="167"/>
      <c r="O163" s="165"/>
      <c r="P163" s="163"/>
      <c r="Q163" s="163">
        <v>162</v>
      </c>
    </row>
    <row r="164" spans="1:17">
      <c r="A164" s="163"/>
      <c r="B164" s="163" t="str">
        <f t="shared" si="3"/>
        <v>NotApplicable</v>
      </c>
      <c r="D164" s="163" t="e">
        <f>VLOOKUP(C:C,'QT Import for PTC'!B:D,3,0)</f>
        <v>#N/A</v>
      </c>
      <c r="E164" s="165"/>
      <c r="F164" s="165"/>
      <c r="G164" s="165"/>
      <c r="H164" s="165"/>
      <c r="I164" s="165"/>
      <c r="J164" s="165"/>
      <c r="K164" s="165"/>
      <c r="L164" s="166"/>
      <c r="M164" s="163"/>
      <c r="N164" s="167"/>
      <c r="O164" s="165"/>
      <c r="P164" s="163"/>
      <c r="Q164" s="163">
        <v>163</v>
      </c>
    </row>
    <row r="165" spans="1:17">
      <c r="A165" s="163"/>
      <c r="B165" s="163" t="str">
        <f t="shared" si="3"/>
        <v>NotApplicable</v>
      </c>
      <c r="D165" s="163" t="e">
        <f>VLOOKUP(C:C,'QT Import for PTC'!B:D,3,0)</f>
        <v>#N/A</v>
      </c>
      <c r="E165" s="165"/>
      <c r="F165" s="165"/>
      <c r="G165" s="165"/>
      <c r="H165" s="165"/>
      <c r="I165" s="165"/>
      <c r="J165" s="165"/>
      <c r="K165" s="165"/>
      <c r="L165" s="166"/>
      <c r="M165" s="163"/>
      <c r="N165" s="167"/>
      <c r="O165" s="165"/>
      <c r="P165" s="163"/>
      <c r="Q165" s="163">
        <v>164</v>
      </c>
    </row>
    <row r="166" spans="1:17">
      <c r="A166" s="163"/>
      <c r="B166" s="163" t="str">
        <f t="shared" si="3"/>
        <v>NotApplicable</v>
      </c>
      <c r="D166" s="163" t="e">
        <f>VLOOKUP(C:C,'QT Import for PTC'!B:D,3,0)</f>
        <v>#N/A</v>
      </c>
      <c r="E166" s="165"/>
      <c r="F166" s="165"/>
      <c r="G166" s="165"/>
      <c r="H166" s="165"/>
      <c r="I166" s="165"/>
      <c r="J166" s="165"/>
      <c r="K166" s="165"/>
      <c r="L166" s="166"/>
      <c r="M166" s="163"/>
      <c r="N166" s="167"/>
      <c r="O166" s="165"/>
      <c r="P166" s="163"/>
      <c r="Q166" s="163">
        <v>165</v>
      </c>
    </row>
    <row r="167" spans="1:17">
      <c r="A167" s="163"/>
      <c r="B167" s="163" t="str">
        <f t="shared" si="3"/>
        <v>NotApplicable</v>
      </c>
      <c r="D167" s="163" t="e">
        <f>VLOOKUP(C:C,'QT Import for PTC'!B:D,3,0)</f>
        <v>#N/A</v>
      </c>
      <c r="E167" s="165"/>
      <c r="F167" s="165"/>
      <c r="G167" s="165"/>
      <c r="H167" s="165"/>
      <c r="I167" s="165"/>
      <c r="J167" s="165"/>
      <c r="K167" s="165"/>
      <c r="L167" s="166"/>
      <c r="M167" s="163"/>
      <c r="N167" s="167"/>
      <c r="O167" s="165"/>
      <c r="P167" s="163"/>
      <c r="Q167" s="163">
        <v>166</v>
      </c>
    </row>
    <row r="168" spans="1:17">
      <c r="A168" s="163"/>
      <c r="B168" s="163" t="str">
        <f t="shared" si="3"/>
        <v>NotApplicable</v>
      </c>
      <c r="D168" s="163" t="e">
        <f>VLOOKUP(C:C,'QT Import for PTC'!B:D,3,0)</f>
        <v>#N/A</v>
      </c>
      <c r="E168" s="165"/>
      <c r="F168" s="165"/>
      <c r="G168" s="165"/>
      <c r="H168" s="165"/>
      <c r="I168" s="165"/>
      <c r="J168" s="165"/>
      <c r="K168" s="165"/>
      <c r="L168" s="166"/>
      <c r="M168" s="163"/>
      <c r="N168" s="167"/>
      <c r="O168" s="165"/>
      <c r="P168" s="163"/>
      <c r="Q168" s="163">
        <v>167</v>
      </c>
    </row>
    <row r="169" spans="1:17">
      <c r="A169" s="163"/>
      <c r="B169" s="163" t="str">
        <f t="shared" si="3"/>
        <v>NotApplicable</v>
      </c>
      <c r="D169" s="163" t="e">
        <f>VLOOKUP(C:C,'QT Import for PTC'!B:D,3,0)</f>
        <v>#N/A</v>
      </c>
      <c r="E169" s="165"/>
      <c r="F169" s="165"/>
      <c r="G169" s="165"/>
      <c r="H169" s="165"/>
      <c r="I169" s="165"/>
      <c r="J169" s="165"/>
      <c r="K169" s="165"/>
      <c r="L169" s="166"/>
      <c r="M169" s="163"/>
      <c r="N169" s="167"/>
      <c r="O169" s="165"/>
      <c r="P169" s="163"/>
      <c r="Q169" s="163">
        <v>168</v>
      </c>
    </row>
    <row r="170" spans="1:17">
      <c r="A170" s="163"/>
      <c r="B170" s="163" t="str">
        <f t="shared" si="3"/>
        <v>NotApplicable</v>
      </c>
      <c r="D170" s="163" t="e">
        <f>VLOOKUP(C:C,'QT Import for PTC'!B:D,3,0)</f>
        <v>#N/A</v>
      </c>
      <c r="E170" s="165"/>
      <c r="F170" s="165"/>
      <c r="G170" s="165"/>
      <c r="H170" s="165"/>
      <c r="I170" s="165"/>
      <c r="J170" s="165"/>
      <c r="K170" s="165"/>
      <c r="L170" s="166"/>
      <c r="M170" s="163"/>
      <c r="N170" s="167"/>
      <c r="O170" s="165"/>
      <c r="P170" s="163"/>
      <c r="Q170" s="163">
        <v>169</v>
      </c>
    </row>
    <row r="171" spans="1:17">
      <c r="A171" s="163"/>
      <c r="B171" s="163" t="str">
        <f t="shared" si="3"/>
        <v>NotApplicable</v>
      </c>
      <c r="D171" s="163" t="e">
        <f>VLOOKUP(C:C,'QT Import for PTC'!B:D,3,0)</f>
        <v>#N/A</v>
      </c>
      <c r="E171" s="165"/>
      <c r="F171" s="165"/>
      <c r="G171" s="165"/>
      <c r="H171" s="165"/>
      <c r="I171" s="165"/>
      <c r="J171" s="165"/>
      <c r="K171" s="165"/>
      <c r="L171" s="166"/>
      <c r="M171" s="163"/>
      <c r="N171" s="167"/>
      <c r="O171" s="165"/>
      <c r="P171" s="163"/>
      <c r="Q171" s="163">
        <v>170</v>
      </c>
    </row>
    <row r="172" spans="1:17">
      <c r="A172" s="163"/>
      <c r="B172" s="163" t="str">
        <f t="shared" si="3"/>
        <v>NotApplicable</v>
      </c>
      <c r="D172" s="163" t="e">
        <f>VLOOKUP(C:C,'QT Import for PTC'!B:D,3,0)</f>
        <v>#N/A</v>
      </c>
      <c r="E172" s="165"/>
      <c r="F172" s="165"/>
      <c r="G172" s="165"/>
      <c r="H172" s="165"/>
      <c r="I172" s="165"/>
      <c r="J172" s="165"/>
      <c r="K172" s="165"/>
      <c r="L172" s="166"/>
      <c r="M172" s="163"/>
      <c r="N172" s="167"/>
      <c r="O172" s="165"/>
      <c r="P172" s="163"/>
      <c r="Q172" s="163">
        <v>171</v>
      </c>
    </row>
    <row r="173" spans="1:17">
      <c r="A173" s="163"/>
      <c r="B173" s="163" t="str">
        <f t="shared" si="3"/>
        <v>NotApplicable</v>
      </c>
      <c r="D173" s="163" t="e">
        <f>VLOOKUP(C:C,'QT Import for PTC'!B:D,3,0)</f>
        <v>#N/A</v>
      </c>
      <c r="E173" s="165"/>
      <c r="F173" s="165"/>
      <c r="G173" s="165"/>
      <c r="H173" s="165"/>
      <c r="I173" s="165"/>
      <c r="J173" s="165"/>
      <c r="K173" s="165"/>
      <c r="L173" s="166"/>
      <c r="M173" s="163"/>
      <c r="N173" s="167"/>
      <c r="O173" s="165"/>
      <c r="P173" s="163"/>
      <c r="Q173" s="163">
        <v>172</v>
      </c>
    </row>
    <row r="174" spans="1:17">
      <c r="A174" s="163"/>
      <c r="B174" s="163" t="str">
        <f t="shared" si="3"/>
        <v>NotApplicable</v>
      </c>
      <c r="D174" s="163" t="e">
        <f>VLOOKUP(C:C,'QT Import for PTC'!B:D,3,0)</f>
        <v>#N/A</v>
      </c>
      <c r="E174" s="165"/>
      <c r="F174" s="165"/>
      <c r="G174" s="165"/>
      <c r="H174" s="165"/>
      <c r="I174" s="165"/>
      <c r="J174" s="165"/>
      <c r="K174" s="165"/>
      <c r="L174" s="166"/>
      <c r="M174" s="163"/>
      <c r="N174" s="167"/>
      <c r="O174" s="165"/>
      <c r="P174" s="163"/>
      <c r="Q174" s="163">
        <v>173</v>
      </c>
    </row>
    <row r="175" spans="1:17">
      <c r="A175" s="163"/>
      <c r="B175" s="163" t="str">
        <f t="shared" si="3"/>
        <v>NotApplicable</v>
      </c>
      <c r="D175" s="163" t="e">
        <f>VLOOKUP(C:C,'QT Import for PTC'!B:D,3,0)</f>
        <v>#N/A</v>
      </c>
      <c r="E175" s="165"/>
      <c r="F175" s="165"/>
      <c r="G175" s="165"/>
      <c r="H175" s="165"/>
      <c r="I175" s="165"/>
      <c r="J175" s="165"/>
      <c r="K175" s="165"/>
      <c r="L175" s="166"/>
      <c r="M175" s="163"/>
      <c r="N175" s="167"/>
      <c r="O175" s="165"/>
      <c r="P175" s="163"/>
      <c r="Q175" s="163">
        <v>174</v>
      </c>
    </row>
    <row r="176" spans="1:17">
      <c r="A176" s="163"/>
      <c r="B176" s="163" t="str">
        <f t="shared" si="3"/>
        <v>NotApplicable</v>
      </c>
      <c r="D176" s="163" t="e">
        <f>VLOOKUP(C:C,'QT Import for PTC'!B:D,3,0)</f>
        <v>#N/A</v>
      </c>
      <c r="E176" s="165"/>
      <c r="F176" s="165"/>
      <c r="G176" s="165"/>
      <c r="H176" s="165"/>
      <c r="I176" s="165"/>
      <c r="J176" s="165"/>
      <c r="K176" s="165"/>
      <c r="L176" s="166"/>
      <c r="M176" s="163"/>
      <c r="N176" s="167"/>
      <c r="O176" s="165"/>
      <c r="P176" s="163"/>
      <c r="Q176" s="163">
        <v>175</v>
      </c>
    </row>
    <row r="177" spans="1:17">
      <c r="A177" s="163"/>
      <c r="B177" s="163" t="str">
        <f t="shared" si="3"/>
        <v>NotApplicable</v>
      </c>
      <c r="D177" s="163" t="e">
        <f>VLOOKUP(C:C,'QT Import for PTC'!B:D,3,0)</f>
        <v>#N/A</v>
      </c>
      <c r="E177" s="165"/>
      <c r="F177" s="165"/>
      <c r="G177" s="165"/>
      <c r="H177" s="165"/>
      <c r="I177" s="165"/>
      <c r="J177" s="165"/>
      <c r="K177" s="165"/>
      <c r="L177" s="166"/>
      <c r="M177" s="163"/>
      <c r="N177" s="167"/>
      <c r="O177" s="165"/>
      <c r="P177" s="163"/>
      <c r="Q177" s="163">
        <v>176</v>
      </c>
    </row>
    <row r="178" spans="1:17">
      <c r="A178" s="163"/>
      <c r="B178" s="163" t="str">
        <f t="shared" si="3"/>
        <v>NotApplicable</v>
      </c>
      <c r="D178" s="163" t="e">
        <f>VLOOKUP(C:C,'QT Import for PTC'!B:D,3,0)</f>
        <v>#N/A</v>
      </c>
      <c r="E178" s="165"/>
      <c r="F178" s="165"/>
      <c r="G178" s="165"/>
      <c r="H178" s="165"/>
      <c r="I178" s="165"/>
      <c r="J178" s="165"/>
      <c r="K178" s="165"/>
      <c r="L178" s="166"/>
      <c r="M178" s="163"/>
      <c r="N178" s="167"/>
      <c r="O178" s="165"/>
      <c r="P178" s="163"/>
      <c r="Q178" s="163">
        <v>177</v>
      </c>
    </row>
    <row r="179" spans="1:17">
      <c r="A179" s="163"/>
      <c r="B179" s="163" t="str">
        <f t="shared" si="3"/>
        <v>NotApplicable</v>
      </c>
      <c r="D179" s="163" t="e">
        <f>VLOOKUP(C:C,'QT Import for PTC'!B:D,3,0)</f>
        <v>#N/A</v>
      </c>
      <c r="E179" s="165"/>
      <c r="F179" s="165"/>
      <c r="G179" s="165"/>
      <c r="H179" s="165"/>
      <c r="I179" s="165"/>
      <c r="J179" s="165"/>
      <c r="K179" s="165"/>
      <c r="L179" s="166"/>
      <c r="M179" s="163"/>
      <c r="N179" s="167"/>
      <c r="O179" s="165"/>
      <c r="P179" s="163"/>
      <c r="Q179" s="163">
        <v>178</v>
      </c>
    </row>
    <row r="180" spans="1:17">
      <c r="A180" s="163"/>
      <c r="B180" s="163" t="str">
        <f t="shared" si="3"/>
        <v>NotApplicable</v>
      </c>
      <c r="D180" s="163" t="e">
        <f>VLOOKUP(C:C,'QT Import for PTC'!B:D,3,0)</f>
        <v>#N/A</v>
      </c>
      <c r="E180" s="165"/>
      <c r="F180" s="165"/>
      <c r="G180" s="165"/>
      <c r="H180" s="165"/>
      <c r="I180" s="165"/>
      <c r="J180" s="165"/>
      <c r="K180" s="165"/>
      <c r="L180" s="166"/>
      <c r="M180" s="163"/>
      <c r="N180" s="167"/>
      <c r="O180" s="165"/>
      <c r="P180" s="163"/>
      <c r="Q180" s="163">
        <v>179</v>
      </c>
    </row>
    <row r="181" spans="1:17">
      <c r="A181" s="163"/>
      <c r="B181" s="163" t="str">
        <f t="shared" si="3"/>
        <v>NotApplicable</v>
      </c>
      <c r="D181" s="163" t="e">
        <f>VLOOKUP(C:C,'QT Import for PTC'!B:D,3,0)</f>
        <v>#N/A</v>
      </c>
      <c r="E181" s="165"/>
      <c r="F181" s="165"/>
      <c r="G181" s="165"/>
      <c r="H181" s="165"/>
      <c r="I181" s="165"/>
      <c r="J181" s="165"/>
      <c r="K181" s="165"/>
      <c r="L181" s="166"/>
      <c r="M181" s="163"/>
      <c r="N181" s="167"/>
      <c r="O181" s="165"/>
      <c r="P181" s="163"/>
      <c r="Q181" s="163">
        <v>180</v>
      </c>
    </row>
    <row r="182" spans="1:17">
      <c r="A182" s="163"/>
      <c r="B182" s="163" t="str">
        <f t="shared" si="3"/>
        <v>NotApplicable</v>
      </c>
      <c r="D182" s="163" t="e">
        <f>VLOOKUP(C:C,'QT Import for PTC'!B:D,3,0)</f>
        <v>#N/A</v>
      </c>
      <c r="E182" s="165"/>
      <c r="F182" s="165"/>
      <c r="G182" s="165"/>
      <c r="H182" s="165"/>
      <c r="I182" s="165"/>
      <c r="J182" s="165"/>
      <c r="K182" s="165"/>
      <c r="L182" s="166"/>
      <c r="M182" s="163"/>
      <c r="N182" s="167"/>
      <c r="O182" s="165"/>
      <c r="P182" s="163"/>
      <c r="Q182" s="163">
        <v>181</v>
      </c>
    </row>
    <row r="183" spans="1:17">
      <c r="A183" s="163"/>
      <c r="B183" s="163" t="str">
        <f t="shared" si="3"/>
        <v>NotApplicable</v>
      </c>
      <c r="D183" s="163" t="e">
        <f>VLOOKUP(C:C,'QT Import for PTC'!B:D,3,0)</f>
        <v>#N/A</v>
      </c>
      <c r="E183" s="165"/>
      <c r="F183" s="165"/>
      <c r="G183" s="165"/>
      <c r="H183" s="165"/>
      <c r="I183" s="165"/>
      <c r="J183" s="165"/>
      <c r="K183" s="165"/>
      <c r="L183" s="166"/>
      <c r="M183" s="163"/>
      <c r="N183" s="167"/>
      <c r="O183" s="165"/>
      <c r="P183" s="163"/>
      <c r="Q183" s="163">
        <v>182</v>
      </c>
    </row>
    <row r="184" spans="1:17">
      <c r="A184" s="163"/>
      <c r="B184" s="163" t="str">
        <f t="shared" si="3"/>
        <v>NotApplicable</v>
      </c>
      <c r="D184" s="163" t="e">
        <f>VLOOKUP(C:C,'QT Import for PTC'!B:D,3,0)</f>
        <v>#N/A</v>
      </c>
      <c r="E184" s="165"/>
      <c r="F184" s="165"/>
      <c r="G184" s="165"/>
      <c r="H184" s="165"/>
      <c r="I184" s="165"/>
      <c r="J184" s="165"/>
      <c r="K184" s="165"/>
      <c r="L184" s="166"/>
      <c r="M184" s="163"/>
      <c r="N184" s="167"/>
      <c r="O184" s="165"/>
      <c r="P184" s="163"/>
      <c r="Q184" s="163">
        <v>183</v>
      </c>
    </row>
    <row r="185" spans="1:17">
      <c r="A185" s="163"/>
      <c r="B185" s="163" t="str">
        <f t="shared" si="3"/>
        <v>NotApplicable</v>
      </c>
      <c r="D185" s="163" t="e">
        <f>VLOOKUP(C:C,'QT Import for PTC'!B:D,3,0)</f>
        <v>#N/A</v>
      </c>
      <c r="E185" s="165"/>
      <c r="F185" s="165"/>
      <c r="G185" s="165"/>
      <c r="H185" s="165"/>
      <c r="I185" s="165"/>
      <c r="J185" s="165"/>
      <c r="K185" s="165"/>
      <c r="L185" s="166"/>
      <c r="M185" s="163"/>
      <c r="N185" s="167"/>
      <c r="O185" s="165"/>
      <c r="P185" s="163"/>
      <c r="Q185" s="163">
        <v>184</v>
      </c>
    </row>
    <row r="186" spans="1:17">
      <c r="A186" s="163"/>
      <c r="B186" s="163" t="str">
        <f t="shared" si="3"/>
        <v>NotApplicable</v>
      </c>
      <c r="D186" s="163" t="e">
        <f>VLOOKUP(C:C,'QT Import for PTC'!B:D,3,0)</f>
        <v>#N/A</v>
      </c>
      <c r="E186" s="165"/>
      <c r="F186" s="165"/>
      <c r="G186" s="165"/>
      <c r="H186" s="165"/>
      <c r="I186" s="165"/>
      <c r="J186" s="165"/>
      <c r="K186" s="165"/>
      <c r="L186" s="166"/>
      <c r="M186" s="163"/>
      <c r="N186" s="167"/>
      <c r="O186" s="165"/>
      <c r="P186" s="163"/>
      <c r="Q186" s="163">
        <v>185</v>
      </c>
    </row>
    <row r="187" spans="1:17">
      <c r="A187" s="163"/>
      <c r="B187" s="163" t="str">
        <f t="shared" si="3"/>
        <v>NotApplicable</v>
      </c>
      <c r="D187" s="163" t="e">
        <f>VLOOKUP(C:C,'QT Import for PTC'!B:D,3,0)</f>
        <v>#N/A</v>
      </c>
      <c r="E187" s="165"/>
      <c r="F187" s="165"/>
      <c r="G187" s="165"/>
      <c r="H187" s="165"/>
      <c r="I187" s="165"/>
      <c r="J187" s="165"/>
      <c r="K187" s="165"/>
      <c r="L187" s="166"/>
      <c r="M187" s="163"/>
      <c r="N187" s="167"/>
      <c r="O187" s="165"/>
      <c r="P187" s="163"/>
      <c r="Q187" s="163">
        <v>186</v>
      </c>
    </row>
    <row r="188" spans="1:17">
      <c r="A188" s="163"/>
      <c r="B188" s="163" t="str">
        <f t="shared" si="3"/>
        <v>NotApplicable</v>
      </c>
      <c r="D188" s="163" t="e">
        <f>VLOOKUP(C:C,'QT Import for PTC'!B:D,3,0)</f>
        <v>#N/A</v>
      </c>
      <c r="E188" s="165"/>
      <c r="F188" s="165"/>
      <c r="G188" s="165"/>
      <c r="H188" s="165"/>
      <c r="I188" s="165"/>
      <c r="J188" s="165"/>
      <c r="K188" s="165"/>
      <c r="L188" s="166"/>
      <c r="M188" s="163"/>
      <c r="N188" s="167"/>
      <c r="O188" s="165"/>
      <c r="P188" s="163"/>
      <c r="Q188" s="163">
        <v>187</v>
      </c>
    </row>
    <row r="189" spans="1:17">
      <c r="A189" s="163"/>
      <c r="B189" s="163" t="str">
        <f t="shared" si="3"/>
        <v>NotApplicable</v>
      </c>
      <c r="D189" s="163" t="e">
        <f>VLOOKUP(C:C,'QT Import for PTC'!B:D,3,0)</f>
        <v>#N/A</v>
      </c>
      <c r="E189" s="165"/>
      <c r="F189" s="165"/>
      <c r="G189" s="165"/>
      <c r="H189" s="165"/>
      <c r="I189" s="165"/>
      <c r="J189" s="165"/>
      <c r="K189" s="165"/>
      <c r="L189" s="166"/>
      <c r="M189" s="163"/>
      <c r="N189" s="167"/>
      <c r="O189" s="165"/>
      <c r="P189" s="163"/>
      <c r="Q189" s="163">
        <v>188</v>
      </c>
    </row>
    <row r="190" spans="1:17">
      <c r="A190" s="163"/>
      <c r="B190" s="163" t="str">
        <f t="shared" si="3"/>
        <v>NotApplicable</v>
      </c>
      <c r="D190" s="163" t="e">
        <f>VLOOKUP(C:C,'QT Import for PTC'!B:D,3,0)</f>
        <v>#N/A</v>
      </c>
      <c r="E190" s="165"/>
      <c r="F190" s="165"/>
      <c r="G190" s="165"/>
      <c r="H190" s="165"/>
      <c r="I190" s="165"/>
      <c r="J190" s="165"/>
      <c r="K190" s="165"/>
      <c r="L190" s="166"/>
      <c r="M190" s="163"/>
      <c r="N190" s="167"/>
      <c r="O190" s="165"/>
      <c r="P190" s="163"/>
      <c r="Q190" s="163">
        <v>189</v>
      </c>
    </row>
    <row r="191" spans="1:17">
      <c r="A191" s="163"/>
      <c r="B191" s="163" t="str">
        <f t="shared" si="3"/>
        <v>NotApplicable</v>
      </c>
      <c r="D191" s="163" t="e">
        <f>VLOOKUP(C:C,'QT Import for PTC'!B:D,3,0)</f>
        <v>#N/A</v>
      </c>
      <c r="E191" s="165"/>
      <c r="F191" s="165"/>
      <c r="G191" s="165"/>
      <c r="H191" s="165"/>
      <c r="I191" s="165"/>
      <c r="J191" s="165"/>
      <c r="K191" s="165"/>
      <c r="L191" s="166"/>
      <c r="M191" s="163"/>
      <c r="N191" s="167"/>
      <c r="O191" s="165"/>
      <c r="P191" s="163"/>
      <c r="Q191" s="163">
        <v>190</v>
      </c>
    </row>
    <row r="192" spans="1:17">
      <c r="A192" s="163"/>
      <c r="B192" s="163" t="str">
        <f t="shared" si="3"/>
        <v>NotApplicable</v>
      </c>
      <c r="D192" s="163" t="e">
        <f>VLOOKUP(C:C,'QT Import for PTC'!B:D,3,0)</f>
        <v>#N/A</v>
      </c>
      <c r="E192" s="165"/>
      <c r="F192" s="165"/>
      <c r="G192" s="165"/>
      <c r="H192" s="165"/>
      <c r="I192" s="165"/>
      <c r="J192" s="165"/>
      <c r="K192" s="165"/>
      <c r="L192" s="166"/>
      <c r="M192" s="163"/>
      <c r="N192" s="167"/>
      <c r="O192" s="165"/>
      <c r="P192" s="163"/>
      <c r="Q192" s="163">
        <v>191</v>
      </c>
    </row>
    <row r="193" spans="1:17">
      <c r="A193" s="163"/>
      <c r="B193" s="163" t="str">
        <f t="shared" si="3"/>
        <v>NotApplicable</v>
      </c>
      <c r="D193" s="163" t="e">
        <f>VLOOKUP(C:C,'QT Import for PTC'!B:D,3,0)</f>
        <v>#N/A</v>
      </c>
      <c r="E193" s="165"/>
      <c r="F193" s="165"/>
      <c r="G193" s="165"/>
      <c r="H193" s="165"/>
      <c r="I193" s="165"/>
      <c r="J193" s="165"/>
      <c r="K193" s="165"/>
      <c r="L193" s="166"/>
      <c r="M193" s="163"/>
      <c r="N193" s="167"/>
      <c r="O193" s="165"/>
      <c r="P193" s="163"/>
      <c r="Q193" s="163">
        <v>192</v>
      </c>
    </row>
    <row r="194" spans="1:17">
      <c r="A194" s="163"/>
      <c r="B194" s="163" t="str">
        <f t="shared" si="3"/>
        <v>NotApplicable</v>
      </c>
      <c r="D194" s="163" t="e">
        <f>VLOOKUP(C:C,'QT Import for PTC'!B:D,3,0)</f>
        <v>#N/A</v>
      </c>
      <c r="E194" s="165"/>
      <c r="F194" s="165"/>
      <c r="G194" s="165"/>
      <c r="H194" s="165"/>
      <c r="I194" s="165"/>
      <c r="J194" s="165"/>
      <c r="K194" s="165"/>
      <c r="L194" s="166"/>
      <c r="M194" s="163"/>
      <c r="N194" s="167"/>
      <c r="O194" s="165"/>
      <c r="P194" s="163"/>
      <c r="Q194" s="163">
        <v>193</v>
      </c>
    </row>
    <row r="195" spans="1:17">
      <c r="A195" s="163"/>
      <c r="B195" s="163" t="str">
        <f t="shared" ref="B195:B258" si="4">IF(ISNA(D195),"NotApplicable","Applicable")</f>
        <v>NotApplicable</v>
      </c>
      <c r="D195" s="163" t="e">
        <f>VLOOKUP(C:C,'QT Import for PTC'!B:D,3,0)</f>
        <v>#N/A</v>
      </c>
      <c r="E195" s="165"/>
      <c r="F195" s="165"/>
      <c r="G195" s="165"/>
      <c r="H195" s="165"/>
      <c r="I195" s="165"/>
      <c r="J195" s="165"/>
      <c r="K195" s="165"/>
      <c r="L195" s="166"/>
      <c r="M195" s="163"/>
      <c r="N195" s="167"/>
      <c r="O195" s="165"/>
      <c r="P195" s="163"/>
      <c r="Q195" s="163">
        <v>194</v>
      </c>
    </row>
    <row r="196" spans="1:17">
      <c r="A196" s="163"/>
      <c r="B196" s="163" t="str">
        <f t="shared" si="4"/>
        <v>NotApplicable</v>
      </c>
      <c r="D196" s="163" t="e">
        <f>VLOOKUP(C:C,'QT Import for PTC'!B:D,3,0)</f>
        <v>#N/A</v>
      </c>
      <c r="E196" s="165"/>
      <c r="F196" s="165"/>
      <c r="G196" s="165"/>
      <c r="H196" s="165"/>
      <c r="I196" s="165"/>
      <c r="J196" s="165"/>
      <c r="K196" s="165"/>
      <c r="L196" s="166"/>
      <c r="M196" s="163"/>
      <c r="N196" s="167"/>
      <c r="O196" s="165"/>
      <c r="P196" s="163"/>
      <c r="Q196" s="163">
        <v>195</v>
      </c>
    </row>
    <row r="197" spans="1:17">
      <c r="A197" s="163"/>
      <c r="B197" s="163" t="str">
        <f t="shared" si="4"/>
        <v>NotApplicable</v>
      </c>
      <c r="D197" s="163" t="e">
        <f>VLOOKUP(C:C,'QT Import for PTC'!B:D,3,0)</f>
        <v>#N/A</v>
      </c>
      <c r="E197" s="165"/>
      <c r="F197" s="165"/>
      <c r="G197" s="165"/>
      <c r="H197" s="165"/>
      <c r="I197" s="165"/>
      <c r="J197" s="165"/>
      <c r="K197" s="165"/>
      <c r="L197" s="166"/>
      <c r="M197" s="163"/>
      <c r="N197" s="167"/>
      <c r="O197" s="165"/>
      <c r="P197" s="163"/>
      <c r="Q197" s="163">
        <v>196</v>
      </c>
    </row>
    <row r="198" spans="1:17">
      <c r="A198" s="163"/>
      <c r="B198" s="163" t="str">
        <f t="shared" si="4"/>
        <v>NotApplicable</v>
      </c>
      <c r="D198" s="163" t="e">
        <f>VLOOKUP(C:C,'QT Import for PTC'!B:D,3,0)</f>
        <v>#N/A</v>
      </c>
      <c r="E198" s="165"/>
      <c r="F198" s="165"/>
      <c r="G198" s="165"/>
      <c r="H198" s="165"/>
      <c r="I198" s="165"/>
      <c r="J198" s="165"/>
      <c r="K198" s="165"/>
      <c r="L198" s="166"/>
      <c r="M198" s="163"/>
      <c r="N198" s="167"/>
      <c r="O198" s="165"/>
      <c r="P198" s="163"/>
      <c r="Q198" s="163">
        <v>197</v>
      </c>
    </row>
    <row r="199" spans="1:17">
      <c r="A199" s="163"/>
      <c r="B199" s="163" t="str">
        <f t="shared" si="4"/>
        <v>NotApplicable</v>
      </c>
      <c r="D199" s="163" t="e">
        <f>VLOOKUP(C:C,'QT Import for PTC'!B:D,3,0)</f>
        <v>#N/A</v>
      </c>
      <c r="E199" s="165"/>
      <c r="F199" s="165"/>
      <c r="G199" s="165"/>
      <c r="H199" s="165"/>
      <c r="I199" s="165"/>
      <c r="J199" s="165"/>
      <c r="K199" s="165"/>
      <c r="L199" s="166"/>
      <c r="M199" s="163"/>
      <c r="N199" s="167"/>
      <c r="O199" s="165"/>
      <c r="P199" s="163"/>
      <c r="Q199" s="163">
        <v>198</v>
      </c>
    </row>
    <row r="200" spans="1:17">
      <c r="A200" s="163"/>
      <c r="B200" s="163" t="str">
        <f t="shared" si="4"/>
        <v>NotApplicable</v>
      </c>
      <c r="D200" s="163" t="e">
        <f>VLOOKUP(C:C,'QT Import for PTC'!B:D,3,0)</f>
        <v>#N/A</v>
      </c>
      <c r="E200" s="165"/>
      <c r="F200" s="165"/>
      <c r="G200" s="165"/>
      <c r="H200" s="165"/>
      <c r="I200" s="165"/>
      <c r="J200" s="165"/>
      <c r="K200" s="165"/>
      <c r="L200" s="166"/>
      <c r="M200" s="163"/>
      <c r="N200" s="167"/>
      <c r="O200" s="165"/>
      <c r="P200" s="163"/>
      <c r="Q200" s="163">
        <v>199</v>
      </c>
    </row>
    <row r="201" spans="1:17">
      <c r="A201" s="163"/>
      <c r="B201" s="163" t="str">
        <f t="shared" si="4"/>
        <v>NotApplicable</v>
      </c>
      <c r="D201" s="163" t="e">
        <f>VLOOKUP(C:C,'QT Import for PTC'!B:D,3,0)</f>
        <v>#N/A</v>
      </c>
      <c r="E201" s="165"/>
      <c r="F201" s="165"/>
      <c r="G201" s="165"/>
      <c r="H201" s="165"/>
      <c r="I201" s="165"/>
      <c r="J201" s="165"/>
      <c r="K201" s="165"/>
      <c r="L201" s="166"/>
      <c r="M201" s="163"/>
      <c r="N201" s="167"/>
      <c r="O201" s="165"/>
      <c r="P201" s="163"/>
      <c r="Q201" s="163">
        <v>200</v>
      </c>
    </row>
    <row r="202" spans="1:17">
      <c r="A202" s="163"/>
      <c r="B202" s="163" t="str">
        <f t="shared" si="4"/>
        <v>NotApplicable</v>
      </c>
      <c r="D202" s="163" t="e">
        <f>VLOOKUP(C:C,'QT Import for PTC'!B:D,3,0)</f>
        <v>#N/A</v>
      </c>
      <c r="E202" s="165"/>
      <c r="F202" s="165"/>
      <c r="G202" s="165"/>
      <c r="H202" s="165"/>
      <c r="I202" s="165"/>
      <c r="J202" s="165"/>
      <c r="K202" s="165"/>
      <c r="L202" s="166"/>
      <c r="M202" s="163"/>
      <c r="N202" s="167"/>
      <c r="O202" s="165"/>
      <c r="P202" s="163"/>
      <c r="Q202" s="163">
        <v>201</v>
      </c>
    </row>
    <row r="203" spans="1:17">
      <c r="A203" s="163"/>
      <c r="B203" s="163" t="str">
        <f t="shared" si="4"/>
        <v>NotApplicable</v>
      </c>
      <c r="D203" s="163" t="e">
        <f>VLOOKUP(C:C,'QT Import for PTC'!B:D,3,0)</f>
        <v>#N/A</v>
      </c>
      <c r="E203" s="165"/>
      <c r="F203" s="165"/>
      <c r="G203" s="165"/>
      <c r="H203" s="165"/>
      <c r="I203" s="165"/>
      <c r="J203" s="165"/>
      <c r="K203" s="165"/>
      <c r="L203" s="166"/>
      <c r="M203" s="163"/>
      <c r="N203" s="167"/>
      <c r="O203" s="165"/>
      <c r="P203" s="163"/>
      <c r="Q203" s="163">
        <v>202</v>
      </c>
    </row>
    <row r="204" spans="1:17">
      <c r="A204" s="163"/>
      <c r="B204" s="163" t="str">
        <f t="shared" si="4"/>
        <v>NotApplicable</v>
      </c>
      <c r="D204" s="163" t="e">
        <f>VLOOKUP(C:C,'QT Import for PTC'!B:D,3,0)</f>
        <v>#N/A</v>
      </c>
      <c r="E204" s="165"/>
      <c r="F204" s="165"/>
      <c r="G204" s="165"/>
      <c r="H204" s="165"/>
      <c r="I204" s="165"/>
      <c r="J204" s="165"/>
      <c r="K204" s="165"/>
      <c r="L204" s="166"/>
      <c r="M204" s="163"/>
      <c r="N204" s="167"/>
      <c r="O204" s="165"/>
      <c r="P204" s="163"/>
      <c r="Q204" s="163">
        <v>203</v>
      </c>
    </row>
    <row r="205" spans="1:17">
      <c r="A205" s="163"/>
      <c r="B205" s="163" t="str">
        <f t="shared" si="4"/>
        <v>NotApplicable</v>
      </c>
      <c r="D205" s="163" t="e">
        <f>VLOOKUP(C:C,'QT Import for PTC'!B:D,3,0)</f>
        <v>#N/A</v>
      </c>
      <c r="E205" s="165"/>
      <c r="F205" s="165"/>
      <c r="G205" s="165"/>
      <c r="H205" s="165"/>
      <c r="I205" s="165"/>
      <c r="J205" s="165"/>
      <c r="K205" s="165"/>
      <c r="L205" s="166"/>
      <c r="M205" s="163"/>
      <c r="N205" s="167"/>
      <c r="O205" s="165"/>
      <c r="P205" s="163"/>
      <c r="Q205" s="163">
        <v>204</v>
      </c>
    </row>
    <row r="206" spans="1:17">
      <c r="A206" s="163"/>
      <c r="B206" s="163" t="str">
        <f t="shared" si="4"/>
        <v>NotApplicable</v>
      </c>
      <c r="D206" s="163" t="e">
        <f>VLOOKUP(C:C,'QT Import for PTC'!B:D,3,0)</f>
        <v>#N/A</v>
      </c>
      <c r="E206" s="165"/>
      <c r="F206" s="165"/>
      <c r="G206" s="165"/>
      <c r="H206" s="165"/>
      <c r="I206" s="165"/>
      <c r="J206" s="165"/>
      <c r="K206" s="165"/>
      <c r="L206" s="166"/>
      <c r="M206" s="163"/>
      <c r="N206" s="167"/>
      <c r="O206" s="165"/>
      <c r="P206" s="163"/>
      <c r="Q206" s="163">
        <v>205</v>
      </c>
    </row>
    <row r="207" spans="1:17">
      <c r="A207" s="163"/>
      <c r="B207" s="163" t="str">
        <f t="shared" si="4"/>
        <v>NotApplicable</v>
      </c>
      <c r="D207" s="163" t="e">
        <f>VLOOKUP(C:C,'QT Import for PTC'!B:D,3,0)</f>
        <v>#N/A</v>
      </c>
      <c r="E207" s="165"/>
      <c r="F207" s="165"/>
      <c r="G207" s="165"/>
      <c r="H207" s="165"/>
      <c r="I207" s="165"/>
      <c r="J207" s="165"/>
      <c r="K207" s="165"/>
      <c r="L207" s="166"/>
      <c r="M207" s="163"/>
      <c r="N207" s="167"/>
      <c r="O207" s="165"/>
      <c r="P207" s="163"/>
      <c r="Q207" s="163">
        <v>206</v>
      </c>
    </row>
    <row r="208" spans="1:17">
      <c r="A208" s="163"/>
      <c r="B208" s="163" t="str">
        <f t="shared" si="4"/>
        <v>NotApplicable</v>
      </c>
      <c r="D208" s="163" t="e">
        <f>VLOOKUP(C:C,'QT Import for PTC'!B:D,3,0)</f>
        <v>#N/A</v>
      </c>
      <c r="E208" s="165"/>
      <c r="F208" s="165"/>
      <c r="G208" s="165"/>
      <c r="H208" s="165"/>
      <c r="I208" s="165"/>
      <c r="J208" s="165"/>
      <c r="K208" s="165"/>
      <c r="L208" s="166"/>
      <c r="M208" s="163"/>
      <c r="N208" s="167"/>
      <c r="O208" s="165"/>
      <c r="P208" s="163"/>
      <c r="Q208" s="163">
        <v>207</v>
      </c>
    </row>
    <row r="209" spans="1:17">
      <c r="A209" s="163"/>
      <c r="B209" s="163" t="str">
        <f t="shared" si="4"/>
        <v>NotApplicable</v>
      </c>
      <c r="D209" s="163" t="e">
        <f>VLOOKUP(C:C,'QT Import for PTC'!B:D,3,0)</f>
        <v>#N/A</v>
      </c>
      <c r="E209" s="165"/>
      <c r="F209" s="165"/>
      <c r="G209" s="165"/>
      <c r="H209" s="165"/>
      <c r="I209" s="165"/>
      <c r="J209" s="165"/>
      <c r="K209" s="165"/>
      <c r="L209" s="166"/>
      <c r="M209" s="163"/>
      <c r="N209" s="167"/>
      <c r="O209" s="165"/>
      <c r="P209" s="163"/>
      <c r="Q209" s="163">
        <v>208</v>
      </c>
    </row>
    <row r="210" spans="1:17">
      <c r="A210" s="163"/>
      <c r="B210" s="163" t="str">
        <f t="shared" si="4"/>
        <v>NotApplicable</v>
      </c>
      <c r="D210" s="163" t="e">
        <f>VLOOKUP(C:C,'QT Import for PTC'!B:D,3,0)</f>
        <v>#N/A</v>
      </c>
      <c r="E210" s="165"/>
      <c r="F210" s="165"/>
      <c r="G210" s="165"/>
      <c r="H210" s="165"/>
      <c r="I210" s="165"/>
      <c r="J210" s="165"/>
      <c r="K210" s="165"/>
      <c r="L210" s="166"/>
      <c r="M210" s="163"/>
      <c r="N210" s="167"/>
      <c r="O210" s="165"/>
      <c r="P210" s="163"/>
      <c r="Q210" s="163">
        <v>209</v>
      </c>
    </row>
    <row r="211" spans="1:17">
      <c r="A211" s="163"/>
      <c r="B211" s="163" t="str">
        <f t="shared" si="4"/>
        <v>NotApplicable</v>
      </c>
      <c r="D211" s="163" t="e">
        <f>VLOOKUP(C:C,'QT Import for PTC'!B:D,3,0)</f>
        <v>#N/A</v>
      </c>
      <c r="E211" s="165"/>
      <c r="F211" s="165"/>
      <c r="G211" s="165"/>
      <c r="H211" s="165"/>
      <c r="I211" s="165"/>
      <c r="J211" s="165"/>
      <c r="K211" s="165"/>
      <c r="L211" s="166"/>
      <c r="M211" s="163"/>
      <c r="N211" s="167"/>
      <c r="O211" s="165"/>
      <c r="P211" s="163"/>
      <c r="Q211" s="163">
        <v>210</v>
      </c>
    </row>
    <row r="212" spans="1:17">
      <c r="A212" s="163"/>
      <c r="B212" s="163" t="str">
        <f t="shared" si="4"/>
        <v>NotApplicable</v>
      </c>
      <c r="D212" s="163" t="e">
        <f>VLOOKUP(C:C,'QT Import for PTC'!B:D,3,0)</f>
        <v>#N/A</v>
      </c>
      <c r="E212" s="165"/>
      <c r="F212" s="165"/>
      <c r="G212" s="165"/>
      <c r="H212" s="165"/>
      <c r="I212" s="165"/>
      <c r="J212" s="165"/>
      <c r="K212" s="165"/>
      <c r="L212" s="166"/>
      <c r="M212" s="163"/>
      <c r="N212" s="167"/>
      <c r="O212" s="165"/>
      <c r="P212" s="163"/>
      <c r="Q212" s="163">
        <v>211</v>
      </c>
    </row>
    <row r="213" spans="1:17">
      <c r="A213" s="163"/>
      <c r="B213" s="163" t="str">
        <f t="shared" si="4"/>
        <v>NotApplicable</v>
      </c>
      <c r="D213" s="163" t="e">
        <f>VLOOKUP(C:C,'QT Import for PTC'!B:D,3,0)</f>
        <v>#N/A</v>
      </c>
      <c r="E213" s="165"/>
      <c r="F213" s="165"/>
      <c r="G213" s="165"/>
      <c r="H213" s="165"/>
      <c r="I213" s="165"/>
      <c r="J213" s="165"/>
      <c r="K213" s="165"/>
      <c r="L213" s="166"/>
      <c r="M213" s="163"/>
      <c r="N213" s="167"/>
      <c r="O213" s="165"/>
      <c r="P213" s="163"/>
      <c r="Q213" s="163">
        <v>212</v>
      </c>
    </row>
    <row r="214" spans="1:17">
      <c r="A214" s="163"/>
      <c r="B214" s="163" t="str">
        <f t="shared" si="4"/>
        <v>NotApplicable</v>
      </c>
      <c r="D214" s="163" t="e">
        <f>VLOOKUP(C:C,'QT Import for PTC'!B:D,3,0)</f>
        <v>#N/A</v>
      </c>
      <c r="E214" s="165"/>
      <c r="F214" s="165"/>
      <c r="G214" s="165"/>
      <c r="H214" s="165"/>
      <c r="I214" s="165"/>
      <c r="J214" s="165"/>
      <c r="K214" s="165"/>
      <c r="L214" s="166"/>
      <c r="M214" s="163"/>
      <c r="N214" s="167"/>
      <c r="O214" s="165"/>
      <c r="P214" s="163"/>
      <c r="Q214" s="163">
        <v>213</v>
      </c>
    </row>
    <row r="215" spans="1:17">
      <c r="A215" s="163"/>
      <c r="B215" s="163" t="str">
        <f t="shared" si="4"/>
        <v>NotApplicable</v>
      </c>
      <c r="D215" s="163" t="e">
        <f>VLOOKUP(C:C,'QT Import for PTC'!B:D,3,0)</f>
        <v>#N/A</v>
      </c>
      <c r="E215" s="165"/>
      <c r="F215" s="165"/>
      <c r="G215" s="165"/>
      <c r="H215" s="165"/>
      <c r="I215" s="165"/>
      <c r="J215" s="165"/>
      <c r="K215" s="165"/>
      <c r="L215" s="166"/>
      <c r="M215" s="163"/>
      <c r="N215" s="167"/>
      <c r="O215" s="165"/>
      <c r="P215" s="163"/>
      <c r="Q215" s="163">
        <v>214</v>
      </c>
    </row>
    <row r="216" spans="1:17">
      <c r="A216" s="163"/>
      <c r="B216" s="163" t="str">
        <f t="shared" si="4"/>
        <v>NotApplicable</v>
      </c>
      <c r="D216" s="163" t="e">
        <f>VLOOKUP(C:C,'QT Import for PTC'!B:D,3,0)</f>
        <v>#N/A</v>
      </c>
      <c r="E216" s="165"/>
      <c r="F216" s="165"/>
      <c r="G216" s="165"/>
      <c r="H216" s="165"/>
      <c r="I216" s="165"/>
      <c r="J216" s="165"/>
      <c r="K216" s="165"/>
      <c r="L216" s="166"/>
      <c r="M216" s="163"/>
      <c r="N216" s="167"/>
      <c r="O216" s="165"/>
      <c r="P216" s="163"/>
      <c r="Q216" s="163">
        <v>215</v>
      </c>
    </row>
    <row r="217" spans="1:17">
      <c r="A217" s="163"/>
      <c r="B217" s="163" t="str">
        <f t="shared" si="4"/>
        <v>NotApplicable</v>
      </c>
      <c r="D217" s="163" t="e">
        <f>VLOOKUP(C:C,'QT Import for PTC'!B:D,3,0)</f>
        <v>#N/A</v>
      </c>
      <c r="E217" s="165"/>
      <c r="F217" s="165"/>
      <c r="G217" s="165"/>
      <c r="H217" s="165"/>
      <c r="I217" s="165"/>
      <c r="J217" s="165"/>
      <c r="K217" s="165"/>
      <c r="L217" s="166"/>
      <c r="M217" s="163"/>
      <c r="N217" s="167"/>
      <c r="O217" s="165"/>
      <c r="P217" s="163"/>
      <c r="Q217" s="163">
        <v>216</v>
      </c>
    </row>
    <row r="218" spans="1:17">
      <c r="A218" s="163"/>
      <c r="B218" s="163" t="str">
        <f t="shared" si="4"/>
        <v>NotApplicable</v>
      </c>
      <c r="D218" s="163" t="e">
        <f>VLOOKUP(C:C,'QT Import for PTC'!B:D,3,0)</f>
        <v>#N/A</v>
      </c>
      <c r="E218" s="165"/>
      <c r="F218" s="165"/>
      <c r="G218" s="165"/>
      <c r="H218" s="165"/>
      <c r="I218" s="165"/>
      <c r="J218" s="165"/>
      <c r="K218" s="165"/>
      <c r="L218" s="166"/>
      <c r="M218" s="163"/>
      <c r="N218" s="167"/>
      <c r="O218" s="165"/>
      <c r="P218" s="163"/>
      <c r="Q218" s="163">
        <v>217</v>
      </c>
    </row>
    <row r="219" spans="1:17">
      <c r="A219" s="163"/>
      <c r="B219" s="163" t="str">
        <f t="shared" si="4"/>
        <v>NotApplicable</v>
      </c>
      <c r="D219" s="163" t="e">
        <f>VLOOKUP(C:C,'QT Import for PTC'!B:D,3,0)</f>
        <v>#N/A</v>
      </c>
      <c r="E219" s="165"/>
      <c r="F219" s="165"/>
      <c r="G219" s="165"/>
      <c r="H219" s="165"/>
      <c r="I219" s="165"/>
      <c r="J219" s="165"/>
      <c r="K219" s="165"/>
      <c r="L219" s="166"/>
      <c r="M219" s="163"/>
      <c r="N219" s="167"/>
      <c r="O219" s="165"/>
      <c r="P219" s="163"/>
      <c r="Q219" s="163">
        <v>218</v>
      </c>
    </row>
    <row r="220" spans="1:17">
      <c r="A220" s="163"/>
      <c r="B220" s="163" t="str">
        <f t="shared" si="4"/>
        <v>NotApplicable</v>
      </c>
      <c r="D220" s="163" t="e">
        <f>VLOOKUP(C:C,'QT Import for PTC'!B:D,3,0)</f>
        <v>#N/A</v>
      </c>
      <c r="E220" s="165"/>
      <c r="F220" s="165"/>
      <c r="G220" s="165"/>
      <c r="H220" s="165"/>
      <c r="I220" s="165"/>
      <c r="J220" s="165"/>
      <c r="K220" s="165"/>
      <c r="L220" s="166"/>
      <c r="M220" s="163"/>
      <c r="N220" s="167"/>
      <c r="O220" s="165"/>
      <c r="P220" s="163"/>
      <c r="Q220" s="163">
        <v>219</v>
      </c>
    </row>
    <row r="221" spans="1:17">
      <c r="A221" s="163"/>
      <c r="B221" s="163" t="str">
        <f t="shared" si="4"/>
        <v>NotApplicable</v>
      </c>
      <c r="D221" s="163" t="e">
        <f>VLOOKUP(C:C,'QT Import for PTC'!B:D,3,0)</f>
        <v>#N/A</v>
      </c>
      <c r="E221" s="165"/>
      <c r="F221" s="165"/>
      <c r="G221" s="165"/>
      <c r="H221" s="165"/>
      <c r="I221" s="165"/>
      <c r="J221" s="165"/>
      <c r="K221" s="165"/>
      <c r="L221" s="166"/>
      <c r="M221" s="163"/>
      <c r="N221" s="167"/>
      <c r="O221" s="165"/>
      <c r="P221" s="163"/>
      <c r="Q221" s="163">
        <v>220</v>
      </c>
    </row>
    <row r="222" spans="1:17">
      <c r="A222" s="163"/>
      <c r="B222" s="163" t="str">
        <f t="shared" si="4"/>
        <v>NotApplicable</v>
      </c>
      <c r="D222" s="163" t="e">
        <f>VLOOKUP(C:C,'QT Import for PTC'!B:D,3,0)</f>
        <v>#N/A</v>
      </c>
      <c r="E222" s="165"/>
      <c r="F222" s="165"/>
      <c r="G222" s="165"/>
      <c r="H222" s="165"/>
      <c r="I222" s="165"/>
      <c r="J222" s="165"/>
      <c r="K222" s="165"/>
      <c r="L222" s="166"/>
      <c r="M222" s="163"/>
      <c r="N222" s="167"/>
      <c r="O222" s="165"/>
      <c r="P222" s="163"/>
      <c r="Q222" s="163">
        <v>221</v>
      </c>
    </row>
    <row r="223" spans="1:17">
      <c r="A223" s="163"/>
      <c r="B223" s="163" t="str">
        <f t="shared" si="4"/>
        <v>NotApplicable</v>
      </c>
      <c r="D223" s="163" t="e">
        <f>VLOOKUP(C:C,'QT Import for PTC'!B:D,3,0)</f>
        <v>#N/A</v>
      </c>
      <c r="E223" s="165"/>
      <c r="F223" s="165"/>
      <c r="G223" s="165"/>
      <c r="H223" s="165"/>
      <c r="I223" s="165"/>
      <c r="J223" s="165"/>
      <c r="K223" s="165"/>
      <c r="L223" s="166"/>
      <c r="M223" s="163"/>
      <c r="N223" s="167"/>
      <c r="O223" s="165"/>
      <c r="P223" s="163"/>
      <c r="Q223" s="163">
        <v>222</v>
      </c>
    </row>
    <row r="224" spans="1:17">
      <c r="A224" s="163"/>
      <c r="B224" s="163" t="str">
        <f t="shared" si="4"/>
        <v>NotApplicable</v>
      </c>
      <c r="D224" s="163" t="e">
        <f>VLOOKUP(C:C,'QT Import for PTC'!B:D,3,0)</f>
        <v>#N/A</v>
      </c>
      <c r="E224" s="165"/>
      <c r="F224" s="165"/>
      <c r="G224" s="165"/>
      <c r="H224" s="165"/>
      <c r="I224" s="165"/>
      <c r="J224" s="165"/>
      <c r="K224" s="165"/>
      <c r="L224" s="166"/>
      <c r="M224" s="163"/>
      <c r="N224" s="167"/>
      <c r="O224" s="165"/>
      <c r="P224" s="163"/>
      <c r="Q224" s="163">
        <v>223</v>
      </c>
    </row>
    <row r="225" spans="1:17">
      <c r="A225" s="163"/>
      <c r="B225" s="163" t="str">
        <f t="shared" si="4"/>
        <v>NotApplicable</v>
      </c>
      <c r="D225" s="163" t="e">
        <f>VLOOKUP(C:C,'QT Import for PTC'!B:D,3,0)</f>
        <v>#N/A</v>
      </c>
      <c r="E225" s="165"/>
      <c r="F225" s="165"/>
      <c r="G225" s="165"/>
      <c r="H225" s="165"/>
      <c r="I225" s="165"/>
      <c r="J225" s="165"/>
      <c r="K225" s="165"/>
      <c r="L225" s="166"/>
      <c r="M225" s="163"/>
      <c r="N225" s="167"/>
      <c r="O225" s="165"/>
      <c r="P225" s="163"/>
      <c r="Q225" s="163">
        <v>224</v>
      </c>
    </row>
    <row r="226" spans="1:17">
      <c r="A226" s="163"/>
      <c r="B226" s="163" t="str">
        <f t="shared" si="4"/>
        <v>NotApplicable</v>
      </c>
      <c r="D226" s="163" t="e">
        <f>VLOOKUP(C:C,'QT Import for PTC'!B:D,3,0)</f>
        <v>#N/A</v>
      </c>
      <c r="E226" s="165"/>
      <c r="F226" s="165"/>
      <c r="G226" s="165"/>
      <c r="H226" s="165"/>
      <c r="I226" s="165"/>
      <c r="J226" s="165"/>
      <c r="K226" s="165"/>
      <c r="L226" s="166"/>
      <c r="M226" s="163"/>
      <c r="N226" s="167"/>
      <c r="O226" s="165"/>
      <c r="P226" s="163"/>
      <c r="Q226" s="163">
        <v>225</v>
      </c>
    </row>
    <row r="227" spans="1:17">
      <c r="A227" s="163"/>
      <c r="B227" s="163" t="str">
        <f t="shared" si="4"/>
        <v>NotApplicable</v>
      </c>
      <c r="D227" s="163" t="e">
        <f>VLOOKUP(C:C,'QT Import for PTC'!B:D,3,0)</f>
        <v>#N/A</v>
      </c>
      <c r="E227" s="165"/>
      <c r="F227" s="165"/>
      <c r="G227" s="165"/>
      <c r="H227" s="165"/>
      <c r="I227" s="165"/>
      <c r="J227" s="165"/>
      <c r="K227" s="165"/>
      <c r="L227" s="166"/>
      <c r="M227" s="163"/>
      <c r="N227" s="167"/>
      <c r="O227" s="165"/>
      <c r="P227" s="163"/>
      <c r="Q227" s="163">
        <v>226</v>
      </c>
    </row>
    <row r="228" spans="1:17">
      <c r="A228" s="163"/>
      <c r="B228" s="163" t="str">
        <f t="shared" si="4"/>
        <v>NotApplicable</v>
      </c>
      <c r="D228" s="163" t="e">
        <f>VLOOKUP(C:C,'QT Import for PTC'!B:D,3,0)</f>
        <v>#N/A</v>
      </c>
      <c r="E228" s="165"/>
      <c r="F228" s="165"/>
      <c r="G228" s="165"/>
      <c r="H228" s="165"/>
      <c r="I228" s="165"/>
      <c r="J228" s="165"/>
      <c r="K228" s="165"/>
      <c r="L228" s="166"/>
      <c r="M228" s="163"/>
      <c r="N228" s="167"/>
      <c r="O228" s="165"/>
      <c r="P228" s="163"/>
      <c r="Q228" s="163">
        <v>227</v>
      </c>
    </row>
    <row r="229" spans="1:17">
      <c r="A229" s="163"/>
      <c r="B229" s="163" t="str">
        <f t="shared" si="4"/>
        <v>NotApplicable</v>
      </c>
      <c r="D229" s="163" t="e">
        <f>VLOOKUP(C:C,'QT Import for PTC'!B:D,3,0)</f>
        <v>#N/A</v>
      </c>
      <c r="E229" s="165"/>
      <c r="F229" s="165"/>
      <c r="G229" s="165"/>
      <c r="H229" s="165"/>
      <c r="I229" s="165"/>
      <c r="J229" s="165"/>
      <c r="K229" s="165"/>
      <c r="L229" s="166"/>
      <c r="M229" s="163"/>
      <c r="N229" s="167"/>
      <c r="O229" s="165"/>
      <c r="P229" s="163"/>
      <c r="Q229" s="163">
        <v>228</v>
      </c>
    </row>
    <row r="230" spans="1:17">
      <c r="A230" s="163"/>
      <c r="B230" s="163" t="str">
        <f t="shared" si="4"/>
        <v>NotApplicable</v>
      </c>
      <c r="D230" s="163" t="e">
        <f>VLOOKUP(C:C,'QT Import for PTC'!B:D,3,0)</f>
        <v>#N/A</v>
      </c>
      <c r="E230" s="165"/>
      <c r="F230" s="165"/>
      <c r="G230" s="165"/>
      <c r="H230" s="165"/>
      <c r="I230" s="165"/>
      <c r="J230" s="165"/>
      <c r="K230" s="165"/>
      <c r="L230" s="166"/>
      <c r="M230" s="163"/>
      <c r="N230" s="167"/>
      <c r="O230" s="165"/>
      <c r="P230" s="163"/>
      <c r="Q230" s="163">
        <v>229</v>
      </c>
    </row>
    <row r="231" spans="1:17">
      <c r="A231" s="163"/>
      <c r="B231" s="163" t="str">
        <f t="shared" si="4"/>
        <v>NotApplicable</v>
      </c>
      <c r="D231" s="163" t="e">
        <f>VLOOKUP(C:C,'QT Import for PTC'!B:D,3,0)</f>
        <v>#N/A</v>
      </c>
      <c r="E231" s="165"/>
      <c r="F231" s="165"/>
      <c r="G231" s="165"/>
      <c r="H231" s="165"/>
      <c r="I231" s="165"/>
      <c r="J231" s="165"/>
      <c r="K231" s="165"/>
      <c r="L231" s="166"/>
      <c r="M231" s="163"/>
      <c r="N231" s="167"/>
      <c r="O231" s="165"/>
      <c r="P231" s="163"/>
      <c r="Q231" s="163">
        <v>230</v>
      </c>
    </row>
    <row r="232" spans="1:17">
      <c r="A232" s="163"/>
      <c r="B232" s="163" t="str">
        <f t="shared" si="4"/>
        <v>NotApplicable</v>
      </c>
      <c r="D232" s="163" t="e">
        <f>VLOOKUP(C:C,'QT Import for PTC'!B:D,3,0)</f>
        <v>#N/A</v>
      </c>
      <c r="E232" s="165"/>
      <c r="F232" s="165"/>
      <c r="G232" s="165"/>
      <c r="H232" s="165"/>
      <c r="I232" s="165"/>
      <c r="J232" s="165"/>
      <c r="K232" s="165"/>
      <c r="L232" s="166"/>
      <c r="M232" s="163"/>
      <c r="N232" s="167"/>
      <c r="O232" s="165"/>
      <c r="P232" s="163"/>
      <c r="Q232" s="163">
        <v>231</v>
      </c>
    </row>
    <row r="233" spans="1:17">
      <c r="A233" s="163"/>
      <c r="B233" s="163" t="str">
        <f t="shared" si="4"/>
        <v>NotApplicable</v>
      </c>
      <c r="D233" s="163" t="e">
        <f>VLOOKUP(C:C,'QT Import for PTC'!B:D,3,0)</f>
        <v>#N/A</v>
      </c>
      <c r="E233" s="165"/>
      <c r="F233" s="165"/>
      <c r="G233" s="165"/>
      <c r="H233" s="165"/>
      <c r="I233" s="165"/>
      <c r="J233" s="165"/>
      <c r="K233" s="165"/>
      <c r="L233" s="166"/>
      <c r="M233" s="163"/>
      <c r="N233" s="167"/>
      <c r="O233" s="165"/>
      <c r="P233" s="163"/>
      <c r="Q233" s="163">
        <v>232</v>
      </c>
    </row>
    <row r="234" spans="1:17">
      <c r="A234" s="163"/>
      <c r="B234" s="163" t="str">
        <f t="shared" si="4"/>
        <v>NotApplicable</v>
      </c>
      <c r="D234" s="163" t="e">
        <f>VLOOKUP(C:C,'QT Import for PTC'!B:D,3,0)</f>
        <v>#N/A</v>
      </c>
      <c r="E234" s="165"/>
      <c r="F234" s="165"/>
      <c r="G234" s="165"/>
      <c r="H234" s="165"/>
      <c r="I234" s="165"/>
      <c r="J234" s="165"/>
      <c r="K234" s="165"/>
      <c r="L234" s="166"/>
      <c r="M234" s="163"/>
      <c r="N234" s="167"/>
      <c r="O234" s="165"/>
      <c r="P234" s="163"/>
      <c r="Q234" s="163">
        <v>233</v>
      </c>
    </row>
    <row r="235" spans="1:17">
      <c r="A235" s="163"/>
      <c r="B235" s="163" t="str">
        <f t="shared" si="4"/>
        <v>NotApplicable</v>
      </c>
      <c r="D235" s="163" t="e">
        <f>VLOOKUP(C:C,'QT Import for PTC'!B:D,3,0)</f>
        <v>#N/A</v>
      </c>
      <c r="E235" s="165"/>
      <c r="F235" s="165"/>
      <c r="G235" s="165"/>
      <c r="H235" s="165"/>
      <c r="I235" s="165"/>
      <c r="J235" s="165"/>
      <c r="K235" s="165"/>
      <c r="L235" s="166"/>
      <c r="M235" s="163"/>
      <c r="N235" s="167"/>
      <c r="O235" s="165"/>
      <c r="P235" s="163"/>
      <c r="Q235" s="163">
        <v>234</v>
      </c>
    </row>
    <row r="236" spans="1:17">
      <c r="A236" s="163"/>
      <c r="B236" s="163" t="str">
        <f t="shared" si="4"/>
        <v>NotApplicable</v>
      </c>
      <c r="D236" s="163" t="e">
        <f>VLOOKUP(C:C,'QT Import for PTC'!B:D,3,0)</f>
        <v>#N/A</v>
      </c>
      <c r="E236" s="165"/>
      <c r="F236" s="165"/>
      <c r="G236" s="165"/>
      <c r="H236" s="165"/>
      <c r="I236" s="165"/>
      <c r="J236" s="165"/>
      <c r="K236" s="165"/>
      <c r="L236" s="166"/>
      <c r="M236" s="163"/>
      <c r="N236" s="167"/>
      <c r="O236" s="165"/>
      <c r="P236" s="163"/>
      <c r="Q236" s="163">
        <v>235</v>
      </c>
    </row>
    <row r="237" spans="1:17">
      <c r="A237" s="163"/>
      <c r="B237" s="163" t="str">
        <f t="shared" si="4"/>
        <v>NotApplicable</v>
      </c>
      <c r="D237" s="163" t="e">
        <f>VLOOKUP(C:C,'QT Import for PTC'!B:D,3,0)</f>
        <v>#N/A</v>
      </c>
      <c r="E237" s="165"/>
      <c r="F237" s="165"/>
      <c r="G237" s="165"/>
      <c r="H237" s="165"/>
      <c r="I237" s="165"/>
      <c r="J237" s="165"/>
      <c r="K237" s="165"/>
      <c r="L237" s="166"/>
      <c r="M237" s="163"/>
      <c r="N237" s="167"/>
      <c r="O237" s="165"/>
      <c r="P237" s="163"/>
      <c r="Q237" s="163">
        <v>236</v>
      </c>
    </row>
    <row r="238" spans="1:17">
      <c r="A238" s="163"/>
      <c r="B238" s="163" t="str">
        <f t="shared" si="4"/>
        <v>NotApplicable</v>
      </c>
      <c r="D238" s="163" t="e">
        <f>VLOOKUP(C:C,'QT Import for PTC'!B:D,3,0)</f>
        <v>#N/A</v>
      </c>
      <c r="E238" s="165"/>
      <c r="F238" s="165"/>
      <c r="G238" s="165"/>
      <c r="H238" s="165"/>
      <c r="I238" s="165"/>
      <c r="J238" s="165"/>
      <c r="K238" s="165"/>
      <c r="L238" s="166"/>
      <c r="M238" s="163"/>
      <c r="N238" s="167"/>
      <c r="O238" s="165"/>
      <c r="P238" s="163"/>
      <c r="Q238" s="163">
        <v>237</v>
      </c>
    </row>
    <row r="239" spans="1:17">
      <c r="A239" s="163"/>
      <c r="B239" s="163" t="str">
        <f t="shared" si="4"/>
        <v>NotApplicable</v>
      </c>
      <c r="D239" s="163" t="e">
        <f>VLOOKUP(C:C,'QT Import for PTC'!B:D,3,0)</f>
        <v>#N/A</v>
      </c>
      <c r="E239" s="165"/>
      <c r="F239" s="165"/>
      <c r="G239" s="165"/>
      <c r="H239" s="165"/>
      <c r="I239" s="165"/>
      <c r="J239" s="165"/>
      <c r="K239" s="165"/>
      <c r="L239" s="166"/>
      <c r="M239" s="163"/>
      <c r="N239" s="167"/>
      <c r="O239" s="165"/>
      <c r="P239" s="163"/>
      <c r="Q239" s="163">
        <v>238</v>
      </c>
    </row>
    <row r="240" spans="1:17">
      <c r="A240" s="163"/>
      <c r="B240" s="163" t="str">
        <f t="shared" si="4"/>
        <v>NotApplicable</v>
      </c>
      <c r="D240" s="163" t="e">
        <f>VLOOKUP(C:C,'QT Import for PTC'!B:D,3,0)</f>
        <v>#N/A</v>
      </c>
      <c r="E240" s="165"/>
      <c r="F240" s="165"/>
      <c r="G240" s="165"/>
      <c r="H240" s="165"/>
      <c r="I240" s="165"/>
      <c r="J240" s="165"/>
      <c r="K240" s="165"/>
      <c r="L240" s="166"/>
      <c r="M240" s="163"/>
      <c r="N240" s="167"/>
      <c r="O240" s="165"/>
      <c r="P240" s="163"/>
      <c r="Q240" s="163">
        <v>239</v>
      </c>
    </row>
    <row r="241" spans="1:17">
      <c r="A241" s="163"/>
      <c r="B241" s="163" t="str">
        <f t="shared" si="4"/>
        <v>NotApplicable</v>
      </c>
      <c r="D241" s="163" t="e">
        <f>VLOOKUP(C:C,'QT Import for PTC'!B:D,3,0)</f>
        <v>#N/A</v>
      </c>
      <c r="E241" s="165"/>
      <c r="F241" s="165"/>
      <c r="G241" s="165"/>
      <c r="H241" s="165"/>
      <c r="I241" s="165"/>
      <c r="J241" s="165"/>
      <c r="K241" s="165"/>
      <c r="L241" s="166"/>
      <c r="M241" s="163"/>
      <c r="N241" s="167"/>
      <c r="O241" s="165"/>
      <c r="P241" s="163"/>
      <c r="Q241" s="163">
        <v>240</v>
      </c>
    </row>
    <row r="242" spans="1:17">
      <c r="A242" s="163"/>
      <c r="B242" s="163" t="str">
        <f t="shared" si="4"/>
        <v>NotApplicable</v>
      </c>
      <c r="D242" s="163" t="e">
        <f>VLOOKUP(C:C,'QT Import for PTC'!B:D,3,0)</f>
        <v>#N/A</v>
      </c>
      <c r="E242" s="165"/>
      <c r="F242" s="165"/>
      <c r="G242" s="165"/>
      <c r="H242" s="165"/>
      <c r="I242" s="165"/>
      <c r="J242" s="165"/>
      <c r="K242" s="165"/>
      <c r="L242" s="166"/>
      <c r="M242" s="163"/>
      <c r="N242" s="167"/>
      <c r="O242" s="165"/>
      <c r="P242" s="163"/>
      <c r="Q242" s="163">
        <v>241</v>
      </c>
    </row>
    <row r="243" spans="1:17">
      <c r="A243" s="163"/>
      <c r="B243" s="163" t="str">
        <f t="shared" si="4"/>
        <v>NotApplicable</v>
      </c>
      <c r="D243" s="163" t="e">
        <f>VLOOKUP(C:C,'QT Import for PTC'!B:D,3,0)</f>
        <v>#N/A</v>
      </c>
      <c r="E243" s="165"/>
      <c r="F243" s="165"/>
      <c r="G243" s="165"/>
      <c r="H243" s="165"/>
      <c r="I243" s="165"/>
      <c r="J243" s="165"/>
      <c r="K243" s="165"/>
      <c r="L243" s="166"/>
      <c r="M243" s="163"/>
      <c r="N243" s="167"/>
      <c r="O243" s="165"/>
      <c r="P243" s="163"/>
      <c r="Q243" s="163">
        <v>242</v>
      </c>
    </row>
    <row r="244" spans="1:17">
      <c r="A244" s="163"/>
      <c r="B244" s="163" t="str">
        <f t="shared" si="4"/>
        <v>NotApplicable</v>
      </c>
      <c r="D244" s="163" t="e">
        <f>VLOOKUP(C:C,'QT Import for PTC'!B:D,3,0)</f>
        <v>#N/A</v>
      </c>
      <c r="E244" s="165"/>
      <c r="F244" s="165"/>
      <c r="G244" s="165"/>
      <c r="H244" s="165"/>
      <c r="I244" s="165"/>
      <c r="J244" s="165"/>
      <c r="K244" s="165"/>
      <c r="L244" s="166"/>
      <c r="M244" s="163"/>
      <c r="N244" s="167"/>
      <c r="O244" s="165"/>
      <c r="P244" s="163"/>
      <c r="Q244" s="163">
        <v>243</v>
      </c>
    </row>
    <row r="245" spans="1:17">
      <c r="A245" s="163"/>
      <c r="B245" s="163" t="str">
        <f t="shared" si="4"/>
        <v>NotApplicable</v>
      </c>
      <c r="D245" s="163" t="e">
        <f>VLOOKUP(C:C,'QT Import for PTC'!B:D,3,0)</f>
        <v>#N/A</v>
      </c>
      <c r="E245" s="165"/>
      <c r="F245" s="165"/>
      <c r="G245" s="165"/>
      <c r="H245" s="165"/>
      <c r="I245" s="165"/>
      <c r="J245" s="165"/>
      <c r="K245" s="165"/>
      <c r="L245" s="166"/>
      <c r="M245" s="163"/>
      <c r="N245" s="167"/>
      <c r="O245" s="165"/>
      <c r="P245" s="163"/>
      <c r="Q245" s="163">
        <v>244</v>
      </c>
    </row>
    <row r="246" spans="1:17">
      <c r="A246" s="163"/>
      <c r="B246" s="163" t="str">
        <f t="shared" si="4"/>
        <v>NotApplicable</v>
      </c>
      <c r="D246" s="163" t="e">
        <f>VLOOKUP(C:C,'QT Import for PTC'!B:D,3,0)</f>
        <v>#N/A</v>
      </c>
      <c r="E246" s="165"/>
      <c r="F246" s="165"/>
      <c r="G246" s="165"/>
      <c r="H246" s="165"/>
      <c r="I246" s="165"/>
      <c r="J246" s="165"/>
      <c r="K246" s="165"/>
      <c r="L246" s="166"/>
      <c r="M246" s="163"/>
      <c r="N246" s="167"/>
      <c r="O246" s="165"/>
      <c r="P246" s="163"/>
      <c r="Q246" s="163">
        <v>245</v>
      </c>
    </row>
    <row r="247" spans="1:17">
      <c r="A247" s="163"/>
      <c r="B247" s="163" t="str">
        <f t="shared" si="4"/>
        <v>NotApplicable</v>
      </c>
      <c r="D247" s="163" t="e">
        <f>VLOOKUP(C:C,'QT Import for PTC'!B:D,3,0)</f>
        <v>#N/A</v>
      </c>
      <c r="E247" s="165"/>
      <c r="F247" s="165"/>
      <c r="G247" s="165"/>
      <c r="H247" s="165"/>
      <c r="I247" s="165"/>
      <c r="J247" s="165"/>
      <c r="K247" s="165"/>
      <c r="L247" s="166"/>
      <c r="M247" s="163"/>
      <c r="N247" s="167"/>
      <c r="O247" s="165"/>
      <c r="P247" s="163"/>
      <c r="Q247" s="163">
        <v>246</v>
      </c>
    </row>
    <row r="248" spans="1:17">
      <c r="A248" s="163"/>
      <c r="B248" s="163" t="str">
        <f t="shared" si="4"/>
        <v>NotApplicable</v>
      </c>
      <c r="D248" s="163" t="e">
        <f>VLOOKUP(C:C,'QT Import for PTC'!B:D,3,0)</f>
        <v>#N/A</v>
      </c>
      <c r="E248" s="165"/>
      <c r="F248" s="165"/>
      <c r="G248" s="165"/>
      <c r="H248" s="165"/>
      <c r="I248" s="165"/>
      <c r="J248" s="165"/>
      <c r="K248" s="165"/>
      <c r="L248" s="166"/>
      <c r="M248" s="163"/>
      <c r="N248" s="167"/>
      <c r="O248" s="165"/>
      <c r="P248" s="163"/>
      <c r="Q248" s="163">
        <v>247</v>
      </c>
    </row>
    <row r="249" spans="1:17">
      <c r="A249" s="163"/>
      <c r="B249" s="163" t="str">
        <f t="shared" si="4"/>
        <v>NotApplicable</v>
      </c>
      <c r="D249" s="163" t="e">
        <f>VLOOKUP(C:C,'QT Import for PTC'!B:D,3,0)</f>
        <v>#N/A</v>
      </c>
      <c r="E249" s="165"/>
      <c r="F249" s="165"/>
      <c r="G249" s="165"/>
      <c r="H249" s="165"/>
      <c r="I249" s="165"/>
      <c r="J249" s="165"/>
      <c r="K249" s="165"/>
      <c r="L249" s="166"/>
      <c r="M249" s="163"/>
      <c r="N249" s="167"/>
      <c r="O249" s="165"/>
      <c r="P249" s="163"/>
      <c r="Q249" s="163">
        <v>248</v>
      </c>
    </row>
    <row r="250" spans="1:17">
      <c r="A250" s="163"/>
      <c r="B250" s="163" t="str">
        <f t="shared" si="4"/>
        <v>NotApplicable</v>
      </c>
      <c r="D250" s="163" t="e">
        <f>VLOOKUP(C:C,'QT Import for PTC'!B:D,3,0)</f>
        <v>#N/A</v>
      </c>
      <c r="E250" s="165"/>
      <c r="F250" s="165"/>
      <c r="G250" s="165"/>
      <c r="H250" s="165"/>
      <c r="I250" s="165"/>
      <c r="J250" s="165"/>
      <c r="K250" s="165"/>
      <c r="L250" s="166"/>
      <c r="M250" s="163"/>
      <c r="N250" s="167"/>
      <c r="O250" s="165"/>
      <c r="P250" s="163"/>
      <c r="Q250" s="163">
        <v>249</v>
      </c>
    </row>
    <row r="251" spans="1:17">
      <c r="A251" s="163"/>
      <c r="B251" s="163" t="str">
        <f t="shared" si="4"/>
        <v>NotApplicable</v>
      </c>
      <c r="D251" s="163" t="e">
        <f>VLOOKUP(C:C,'QT Import for PTC'!B:D,3,0)</f>
        <v>#N/A</v>
      </c>
      <c r="E251" s="165"/>
      <c r="F251" s="165"/>
      <c r="G251" s="165"/>
      <c r="H251" s="165"/>
      <c r="I251" s="165"/>
      <c r="J251" s="165"/>
      <c r="K251" s="165"/>
      <c r="L251" s="166"/>
      <c r="M251" s="163"/>
      <c r="N251" s="167"/>
      <c r="O251" s="165"/>
      <c r="P251" s="163"/>
      <c r="Q251" s="163">
        <v>250</v>
      </c>
    </row>
    <row r="252" spans="1:17">
      <c r="A252" s="163"/>
      <c r="B252" s="163" t="str">
        <f t="shared" si="4"/>
        <v>NotApplicable</v>
      </c>
      <c r="D252" s="163" t="e">
        <f>VLOOKUP(C:C,'QT Import for PTC'!B:D,3,0)</f>
        <v>#N/A</v>
      </c>
      <c r="E252" s="165"/>
      <c r="F252" s="165"/>
      <c r="G252" s="165"/>
      <c r="H252" s="165"/>
      <c r="I252" s="165"/>
      <c r="J252" s="165"/>
      <c r="K252" s="165"/>
      <c r="L252" s="166"/>
      <c r="M252" s="163"/>
      <c r="N252" s="167"/>
      <c r="O252" s="165"/>
      <c r="P252" s="163"/>
      <c r="Q252" s="163">
        <v>251</v>
      </c>
    </row>
    <row r="253" spans="1:17">
      <c r="A253" s="163"/>
      <c r="B253" s="163" t="str">
        <f t="shared" si="4"/>
        <v>NotApplicable</v>
      </c>
      <c r="D253" s="163" t="e">
        <f>VLOOKUP(C:C,'QT Import for PTC'!B:D,3,0)</f>
        <v>#N/A</v>
      </c>
      <c r="E253" s="165"/>
      <c r="F253" s="165"/>
      <c r="G253" s="165"/>
      <c r="H253" s="165"/>
      <c r="I253" s="165"/>
      <c r="J253" s="165"/>
      <c r="K253" s="165"/>
      <c r="L253" s="166"/>
      <c r="M253" s="163"/>
      <c r="N253" s="167"/>
      <c r="O253" s="165"/>
      <c r="P253" s="163"/>
      <c r="Q253" s="163">
        <v>252</v>
      </c>
    </row>
    <row r="254" spans="1:17">
      <c r="A254" s="163"/>
      <c r="B254" s="163" t="str">
        <f t="shared" si="4"/>
        <v>NotApplicable</v>
      </c>
      <c r="D254" s="163" t="e">
        <f>VLOOKUP(C:C,'QT Import for PTC'!B:D,3,0)</f>
        <v>#N/A</v>
      </c>
      <c r="E254" s="165"/>
      <c r="F254" s="165"/>
      <c r="G254" s="165"/>
      <c r="H254" s="165"/>
      <c r="I254" s="165"/>
      <c r="J254" s="165"/>
      <c r="K254" s="165"/>
      <c r="L254" s="166"/>
      <c r="M254" s="163"/>
      <c r="N254" s="167"/>
      <c r="O254" s="165"/>
      <c r="P254" s="163"/>
      <c r="Q254" s="163">
        <v>253</v>
      </c>
    </row>
    <row r="255" spans="1:17">
      <c r="A255" s="163"/>
      <c r="B255" s="163" t="str">
        <f t="shared" si="4"/>
        <v>NotApplicable</v>
      </c>
      <c r="D255" s="163" t="e">
        <f>VLOOKUP(C:C,'QT Import for PTC'!B:D,3,0)</f>
        <v>#N/A</v>
      </c>
      <c r="E255" s="165"/>
      <c r="F255" s="165"/>
      <c r="G255" s="165"/>
      <c r="H255" s="165"/>
      <c r="I255" s="165"/>
      <c r="J255" s="165"/>
      <c r="K255" s="165"/>
      <c r="L255" s="166"/>
      <c r="M255" s="163"/>
      <c r="N255" s="167"/>
      <c r="O255" s="165"/>
      <c r="P255" s="163"/>
      <c r="Q255" s="163">
        <v>254</v>
      </c>
    </row>
    <row r="256" spans="1:17">
      <c r="A256" s="163"/>
      <c r="B256" s="163" t="str">
        <f t="shared" si="4"/>
        <v>NotApplicable</v>
      </c>
      <c r="D256" s="163" t="e">
        <f>VLOOKUP(C:C,'QT Import for PTC'!B:D,3,0)</f>
        <v>#N/A</v>
      </c>
      <c r="E256" s="165"/>
      <c r="F256" s="165"/>
      <c r="G256" s="165"/>
      <c r="H256" s="165"/>
      <c r="I256" s="165"/>
      <c r="J256" s="165"/>
      <c r="K256" s="165"/>
      <c r="L256" s="166"/>
      <c r="M256" s="163"/>
      <c r="N256" s="167"/>
      <c r="O256" s="165"/>
      <c r="P256" s="163"/>
      <c r="Q256" s="163">
        <v>255</v>
      </c>
    </row>
    <row r="257" spans="1:17">
      <c r="A257" s="163"/>
      <c r="B257" s="163" t="str">
        <f t="shared" si="4"/>
        <v>NotApplicable</v>
      </c>
      <c r="D257" s="163" t="e">
        <f>VLOOKUP(C:C,'QT Import for PTC'!B:D,3,0)</f>
        <v>#N/A</v>
      </c>
      <c r="E257" s="165"/>
      <c r="F257" s="165"/>
      <c r="G257" s="165"/>
      <c r="H257" s="165"/>
      <c r="I257" s="165"/>
      <c r="J257" s="165"/>
      <c r="K257" s="165"/>
      <c r="L257" s="166"/>
      <c r="M257" s="163"/>
      <c r="N257" s="167"/>
      <c r="O257" s="165"/>
      <c r="P257" s="163"/>
      <c r="Q257" s="163">
        <v>256</v>
      </c>
    </row>
    <row r="258" spans="1:17">
      <c r="A258" s="163"/>
      <c r="B258" s="163" t="str">
        <f t="shared" si="4"/>
        <v>NotApplicable</v>
      </c>
      <c r="D258" s="163" t="e">
        <f>VLOOKUP(C:C,'QT Import for PTC'!B:D,3,0)</f>
        <v>#N/A</v>
      </c>
      <c r="E258" s="165"/>
      <c r="F258" s="165"/>
      <c r="G258" s="165"/>
      <c r="H258" s="165"/>
      <c r="I258" s="165"/>
      <c r="J258" s="165"/>
      <c r="K258" s="165"/>
      <c r="L258" s="166"/>
      <c r="M258" s="163"/>
      <c r="N258" s="167"/>
      <c r="O258" s="165"/>
      <c r="P258" s="163"/>
      <c r="Q258" s="163">
        <v>257</v>
      </c>
    </row>
    <row r="259" spans="1:17">
      <c r="A259" s="163"/>
      <c r="B259" s="163" t="str">
        <f t="shared" ref="B259:B322" si="5">IF(ISNA(D259),"NotApplicable","Applicable")</f>
        <v>NotApplicable</v>
      </c>
      <c r="D259" s="163" t="e">
        <f>VLOOKUP(C:C,'QT Import for PTC'!B:D,3,0)</f>
        <v>#N/A</v>
      </c>
      <c r="E259" s="165"/>
      <c r="F259" s="165"/>
      <c r="G259" s="165"/>
      <c r="H259" s="165"/>
      <c r="I259" s="165"/>
      <c r="J259" s="165"/>
      <c r="K259" s="165"/>
      <c r="L259" s="166"/>
      <c r="M259" s="163"/>
      <c r="N259" s="167"/>
      <c r="O259" s="165"/>
      <c r="P259" s="163"/>
      <c r="Q259" s="163">
        <v>258</v>
      </c>
    </row>
    <row r="260" spans="1:17">
      <c r="A260" s="163"/>
      <c r="B260" s="163" t="str">
        <f t="shared" si="5"/>
        <v>NotApplicable</v>
      </c>
      <c r="D260" s="163" t="e">
        <f>VLOOKUP(C:C,'QT Import for PTC'!B:D,3,0)</f>
        <v>#N/A</v>
      </c>
      <c r="E260" s="165"/>
      <c r="F260" s="165"/>
      <c r="G260" s="165"/>
      <c r="H260" s="165"/>
      <c r="I260" s="165"/>
      <c r="J260" s="165"/>
      <c r="K260" s="165"/>
      <c r="L260" s="166"/>
      <c r="M260" s="163"/>
      <c r="N260" s="167"/>
      <c r="O260" s="165"/>
      <c r="P260" s="163"/>
      <c r="Q260" s="163">
        <v>259</v>
      </c>
    </row>
    <row r="261" spans="1:17">
      <c r="A261" s="163"/>
      <c r="B261" s="163" t="str">
        <f t="shared" si="5"/>
        <v>NotApplicable</v>
      </c>
      <c r="D261" s="163" t="e">
        <f>VLOOKUP(C:C,'QT Import for PTC'!B:D,3,0)</f>
        <v>#N/A</v>
      </c>
      <c r="E261" s="165"/>
      <c r="F261" s="165"/>
      <c r="G261" s="165"/>
      <c r="H261" s="165"/>
      <c r="I261" s="165"/>
      <c r="J261" s="165"/>
      <c r="K261" s="165"/>
      <c r="L261" s="166"/>
      <c r="M261" s="163"/>
      <c r="N261" s="167"/>
      <c r="O261" s="165"/>
      <c r="P261" s="163"/>
      <c r="Q261" s="163">
        <v>260</v>
      </c>
    </row>
    <row r="262" spans="1:17">
      <c r="A262" s="163"/>
      <c r="B262" s="163" t="str">
        <f t="shared" si="5"/>
        <v>NotApplicable</v>
      </c>
      <c r="D262" s="163" t="e">
        <f>VLOOKUP(C:C,'QT Import for PTC'!B:D,3,0)</f>
        <v>#N/A</v>
      </c>
      <c r="E262" s="165"/>
      <c r="F262" s="165"/>
      <c r="G262" s="165"/>
      <c r="H262" s="165"/>
      <c r="I262" s="165"/>
      <c r="J262" s="165"/>
      <c r="K262" s="165"/>
      <c r="L262" s="166"/>
      <c r="M262" s="163"/>
      <c r="N262" s="167"/>
      <c r="O262" s="165"/>
      <c r="P262" s="163"/>
      <c r="Q262" s="163">
        <v>261</v>
      </c>
    </row>
    <row r="263" spans="1:17">
      <c r="A263" s="163"/>
      <c r="B263" s="163" t="str">
        <f t="shared" si="5"/>
        <v>NotApplicable</v>
      </c>
      <c r="D263" s="163" t="e">
        <f>VLOOKUP(C:C,'QT Import for PTC'!B:D,3,0)</f>
        <v>#N/A</v>
      </c>
      <c r="E263" s="165"/>
      <c r="F263" s="165"/>
      <c r="G263" s="165"/>
      <c r="H263" s="165"/>
      <c r="I263" s="165"/>
      <c r="J263" s="165"/>
      <c r="K263" s="165"/>
      <c r="L263" s="166"/>
      <c r="M263" s="163"/>
      <c r="N263" s="167"/>
      <c r="O263" s="165"/>
      <c r="P263" s="163"/>
      <c r="Q263" s="163">
        <v>262</v>
      </c>
    </row>
    <row r="264" spans="1:17">
      <c r="A264" s="163"/>
      <c r="B264" s="163" t="str">
        <f t="shared" si="5"/>
        <v>NotApplicable</v>
      </c>
      <c r="D264" s="163" t="e">
        <f>VLOOKUP(C:C,'QT Import for PTC'!B:D,3,0)</f>
        <v>#N/A</v>
      </c>
      <c r="E264" s="165"/>
      <c r="F264" s="165"/>
      <c r="G264" s="165"/>
      <c r="H264" s="165"/>
      <c r="I264" s="165"/>
      <c r="J264" s="165"/>
      <c r="K264" s="165"/>
      <c r="L264" s="166"/>
      <c r="M264" s="163"/>
      <c r="N264" s="167"/>
      <c r="O264" s="165"/>
      <c r="P264" s="163"/>
      <c r="Q264" s="163">
        <v>263</v>
      </c>
    </row>
    <row r="265" spans="1:17">
      <c r="A265" s="163"/>
      <c r="B265" s="163" t="str">
        <f t="shared" si="5"/>
        <v>NotApplicable</v>
      </c>
      <c r="D265" s="163" t="e">
        <f>VLOOKUP(C:C,'QT Import for PTC'!B:D,3,0)</f>
        <v>#N/A</v>
      </c>
      <c r="E265" s="165"/>
      <c r="F265" s="165"/>
      <c r="G265" s="165"/>
      <c r="H265" s="165"/>
      <c r="I265" s="165"/>
      <c r="J265" s="165"/>
      <c r="K265" s="165"/>
      <c r="L265" s="166"/>
      <c r="M265" s="163"/>
      <c r="N265" s="167"/>
      <c r="O265" s="165"/>
      <c r="P265" s="163"/>
      <c r="Q265" s="163">
        <v>264</v>
      </c>
    </row>
    <row r="266" spans="1:17">
      <c r="A266" s="163"/>
      <c r="B266" s="163" t="str">
        <f t="shared" si="5"/>
        <v>NotApplicable</v>
      </c>
      <c r="D266" s="163" t="e">
        <f>VLOOKUP(C:C,'QT Import for PTC'!B:D,3,0)</f>
        <v>#N/A</v>
      </c>
      <c r="E266" s="165"/>
      <c r="F266" s="165"/>
      <c r="G266" s="165"/>
      <c r="H266" s="165"/>
      <c r="I266" s="165"/>
      <c r="J266" s="165"/>
      <c r="K266" s="165"/>
      <c r="L266" s="166"/>
      <c r="M266" s="163"/>
      <c r="N266" s="167"/>
      <c r="O266" s="165"/>
      <c r="P266" s="163"/>
      <c r="Q266" s="163">
        <v>265</v>
      </c>
    </row>
    <row r="267" spans="1:17">
      <c r="A267" s="163"/>
      <c r="B267" s="163" t="str">
        <f t="shared" si="5"/>
        <v>NotApplicable</v>
      </c>
      <c r="D267" s="163" t="e">
        <f>VLOOKUP(C:C,'QT Import for PTC'!B:D,3,0)</f>
        <v>#N/A</v>
      </c>
      <c r="E267" s="165"/>
      <c r="F267" s="165"/>
      <c r="G267" s="165"/>
      <c r="H267" s="165"/>
      <c r="I267" s="165"/>
      <c r="J267" s="165"/>
      <c r="K267" s="165"/>
      <c r="L267" s="166"/>
      <c r="M267" s="163"/>
      <c r="N267" s="167"/>
      <c r="O267" s="165"/>
      <c r="P267" s="163"/>
      <c r="Q267" s="163">
        <v>266</v>
      </c>
    </row>
    <row r="268" spans="1:17">
      <c r="A268" s="163"/>
      <c r="B268" s="163" t="str">
        <f t="shared" si="5"/>
        <v>NotApplicable</v>
      </c>
      <c r="D268" s="163" t="e">
        <f>VLOOKUP(C:C,'QT Import for PTC'!B:D,3,0)</f>
        <v>#N/A</v>
      </c>
      <c r="E268" s="165"/>
      <c r="F268" s="165"/>
      <c r="G268" s="165"/>
      <c r="H268" s="165"/>
      <c r="I268" s="165"/>
      <c r="J268" s="165"/>
      <c r="K268" s="165"/>
      <c r="L268" s="166"/>
      <c r="M268" s="163"/>
      <c r="N268" s="167"/>
      <c r="O268" s="165"/>
      <c r="P268" s="163"/>
      <c r="Q268" s="163">
        <v>267</v>
      </c>
    </row>
    <row r="269" spans="1:17">
      <c r="A269" s="163"/>
      <c r="B269" s="163" t="str">
        <f t="shared" si="5"/>
        <v>NotApplicable</v>
      </c>
      <c r="D269" s="163" t="e">
        <f>VLOOKUP(C:C,'QT Import for PTC'!B:D,3,0)</f>
        <v>#N/A</v>
      </c>
      <c r="E269" s="165"/>
      <c r="F269" s="165"/>
      <c r="G269" s="165"/>
      <c r="H269" s="165"/>
      <c r="I269" s="165"/>
      <c r="J269" s="165"/>
      <c r="K269" s="165"/>
      <c r="L269" s="166"/>
      <c r="M269" s="163"/>
      <c r="N269" s="167"/>
      <c r="O269" s="165"/>
      <c r="P269" s="163"/>
      <c r="Q269" s="163">
        <v>268</v>
      </c>
    </row>
    <row r="270" spans="1:17">
      <c r="A270" s="163"/>
      <c r="B270" s="163" t="str">
        <f t="shared" si="5"/>
        <v>NotApplicable</v>
      </c>
      <c r="D270" s="163" t="e">
        <f>VLOOKUP(C:C,'QT Import for PTC'!B:D,3,0)</f>
        <v>#N/A</v>
      </c>
      <c r="E270" s="165"/>
      <c r="F270" s="165"/>
      <c r="G270" s="165"/>
      <c r="H270" s="165"/>
      <c r="I270" s="165"/>
      <c r="J270" s="165"/>
      <c r="K270" s="165"/>
      <c r="L270" s="166"/>
      <c r="M270" s="163"/>
      <c r="N270" s="167"/>
      <c r="O270" s="165"/>
      <c r="P270" s="163"/>
      <c r="Q270" s="163">
        <v>269</v>
      </c>
    </row>
    <row r="271" spans="1:17">
      <c r="A271" s="163"/>
      <c r="B271" s="163" t="str">
        <f t="shared" si="5"/>
        <v>NotApplicable</v>
      </c>
      <c r="D271" s="163" t="e">
        <f>VLOOKUP(C:C,'QT Import for PTC'!B:D,3,0)</f>
        <v>#N/A</v>
      </c>
      <c r="E271" s="165"/>
      <c r="F271" s="165"/>
      <c r="G271" s="165"/>
      <c r="H271" s="165"/>
      <c r="I271" s="165"/>
      <c r="J271" s="165"/>
      <c r="K271" s="165"/>
      <c r="L271" s="166"/>
      <c r="M271" s="163"/>
      <c r="N271" s="167"/>
      <c r="O271" s="165"/>
      <c r="P271" s="163"/>
      <c r="Q271" s="163">
        <v>270</v>
      </c>
    </row>
    <row r="272" spans="1:17">
      <c r="A272" s="163"/>
      <c r="B272" s="163" t="str">
        <f t="shared" si="5"/>
        <v>NotApplicable</v>
      </c>
      <c r="D272" s="163" t="e">
        <f>VLOOKUP(C:C,'QT Import for PTC'!B:D,3,0)</f>
        <v>#N/A</v>
      </c>
      <c r="E272" s="165"/>
      <c r="F272" s="165"/>
      <c r="G272" s="165"/>
      <c r="H272" s="165"/>
      <c r="I272" s="165"/>
      <c r="J272" s="165"/>
      <c r="K272" s="165"/>
      <c r="L272" s="166"/>
      <c r="M272" s="163"/>
      <c r="N272" s="167"/>
      <c r="O272" s="165"/>
      <c r="P272" s="163"/>
      <c r="Q272" s="163">
        <v>271</v>
      </c>
    </row>
    <row r="273" spans="1:17">
      <c r="A273" s="163"/>
      <c r="B273" s="163" t="str">
        <f t="shared" si="5"/>
        <v>NotApplicable</v>
      </c>
      <c r="D273" s="163" t="e">
        <f>VLOOKUP(C:C,'QT Import for PTC'!B:D,3,0)</f>
        <v>#N/A</v>
      </c>
      <c r="E273" s="165"/>
      <c r="F273" s="165"/>
      <c r="G273" s="165"/>
      <c r="H273" s="165"/>
      <c r="I273" s="165"/>
      <c r="J273" s="165"/>
      <c r="K273" s="165"/>
      <c r="L273" s="166"/>
      <c r="M273" s="163"/>
      <c r="N273" s="167"/>
      <c r="O273" s="165"/>
      <c r="P273" s="163"/>
      <c r="Q273" s="163">
        <v>272</v>
      </c>
    </row>
    <row r="274" spans="1:17">
      <c r="A274" s="163"/>
      <c r="B274" s="163" t="str">
        <f t="shared" si="5"/>
        <v>NotApplicable</v>
      </c>
      <c r="D274" s="163" t="e">
        <f>VLOOKUP(C:C,'QT Import for PTC'!B:D,3,0)</f>
        <v>#N/A</v>
      </c>
      <c r="E274" s="165"/>
      <c r="F274" s="165"/>
      <c r="G274" s="165"/>
      <c r="H274" s="165"/>
      <c r="I274" s="165"/>
      <c r="J274" s="165"/>
      <c r="K274" s="165"/>
      <c r="L274" s="166"/>
      <c r="M274" s="163"/>
      <c r="N274" s="167"/>
      <c r="O274" s="165"/>
      <c r="P274" s="163"/>
      <c r="Q274" s="163">
        <v>273</v>
      </c>
    </row>
    <row r="275" spans="1:17">
      <c r="A275" s="163"/>
      <c r="B275" s="163" t="str">
        <f t="shared" si="5"/>
        <v>NotApplicable</v>
      </c>
      <c r="D275" s="163" t="e">
        <f>VLOOKUP(C:C,'QT Import for PTC'!B:D,3,0)</f>
        <v>#N/A</v>
      </c>
      <c r="E275" s="165"/>
      <c r="F275" s="165"/>
      <c r="G275" s="165"/>
      <c r="H275" s="165"/>
      <c r="I275" s="165"/>
      <c r="J275" s="165"/>
      <c r="K275" s="165"/>
      <c r="L275" s="166"/>
      <c r="M275" s="163"/>
      <c r="N275" s="167"/>
      <c r="O275" s="165"/>
      <c r="P275" s="163"/>
      <c r="Q275" s="163">
        <v>274</v>
      </c>
    </row>
    <row r="276" spans="1:17">
      <c r="A276" s="163"/>
      <c r="B276" s="163" t="str">
        <f t="shared" si="5"/>
        <v>NotApplicable</v>
      </c>
      <c r="D276" s="163" t="e">
        <f>VLOOKUP(C:C,'QT Import for PTC'!B:D,3,0)</f>
        <v>#N/A</v>
      </c>
      <c r="E276" s="165"/>
      <c r="F276" s="165"/>
      <c r="G276" s="165"/>
      <c r="H276" s="165"/>
      <c r="I276" s="165"/>
      <c r="J276" s="165"/>
      <c r="K276" s="165"/>
      <c r="L276" s="166"/>
      <c r="M276" s="163"/>
      <c r="N276" s="167"/>
      <c r="O276" s="165"/>
      <c r="P276" s="163"/>
      <c r="Q276" s="163">
        <v>275</v>
      </c>
    </row>
    <row r="277" spans="1:17">
      <c r="A277" s="163"/>
      <c r="B277" s="163" t="str">
        <f t="shared" si="5"/>
        <v>NotApplicable</v>
      </c>
      <c r="D277" s="163" t="e">
        <f>VLOOKUP(C:C,'QT Import for PTC'!B:D,3,0)</f>
        <v>#N/A</v>
      </c>
      <c r="E277" s="165"/>
      <c r="F277" s="165"/>
      <c r="G277" s="165"/>
      <c r="H277" s="165"/>
      <c r="I277" s="165"/>
      <c r="J277" s="165"/>
      <c r="K277" s="165"/>
      <c r="L277" s="166"/>
      <c r="M277" s="163"/>
      <c r="N277" s="167"/>
      <c r="O277" s="165"/>
      <c r="P277" s="163"/>
      <c r="Q277" s="163">
        <v>276</v>
      </c>
    </row>
    <row r="278" spans="1:17">
      <c r="A278" s="163"/>
      <c r="B278" s="163" t="str">
        <f t="shared" si="5"/>
        <v>NotApplicable</v>
      </c>
      <c r="D278" s="163" t="e">
        <f>VLOOKUP(C:C,'QT Import for PTC'!B:D,3,0)</f>
        <v>#N/A</v>
      </c>
      <c r="E278" s="165"/>
      <c r="F278" s="165"/>
      <c r="G278" s="165"/>
      <c r="H278" s="165"/>
      <c r="I278" s="165"/>
      <c r="J278" s="165"/>
      <c r="K278" s="165"/>
      <c r="L278" s="166"/>
      <c r="M278" s="163"/>
      <c r="N278" s="167"/>
      <c r="O278" s="165"/>
      <c r="P278" s="163"/>
      <c r="Q278" s="163">
        <v>277</v>
      </c>
    </row>
    <row r="279" spans="1:17">
      <c r="A279" s="163"/>
      <c r="B279" s="163" t="str">
        <f t="shared" si="5"/>
        <v>NotApplicable</v>
      </c>
      <c r="D279" s="163" t="e">
        <f>VLOOKUP(C:C,'QT Import for PTC'!B:D,3,0)</f>
        <v>#N/A</v>
      </c>
      <c r="E279" s="165"/>
      <c r="F279" s="165"/>
      <c r="G279" s="165"/>
      <c r="H279" s="165"/>
      <c r="I279" s="165"/>
      <c r="J279" s="165"/>
      <c r="K279" s="165"/>
      <c r="L279" s="166"/>
      <c r="M279" s="163"/>
      <c r="N279" s="167"/>
      <c r="O279" s="165"/>
      <c r="P279" s="163"/>
      <c r="Q279" s="163">
        <v>278</v>
      </c>
    </row>
    <row r="280" spans="1:17">
      <c r="A280" s="163"/>
      <c r="B280" s="163" t="str">
        <f t="shared" si="5"/>
        <v>NotApplicable</v>
      </c>
      <c r="D280" s="163" t="e">
        <f>VLOOKUP(C:C,'QT Import for PTC'!B:D,3,0)</f>
        <v>#N/A</v>
      </c>
      <c r="E280" s="165"/>
      <c r="F280" s="165"/>
      <c r="G280" s="165"/>
      <c r="H280" s="165"/>
      <c r="I280" s="165"/>
      <c r="J280" s="165"/>
      <c r="K280" s="165"/>
      <c r="L280" s="166"/>
      <c r="M280" s="163"/>
      <c r="N280" s="167"/>
      <c r="O280" s="165"/>
      <c r="P280" s="163"/>
      <c r="Q280" s="163">
        <v>279</v>
      </c>
    </row>
    <row r="281" spans="1:17">
      <c r="A281" s="163"/>
      <c r="B281" s="163" t="str">
        <f t="shared" si="5"/>
        <v>NotApplicable</v>
      </c>
      <c r="D281" s="163" t="e">
        <f>VLOOKUP(C:C,'QT Import for PTC'!B:D,3,0)</f>
        <v>#N/A</v>
      </c>
      <c r="E281" s="165"/>
      <c r="F281" s="165"/>
      <c r="G281" s="165"/>
      <c r="H281" s="165"/>
      <c r="I281" s="165"/>
      <c r="J281" s="165"/>
      <c r="K281" s="165"/>
      <c r="L281" s="166"/>
      <c r="M281" s="163"/>
      <c r="N281" s="167"/>
      <c r="O281" s="165"/>
      <c r="P281" s="163"/>
      <c r="Q281" s="163">
        <v>280</v>
      </c>
    </row>
    <row r="282" spans="1:17">
      <c r="A282" s="163"/>
      <c r="B282" s="163" t="str">
        <f t="shared" si="5"/>
        <v>NotApplicable</v>
      </c>
      <c r="D282" s="163" t="e">
        <f>VLOOKUP(C:C,'QT Import for PTC'!B:D,3,0)</f>
        <v>#N/A</v>
      </c>
      <c r="E282" s="165"/>
      <c r="F282" s="165"/>
      <c r="G282" s="165"/>
      <c r="H282" s="165"/>
      <c r="I282" s="165"/>
      <c r="J282" s="165"/>
      <c r="K282" s="165"/>
      <c r="L282" s="166"/>
      <c r="M282" s="163"/>
      <c r="N282" s="167"/>
      <c r="O282" s="165"/>
      <c r="P282" s="163"/>
      <c r="Q282" s="163">
        <v>281</v>
      </c>
    </row>
    <row r="283" spans="1:17">
      <c r="A283" s="163"/>
      <c r="B283" s="163" t="str">
        <f t="shared" si="5"/>
        <v>NotApplicable</v>
      </c>
      <c r="D283" s="163" t="e">
        <f>VLOOKUP(C:C,'QT Import for PTC'!B:D,3,0)</f>
        <v>#N/A</v>
      </c>
      <c r="E283" s="165"/>
      <c r="F283" s="165"/>
      <c r="G283" s="165"/>
      <c r="H283" s="165"/>
      <c r="I283" s="165"/>
      <c r="J283" s="165"/>
      <c r="K283" s="165"/>
      <c r="L283" s="166"/>
      <c r="M283" s="163"/>
      <c r="N283" s="167"/>
      <c r="O283" s="165"/>
      <c r="P283" s="163"/>
      <c r="Q283" s="163">
        <v>282</v>
      </c>
    </row>
    <row r="284" spans="1:17">
      <c r="A284" s="163"/>
      <c r="B284" s="163" t="str">
        <f t="shared" si="5"/>
        <v>NotApplicable</v>
      </c>
      <c r="D284" s="163" t="e">
        <f>VLOOKUP(C:C,'QT Import for PTC'!B:D,3,0)</f>
        <v>#N/A</v>
      </c>
      <c r="E284" s="165"/>
      <c r="F284" s="165"/>
      <c r="G284" s="165"/>
      <c r="H284" s="165"/>
      <c r="I284" s="165"/>
      <c r="J284" s="165"/>
      <c r="K284" s="165"/>
      <c r="L284" s="166"/>
      <c r="M284" s="163"/>
      <c r="N284" s="167"/>
      <c r="O284" s="165"/>
      <c r="P284" s="163"/>
      <c r="Q284" s="163">
        <v>283</v>
      </c>
    </row>
    <row r="285" spans="1:17">
      <c r="A285" s="163"/>
      <c r="B285" s="163" t="str">
        <f t="shared" si="5"/>
        <v>NotApplicable</v>
      </c>
      <c r="D285" s="163" t="e">
        <f>VLOOKUP(C:C,'QT Import for PTC'!B:D,3,0)</f>
        <v>#N/A</v>
      </c>
      <c r="E285" s="165"/>
      <c r="F285" s="165"/>
      <c r="G285" s="165"/>
      <c r="H285" s="165"/>
      <c r="I285" s="165"/>
      <c r="J285" s="165"/>
      <c r="K285" s="165"/>
      <c r="L285" s="166"/>
      <c r="M285" s="163"/>
      <c r="N285" s="167"/>
      <c r="O285" s="165"/>
      <c r="P285" s="163"/>
      <c r="Q285" s="163">
        <v>284</v>
      </c>
    </row>
    <row r="286" spans="1:17">
      <c r="A286" s="163"/>
      <c r="B286" s="163" t="str">
        <f t="shared" si="5"/>
        <v>NotApplicable</v>
      </c>
      <c r="D286" s="163" t="e">
        <f>VLOOKUP(C:C,'QT Import for PTC'!B:D,3,0)</f>
        <v>#N/A</v>
      </c>
      <c r="E286" s="165"/>
      <c r="F286" s="165"/>
      <c r="G286" s="165"/>
      <c r="H286" s="165"/>
      <c r="I286" s="165"/>
      <c r="J286" s="165"/>
      <c r="K286" s="165"/>
      <c r="L286" s="166"/>
      <c r="M286" s="163"/>
      <c r="N286" s="167"/>
      <c r="O286" s="165"/>
      <c r="P286" s="163"/>
      <c r="Q286" s="163">
        <v>285</v>
      </c>
    </row>
    <row r="287" spans="1:17">
      <c r="A287" s="163"/>
      <c r="B287" s="163" t="str">
        <f t="shared" si="5"/>
        <v>NotApplicable</v>
      </c>
      <c r="D287" s="163" t="e">
        <f>VLOOKUP(C:C,'QT Import for PTC'!B:D,3,0)</f>
        <v>#N/A</v>
      </c>
      <c r="E287" s="165"/>
      <c r="F287" s="165"/>
      <c r="G287" s="165"/>
      <c r="H287" s="165"/>
      <c r="I287" s="165"/>
      <c r="J287" s="165"/>
      <c r="K287" s="165"/>
      <c r="L287" s="166"/>
      <c r="M287" s="163"/>
      <c r="N287" s="167"/>
      <c r="O287" s="165"/>
      <c r="P287" s="163"/>
      <c r="Q287" s="163">
        <v>286</v>
      </c>
    </row>
    <row r="288" spans="1:17">
      <c r="A288" s="163"/>
      <c r="B288" s="163" t="str">
        <f t="shared" si="5"/>
        <v>NotApplicable</v>
      </c>
      <c r="D288" s="163" t="e">
        <f>VLOOKUP(C:C,'QT Import for PTC'!B:D,3,0)</f>
        <v>#N/A</v>
      </c>
      <c r="E288" s="165"/>
      <c r="F288" s="165"/>
      <c r="G288" s="165"/>
      <c r="H288" s="165"/>
      <c r="I288" s="165"/>
      <c r="J288" s="165"/>
      <c r="K288" s="165"/>
      <c r="L288" s="166"/>
      <c r="M288" s="163"/>
      <c r="N288" s="167"/>
      <c r="O288" s="165"/>
      <c r="P288" s="163"/>
      <c r="Q288" s="163">
        <v>287</v>
      </c>
    </row>
    <row r="289" spans="1:17">
      <c r="A289" s="163"/>
      <c r="B289" s="163" t="str">
        <f t="shared" si="5"/>
        <v>NotApplicable</v>
      </c>
      <c r="D289" s="163" t="e">
        <f>VLOOKUP(C:C,'QT Import for PTC'!B:D,3,0)</f>
        <v>#N/A</v>
      </c>
      <c r="E289" s="165"/>
      <c r="F289" s="165"/>
      <c r="G289" s="165"/>
      <c r="H289" s="165"/>
      <c r="I289" s="165"/>
      <c r="J289" s="165"/>
      <c r="K289" s="165"/>
      <c r="L289" s="166"/>
      <c r="M289" s="163"/>
      <c r="N289" s="167"/>
      <c r="O289" s="165"/>
      <c r="P289" s="163"/>
      <c r="Q289" s="163">
        <v>288</v>
      </c>
    </row>
    <row r="290" spans="1:17">
      <c r="A290" s="163"/>
      <c r="B290" s="163" t="str">
        <f t="shared" si="5"/>
        <v>NotApplicable</v>
      </c>
      <c r="D290" s="163" t="e">
        <f>VLOOKUP(C:C,'QT Import for PTC'!B:D,3,0)</f>
        <v>#N/A</v>
      </c>
      <c r="E290" s="165"/>
      <c r="F290" s="165"/>
      <c r="G290" s="165"/>
      <c r="H290" s="165"/>
      <c r="I290" s="165"/>
      <c r="J290" s="165"/>
      <c r="K290" s="165"/>
      <c r="L290" s="166"/>
      <c r="M290" s="163"/>
      <c r="N290" s="167"/>
      <c r="O290" s="165"/>
      <c r="P290" s="163"/>
      <c r="Q290" s="163">
        <v>289</v>
      </c>
    </row>
    <row r="291" spans="1:17">
      <c r="A291" s="163"/>
      <c r="B291" s="163" t="str">
        <f t="shared" si="5"/>
        <v>NotApplicable</v>
      </c>
      <c r="D291" s="163" t="e">
        <f>VLOOKUP(C:C,'QT Import for PTC'!B:D,3,0)</f>
        <v>#N/A</v>
      </c>
      <c r="E291" s="165"/>
      <c r="F291" s="165"/>
      <c r="G291" s="165"/>
      <c r="H291" s="165"/>
      <c r="I291" s="165"/>
      <c r="J291" s="165"/>
      <c r="K291" s="165"/>
      <c r="L291" s="166"/>
      <c r="M291" s="163"/>
      <c r="N291" s="167"/>
      <c r="O291" s="165"/>
      <c r="P291" s="163"/>
      <c r="Q291" s="163">
        <v>290</v>
      </c>
    </row>
    <row r="292" spans="1:17">
      <c r="A292" s="163"/>
      <c r="B292" s="163" t="str">
        <f t="shared" si="5"/>
        <v>NotApplicable</v>
      </c>
      <c r="D292" s="163" t="e">
        <f>VLOOKUP(C:C,'QT Import for PTC'!B:D,3,0)</f>
        <v>#N/A</v>
      </c>
      <c r="E292" s="165"/>
      <c r="F292" s="165"/>
      <c r="G292" s="165"/>
      <c r="H292" s="165"/>
      <c r="I292" s="165"/>
      <c r="J292" s="165"/>
      <c r="K292" s="165"/>
      <c r="L292" s="166"/>
      <c r="M292" s="163"/>
      <c r="N292" s="167"/>
      <c r="O292" s="165"/>
      <c r="P292" s="163"/>
      <c r="Q292" s="163">
        <v>291</v>
      </c>
    </row>
    <row r="293" spans="1:17">
      <c r="A293" s="163"/>
      <c r="B293" s="163" t="str">
        <f t="shared" si="5"/>
        <v>NotApplicable</v>
      </c>
      <c r="D293" s="163" t="e">
        <f>VLOOKUP(C:C,'QT Import for PTC'!B:D,3,0)</f>
        <v>#N/A</v>
      </c>
      <c r="E293" s="165"/>
      <c r="F293" s="165"/>
      <c r="G293" s="165"/>
      <c r="H293" s="165"/>
      <c r="I293" s="165"/>
      <c r="J293" s="165"/>
      <c r="K293" s="165"/>
      <c r="L293" s="166"/>
      <c r="M293" s="163"/>
      <c r="N293" s="167"/>
      <c r="O293" s="165"/>
      <c r="P293" s="163"/>
      <c r="Q293" s="163">
        <v>292</v>
      </c>
    </row>
    <row r="294" spans="1:17">
      <c r="A294" s="163"/>
      <c r="B294" s="163" t="str">
        <f t="shared" si="5"/>
        <v>NotApplicable</v>
      </c>
      <c r="D294" s="163" t="e">
        <f>VLOOKUP(C:C,'QT Import for PTC'!B:D,3,0)</f>
        <v>#N/A</v>
      </c>
      <c r="E294" s="165"/>
      <c r="F294" s="165"/>
      <c r="G294" s="165"/>
      <c r="H294" s="165"/>
      <c r="I294" s="165"/>
      <c r="J294" s="165"/>
      <c r="K294" s="165"/>
      <c r="L294" s="166"/>
      <c r="M294" s="163"/>
      <c r="N294" s="167"/>
      <c r="O294" s="165"/>
      <c r="P294" s="163"/>
      <c r="Q294" s="163">
        <v>293</v>
      </c>
    </row>
    <row r="295" spans="1:17">
      <c r="A295" s="163"/>
      <c r="B295" s="163" t="str">
        <f t="shared" si="5"/>
        <v>NotApplicable</v>
      </c>
      <c r="D295" s="163" t="e">
        <f>VLOOKUP(C:C,'QT Import for PTC'!B:D,3,0)</f>
        <v>#N/A</v>
      </c>
      <c r="E295" s="165"/>
      <c r="F295" s="165"/>
      <c r="G295" s="165"/>
      <c r="H295" s="165"/>
      <c r="I295" s="165"/>
      <c r="J295" s="165"/>
      <c r="K295" s="165"/>
      <c r="L295" s="166"/>
      <c r="M295" s="163"/>
      <c r="N295" s="167"/>
      <c r="O295" s="165"/>
      <c r="P295" s="163"/>
      <c r="Q295" s="163">
        <v>294</v>
      </c>
    </row>
    <row r="296" spans="1:17">
      <c r="A296" s="163"/>
      <c r="B296" s="163" t="str">
        <f t="shared" si="5"/>
        <v>NotApplicable</v>
      </c>
      <c r="D296" s="163" t="e">
        <f>VLOOKUP(C:C,'QT Import for PTC'!B:D,3,0)</f>
        <v>#N/A</v>
      </c>
      <c r="E296" s="165"/>
      <c r="F296" s="165"/>
      <c r="G296" s="165"/>
      <c r="H296" s="165"/>
      <c r="I296" s="165"/>
      <c r="J296" s="165"/>
      <c r="K296" s="165"/>
      <c r="L296" s="166"/>
      <c r="M296" s="163"/>
      <c r="N296" s="167"/>
      <c r="O296" s="165"/>
      <c r="P296" s="163"/>
      <c r="Q296" s="163">
        <v>295</v>
      </c>
    </row>
    <row r="297" spans="1:17">
      <c r="A297" s="163"/>
      <c r="B297" s="163" t="str">
        <f t="shared" si="5"/>
        <v>NotApplicable</v>
      </c>
      <c r="D297" s="163" t="e">
        <f>VLOOKUP(C:C,'QT Import for PTC'!B:D,3,0)</f>
        <v>#N/A</v>
      </c>
      <c r="E297" s="165"/>
      <c r="F297" s="165"/>
      <c r="G297" s="165"/>
      <c r="H297" s="165"/>
      <c r="I297" s="165"/>
      <c r="J297" s="165"/>
      <c r="K297" s="165"/>
      <c r="L297" s="166"/>
      <c r="M297" s="163"/>
      <c r="N297" s="167"/>
      <c r="O297" s="165"/>
      <c r="P297" s="163"/>
      <c r="Q297" s="163">
        <v>296</v>
      </c>
    </row>
    <row r="298" spans="1:17">
      <c r="A298" s="163"/>
      <c r="B298" s="163" t="str">
        <f t="shared" si="5"/>
        <v>NotApplicable</v>
      </c>
      <c r="D298" s="163" t="e">
        <f>VLOOKUP(C:C,'QT Import for PTC'!B:D,3,0)</f>
        <v>#N/A</v>
      </c>
      <c r="E298" s="165"/>
      <c r="F298" s="165"/>
      <c r="G298" s="165"/>
      <c r="H298" s="165"/>
      <c r="I298" s="165"/>
      <c r="J298" s="165"/>
      <c r="K298" s="165"/>
      <c r="L298" s="166"/>
      <c r="M298" s="163"/>
      <c r="N298" s="167"/>
      <c r="O298" s="165"/>
      <c r="P298" s="163"/>
      <c r="Q298" s="163">
        <v>297</v>
      </c>
    </row>
    <row r="299" spans="1:17">
      <c r="A299" s="163"/>
      <c r="B299" s="163" t="str">
        <f t="shared" si="5"/>
        <v>NotApplicable</v>
      </c>
      <c r="D299" s="163" t="e">
        <f>VLOOKUP(C:C,'QT Import for PTC'!B:D,3,0)</f>
        <v>#N/A</v>
      </c>
      <c r="E299" s="165"/>
      <c r="F299" s="165"/>
      <c r="G299" s="165"/>
      <c r="H299" s="165"/>
      <c r="I299" s="165"/>
      <c r="J299" s="165"/>
      <c r="K299" s="165"/>
      <c r="L299" s="166"/>
      <c r="M299" s="163"/>
      <c r="N299" s="167"/>
      <c r="O299" s="165"/>
      <c r="P299" s="163"/>
      <c r="Q299" s="163">
        <v>298</v>
      </c>
    </row>
    <row r="300" spans="1:17">
      <c r="A300" s="163"/>
      <c r="B300" s="163" t="str">
        <f t="shared" si="5"/>
        <v>NotApplicable</v>
      </c>
      <c r="D300" s="163" t="e">
        <f>VLOOKUP(C:C,'QT Import for PTC'!B:D,3,0)</f>
        <v>#N/A</v>
      </c>
      <c r="E300" s="165"/>
      <c r="F300" s="165"/>
      <c r="G300" s="165"/>
      <c r="H300" s="165"/>
      <c r="I300" s="165"/>
      <c r="J300" s="165"/>
      <c r="K300" s="165"/>
      <c r="L300" s="166"/>
      <c r="M300" s="163"/>
      <c r="N300" s="167"/>
      <c r="O300" s="165"/>
      <c r="P300" s="163"/>
      <c r="Q300" s="163">
        <v>299</v>
      </c>
    </row>
    <row r="301" spans="1:17">
      <c r="A301" s="163"/>
      <c r="B301" s="163" t="str">
        <f t="shared" si="5"/>
        <v>NotApplicable</v>
      </c>
      <c r="D301" s="163" t="e">
        <f>VLOOKUP(C:C,'QT Import for PTC'!B:D,3,0)</f>
        <v>#N/A</v>
      </c>
      <c r="E301" s="165"/>
      <c r="F301" s="165"/>
      <c r="G301" s="165"/>
      <c r="H301" s="165"/>
      <c r="I301" s="165"/>
      <c r="J301" s="165"/>
      <c r="K301" s="165"/>
      <c r="L301" s="166"/>
      <c r="M301" s="163"/>
      <c r="N301" s="167"/>
      <c r="O301" s="165"/>
      <c r="P301" s="163"/>
      <c r="Q301" s="163">
        <v>300</v>
      </c>
    </row>
    <row r="302" spans="1:17">
      <c r="A302" s="163"/>
      <c r="B302" s="163" t="str">
        <f t="shared" si="5"/>
        <v>NotApplicable</v>
      </c>
      <c r="D302" s="163" t="e">
        <f>VLOOKUP(C:C,'QT Import for PTC'!B:D,3,0)</f>
        <v>#N/A</v>
      </c>
      <c r="E302" s="165"/>
      <c r="F302" s="165"/>
      <c r="G302" s="165"/>
      <c r="H302" s="165"/>
      <c r="I302" s="165"/>
      <c r="J302" s="165"/>
      <c r="K302" s="165"/>
      <c r="L302" s="166"/>
      <c r="M302" s="163"/>
      <c r="N302" s="167"/>
      <c r="O302" s="165"/>
      <c r="P302" s="163"/>
      <c r="Q302" s="163">
        <v>301</v>
      </c>
    </row>
    <row r="303" spans="1:17">
      <c r="A303" s="163"/>
      <c r="B303" s="163" t="str">
        <f t="shared" si="5"/>
        <v>NotApplicable</v>
      </c>
      <c r="D303" s="163" t="e">
        <f>VLOOKUP(C:C,'QT Import for PTC'!B:D,3,0)</f>
        <v>#N/A</v>
      </c>
      <c r="E303" s="165"/>
      <c r="F303" s="165"/>
      <c r="G303" s="165"/>
      <c r="H303" s="165"/>
      <c r="I303" s="165"/>
      <c r="J303" s="165"/>
      <c r="K303" s="165"/>
      <c r="L303" s="166"/>
      <c r="M303" s="163"/>
      <c r="N303" s="167"/>
      <c r="O303" s="165"/>
      <c r="P303" s="163"/>
      <c r="Q303" s="163">
        <v>302</v>
      </c>
    </row>
    <row r="304" spans="1:17">
      <c r="A304" s="163"/>
      <c r="B304" s="163" t="str">
        <f t="shared" si="5"/>
        <v>NotApplicable</v>
      </c>
      <c r="D304" s="163" t="e">
        <f>VLOOKUP(C:C,'QT Import for PTC'!B:D,3,0)</f>
        <v>#N/A</v>
      </c>
      <c r="E304" s="165"/>
      <c r="F304" s="165"/>
      <c r="G304" s="165"/>
      <c r="H304" s="165"/>
      <c r="I304" s="165"/>
      <c r="J304" s="165"/>
      <c r="K304" s="165"/>
      <c r="L304" s="166"/>
      <c r="M304" s="163"/>
      <c r="N304" s="167"/>
      <c r="O304" s="165"/>
      <c r="P304" s="163"/>
      <c r="Q304" s="163">
        <v>303</v>
      </c>
    </row>
    <row r="305" spans="1:17">
      <c r="A305" s="163"/>
      <c r="B305" s="163" t="str">
        <f t="shared" si="5"/>
        <v>NotApplicable</v>
      </c>
      <c r="D305" s="163" t="e">
        <f>VLOOKUP(C:C,'QT Import for PTC'!B:D,3,0)</f>
        <v>#N/A</v>
      </c>
      <c r="E305" s="165"/>
      <c r="F305" s="165"/>
      <c r="G305" s="165"/>
      <c r="H305" s="165"/>
      <c r="I305" s="165"/>
      <c r="J305" s="165"/>
      <c r="K305" s="165"/>
      <c r="L305" s="166"/>
      <c r="M305" s="163"/>
      <c r="N305" s="167"/>
      <c r="O305" s="165"/>
      <c r="P305" s="163"/>
      <c r="Q305" s="163">
        <v>304</v>
      </c>
    </row>
    <row r="306" spans="1:17">
      <c r="A306" s="163"/>
      <c r="B306" s="163" t="str">
        <f t="shared" si="5"/>
        <v>NotApplicable</v>
      </c>
      <c r="D306" s="163" t="e">
        <f>VLOOKUP(C:C,'QT Import for PTC'!B:D,3,0)</f>
        <v>#N/A</v>
      </c>
      <c r="E306" s="165"/>
      <c r="F306" s="165"/>
      <c r="G306" s="165"/>
      <c r="H306" s="165"/>
      <c r="I306" s="165"/>
      <c r="J306" s="165"/>
      <c r="K306" s="165"/>
      <c r="L306" s="166"/>
      <c r="M306" s="163"/>
      <c r="N306" s="167"/>
      <c r="O306" s="165"/>
      <c r="P306" s="163"/>
      <c r="Q306" s="163">
        <v>305</v>
      </c>
    </row>
    <row r="307" spans="1:17">
      <c r="A307" s="163"/>
      <c r="B307" s="163" t="str">
        <f t="shared" si="5"/>
        <v>NotApplicable</v>
      </c>
      <c r="D307" s="163" t="e">
        <f>VLOOKUP(C:C,'QT Import for PTC'!B:D,3,0)</f>
        <v>#N/A</v>
      </c>
      <c r="E307" s="165"/>
      <c r="F307" s="165"/>
      <c r="G307" s="165"/>
      <c r="H307" s="165"/>
      <c r="I307" s="165"/>
      <c r="J307" s="165"/>
      <c r="K307" s="165"/>
      <c r="L307" s="166"/>
      <c r="M307" s="163"/>
      <c r="N307" s="167"/>
      <c r="O307" s="165"/>
      <c r="P307" s="163"/>
      <c r="Q307" s="163">
        <v>306</v>
      </c>
    </row>
    <row r="308" spans="1:17">
      <c r="A308" s="163"/>
      <c r="B308" s="163" t="str">
        <f t="shared" si="5"/>
        <v>NotApplicable</v>
      </c>
      <c r="D308" s="163" t="e">
        <f>VLOOKUP(C:C,'QT Import for PTC'!B:D,3,0)</f>
        <v>#N/A</v>
      </c>
      <c r="E308" s="165"/>
      <c r="F308" s="165"/>
      <c r="G308" s="165"/>
      <c r="H308" s="165"/>
      <c r="I308" s="165"/>
      <c r="J308" s="165"/>
      <c r="K308" s="165"/>
      <c r="L308" s="166"/>
      <c r="M308" s="163"/>
      <c r="N308" s="167"/>
      <c r="O308" s="165"/>
      <c r="P308" s="163"/>
      <c r="Q308" s="163">
        <v>307</v>
      </c>
    </row>
    <row r="309" spans="1:17">
      <c r="A309" s="163"/>
      <c r="B309" s="163" t="str">
        <f t="shared" si="5"/>
        <v>NotApplicable</v>
      </c>
      <c r="D309" s="163" t="e">
        <f>VLOOKUP(C:C,'QT Import for PTC'!B:D,3,0)</f>
        <v>#N/A</v>
      </c>
      <c r="E309" s="165"/>
      <c r="F309" s="165"/>
      <c r="G309" s="165"/>
      <c r="H309" s="165"/>
      <c r="I309" s="165"/>
      <c r="J309" s="165"/>
      <c r="K309" s="165"/>
      <c r="L309" s="166"/>
      <c r="M309" s="163"/>
      <c r="N309" s="167"/>
      <c r="O309" s="165"/>
      <c r="P309" s="163"/>
      <c r="Q309" s="163">
        <v>308</v>
      </c>
    </row>
    <row r="310" spans="1:17">
      <c r="A310" s="163"/>
      <c r="B310" s="163" t="str">
        <f t="shared" si="5"/>
        <v>NotApplicable</v>
      </c>
      <c r="D310" s="163" t="e">
        <f>VLOOKUP(C:C,'QT Import for PTC'!B:D,3,0)</f>
        <v>#N/A</v>
      </c>
      <c r="E310" s="165"/>
      <c r="F310" s="165"/>
      <c r="G310" s="165"/>
      <c r="H310" s="165"/>
      <c r="I310" s="165"/>
      <c r="J310" s="165"/>
      <c r="K310" s="165"/>
      <c r="L310" s="166"/>
      <c r="M310" s="163"/>
      <c r="N310" s="167"/>
      <c r="O310" s="165"/>
      <c r="P310" s="163"/>
      <c r="Q310" s="163">
        <v>309</v>
      </c>
    </row>
    <row r="311" spans="1:17">
      <c r="A311" s="163"/>
      <c r="B311" s="163" t="str">
        <f t="shared" si="5"/>
        <v>NotApplicable</v>
      </c>
      <c r="D311" s="163" t="e">
        <f>VLOOKUP(C:C,'QT Import for PTC'!B:D,3,0)</f>
        <v>#N/A</v>
      </c>
      <c r="E311" s="165"/>
      <c r="F311" s="165"/>
      <c r="G311" s="165"/>
      <c r="H311" s="165"/>
      <c r="I311" s="165"/>
      <c r="J311" s="165"/>
      <c r="K311" s="165"/>
      <c r="L311" s="166"/>
      <c r="M311" s="163"/>
      <c r="N311" s="167"/>
      <c r="O311" s="165"/>
      <c r="P311" s="163"/>
      <c r="Q311" s="163">
        <v>310</v>
      </c>
    </row>
    <row r="312" spans="1:17">
      <c r="A312" s="163"/>
      <c r="B312" s="163" t="str">
        <f t="shared" si="5"/>
        <v>NotApplicable</v>
      </c>
      <c r="D312" s="163" t="e">
        <f>VLOOKUP(C:C,'QT Import for PTC'!B:D,3,0)</f>
        <v>#N/A</v>
      </c>
      <c r="E312" s="165"/>
      <c r="F312" s="165"/>
      <c r="G312" s="165"/>
      <c r="H312" s="165"/>
      <c r="I312" s="165"/>
      <c r="J312" s="165"/>
      <c r="K312" s="165"/>
      <c r="L312" s="166"/>
      <c r="M312" s="163"/>
      <c r="N312" s="167"/>
      <c r="O312" s="165"/>
      <c r="P312" s="163"/>
      <c r="Q312" s="163">
        <v>311</v>
      </c>
    </row>
    <row r="313" spans="1:17">
      <c r="A313" s="163"/>
      <c r="B313" s="163" t="str">
        <f t="shared" si="5"/>
        <v>NotApplicable</v>
      </c>
      <c r="D313" s="163" t="e">
        <f>VLOOKUP(C:C,'QT Import for PTC'!B:D,3,0)</f>
        <v>#N/A</v>
      </c>
      <c r="E313" s="165"/>
      <c r="F313" s="165"/>
      <c r="G313" s="165"/>
      <c r="H313" s="165"/>
      <c r="I313" s="165"/>
      <c r="J313" s="165"/>
      <c r="K313" s="165"/>
      <c r="L313" s="166"/>
      <c r="M313" s="163"/>
      <c r="N313" s="167"/>
      <c r="O313" s="165"/>
      <c r="P313" s="163"/>
      <c r="Q313" s="163">
        <v>312</v>
      </c>
    </row>
    <row r="314" spans="1:17">
      <c r="A314" s="163"/>
      <c r="B314" s="163" t="str">
        <f t="shared" si="5"/>
        <v>NotApplicable</v>
      </c>
      <c r="D314" s="163" t="e">
        <f>VLOOKUP(C:C,'QT Import for PTC'!B:D,3,0)</f>
        <v>#N/A</v>
      </c>
      <c r="E314" s="165"/>
      <c r="F314" s="165"/>
      <c r="G314" s="165"/>
      <c r="H314" s="165"/>
      <c r="I314" s="165"/>
      <c r="J314" s="165"/>
      <c r="K314" s="165"/>
      <c r="L314" s="166"/>
      <c r="M314" s="163"/>
      <c r="N314" s="167"/>
      <c r="O314" s="165"/>
      <c r="P314" s="163"/>
      <c r="Q314" s="163">
        <v>313</v>
      </c>
    </row>
    <row r="315" spans="1:17">
      <c r="A315" s="163"/>
      <c r="B315" s="163" t="str">
        <f t="shared" si="5"/>
        <v>NotApplicable</v>
      </c>
      <c r="D315" s="163" t="e">
        <f>VLOOKUP(C:C,'QT Import for PTC'!B:D,3,0)</f>
        <v>#N/A</v>
      </c>
      <c r="E315" s="165"/>
      <c r="F315" s="165"/>
      <c r="G315" s="165"/>
      <c r="H315" s="165"/>
      <c r="I315" s="165"/>
      <c r="J315" s="165"/>
      <c r="K315" s="165"/>
      <c r="L315" s="166"/>
      <c r="M315" s="163"/>
      <c r="N315" s="167"/>
      <c r="O315" s="165"/>
      <c r="P315" s="163"/>
      <c r="Q315" s="163">
        <v>314</v>
      </c>
    </row>
    <row r="316" spans="1:17">
      <c r="A316" s="163"/>
      <c r="B316" s="163" t="str">
        <f t="shared" si="5"/>
        <v>NotApplicable</v>
      </c>
      <c r="D316" s="163" t="e">
        <f>VLOOKUP(C:C,'QT Import for PTC'!B:D,3,0)</f>
        <v>#N/A</v>
      </c>
      <c r="E316" s="165"/>
      <c r="F316" s="165"/>
      <c r="G316" s="165"/>
      <c r="H316" s="165"/>
      <c r="I316" s="165"/>
      <c r="J316" s="165"/>
      <c r="K316" s="165"/>
      <c r="L316" s="166"/>
      <c r="M316" s="163"/>
      <c r="N316" s="167"/>
      <c r="O316" s="165"/>
      <c r="P316" s="163"/>
      <c r="Q316" s="163">
        <v>315</v>
      </c>
    </row>
    <row r="317" spans="1:17">
      <c r="A317" s="163"/>
      <c r="B317" s="163" t="str">
        <f t="shared" si="5"/>
        <v>NotApplicable</v>
      </c>
      <c r="D317" s="163" t="e">
        <f>VLOOKUP(C:C,'QT Import for PTC'!B:D,3,0)</f>
        <v>#N/A</v>
      </c>
      <c r="E317" s="165"/>
      <c r="F317" s="165"/>
      <c r="G317" s="165"/>
      <c r="H317" s="165"/>
      <c r="I317" s="165"/>
      <c r="J317" s="165"/>
      <c r="K317" s="165"/>
      <c r="L317" s="166"/>
      <c r="M317" s="163"/>
      <c r="N317" s="167"/>
      <c r="O317" s="165"/>
      <c r="P317" s="163"/>
      <c r="Q317" s="163">
        <v>316</v>
      </c>
    </row>
    <row r="318" spans="1:17">
      <c r="A318" s="163"/>
      <c r="B318" s="163" t="str">
        <f t="shared" si="5"/>
        <v>NotApplicable</v>
      </c>
      <c r="D318" s="163" t="e">
        <f>VLOOKUP(C:C,'QT Import for PTC'!B:D,3,0)</f>
        <v>#N/A</v>
      </c>
      <c r="E318" s="165"/>
      <c r="F318" s="165"/>
      <c r="G318" s="165"/>
      <c r="H318" s="165"/>
      <c r="I318" s="165"/>
      <c r="J318" s="165"/>
      <c r="K318" s="165"/>
      <c r="L318" s="166"/>
      <c r="M318" s="163"/>
      <c r="N318" s="167"/>
      <c r="O318" s="165"/>
      <c r="P318" s="163"/>
      <c r="Q318" s="163">
        <v>317</v>
      </c>
    </row>
    <row r="319" spans="1:17">
      <c r="A319" s="163"/>
      <c r="B319" s="163" t="str">
        <f t="shared" si="5"/>
        <v>NotApplicable</v>
      </c>
      <c r="D319" s="163" t="e">
        <f>VLOOKUP(C:C,'QT Import for PTC'!B:D,3,0)</f>
        <v>#N/A</v>
      </c>
      <c r="E319" s="165"/>
      <c r="F319" s="165"/>
      <c r="G319" s="165"/>
      <c r="H319" s="165"/>
      <c r="I319" s="165"/>
      <c r="J319" s="165"/>
      <c r="K319" s="165"/>
      <c r="L319" s="166"/>
      <c r="M319" s="163"/>
      <c r="N319" s="167"/>
      <c r="O319" s="165"/>
      <c r="P319" s="163"/>
      <c r="Q319" s="163">
        <v>318</v>
      </c>
    </row>
    <row r="320" spans="1:17">
      <c r="A320" s="163"/>
      <c r="B320" s="163" t="str">
        <f t="shared" si="5"/>
        <v>NotApplicable</v>
      </c>
      <c r="D320" s="163" t="e">
        <f>VLOOKUP(C:C,'QT Import for PTC'!B:D,3,0)</f>
        <v>#N/A</v>
      </c>
      <c r="E320" s="165"/>
      <c r="F320" s="165"/>
      <c r="G320" s="165"/>
      <c r="H320" s="165"/>
      <c r="I320" s="165"/>
      <c r="J320" s="165"/>
      <c r="K320" s="165"/>
      <c r="L320" s="166"/>
      <c r="M320" s="163"/>
      <c r="N320" s="167"/>
      <c r="O320" s="165"/>
      <c r="P320" s="163"/>
      <c r="Q320" s="163">
        <v>319</v>
      </c>
    </row>
    <row r="321" spans="1:17">
      <c r="A321" s="163"/>
      <c r="B321" s="163" t="str">
        <f t="shared" si="5"/>
        <v>NotApplicable</v>
      </c>
      <c r="D321" s="163" t="e">
        <f>VLOOKUP(C:C,'QT Import for PTC'!B:D,3,0)</f>
        <v>#N/A</v>
      </c>
      <c r="E321" s="165"/>
      <c r="F321" s="165"/>
      <c r="G321" s="165"/>
      <c r="H321" s="165"/>
      <c r="I321" s="165"/>
      <c r="J321" s="165"/>
      <c r="K321" s="165"/>
      <c r="L321" s="166"/>
      <c r="M321" s="163"/>
      <c r="N321" s="167"/>
      <c r="O321" s="165"/>
      <c r="P321" s="163"/>
      <c r="Q321" s="163">
        <v>320</v>
      </c>
    </row>
    <row r="322" spans="1:17">
      <c r="A322" s="163"/>
      <c r="B322" s="163" t="str">
        <f t="shared" si="5"/>
        <v>NotApplicable</v>
      </c>
      <c r="D322" s="163" t="e">
        <f>VLOOKUP(C:C,'QT Import for PTC'!B:D,3,0)</f>
        <v>#N/A</v>
      </c>
      <c r="E322" s="165"/>
      <c r="F322" s="165"/>
      <c r="G322" s="165"/>
      <c r="H322" s="165"/>
      <c r="I322" s="165"/>
      <c r="J322" s="165"/>
      <c r="K322" s="165"/>
      <c r="L322" s="166"/>
      <c r="M322" s="163"/>
      <c r="N322" s="167"/>
      <c r="O322" s="165"/>
      <c r="P322" s="163"/>
      <c r="Q322" s="163">
        <v>321</v>
      </c>
    </row>
    <row r="323" spans="1:17">
      <c r="A323" s="163"/>
      <c r="B323" s="163" t="str">
        <f t="shared" ref="B323:B344" si="6">IF(ISNA(D323),"NotApplicable","Applicable")</f>
        <v>NotApplicable</v>
      </c>
      <c r="D323" s="163" t="e">
        <f>VLOOKUP(C:C,'QT Import for PTC'!B:D,3,0)</f>
        <v>#N/A</v>
      </c>
      <c r="E323" s="165"/>
      <c r="F323" s="165"/>
      <c r="G323" s="165"/>
      <c r="H323" s="165"/>
      <c r="I323" s="165"/>
      <c r="J323" s="165"/>
      <c r="K323" s="165"/>
      <c r="L323" s="166"/>
      <c r="M323" s="163"/>
      <c r="N323" s="167"/>
      <c r="O323" s="165"/>
      <c r="P323" s="163"/>
      <c r="Q323" s="163">
        <v>322</v>
      </c>
    </row>
    <row r="324" spans="1:17">
      <c r="A324" s="163"/>
      <c r="B324" s="163" t="str">
        <f t="shared" si="6"/>
        <v>NotApplicable</v>
      </c>
      <c r="D324" s="163" t="e">
        <f>VLOOKUP(C:C,'QT Import for PTC'!B:D,3,0)</f>
        <v>#N/A</v>
      </c>
      <c r="E324" s="165"/>
      <c r="F324" s="165"/>
      <c r="G324" s="165"/>
      <c r="H324" s="165"/>
      <c r="I324" s="165"/>
      <c r="J324" s="165"/>
      <c r="K324" s="165"/>
      <c r="L324" s="166"/>
      <c r="M324" s="163"/>
      <c r="N324" s="167"/>
      <c r="O324" s="165"/>
      <c r="P324" s="163"/>
      <c r="Q324" s="163">
        <v>323</v>
      </c>
    </row>
    <row r="325" spans="1:17">
      <c r="A325" s="163"/>
      <c r="B325" s="163" t="str">
        <f t="shared" si="6"/>
        <v>NotApplicable</v>
      </c>
      <c r="D325" s="163" t="e">
        <f>VLOOKUP(C:C,'QT Import for PTC'!B:D,3,0)</f>
        <v>#N/A</v>
      </c>
      <c r="E325" s="165"/>
      <c r="F325" s="165"/>
      <c r="G325" s="165"/>
      <c r="H325" s="165"/>
      <c r="I325" s="165"/>
      <c r="J325" s="165"/>
      <c r="K325" s="165"/>
      <c r="L325" s="166"/>
      <c r="M325" s="163"/>
      <c r="N325" s="167"/>
      <c r="O325" s="165"/>
      <c r="P325" s="163"/>
      <c r="Q325" s="163">
        <v>324</v>
      </c>
    </row>
    <row r="326" spans="1:17">
      <c r="A326" s="163"/>
      <c r="B326" s="163" t="str">
        <f t="shared" si="6"/>
        <v>NotApplicable</v>
      </c>
      <c r="D326" s="163" t="e">
        <f>VLOOKUP(C:C,'QT Import for PTC'!B:D,3,0)</f>
        <v>#N/A</v>
      </c>
      <c r="E326" s="165"/>
      <c r="F326" s="165"/>
      <c r="G326" s="165"/>
      <c r="H326" s="165"/>
      <c r="I326" s="165"/>
      <c r="J326" s="165"/>
      <c r="K326" s="165"/>
      <c r="L326" s="166"/>
      <c r="M326" s="163"/>
      <c r="N326" s="167"/>
      <c r="O326" s="165"/>
      <c r="P326" s="163"/>
      <c r="Q326" s="163">
        <v>325</v>
      </c>
    </row>
    <row r="327" spans="1:17">
      <c r="A327" s="163"/>
      <c r="B327" s="163" t="str">
        <f t="shared" si="6"/>
        <v>NotApplicable</v>
      </c>
      <c r="D327" s="163" t="e">
        <f>VLOOKUP(C:C,'QT Import for PTC'!B:D,3,0)</f>
        <v>#N/A</v>
      </c>
      <c r="E327" s="165"/>
      <c r="F327" s="165"/>
      <c r="G327" s="165"/>
      <c r="H327" s="165"/>
      <c r="I327" s="165"/>
      <c r="J327" s="165"/>
      <c r="K327" s="165"/>
      <c r="L327" s="166"/>
      <c r="M327" s="163"/>
      <c r="N327" s="167"/>
      <c r="O327" s="165"/>
      <c r="P327" s="163"/>
      <c r="Q327" s="163">
        <v>326</v>
      </c>
    </row>
    <row r="328" spans="1:17">
      <c r="A328" s="163"/>
      <c r="B328" s="163" t="str">
        <f t="shared" si="6"/>
        <v>NotApplicable</v>
      </c>
      <c r="D328" s="163" t="e">
        <f>VLOOKUP(C:C,'QT Import for PTC'!B:D,3,0)</f>
        <v>#N/A</v>
      </c>
      <c r="E328" s="165"/>
      <c r="F328" s="165"/>
      <c r="G328" s="165"/>
      <c r="H328" s="165"/>
      <c r="I328" s="165"/>
      <c r="J328" s="165"/>
      <c r="K328" s="165"/>
      <c r="L328" s="166"/>
      <c r="M328" s="163"/>
      <c r="N328" s="167"/>
      <c r="O328" s="165"/>
      <c r="P328" s="163"/>
      <c r="Q328" s="163">
        <v>327</v>
      </c>
    </row>
    <row r="329" spans="1:17">
      <c r="A329" s="163"/>
      <c r="B329" s="163" t="str">
        <f t="shared" si="6"/>
        <v>NotApplicable</v>
      </c>
      <c r="D329" s="163" t="e">
        <f>VLOOKUP(C:C,'QT Import for PTC'!B:D,3,0)</f>
        <v>#N/A</v>
      </c>
      <c r="E329" s="165"/>
      <c r="F329" s="165"/>
      <c r="G329" s="165"/>
      <c r="H329" s="165"/>
      <c r="I329" s="165"/>
      <c r="J329" s="165"/>
      <c r="K329" s="165"/>
      <c r="L329" s="166"/>
      <c r="M329" s="163"/>
      <c r="N329" s="167"/>
      <c r="O329" s="165"/>
      <c r="P329" s="163"/>
      <c r="Q329" s="163">
        <v>328</v>
      </c>
    </row>
    <row r="330" spans="1:17">
      <c r="A330" s="163"/>
      <c r="B330" s="163" t="str">
        <f t="shared" si="6"/>
        <v>NotApplicable</v>
      </c>
      <c r="D330" s="163" t="e">
        <f>VLOOKUP(C:C,'QT Import for PTC'!B:D,3,0)</f>
        <v>#N/A</v>
      </c>
      <c r="E330" s="165"/>
      <c r="F330" s="165"/>
      <c r="G330" s="165"/>
      <c r="H330" s="165"/>
      <c r="I330" s="165"/>
      <c r="J330" s="165"/>
      <c r="K330" s="165"/>
      <c r="L330" s="166"/>
      <c r="M330" s="163"/>
      <c r="N330" s="167"/>
      <c r="O330" s="165"/>
      <c r="P330" s="163"/>
      <c r="Q330" s="163">
        <v>329</v>
      </c>
    </row>
    <row r="331" spans="1:17">
      <c r="A331" s="163"/>
      <c r="B331" s="163" t="str">
        <f t="shared" si="6"/>
        <v>NotApplicable</v>
      </c>
      <c r="D331" s="163" t="e">
        <f>VLOOKUP(C:C,'QT Import for PTC'!B:D,3,0)</f>
        <v>#N/A</v>
      </c>
      <c r="E331" s="165"/>
      <c r="F331" s="165"/>
      <c r="G331" s="165"/>
      <c r="H331" s="165"/>
      <c r="I331" s="165"/>
      <c r="J331" s="165"/>
      <c r="K331" s="165"/>
      <c r="L331" s="166"/>
      <c r="M331" s="163"/>
      <c r="N331" s="167"/>
      <c r="O331" s="165"/>
      <c r="P331" s="163"/>
      <c r="Q331" s="163">
        <v>330</v>
      </c>
    </row>
    <row r="332" spans="1:17">
      <c r="A332" s="163"/>
      <c r="B332" s="163" t="str">
        <f t="shared" si="6"/>
        <v>NotApplicable</v>
      </c>
      <c r="D332" s="163" t="e">
        <f>VLOOKUP(C:C,'QT Import for PTC'!B:D,3,0)</f>
        <v>#N/A</v>
      </c>
      <c r="E332" s="165"/>
      <c r="F332" s="165"/>
      <c r="G332" s="165"/>
      <c r="H332" s="165"/>
      <c r="I332" s="165"/>
      <c r="J332" s="165"/>
      <c r="K332" s="165"/>
      <c r="L332" s="166"/>
      <c r="M332" s="163"/>
      <c r="N332" s="167"/>
      <c r="O332" s="165"/>
      <c r="P332" s="163"/>
      <c r="Q332" s="163">
        <v>331</v>
      </c>
    </row>
    <row r="333" spans="1:17">
      <c r="A333" s="163"/>
      <c r="B333" s="163" t="str">
        <f t="shared" si="6"/>
        <v>NotApplicable</v>
      </c>
      <c r="D333" s="163" t="e">
        <f>VLOOKUP(C:C,'QT Import for PTC'!B:D,3,0)</f>
        <v>#N/A</v>
      </c>
      <c r="E333" s="165"/>
      <c r="F333" s="165"/>
      <c r="G333" s="165"/>
      <c r="H333" s="165"/>
      <c r="I333" s="165"/>
      <c r="J333" s="165"/>
      <c r="K333" s="165"/>
      <c r="L333" s="166"/>
      <c r="M333" s="163"/>
      <c r="N333" s="167"/>
      <c r="O333" s="165"/>
      <c r="P333" s="163"/>
      <c r="Q333" s="163">
        <v>332</v>
      </c>
    </row>
    <row r="334" spans="1:17">
      <c r="A334" s="163"/>
      <c r="B334" s="163" t="str">
        <f t="shared" si="6"/>
        <v>NotApplicable</v>
      </c>
      <c r="D334" s="163" t="e">
        <f>VLOOKUP(C:C,'QT Import for PTC'!B:D,3,0)</f>
        <v>#N/A</v>
      </c>
      <c r="E334" s="165"/>
      <c r="F334" s="165"/>
      <c r="G334" s="165"/>
      <c r="H334" s="165"/>
      <c r="I334" s="165"/>
      <c r="J334" s="165"/>
      <c r="K334" s="165"/>
      <c r="L334" s="166"/>
      <c r="M334" s="163"/>
      <c r="N334" s="167"/>
      <c r="O334" s="165"/>
      <c r="P334" s="163"/>
      <c r="Q334" s="163">
        <v>333</v>
      </c>
    </row>
    <row r="335" spans="1:17">
      <c r="A335" s="163"/>
      <c r="B335" s="163" t="str">
        <f t="shared" si="6"/>
        <v>NotApplicable</v>
      </c>
      <c r="D335" s="163" t="e">
        <f>VLOOKUP(C:C,'QT Import for PTC'!B:D,3,0)</f>
        <v>#N/A</v>
      </c>
      <c r="E335" s="165"/>
      <c r="F335" s="165"/>
      <c r="G335" s="165"/>
      <c r="H335" s="165"/>
      <c r="I335" s="165"/>
      <c r="J335" s="165"/>
      <c r="K335" s="165"/>
      <c r="L335" s="166"/>
      <c r="M335" s="163"/>
      <c r="N335" s="167"/>
      <c r="O335" s="165"/>
      <c r="P335" s="163"/>
      <c r="Q335" s="163">
        <v>334</v>
      </c>
    </row>
    <row r="336" spans="1:17">
      <c r="A336" s="163"/>
      <c r="B336" s="163" t="str">
        <f t="shared" si="6"/>
        <v>NotApplicable</v>
      </c>
      <c r="D336" s="163" t="e">
        <f>VLOOKUP(C:C,'QT Import for PTC'!B:D,3,0)</f>
        <v>#N/A</v>
      </c>
      <c r="E336" s="165"/>
      <c r="F336" s="165"/>
      <c r="G336" s="165"/>
      <c r="H336" s="165"/>
      <c r="I336" s="165"/>
      <c r="J336" s="165"/>
      <c r="K336" s="165"/>
      <c r="L336" s="166"/>
      <c r="M336" s="163"/>
      <c r="N336" s="167"/>
      <c r="O336" s="165"/>
      <c r="P336" s="163"/>
      <c r="Q336" s="163">
        <v>335</v>
      </c>
    </row>
    <row r="337" spans="1:17">
      <c r="A337" s="163"/>
      <c r="B337" s="163" t="str">
        <f t="shared" si="6"/>
        <v>NotApplicable</v>
      </c>
      <c r="D337" s="163" t="e">
        <f>VLOOKUP(C:C,'QT Import for PTC'!B:D,3,0)</f>
        <v>#N/A</v>
      </c>
      <c r="E337" s="165"/>
      <c r="F337" s="165"/>
      <c r="G337" s="165"/>
      <c r="H337" s="165"/>
      <c r="I337" s="165"/>
      <c r="J337" s="165"/>
      <c r="K337" s="165"/>
      <c r="L337" s="166"/>
      <c r="M337" s="163"/>
      <c r="N337" s="167"/>
      <c r="O337" s="165"/>
      <c r="P337" s="163"/>
      <c r="Q337" s="163">
        <v>336</v>
      </c>
    </row>
    <row r="338" spans="1:17">
      <c r="A338" s="163"/>
      <c r="B338" s="163" t="str">
        <f t="shared" si="6"/>
        <v>NotApplicable</v>
      </c>
      <c r="D338" s="163" t="e">
        <f>VLOOKUP(C:C,'QT Import for PTC'!B:D,3,0)</f>
        <v>#N/A</v>
      </c>
      <c r="E338" s="165"/>
      <c r="F338" s="165"/>
      <c r="G338" s="165"/>
      <c r="H338" s="165"/>
      <c r="I338" s="165"/>
      <c r="J338" s="165"/>
      <c r="K338" s="165"/>
      <c r="L338" s="166"/>
      <c r="M338" s="163"/>
      <c r="N338" s="167"/>
      <c r="O338" s="165"/>
      <c r="P338" s="163"/>
      <c r="Q338" s="163">
        <v>337</v>
      </c>
    </row>
    <row r="339" spans="1:17">
      <c r="A339" s="163"/>
      <c r="B339" s="163" t="str">
        <f t="shared" si="6"/>
        <v>NotApplicable</v>
      </c>
      <c r="D339" s="163" t="e">
        <f>VLOOKUP(C:C,'QT Import for PTC'!B:D,3,0)</f>
        <v>#N/A</v>
      </c>
      <c r="E339" s="165"/>
      <c r="F339" s="165"/>
      <c r="G339" s="165"/>
      <c r="H339" s="165"/>
      <c r="I339" s="165"/>
      <c r="J339" s="165"/>
      <c r="K339" s="165"/>
      <c r="L339" s="166"/>
      <c r="M339" s="163"/>
      <c r="N339" s="167"/>
      <c r="O339" s="165"/>
      <c r="P339" s="163"/>
      <c r="Q339" s="163">
        <v>338</v>
      </c>
    </row>
    <row r="340" spans="1:17">
      <c r="A340" s="163"/>
      <c r="B340" s="163" t="str">
        <f t="shared" si="6"/>
        <v>NotApplicable</v>
      </c>
      <c r="D340" s="163" t="e">
        <f>VLOOKUP(C:C,'QT Import for PTC'!B:D,3,0)</f>
        <v>#N/A</v>
      </c>
      <c r="E340" s="165"/>
      <c r="F340" s="165"/>
      <c r="G340" s="165"/>
      <c r="H340" s="165"/>
      <c r="I340" s="165"/>
      <c r="J340" s="165"/>
      <c r="K340" s="165"/>
      <c r="L340" s="166"/>
      <c r="M340" s="163"/>
      <c r="N340" s="167"/>
      <c r="O340" s="165"/>
      <c r="P340" s="163"/>
      <c r="Q340" s="163">
        <v>339</v>
      </c>
    </row>
    <row r="341" spans="1:17">
      <c r="A341" s="163"/>
      <c r="B341" s="163" t="str">
        <f t="shared" si="6"/>
        <v>NotApplicable</v>
      </c>
      <c r="D341" s="163" t="e">
        <f>VLOOKUP(C:C,'QT Import for PTC'!B:D,3,0)</f>
        <v>#N/A</v>
      </c>
      <c r="E341" s="165"/>
      <c r="F341" s="165"/>
      <c r="G341" s="165"/>
      <c r="H341" s="165"/>
      <c r="I341" s="165"/>
      <c r="J341" s="165"/>
      <c r="K341" s="165"/>
      <c r="L341" s="166"/>
      <c r="M341" s="163"/>
      <c r="N341" s="167"/>
      <c r="O341" s="165"/>
      <c r="P341" s="163"/>
      <c r="Q341" s="163">
        <v>340</v>
      </c>
    </row>
    <row r="342" spans="1:17">
      <c r="A342" s="163"/>
      <c r="B342" s="163" t="str">
        <f t="shared" si="6"/>
        <v>NotApplicable</v>
      </c>
      <c r="D342" s="163" t="e">
        <f>VLOOKUP(C:C,'QT Import for PTC'!B:D,3,0)</f>
        <v>#N/A</v>
      </c>
      <c r="E342" s="165"/>
      <c r="F342" s="165"/>
      <c r="G342" s="165"/>
      <c r="H342" s="165"/>
      <c r="I342" s="165"/>
      <c r="J342" s="165"/>
      <c r="K342" s="165"/>
      <c r="L342" s="166"/>
      <c r="M342" s="163"/>
      <c r="N342" s="167"/>
      <c r="O342" s="165"/>
      <c r="P342" s="163"/>
      <c r="Q342" s="163">
        <v>341</v>
      </c>
    </row>
    <row r="343" spans="1:17">
      <c r="A343" s="163"/>
      <c r="B343" s="163" t="str">
        <f t="shared" si="6"/>
        <v>NotApplicable</v>
      </c>
      <c r="D343" s="163" t="e">
        <f>VLOOKUP(C:C,'QT Import for PTC'!B:D,3,0)</f>
        <v>#N/A</v>
      </c>
      <c r="E343" s="165"/>
      <c r="F343" s="165"/>
      <c r="G343" s="165"/>
      <c r="H343" s="165"/>
      <c r="I343" s="165"/>
      <c r="J343" s="165"/>
      <c r="K343" s="165"/>
      <c r="L343" s="166"/>
      <c r="M343" s="163"/>
      <c r="N343" s="167"/>
      <c r="O343" s="165"/>
      <c r="P343" s="163"/>
      <c r="Q343" s="163">
        <v>342</v>
      </c>
    </row>
    <row r="344" spans="1:17">
      <c r="A344" s="163"/>
      <c r="B344" s="163" t="str">
        <f t="shared" si="6"/>
        <v>NotApplicable</v>
      </c>
      <c r="D344" s="163" t="e">
        <f>VLOOKUP(C:C,'QT Import for PTC'!B:D,3,0)</f>
        <v>#N/A</v>
      </c>
      <c r="E344" s="165"/>
      <c r="F344" s="165"/>
      <c r="G344" s="165"/>
      <c r="H344" s="165"/>
      <c r="I344" s="165"/>
      <c r="J344" s="165"/>
      <c r="K344" s="165"/>
      <c r="L344" s="166"/>
      <c r="M344" s="163"/>
      <c r="N344" s="167"/>
      <c r="O344" s="165"/>
      <c r="P344" s="163"/>
      <c r="Q344" s="163">
        <v>343</v>
      </c>
    </row>
  </sheetData>
  <conditionalFormatting sqref="Q3 Q5:Q344 A2:Q2 A3:P344">
    <cfRule type="expression" dxfId="1505" priority="7">
      <formula>AND($O2="Fixed",$P2="Approved")</formula>
    </cfRule>
  </conditionalFormatting>
  <conditionalFormatting sqref="P2:P344">
    <cfRule type="expression" dxfId="1504" priority="6">
      <formula>$P2="Approved"</formula>
    </cfRule>
    <cfRule type="expression" dxfId="1503" priority="11">
      <formula>$P2="Rejected"</formula>
    </cfRule>
  </conditionalFormatting>
  <conditionalFormatting sqref="Q2:Q3 Q5:Q344 A2:O344">
    <cfRule type="expression" dxfId="1502" priority="8">
      <formula>$O2="Open"</formula>
    </cfRule>
    <cfRule type="expression" dxfId="1501" priority="9">
      <formula>$O2="Fixed"</formula>
    </cfRule>
    <cfRule type="expression" dxfId="1500" priority="10">
      <formula>$O2="Postponed"</formula>
    </cfRule>
    <cfRule type="expression" dxfId="1499" priority="12">
      <formula>$O2="Will not fix"</formula>
    </cfRule>
  </conditionalFormatting>
  <conditionalFormatting sqref="Q4">
    <cfRule type="expression" dxfId="1498" priority="1">
      <formula>AND($O4="Fixed",$P4="Approved")</formula>
    </cfRule>
  </conditionalFormatting>
  <conditionalFormatting sqref="Q4">
    <cfRule type="expression" dxfId="1497" priority="2">
      <formula>$O4="Open"</formula>
    </cfRule>
    <cfRule type="expression" dxfId="1496" priority="3">
      <formula>$O4="Fixed"</formula>
    </cfRule>
    <cfRule type="expression" dxfId="1495" priority="4">
      <formula>$O4="Postponed"</formula>
    </cfRule>
    <cfRule type="expression" dxfId="1494" priority="5">
      <formula>$O4="Will not fix"</formula>
    </cfRule>
  </conditionalFormatting>
  <dataValidations count="4">
    <dataValidation type="list" allowBlank="1" showInputMessage="1" showErrorMessage="1" sqref="E2:E344" xr:uid="{E0719B4A-7013-4001-B41F-AF45EAA841F5}">
      <formula1>"Major, Minor, Comment, Question"</formula1>
    </dataValidation>
    <dataValidation type="list" allowBlank="1" showInputMessage="1" showErrorMessage="1" sqref="P2:P344" xr:uid="{AB8AD432-E0DC-43CA-915D-016165C26E74}">
      <formula1>"Approved, Rejected"</formula1>
    </dataValidation>
    <dataValidation type="list" allowBlank="1" showInputMessage="1" showErrorMessage="1" sqref="O2:O344" xr:uid="{9AC1D133-CC44-423E-B623-1FD2E40A1E25}">
      <formula1>"Open, Fixed, Postponed, Will not fix"</formula1>
    </dataValidation>
    <dataValidation type="list" allowBlank="1" showInputMessage="1" showErrorMessage="1" sqref="G2:K18" xr:uid="{1537C4D6-98A8-40C3-A503-010C590E2B89}">
      <formula1>"Yes, No"</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election activeCell="B13" sqref="B13"/>
    </sheetView>
  </sheetViews>
  <sheetFormatPr defaultColWidth="9.140625" defaultRowHeight="12.75"/>
  <cols>
    <col min="1" max="1" width="15.42578125" style="82" bestFit="1" customWidth="1"/>
    <col min="2" max="2" width="69" style="82" customWidth="1"/>
    <col min="3" max="3" width="53.42578125" style="82" bestFit="1" customWidth="1"/>
    <col min="4" max="4" width="19" style="82" customWidth="1"/>
    <col min="5" max="5" width="21.7109375" style="82" customWidth="1"/>
    <col min="6" max="6" width="9.140625" style="82"/>
    <col min="7" max="7" width="8.42578125" style="82" customWidth="1"/>
    <col min="8" max="8" width="34.28515625" style="82" bestFit="1" customWidth="1"/>
    <col min="9" max="12" width="34.28515625" style="82" customWidth="1"/>
    <col min="13" max="13" width="9.5703125" style="82" bestFit="1" customWidth="1"/>
    <col min="14" max="14" width="5.5703125" style="82" bestFit="1" customWidth="1"/>
    <col min="15" max="261" width="69" style="82" customWidth="1"/>
    <col min="262" max="16384" width="9.140625" style="82"/>
  </cols>
  <sheetData>
    <row r="1" spans="1:19" ht="15">
      <c r="A1" s="186" t="s">
        <v>280</v>
      </c>
      <c r="B1" s="186" t="s">
        <v>281</v>
      </c>
      <c r="C1" s="186" t="s">
        <v>282</v>
      </c>
      <c r="D1" s="186" t="s">
        <v>283</v>
      </c>
      <c r="E1" s="186"/>
      <c r="F1" s="186"/>
      <c r="G1" s="186" t="s">
        <v>284</v>
      </c>
      <c r="H1" s="186" t="s">
        <v>285</v>
      </c>
      <c r="I1" s="186" t="s">
        <v>286</v>
      </c>
      <c r="J1" s="186" t="s">
        <v>287</v>
      </c>
      <c r="K1" s="186" t="s">
        <v>288</v>
      </c>
      <c r="L1" s="186" t="s">
        <v>289</v>
      </c>
      <c r="M1" s="186" t="s">
        <v>290</v>
      </c>
      <c r="N1" s="186" t="s">
        <v>271</v>
      </c>
      <c r="O1" s="186" t="s">
        <v>291</v>
      </c>
      <c r="P1" s="186" t="s">
        <v>292</v>
      </c>
      <c r="Q1" s="186" t="s">
        <v>293</v>
      </c>
      <c r="R1" s="186" t="s">
        <v>294</v>
      </c>
      <c r="S1" s="186" t="s">
        <v>295</v>
      </c>
    </row>
    <row r="2" spans="1:19">
      <c r="A2" s="146" t="str">
        <f>IF(ISNA(N2),"Test not reviewed","OK")</f>
        <v>Test not reviewed</v>
      </c>
      <c r="B2" s="164"/>
      <c r="C2" s="164"/>
      <c r="D2" s="164"/>
      <c r="E2" s="164"/>
      <c r="F2" s="146"/>
      <c r="G2" s="164"/>
      <c r="H2" s="164"/>
      <c r="I2" s="164"/>
      <c r="J2" s="164"/>
      <c r="K2" s="164"/>
      <c r="L2" s="164"/>
      <c r="M2" s="164"/>
      <c r="N2" s="164" t="e">
        <f>VLOOKUP(B:B,'QT Second level review'!C:O,10,0)</f>
        <v>#N/A</v>
      </c>
      <c r="O2" s="146"/>
      <c r="P2" s="146"/>
      <c r="Q2" s="146"/>
      <c r="R2" s="146"/>
      <c r="S2" s="146"/>
    </row>
    <row r="3" spans="1:19">
      <c r="A3" s="146" t="str">
        <f t="shared" ref="A3:A66" si="0">IF(ISNA(N3),"Test not reviewed","OK")</f>
        <v>Test not reviewed</v>
      </c>
      <c r="B3" s="164"/>
      <c r="C3" s="164"/>
      <c r="D3" s="164"/>
      <c r="E3" s="164"/>
      <c r="F3" s="146"/>
      <c r="G3" s="164"/>
      <c r="H3" s="164"/>
      <c r="I3" s="164"/>
      <c r="J3" s="164"/>
      <c r="K3" s="164"/>
      <c r="L3" s="164"/>
      <c r="M3" s="164"/>
      <c r="N3" s="164" t="e">
        <f>VLOOKUP(B:B,'QT Second level review'!C:O,10,0)</f>
        <v>#N/A</v>
      </c>
      <c r="O3" s="146"/>
      <c r="P3" s="146"/>
      <c r="Q3" s="146"/>
      <c r="R3" s="146"/>
      <c r="S3" s="146"/>
    </row>
    <row r="4" spans="1:19">
      <c r="A4" s="146" t="str">
        <f t="shared" si="0"/>
        <v>Test not reviewed</v>
      </c>
      <c r="B4" s="164"/>
      <c r="C4" s="164"/>
      <c r="D4" s="164"/>
      <c r="E4" s="164"/>
      <c r="F4" s="146"/>
      <c r="G4" s="164"/>
      <c r="H4" s="164"/>
      <c r="I4" s="164"/>
      <c r="J4" s="164"/>
      <c r="K4" s="164"/>
      <c r="L4" s="164"/>
      <c r="M4" s="164"/>
      <c r="N4" s="164" t="e">
        <f>VLOOKUP(B:B,'QT Second level review'!C:O,10,0)</f>
        <v>#N/A</v>
      </c>
      <c r="O4" s="146"/>
      <c r="P4" s="146"/>
      <c r="Q4" s="146"/>
      <c r="R4" s="146"/>
      <c r="S4" s="146"/>
    </row>
    <row r="5" spans="1:19">
      <c r="A5" s="146" t="str">
        <f t="shared" si="0"/>
        <v>Test not reviewed</v>
      </c>
      <c r="B5" s="164"/>
      <c r="C5" s="164"/>
      <c r="D5" s="164"/>
      <c r="E5" s="164"/>
      <c r="F5" s="146"/>
      <c r="G5" s="164"/>
      <c r="H5" s="164"/>
      <c r="I5" s="164"/>
      <c r="J5" s="164"/>
      <c r="K5" s="164"/>
      <c r="L5" s="164"/>
      <c r="M5" s="164"/>
      <c r="N5" s="164" t="e">
        <f>VLOOKUP(B:B,'QT Second level review'!C:O,10,0)</f>
        <v>#N/A</v>
      </c>
      <c r="O5" s="146"/>
      <c r="P5" s="146"/>
      <c r="Q5" s="146"/>
      <c r="R5" s="146"/>
      <c r="S5" s="146"/>
    </row>
    <row r="6" spans="1:19">
      <c r="A6" s="146" t="str">
        <f t="shared" si="0"/>
        <v>Test not reviewed</v>
      </c>
      <c r="B6" s="164"/>
      <c r="C6" s="164"/>
      <c r="D6" s="164"/>
      <c r="E6" s="164"/>
      <c r="F6" s="146"/>
      <c r="G6" s="164"/>
      <c r="H6" s="164"/>
      <c r="I6" s="164"/>
      <c r="J6" s="164"/>
      <c r="K6" s="164"/>
      <c r="L6" s="164"/>
      <c r="M6" s="164"/>
      <c r="N6" s="164" t="e">
        <f>VLOOKUP(B:B,'QT Second level review'!C:O,10,0)</f>
        <v>#N/A</v>
      </c>
      <c r="O6" s="146"/>
      <c r="P6" s="146"/>
      <c r="Q6" s="146"/>
      <c r="R6" s="146"/>
      <c r="S6" s="146"/>
    </row>
    <row r="7" spans="1:19">
      <c r="A7" s="146" t="str">
        <f t="shared" si="0"/>
        <v>Test not reviewed</v>
      </c>
      <c r="B7" s="164"/>
      <c r="C7" s="164"/>
      <c r="D7" s="164"/>
      <c r="E7" s="164"/>
      <c r="F7" s="146"/>
      <c r="G7" s="164"/>
      <c r="H7" s="164"/>
      <c r="I7" s="164"/>
      <c r="J7" s="164"/>
      <c r="K7" s="164"/>
      <c r="L7" s="164"/>
      <c r="M7" s="164"/>
      <c r="N7" s="164" t="e">
        <f>VLOOKUP(B:B,'QT Second level review'!C:O,10,0)</f>
        <v>#N/A</v>
      </c>
      <c r="O7" s="146"/>
      <c r="P7" s="146"/>
      <c r="Q7" s="146"/>
      <c r="R7" s="146"/>
      <c r="S7" s="146"/>
    </row>
    <row r="8" spans="1:19">
      <c r="A8" s="146" t="str">
        <f t="shared" si="0"/>
        <v>Test not reviewed</v>
      </c>
      <c r="B8" s="164"/>
      <c r="C8" s="164"/>
      <c r="D8" s="164"/>
      <c r="E8" s="164"/>
      <c r="F8" s="146"/>
      <c r="G8" s="164"/>
      <c r="H8" s="164"/>
      <c r="I8" s="164"/>
      <c r="J8" s="164"/>
      <c r="K8" s="164"/>
      <c r="L8" s="164"/>
      <c r="M8" s="164"/>
      <c r="N8" s="164" t="e">
        <f>VLOOKUP(B:B,'QT Second level review'!C:O,10,0)</f>
        <v>#N/A</v>
      </c>
      <c r="O8" s="146"/>
      <c r="P8" s="146"/>
      <c r="Q8" s="146"/>
      <c r="R8" s="146"/>
      <c r="S8" s="146"/>
    </row>
    <row r="9" spans="1:19">
      <c r="A9" s="146" t="str">
        <f t="shared" si="0"/>
        <v>Test not reviewed</v>
      </c>
      <c r="B9" s="164"/>
      <c r="C9" s="164"/>
      <c r="D9" s="164"/>
      <c r="E9" s="164"/>
      <c r="F9" s="146"/>
      <c r="G9" s="164"/>
      <c r="H9" s="164"/>
      <c r="I9" s="164"/>
      <c r="J9" s="164"/>
      <c r="K9" s="164"/>
      <c r="L9" s="164"/>
      <c r="M9" s="164"/>
      <c r="N9" s="164" t="e">
        <f>VLOOKUP(B:B,'QT Second level review'!C:O,10,0)</f>
        <v>#N/A</v>
      </c>
      <c r="O9" s="146"/>
      <c r="P9" s="146"/>
      <c r="Q9" s="146"/>
      <c r="R9" s="146"/>
      <c r="S9" s="146"/>
    </row>
    <row r="10" spans="1:19">
      <c r="A10" s="146" t="str">
        <f t="shared" si="0"/>
        <v>Test not reviewed</v>
      </c>
      <c r="B10" s="164"/>
      <c r="C10" s="164"/>
      <c r="D10" s="164"/>
      <c r="E10" s="164"/>
      <c r="F10" s="146"/>
      <c r="G10" s="164"/>
      <c r="H10" s="164"/>
      <c r="I10" s="164"/>
      <c r="J10" s="164"/>
      <c r="K10" s="164"/>
      <c r="L10" s="164"/>
      <c r="M10" s="164"/>
      <c r="N10" s="164" t="e">
        <f>VLOOKUP(B:B,'QT Second level review'!C:O,10,0)</f>
        <v>#N/A</v>
      </c>
      <c r="O10" s="146"/>
      <c r="P10" s="146"/>
      <c r="Q10" s="146"/>
      <c r="R10" s="146"/>
      <c r="S10" s="146"/>
    </row>
    <row r="11" spans="1:19">
      <c r="A11" s="146" t="str">
        <f t="shared" si="0"/>
        <v>Test not reviewed</v>
      </c>
      <c r="B11" s="164"/>
      <c r="C11" s="164"/>
      <c r="D11" s="164"/>
      <c r="E11" s="164"/>
      <c r="F11" s="146"/>
      <c r="G11" s="164"/>
      <c r="H11" s="164"/>
      <c r="I11" s="164"/>
      <c r="J11" s="164"/>
      <c r="K11" s="164"/>
      <c r="L11" s="164"/>
      <c r="M11" s="164"/>
      <c r="N11" s="164" t="e">
        <f>VLOOKUP(B:B,'QT Second level review'!C:O,10,0)</f>
        <v>#N/A</v>
      </c>
      <c r="O11" s="146"/>
      <c r="P11" s="146"/>
      <c r="Q11" s="146"/>
      <c r="R11" s="146"/>
      <c r="S11" s="146"/>
    </row>
    <row r="12" spans="1:19">
      <c r="A12" s="146" t="str">
        <f t="shared" si="0"/>
        <v>Test not reviewed</v>
      </c>
      <c r="B12" s="164"/>
      <c r="C12" s="164"/>
      <c r="D12" s="164"/>
      <c r="E12" s="164"/>
      <c r="F12" s="146"/>
      <c r="G12" s="164"/>
      <c r="H12" s="164"/>
      <c r="I12" s="164"/>
      <c r="J12" s="164"/>
      <c r="K12" s="164"/>
      <c r="L12" s="164"/>
      <c r="M12" s="164"/>
      <c r="N12" s="164" t="e">
        <f>VLOOKUP(B:B,'QT Second level review'!C:O,10,0)</f>
        <v>#N/A</v>
      </c>
      <c r="O12" s="146"/>
      <c r="P12" s="146"/>
      <c r="Q12" s="146"/>
      <c r="R12" s="146"/>
      <c r="S12" s="146"/>
    </row>
    <row r="13" spans="1:19">
      <c r="A13" s="146" t="str">
        <f t="shared" si="0"/>
        <v>Test not reviewed</v>
      </c>
      <c r="B13" s="164"/>
      <c r="C13" s="164"/>
      <c r="D13" s="164"/>
      <c r="E13" s="164"/>
      <c r="F13" s="146"/>
      <c r="G13" s="164"/>
      <c r="H13" s="164"/>
      <c r="I13" s="164"/>
      <c r="J13" s="164"/>
      <c r="K13" s="164"/>
      <c r="L13" s="164"/>
      <c r="M13" s="164"/>
      <c r="N13" s="164" t="e">
        <f>VLOOKUP(B:B,'QT Second level review'!C:O,10,0)</f>
        <v>#N/A</v>
      </c>
      <c r="O13" s="146"/>
      <c r="P13" s="146"/>
      <c r="Q13" s="146"/>
      <c r="R13" s="146"/>
      <c r="S13" s="146"/>
    </row>
    <row r="14" spans="1:19">
      <c r="A14" s="146" t="str">
        <f t="shared" si="0"/>
        <v>Test not reviewed</v>
      </c>
      <c r="B14" s="164"/>
      <c r="C14" s="164"/>
      <c r="D14" s="164"/>
      <c r="E14" s="164"/>
      <c r="F14" s="146"/>
      <c r="G14" s="164"/>
      <c r="H14" s="164"/>
      <c r="I14" s="164"/>
      <c r="J14" s="164"/>
      <c r="K14" s="164"/>
      <c r="L14" s="164"/>
      <c r="M14" s="164"/>
      <c r="N14" s="164" t="e">
        <f>VLOOKUP(B:B,'QT Second level review'!C:O,10,0)</f>
        <v>#N/A</v>
      </c>
      <c r="O14" s="146"/>
      <c r="P14" s="146"/>
      <c r="Q14" s="146"/>
      <c r="R14" s="146"/>
      <c r="S14" s="146"/>
    </row>
    <row r="15" spans="1:19">
      <c r="A15" s="146" t="str">
        <f t="shared" si="0"/>
        <v>Test not reviewed</v>
      </c>
      <c r="B15" s="164"/>
      <c r="C15" s="164"/>
      <c r="D15" s="164"/>
      <c r="E15" s="164"/>
      <c r="F15" s="146"/>
      <c r="G15" s="164"/>
      <c r="H15" s="164"/>
      <c r="I15" s="164"/>
      <c r="J15" s="164"/>
      <c r="K15" s="164"/>
      <c r="L15" s="164"/>
      <c r="M15" s="164"/>
      <c r="N15" s="164" t="e">
        <f>VLOOKUP(B:B,'QT Second level review'!C:O,10,0)</f>
        <v>#N/A</v>
      </c>
      <c r="O15" s="146"/>
      <c r="P15" s="146"/>
      <c r="Q15" s="146"/>
      <c r="R15" s="146"/>
      <c r="S15" s="146"/>
    </row>
    <row r="16" spans="1:19">
      <c r="A16" s="146" t="str">
        <f t="shared" si="0"/>
        <v>Test not reviewed</v>
      </c>
      <c r="B16" s="164"/>
      <c r="C16" s="164"/>
      <c r="D16" s="164"/>
      <c r="E16" s="164"/>
      <c r="F16" s="146"/>
      <c r="G16" s="164"/>
      <c r="H16" s="164"/>
      <c r="I16" s="164"/>
      <c r="J16" s="164"/>
      <c r="K16" s="164"/>
      <c r="L16" s="164"/>
      <c r="M16" s="164"/>
      <c r="N16" s="164" t="e">
        <f>VLOOKUP(B:B,'QT Second level review'!C:O,10,0)</f>
        <v>#N/A</v>
      </c>
      <c r="O16" s="146"/>
      <c r="P16" s="146"/>
      <c r="Q16" s="146"/>
      <c r="R16" s="146"/>
      <c r="S16" s="146"/>
    </row>
    <row r="17" spans="1:19">
      <c r="A17" s="146" t="str">
        <f t="shared" si="0"/>
        <v>Test not reviewed</v>
      </c>
      <c r="B17" s="164"/>
      <c r="C17" s="164"/>
      <c r="D17" s="164"/>
      <c r="E17" s="164"/>
      <c r="F17" s="146"/>
      <c r="G17" s="164"/>
      <c r="H17" s="164"/>
      <c r="I17" s="164"/>
      <c r="J17" s="164"/>
      <c r="K17" s="164"/>
      <c r="L17" s="164"/>
      <c r="M17" s="164"/>
      <c r="N17" s="164" t="e">
        <f>VLOOKUP(B:B,'QT Second level review'!C:O,10,0)</f>
        <v>#N/A</v>
      </c>
      <c r="O17" s="146"/>
      <c r="P17" s="146"/>
      <c r="Q17" s="146"/>
      <c r="R17" s="146"/>
      <c r="S17" s="146"/>
    </row>
    <row r="18" spans="1:19">
      <c r="A18" s="146" t="str">
        <f t="shared" si="0"/>
        <v>Test not reviewed</v>
      </c>
      <c r="B18" s="164"/>
      <c r="C18" s="164"/>
      <c r="D18" s="164"/>
      <c r="E18" s="164"/>
      <c r="F18" s="146"/>
      <c r="G18" s="164"/>
      <c r="H18" s="164"/>
      <c r="I18" s="164"/>
      <c r="J18" s="164"/>
      <c r="K18" s="164"/>
      <c r="L18" s="164"/>
      <c r="M18" s="164"/>
      <c r="N18" s="164" t="e">
        <f>VLOOKUP(B:B,'QT Second level review'!C:O,10,0)</f>
        <v>#N/A</v>
      </c>
      <c r="O18" s="146"/>
      <c r="P18" s="146"/>
      <c r="Q18" s="146"/>
      <c r="R18" s="146"/>
      <c r="S18" s="146"/>
    </row>
    <row r="19" spans="1:19">
      <c r="A19" s="146" t="str">
        <f t="shared" si="0"/>
        <v>Test not reviewed</v>
      </c>
      <c r="B19" s="164"/>
      <c r="C19" s="164"/>
      <c r="D19" s="164"/>
      <c r="E19" s="164"/>
      <c r="F19" s="146"/>
      <c r="G19" s="164"/>
      <c r="H19" s="164"/>
      <c r="I19" s="164"/>
      <c r="J19" s="164"/>
      <c r="K19" s="164"/>
      <c r="L19" s="164"/>
      <c r="M19" s="164"/>
      <c r="N19" s="164" t="e">
        <f>VLOOKUP(B:B,'QT Second level review'!C:O,10,0)</f>
        <v>#N/A</v>
      </c>
      <c r="O19" s="146"/>
      <c r="P19" s="146"/>
      <c r="Q19" s="146"/>
      <c r="R19" s="146"/>
      <c r="S19" s="146"/>
    </row>
    <row r="20" spans="1:19">
      <c r="A20" s="146" t="str">
        <f t="shared" si="0"/>
        <v>Test not reviewed</v>
      </c>
      <c r="B20" s="164"/>
      <c r="C20" s="164"/>
      <c r="D20" s="164"/>
      <c r="E20" s="164"/>
      <c r="F20" s="146"/>
      <c r="G20" s="164"/>
      <c r="H20" s="164"/>
      <c r="I20" s="164"/>
      <c r="J20" s="164"/>
      <c r="K20" s="164"/>
      <c r="L20" s="164"/>
      <c r="M20" s="164"/>
      <c r="N20" s="164" t="e">
        <f>VLOOKUP(B:B,'QT Second level review'!C:O,10,0)</f>
        <v>#N/A</v>
      </c>
      <c r="O20" s="146"/>
      <c r="P20" s="146"/>
      <c r="Q20" s="146"/>
      <c r="R20" s="146"/>
      <c r="S20" s="146"/>
    </row>
    <row r="21" spans="1:19">
      <c r="A21" s="146" t="str">
        <f t="shared" si="0"/>
        <v>Test not reviewed</v>
      </c>
      <c r="B21" s="164"/>
      <c r="C21" s="164"/>
      <c r="D21" s="164"/>
      <c r="E21" s="164"/>
      <c r="F21" s="146"/>
      <c r="G21" s="164"/>
      <c r="H21" s="164"/>
      <c r="I21" s="164"/>
      <c r="J21" s="164"/>
      <c r="K21" s="164"/>
      <c r="L21" s="164"/>
      <c r="M21" s="164"/>
      <c r="N21" s="164" t="e">
        <f>VLOOKUP(B:B,'QT Second level review'!C:O,10,0)</f>
        <v>#N/A</v>
      </c>
      <c r="O21" s="146"/>
      <c r="P21" s="146"/>
      <c r="Q21" s="146"/>
      <c r="R21" s="146"/>
      <c r="S21" s="146"/>
    </row>
    <row r="22" spans="1:19">
      <c r="A22" s="146" t="str">
        <f t="shared" si="0"/>
        <v>Test not reviewed</v>
      </c>
      <c r="B22" s="164"/>
      <c r="C22" s="164"/>
      <c r="D22" s="164"/>
      <c r="E22" s="164"/>
      <c r="F22" s="146"/>
      <c r="G22" s="164"/>
      <c r="H22" s="164"/>
      <c r="I22" s="164"/>
      <c r="J22" s="164"/>
      <c r="K22" s="164"/>
      <c r="L22" s="164"/>
      <c r="M22" s="164"/>
      <c r="N22" s="164" t="e">
        <f>VLOOKUP(B:B,'QT Second level review'!C:O,10,0)</f>
        <v>#N/A</v>
      </c>
      <c r="O22" s="146"/>
      <c r="P22" s="146"/>
      <c r="Q22" s="146"/>
      <c r="R22" s="146"/>
      <c r="S22" s="146"/>
    </row>
    <row r="23" spans="1:19">
      <c r="A23" s="146" t="str">
        <f t="shared" si="0"/>
        <v>Test not reviewed</v>
      </c>
      <c r="B23" s="164"/>
      <c r="C23" s="164"/>
      <c r="D23" s="164"/>
      <c r="E23" s="164"/>
      <c r="F23" s="146"/>
      <c r="G23" s="164"/>
      <c r="H23" s="164"/>
      <c r="I23" s="164"/>
      <c r="J23" s="164"/>
      <c r="K23" s="164"/>
      <c r="L23" s="164"/>
      <c r="M23" s="164"/>
      <c r="N23" s="164" t="e">
        <f>VLOOKUP(B:B,'QT Second level review'!C:O,10,0)</f>
        <v>#N/A</v>
      </c>
      <c r="O23" s="146"/>
      <c r="P23" s="146"/>
      <c r="Q23" s="146"/>
      <c r="R23" s="146"/>
      <c r="S23" s="146"/>
    </row>
    <row r="24" spans="1:19">
      <c r="A24" s="146" t="str">
        <f t="shared" si="0"/>
        <v>Test not reviewed</v>
      </c>
      <c r="B24" s="164"/>
      <c r="C24" s="164"/>
      <c r="D24" s="164"/>
      <c r="E24" s="164"/>
      <c r="F24" s="146"/>
      <c r="G24" s="164"/>
      <c r="H24" s="164"/>
      <c r="I24" s="164"/>
      <c r="J24" s="164"/>
      <c r="K24" s="164"/>
      <c r="L24" s="164"/>
      <c r="M24" s="164"/>
      <c r="N24" s="164" t="e">
        <f>VLOOKUP(B:B,'QT Second level review'!C:O,10,0)</f>
        <v>#N/A</v>
      </c>
      <c r="O24" s="146"/>
      <c r="P24" s="146"/>
      <c r="Q24" s="146"/>
      <c r="R24" s="146"/>
      <c r="S24" s="146"/>
    </row>
    <row r="25" spans="1:19">
      <c r="A25" s="146" t="str">
        <f t="shared" si="0"/>
        <v>Test not reviewed</v>
      </c>
      <c r="B25" s="164"/>
      <c r="C25" s="164"/>
      <c r="D25" s="164"/>
      <c r="E25" s="164"/>
      <c r="F25" s="146"/>
      <c r="G25" s="164"/>
      <c r="H25" s="164"/>
      <c r="I25" s="164"/>
      <c r="J25" s="164"/>
      <c r="K25" s="164"/>
      <c r="L25" s="164"/>
      <c r="M25" s="164"/>
      <c r="N25" s="164" t="e">
        <f>VLOOKUP(B:B,'QT Second level review'!C:O,10,0)</f>
        <v>#N/A</v>
      </c>
      <c r="O25" s="146"/>
      <c r="P25" s="146"/>
      <c r="Q25" s="146"/>
      <c r="R25" s="146"/>
      <c r="S25" s="146"/>
    </row>
    <row r="26" spans="1:19">
      <c r="A26" s="146" t="str">
        <f t="shared" si="0"/>
        <v>Test not reviewed</v>
      </c>
      <c r="B26" s="164"/>
      <c r="C26" s="164"/>
      <c r="D26" s="164"/>
      <c r="E26" s="164"/>
      <c r="F26" s="146"/>
      <c r="G26" s="164"/>
      <c r="H26" s="164"/>
      <c r="I26" s="164"/>
      <c r="J26" s="164"/>
      <c r="K26" s="164"/>
      <c r="L26" s="164"/>
      <c r="M26" s="164"/>
      <c r="N26" s="164" t="e">
        <f>VLOOKUP(B:B,'QT Second level review'!C:O,10,0)</f>
        <v>#N/A</v>
      </c>
      <c r="O26" s="146"/>
      <c r="P26" s="146"/>
      <c r="Q26" s="146"/>
      <c r="R26" s="146"/>
      <c r="S26" s="146"/>
    </row>
    <row r="27" spans="1:19">
      <c r="A27" s="146" t="str">
        <f t="shared" si="0"/>
        <v>Test not reviewed</v>
      </c>
      <c r="B27" s="164"/>
      <c r="C27" s="164"/>
      <c r="D27" s="164"/>
      <c r="E27" s="164"/>
      <c r="F27" s="146"/>
      <c r="G27" s="164"/>
      <c r="H27" s="164"/>
      <c r="I27" s="164"/>
      <c r="J27" s="164"/>
      <c r="K27" s="164"/>
      <c r="L27" s="164"/>
      <c r="M27" s="164"/>
      <c r="N27" s="164" t="e">
        <f>VLOOKUP(B:B,'QT Second level review'!C:O,10,0)</f>
        <v>#N/A</v>
      </c>
      <c r="O27" s="146"/>
      <c r="P27" s="146"/>
      <c r="Q27" s="146"/>
      <c r="R27" s="146"/>
      <c r="S27" s="146"/>
    </row>
    <row r="28" spans="1:19">
      <c r="A28" s="146" t="str">
        <f t="shared" si="0"/>
        <v>Test not reviewed</v>
      </c>
      <c r="B28" s="164"/>
      <c r="C28" s="164"/>
      <c r="D28" s="164"/>
      <c r="E28" s="164"/>
      <c r="F28" s="146"/>
      <c r="G28" s="164"/>
      <c r="H28" s="164"/>
      <c r="I28" s="164"/>
      <c r="J28" s="164"/>
      <c r="K28" s="164"/>
      <c r="L28" s="164"/>
      <c r="M28" s="164"/>
      <c r="N28" s="164" t="e">
        <f>VLOOKUP(B:B,'QT Second level review'!C:O,10,0)</f>
        <v>#N/A</v>
      </c>
      <c r="O28" s="146"/>
      <c r="P28" s="146"/>
      <c r="Q28" s="146"/>
      <c r="R28" s="146"/>
      <c r="S28" s="146"/>
    </row>
    <row r="29" spans="1:19">
      <c r="A29" s="146" t="str">
        <f t="shared" si="0"/>
        <v>Test not reviewed</v>
      </c>
      <c r="B29" s="164"/>
      <c r="C29" s="164"/>
      <c r="D29" s="164"/>
      <c r="E29" s="164"/>
      <c r="F29" s="146"/>
      <c r="G29" s="164"/>
      <c r="H29" s="164"/>
      <c r="I29" s="164"/>
      <c r="J29" s="164"/>
      <c r="K29" s="164"/>
      <c r="L29" s="164"/>
      <c r="M29" s="164"/>
      <c r="N29" s="164" t="e">
        <f>VLOOKUP(B:B,'QT Second level review'!C:O,10,0)</f>
        <v>#N/A</v>
      </c>
      <c r="O29" s="146"/>
      <c r="P29" s="146"/>
      <c r="Q29" s="146"/>
      <c r="R29" s="146"/>
      <c r="S29" s="146"/>
    </row>
    <row r="30" spans="1:19">
      <c r="A30" s="146" t="str">
        <f t="shared" si="0"/>
        <v>Test not reviewed</v>
      </c>
      <c r="B30" s="164"/>
      <c r="C30" s="164"/>
      <c r="D30" s="164"/>
      <c r="E30" s="164"/>
      <c r="F30" s="146"/>
      <c r="G30" s="164"/>
      <c r="H30" s="164"/>
      <c r="I30" s="164"/>
      <c r="J30" s="164"/>
      <c r="K30" s="164"/>
      <c r="L30" s="164"/>
      <c r="M30" s="164"/>
      <c r="N30" s="164" t="e">
        <f>VLOOKUP(B:B,'QT Second level review'!C:O,10,0)</f>
        <v>#N/A</v>
      </c>
      <c r="O30" s="146"/>
      <c r="P30" s="146"/>
      <c r="Q30" s="146"/>
      <c r="R30" s="146"/>
      <c r="S30" s="146"/>
    </row>
    <row r="31" spans="1:19">
      <c r="A31" s="146" t="str">
        <f t="shared" si="0"/>
        <v>Test not reviewed</v>
      </c>
      <c r="B31" s="164"/>
      <c r="C31" s="164"/>
      <c r="D31" s="164"/>
      <c r="E31" s="164"/>
      <c r="F31" s="146"/>
      <c r="G31" s="164"/>
      <c r="H31" s="164"/>
      <c r="I31" s="164"/>
      <c r="J31" s="164"/>
      <c r="K31" s="164"/>
      <c r="L31" s="164"/>
      <c r="M31" s="164"/>
      <c r="N31" s="164" t="e">
        <f>VLOOKUP(B:B,'QT Second level review'!C:O,10,0)</f>
        <v>#N/A</v>
      </c>
      <c r="O31" s="146"/>
      <c r="P31" s="146"/>
      <c r="Q31" s="146"/>
      <c r="R31" s="146"/>
      <c r="S31" s="146"/>
    </row>
    <row r="32" spans="1:19">
      <c r="A32" s="146" t="str">
        <f t="shared" si="0"/>
        <v>Test not reviewed</v>
      </c>
      <c r="B32" s="164"/>
      <c r="C32" s="164"/>
      <c r="D32" s="164"/>
      <c r="E32" s="164"/>
      <c r="F32" s="146"/>
      <c r="G32" s="164"/>
      <c r="H32" s="164"/>
      <c r="I32" s="164"/>
      <c r="J32" s="164"/>
      <c r="K32" s="164"/>
      <c r="L32" s="164"/>
      <c r="M32" s="164"/>
      <c r="N32" s="164" t="e">
        <f>VLOOKUP(B:B,'QT Second level review'!C:O,10,0)</f>
        <v>#N/A</v>
      </c>
      <c r="O32" s="146"/>
      <c r="P32" s="146"/>
      <c r="Q32" s="146"/>
      <c r="R32" s="146"/>
      <c r="S32" s="146"/>
    </row>
    <row r="33" spans="1:19">
      <c r="A33" s="146" t="str">
        <f t="shared" si="0"/>
        <v>Test not reviewed</v>
      </c>
      <c r="B33" s="164"/>
      <c r="C33" s="164"/>
      <c r="D33" s="164"/>
      <c r="E33" s="164"/>
      <c r="F33" s="146"/>
      <c r="G33" s="164"/>
      <c r="H33" s="164"/>
      <c r="I33" s="164"/>
      <c r="J33" s="164"/>
      <c r="K33" s="164"/>
      <c r="L33" s="164"/>
      <c r="M33" s="164"/>
      <c r="N33" s="164" t="e">
        <f>VLOOKUP(B:B,'QT Second level review'!C:O,10,0)</f>
        <v>#N/A</v>
      </c>
      <c r="O33" s="146"/>
      <c r="P33" s="146"/>
      <c r="Q33" s="146"/>
      <c r="R33" s="146"/>
      <c r="S33" s="146"/>
    </row>
    <row r="34" spans="1:19">
      <c r="A34" s="146" t="str">
        <f t="shared" si="0"/>
        <v>Test not reviewed</v>
      </c>
      <c r="B34" s="164"/>
      <c r="C34" s="164"/>
      <c r="D34" s="164"/>
      <c r="E34" s="164"/>
      <c r="F34" s="146"/>
      <c r="G34" s="164"/>
      <c r="H34" s="164"/>
      <c r="I34" s="164"/>
      <c r="J34" s="164"/>
      <c r="K34" s="164"/>
      <c r="L34" s="164"/>
      <c r="M34" s="164"/>
      <c r="N34" s="164" t="e">
        <f>VLOOKUP(B:B,'QT Second level review'!C:O,10,0)</f>
        <v>#N/A</v>
      </c>
      <c r="O34" s="146"/>
      <c r="P34" s="146"/>
      <c r="Q34" s="146"/>
      <c r="R34" s="146"/>
      <c r="S34" s="146"/>
    </row>
    <row r="35" spans="1:19">
      <c r="A35" s="146" t="str">
        <f t="shared" si="0"/>
        <v>Test not reviewed</v>
      </c>
      <c r="B35" s="164"/>
      <c r="C35" s="164"/>
      <c r="D35" s="164"/>
      <c r="E35" s="164"/>
      <c r="F35" s="146"/>
      <c r="G35" s="164"/>
      <c r="H35" s="164"/>
      <c r="I35" s="164"/>
      <c r="J35" s="164"/>
      <c r="K35" s="164"/>
      <c r="L35" s="164"/>
      <c r="M35" s="164"/>
      <c r="N35" s="164" t="e">
        <f>VLOOKUP(B:B,'QT Second level review'!C:O,10,0)</f>
        <v>#N/A</v>
      </c>
      <c r="O35" s="146"/>
      <c r="P35" s="146"/>
      <c r="Q35" s="146"/>
      <c r="R35" s="146"/>
      <c r="S35" s="146"/>
    </row>
    <row r="36" spans="1:19">
      <c r="A36" s="146" t="str">
        <f t="shared" si="0"/>
        <v>Test not reviewed</v>
      </c>
      <c r="B36" s="164"/>
      <c r="C36" s="164"/>
      <c r="D36" s="164"/>
      <c r="E36" s="164"/>
      <c r="F36" s="146"/>
      <c r="G36" s="164"/>
      <c r="H36" s="164"/>
      <c r="I36" s="164"/>
      <c r="J36" s="164"/>
      <c r="K36" s="164"/>
      <c r="L36" s="164"/>
      <c r="M36" s="164"/>
      <c r="N36" s="164" t="e">
        <f>VLOOKUP(B:B,'QT Second level review'!C:O,10,0)</f>
        <v>#N/A</v>
      </c>
      <c r="O36" s="146"/>
      <c r="P36" s="146"/>
      <c r="Q36" s="146"/>
      <c r="R36" s="146"/>
      <c r="S36" s="146"/>
    </row>
    <row r="37" spans="1:19">
      <c r="A37" s="146" t="str">
        <f t="shared" si="0"/>
        <v>Test not reviewed</v>
      </c>
      <c r="B37" s="164"/>
      <c r="C37" s="164"/>
      <c r="D37" s="164"/>
      <c r="E37" s="164"/>
      <c r="F37" s="146"/>
      <c r="G37" s="164"/>
      <c r="H37" s="164"/>
      <c r="I37" s="164"/>
      <c r="J37" s="164"/>
      <c r="K37" s="164"/>
      <c r="L37" s="164"/>
      <c r="M37" s="164"/>
      <c r="N37" s="164" t="e">
        <f>VLOOKUP(B:B,'QT Second level review'!C:O,10,0)</f>
        <v>#N/A</v>
      </c>
      <c r="O37" s="146"/>
      <c r="P37" s="146"/>
      <c r="Q37" s="146"/>
      <c r="R37" s="146"/>
      <c r="S37" s="146"/>
    </row>
    <row r="38" spans="1:19">
      <c r="A38" s="146" t="str">
        <f t="shared" si="0"/>
        <v>Test not reviewed</v>
      </c>
      <c r="B38" s="164"/>
      <c r="C38" s="164"/>
      <c r="D38" s="164"/>
      <c r="E38" s="164"/>
      <c r="F38" s="146"/>
      <c r="G38" s="164"/>
      <c r="H38" s="164"/>
      <c r="I38" s="164"/>
      <c r="J38" s="164"/>
      <c r="K38" s="164"/>
      <c r="L38" s="164"/>
      <c r="M38" s="164"/>
      <c r="N38" s="164" t="e">
        <f>VLOOKUP(B:B,'QT Second level review'!C:O,10,0)</f>
        <v>#N/A</v>
      </c>
      <c r="O38" s="146"/>
      <c r="P38" s="146"/>
      <c r="Q38" s="146"/>
      <c r="R38" s="146"/>
      <c r="S38" s="146"/>
    </row>
    <row r="39" spans="1:19">
      <c r="A39" s="146" t="str">
        <f t="shared" si="0"/>
        <v>Test not reviewed</v>
      </c>
      <c r="B39" s="164"/>
      <c r="C39" s="164"/>
      <c r="D39" s="164"/>
      <c r="E39" s="164"/>
      <c r="F39" s="146"/>
      <c r="G39" s="164"/>
      <c r="H39" s="164"/>
      <c r="I39" s="164"/>
      <c r="J39" s="164"/>
      <c r="K39" s="164"/>
      <c r="L39" s="164"/>
      <c r="M39" s="164"/>
      <c r="N39" s="164" t="e">
        <f>VLOOKUP(B:B,'QT Second level review'!C:O,10,0)</f>
        <v>#N/A</v>
      </c>
      <c r="O39" s="146"/>
      <c r="P39" s="146"/>
      <c r="Q39" s="146"/>
      <c r="R39" s="146"/>
      <c r="S39" s="146"/>
    </row>
    <row r="40" spans="1:19">
      <c r="A40" s="146" t="str">
        <f t="shared" si="0"/>
        <v>Test not reviewed</v>
      </c>
      <c r="B40" s="164"/>
      <c r="C40" s="164"/>
      <c r="D40" s="164"/>
      <c r="E40" s="164"/>
      <c r="F40" s="146"/>
      <c r="G40" s="164"/>
      <c r="H40" s="164"/>
      <c r="I40" s="164"/>
      <c r="J40" s="164"/>
      <c r="K40" s="164"/>
      <c r="L40" s="164"/>
      <c r="M40" s="164"/>
      <c r="N40" s="164" t="e">
        <f>VLOOKUP(B:B,'QT Second level review'!C:O,10,0)</f>
        <v>#N/A</v>
      </c>
      <c r="O40" s="146"/>
      <c r="P40" s="146"/>
      <c r="Q40" s="146"/>
      <c r="R40" s="146"/>
      <c r="S40" s="146"/>
    </row>
    <row r="41" spans="1:19">
      <c r="A41" s="146" t="str">
        <f t="shared" si="0"/>
        <v>Test not reviewed</v>
      </c>
      <c r="B41" s="164"/>
      <c r="C41" s="164"/>
      <c r="D41" s="164"/>
      <c r="E41" s="164"/>
      <c r="F41" s="146"/>
      <c r="G41" s="164"/>
      <c r="H41" s="164"/>
      <c r="I41" s="164"/>
      <c r="J41" s="164"/>
      <c r="K41" s="164"/>
      <c r="L41" s="164"/>
      <c r="M41" s="164"/>
      <c r="N41" s="164" t="e">
        <f>VLOOKUP(B:B,'QT Second level review'!C:O,10,0)</f>
        <v>#N/A</v>
      </c>
      <c r="O41" s="146"/>
      <c r="P41" s="146"/>
      <c r="Q41" s="146"/>
      <c r="R41" s="146"/>
      <c r="S41" s="146"/>
    </row>
    <row r="42" spans="1:19">
      <c r="A42" s="146" t="str">
        <f t="shared" si="0"/>
        <v>Test not reviewed</v>
      </c>
      <c r="B42" s="164"/>
      <c r="C42" s="164"/>
      <c r="D42" s="164"/>
      <c r="E42" s="164"/>
      <c r="F42" s="146"/>
      <c r="G42" s="164"/>
      <c r="H42" s="164"/>
      <c r="I42" s="164"/>
      <c r="J42" s="164"/>
      <c r="K42" s="164"/>
      <c r="L42" s="164"/>
      <c r="M42" s="164"/>
      <c r="N42" s="164" t="e">
        <f>VLOOKUP(B:B,'QT Second level review'!C:O,10,0)</f>
        <v>#N/A</v>
      </c>
      <c r="O42" s="146"/>
      <c r="P42" s="146"/>
      <c r="Q42" s="146"/>
      <c r="R42" s="146"/>
      <c r="S42" s="146"/>
    </row>
    <row r="43" spans="1:19">
      <c r="A43" s="146" t="str">
        <f t="shared" si="0"/>
        <v>Test not reviewed</v>
      </c>
      <c r="B43" s="164"/>
      <c r="C43" s="164"/>
      <c r="D43" s="164"/>
      <c r="E43" s="164"/>
      <c r="F43" s="146"/>
      <c r="G43" s="164"/>
      <c r="H43" s="164"/>
      <c r="I43" s="164"/>
      <c r="J43" s="164"/>
      <c r="K43" s="164"/>
      <c r="L43" s="164"/>
      <c r="M43" s="164"/>
      <c r="N43" s="164" t="e">
        <f>VLOOKUP(B:B,'QT Second level review'!C:O,10,0)</f>
        <v>#N/A</v>
      </c>
      <c r="O43" s="146"/>
      <c r="P43" s="146"/>
      <c r="Q43" s="146"/>
      <c r="R43" s="146"/>
      <c r="S43" s="146"/>
    </row>
    <row r="44" spans="1:19">
      <c r="A44" s="146" t="str">
        <f t="shared" si="0"/>
        <v>Test not reviewed</v>
      </c>
      <c r="B44" s="164"/>
      <c r="C44" s="164"/>
      <c r="D44" s="164"/>
      <c r="E44" s="164"/>
      <c r="F44" s="146"/>
      <c r="G44" s="164"/>
      <c r="H44" s="164"/>
      <c r="I44" s="164"/>
      <c r="J44" s="164"/>
      <c r="K44" s="164"/>
      <c r="L44" s="164"/>
      <c r="M44" s="164"/>
      <c r="N44" s="164" t="e">
        <f>VLOOKUP(B:B,'QT Second level review'!C:O,10,0)</f>
        <v>#N/A</v>
      </c>
      <c r="O44" s="146"/>
      <c r="P44" s="146"/>
      <c r="Q44" s="146"/>
      <c r="R44" s="146"/>
      <c r="S44" s="146"/>
    </row>
    <row r="45" spans="1:19">
      <c r="A45" s="146" t="str">
        <f t="shared" si="0"/>
        <v>Test not reviewed</v>
      </c>
      <c r="B45" s="164"/>
      <c r="C45" s="164"/>
      <c r="D45" s="164"/>
      <c r="E45" s="164"/>
      <c r="F45" s="146"/>
      <c r="G45" s="164"/>
      <c r="H45" s="164"/>
      <c r="I45" s="164"/>
      <c r="J45" s="164"/>
      <c r="K45" s="164"/>
      <c r="L45" s="164"/>
      <c r="M45" s="164"/>
      <c r="N45" s="164" t="e">
        <f>VLOOKUP(B:B,'QT Second level review'!C:O,10,0)</f>
        <v>#N/A</v>
      </c>
      <c r="O45" s="146"/>
      <c r="P45" s="146"/>
      <c r="Q45" s="146"/>
      <c r="R45" s="146"/>
      <c r="S45" s="146"/>
    </row>
    <row r="46" spans="1:19">
      <c r="A46" s="146" t="str">
        <f t="shared" si="0"/>
        <v>Test not reviewed</v>
      </c>
      <c r="B46" s="164"/>
      <c r="C46" s="164"/>
      <c r="D46" s="164"/>
      <c r="E46" s="164"/>
      <c r="F46" s="146"/>
      <c r="G46" s="164"/>
      <c r="H46" s="164"/>
      <c r="I46" s="164"/>
      <c r="J46" s="164"/>
      <c r="K46" s="164"/>
      <c r="L46" s="164"/>
      <c r="M46" s="164"/>
      <c r="N46" s="164" t="e">
        <f>VLOOKUP(B:B,'QT Second level review'!C:O,10,0)</f>
        <v>#N/A</v>
      </c>
      <c r="O46" s="146"/>
      <c r="P46" s="146"/>
      <c r="Q46" s="146"/>
      <c r="R46" s="146"/>
      <c r="S46" s="146"/>
    </row>
    <row r="47" spans="1:19">
      <c r="A47" s="146" t="str">
        <f t="shared" si="0"/>
        <v>Test not reviewed</v>
      </c>
      <c r="B47" s="164"/>
      <c r="C47" s="164"/>
      <c r="D47" s="164"/>
      <c r="E47" s="164"/>
      <c r="F47" s="146"/>
      <c r="G47" s="164"/>
      <c r="H47" s="164"/>
      <c r="I47" s="164"/>
      <c r="J47" s="164"/>
      <c r="K47" s="164"/>
      <c r="L47" s="164"/>
      <c r="M47" s="164"/>
      <c r="N47" s="164" t="e">
        <f>VLOOKUP(B:B,'QT Second level review'!C:O,10,0)</f>
        <v>#N/A</v>
      </c>
      <c r="O47" s="146"/>
      <c r="P47" s="146"/>
      <c r="Q47" s="146"/>
      <c r="R47" s="146"/>
      <c r="S47" s="146"/>
    </row>
    <row r="48" spans="1:19">
      <c r="A48" s="146" t="str">
        <f t="shared" si="0"/>
        <v>Test not reviewed</v>
      </c>
      <c r="B48" s="164"/>
      <c r="C48" s="164"/>
      <c r="D48" s="164"/>
      <c r="E48" s="164"/>
      <c r="F48" s="146"/>
      <c r="G48" s="164"/>
      <c r="H48" s="164"/>
      <c r="I48" s="164"/>
      <c r="J48" s="164"/>
      <c r="K48" s="164"/>
      <c r="L48" s="164"/>
      <c r="M48" s="164"/>
      <c r="N48" s="164" t="e">
        <f>VLOOKUP(B:B,'QT Second level review'!C:O,10,0)</f>
        <v>#N/A</v>
      </c>
      <c r="O48" s="146"/>
      <c r="P48" s="146"/>
      <c r="Q48" s="146"/>
      <c r="R48" s="146"/>
      <c r="S48" s="146"/>
    </row>
    <row r="49" spans="1:19">
      <c r="A49" s="146" t="str">
        <f t="shared" si="0"/>
        <v>Test not reviewed</v>
      </c>
      <c r="B49" s="164"/>
      <c r="C49" s="164"/>
      <c r="D49" s="164"/>
      <c r="E49" s="164"/>
      <c r="F49" s="146"/>
      <c r="G49" s="164"/>
      <c r="H49" s="164"/>
      <c r="I49" s="164"/>
      <c r="J49" s="164"/>
      <c r="K49" s="164"/>
      <c r="L49" s="164"/>
      <c r="M49" s="164"/>
      <c r="N49" s="164" t="e">
        <f>VLOOKUP(B:B,'QT Second level review'!C:O,10,0)</f>
        <v>#N/A</v>
      </c>
      <c r="O49" s="146"/>
      <c r="P49" s="146"/>
      <c r="Q49" s="146"/>
      <c r="R49" s="146"/>
      <c r="S49" s="146"/>
    </row>
    <row r="50" spans="1:19">
      <c r="A50" s="146" t="str">
        <f t="shared" si="0"/>
        <v>Test not reviewed</v>
      </c>
      <c r="B50" s="164"/>
      <c r="C50" s="164"/>
      <c r="D50" s="164"/>
      <c r="E50" s="164"/>
      <c r="F50" s="146"/>
      <c r="G50" s="164"/>
      <c r="H50" s="164"/>
      <c r="I50" s="164"/>
      <c r="J50" s="164"/>
      <c r="K50" s="164"/>
      <c r="L50" s="164"/>
      <c r="M50" s="164"/>
      <c r="N50" s="164" t="e">
        <f>VLOOKUP(B:B,'QT Second level review'!C:O,10,0)</f>
        <v>#N/A</v>
      </c>
      <c r="O50" s="146"/>
      <c r="P50" s="146"/>
      <c r="Q50" s="146"/>
      <c r="R50" s="146"/>
      <c r="S50" s="146"/>
    </row>
    <row r="51" spans="1:19">
      <c r="A51" s="146" t="str">
        <f t="shared" si="0"/>
        <v>Test not reviewed</v>
      </c>
      <c r="B51" s="164"/>
      <c r="C51" s="164"/>
      <c r="D51" s="164"/>
      <c r="E51" s="164"/>
      <c r="F51" s="146"/>
      <c r="G51" s="164"/>
      <c r="H51" s="164"/>
      <c r="I51" s="164"/>
      <c r="J51" s="164"/>
      <c r="K51" s="164"/>
      <c r="L51" s="164"/>
      <c r="M51" s="164"/>
      <c r="N51" s="164" t="e">
        <f>VLOOKUP(B:B,'QT Second level review'!C:O,10,0)</f>
        <v>#N/A</v>
      </c>
      <c r="O51" s="146"/>
      <c r="P51" s="146"/>
      <c r="Q51" s="146"/>
      <c r="R51" s="146"/>
      <c r="S51" s="146"/>
    </row>
    <row r="52" spans="1:19">
      <c r="A52" s="146" t="str">
        <f t="shared" si="0"/>
        <v>Test not reviewed</v>
      </c>
      <c r="B52" s="164"/>
      <c r="C52" s="164"/>
      <c r="D52" s="164"/>
      <c r="E52" s="164"/>
      <c r="F52" s="146"/>
      <c r="G52" s="164"/>
      <c r="H52" s="164"/>
      <c r="I52" s="164"/>
      <c r="J52" s="164"/>
      <c r="K52" s="164"/>
      <c r="L52" s="164"/>
      <c r="M52" s="164"/>
      <c r="N52" s="164" t="e">
        <f>VLOOKUP(B:B,'QT Second level review'!C:O,10,0)</f>
        <v>#N/A</v>
      </c>
      <c r="O52" s="146"/>
      <c r="P52" s="146"/>
      <c r="Q52" s="146"/>
      <c r="R52" s="146"/>
      <c r="S52" s="146"/>
    </row>
    <row r="53" spans="1:19">
      <c r="A53" s="146" t="str">
        <f t="shared" si="0"/>
        <v>Test not reviewed</v>
      </c>
      <c r="B53" s="164"/>
      <c r="C53" s="164"/>
      <c r="D53" s="164"/>
      <c r="E53" s="164"/>
      <c r="F53" s="146"/>
      <c r="G53" s="164"/>
      <c r="H53" s="164"/>
      <c r="I53" s="164"/>
      <c r="J53" s="164"/>
      <c r="K53" s="164"/>
      <c r="L53" s="164"/>
      <c r="M53" s="164"/>
      <c r="N53" s="164" t="e">
        <f>VLOOKUP(B:B,'QT Second level review'!C:O,10,0)</f>
        <v>#N/A</v>
      </c>
      <c r="O53" s="146"/>
      <c r="P53" s="146"/>
      <c r="Q53" s="146"/>
      <c r="R53" s="146"/>
      <c r="S53" s="146"/>
    </row>
    <row r="54" spans="1:19">
      <c r="A54" s="146" t="str">
        <f t="shared" si="0"/>
        <v>Test not reviewed</v>
      </c>
      <c r="B54" s="164"/>
      <c r="C54" s="164"/>
      <c r="D54" s="164"/>
      <c r="E54" s="164"/>
      <c r="F54" s="146"/>
      <c r="G54" s="164"/>
      <c r="H54" s="164"/>
      <c r="I54" s="164"/>
      <c r="J54" s="164"/>
      <c r="K54" s="164"/>
      <c r="L54" s="164"/>
      <c r="M54" s="164"/>
      <c r="N54" s="164" t="e">
        <f>VLOOKUP(B:B,'QT Second level review'!C:O,10,0)</f>
        <v>#N/A</v>
      </c>
      <c r="O54" s="146"/>
      <c r="P54" s="146"/>
      <c r="Q54" s="146"/>
      <c r="R54" s="146"/>
      <c r="S54" s="146"/>
    </row>
    <row r="55" spans="1:19">
      <c r="A55" s="146" t="str">
        <f t="shared" si="0"/>
        <v>Test not reviewed</v>
      </c>
      <c r="B55" s="164"/>
      <c r="C55" s="164"/>
      <c r="D55" s="164"/>
      <c r="E55" s="164"/>
      <c r="F55" s="146"/>
      <c r="G55" s="164"/>
      <c r="H55" s="164"/>
      <c r="I55" s="164"/>
      <c r="J55" s="164"/>
      <c r="K55" s="164"/>
      <c r="L55" s="164"/>
      <c r="M55" s="164"/>
      <c r="N55" s="164" t="e">
        <f>VLOOKUP(B:B,'QT Second level review'!C:O,10,0)</f>
        <v>#N/A</v>
      </c>
      <c r="O55" s="146"/>
      <c r="P55" s="146"/>
      <c r="Q55" s="146"/>
      <c r="R55" s="146"/>
      <c r="S55" s="146"/>
    </row>
    <row r="56" spans="1:19">
      <c r="A56" s="146" t="str">
        <f t="shared" si="0"/>
        <v>Test not reviewed</v>
      </c>
      <c r="B56" s="164"/>
      <c r="C56" s="164"/>
      <c r="D56" s="164"/>
      <c r="E56" s="164"/>
      <c r="F56" s="146"/>
      <c r="G56" s="164"/>
      <c r="H56" s="164"/>
      <c r="I56" s="164"/>
      <c r="J56" s="164"/>
      <c r="K56" s="164"/>
      <c r="L56" s="164"/>
      <c r="M56" s="164"/>
      <c r="N56" s="164" t="e">
        <f>VLOOKUP(B:B,'QT Second level review'!C:O,10,0)</f>
        <v>#N/A</v>
      </c>
      <c r="O56" s="146"/>
      <c r="P56" s="146"/>
      <c r="Q56" s="146"/>
      <c r="R56" s="146"/>
      <c r="S56" s="146"/>
    </row>
    <row r="57" spans="1:19">
      <c r="A57" s="146" t="str">
        <f t="shared" si="0"/>
        <v>Test not reviewed</v>
      </c>
      <c r="B57" s="164"/>
      <c r="C57" s="164"/>
      <c r="D57" s="164"/>
      <c r="E57" s="164"/>
      <c r="F57" s="146"/>
      <c r="G57" s="164"/>
      <c r="H57" s="164"/>
      <c r="I57" s="164"/>
      <c r="J57" s="164"/>
      <c r="K57" s="164"/>
      <c r="L57" s="164"/>
      <c r="M57" s="164"/>
      <c r="N57" s="164" t="e">
        <f>VLOOKUP(B:B,'QT Second level review'!C:O,10,0)</f>
        <v>#N/A</v>
      </c>
      <c r="O57" s="146"/>
      <c r="P57" s="146"/>
      <c r="Q57" s="146"/>
      <c r="R57" s="146"/>
      <c r="S57" s="146"/>
    </row>
    <row r="58" spans="1:19">
      <c r="A58" s="146" t="str">
        <f t="shared" si="0"/>
        <v>Test not reviewed</v>
      </c>
      <c r="B58" s="164"/>
      <c r="C58" s="164"/>
      <c r="D58" s="164"/>
      <c r="E58" s="164"/>
      <c r="F58" s="146"/>
      <c r="G58" s="164"/>
      <c r="H58" s="164"/>
      <c r="I58" s="164"/>
      <c r="J58" s="164"/>
      <c r="K58" s="164"/>
      <c r="L58" s="164"/>
      <c r="M58" s="164"/>
      <c r="N58" s="164" t="e">
        <f>VLOOKUP(B:B,'QT Second level review'!C:O,10,0)</f>
        <v>#N/A</v>
      </c>
      <c r="O58" s="146"/>
      <c r="P58" s="146"/>
      <c r="Q58" s="146"/>
      <c r="R58" s="146"/>
      <c r="S58" s="146"/>
    </row>
    <row r="59" spans="1:19">
      <c r="A59" s="146" t="str">
        <f t="shared" si="0"/>
        <v>Test not reviewed</v>
      </c>
      <c r="B59" s="164"/>
      <c r="C59" s="164"/>
      <c r="D59" s="164"/>
      <c r="E59" s="164"/>
      <c r="F59" s="146"/>
      <c r="G59" s="164"/>
      <c r="H59" s="164"/>
      <c r="I59" s="164"/>
      <c r="J59" s="164"/>
      <c r="K59" s="164"/>
      <c r="L59" s="164"/>
      <c r="M59" s="164"/>
      <c r="N59" s="164" t="e">
        <f>VLOOKUP(B:B,'QT Second level review'!C:O,10,0)</f>
        <v>#N/A</v>
      </c>
      <c r="O59" s="146"/>
      <c r="P59" s="146"/>
      <c r="Q59" s="146"/>
      <c r="R59" s="146"/>
      <c r="S59" s="146"/>
    </row>
    <row r="60" spans="1:19">
      <c r="A60" s="146" t="str">
        <f t="shared" si="0"/>
        <v>Test not reviewed</v>
      </c>
      <c r="B60" s="164"/>
      <c r="C60" s="164"/>
      <c r="D60" s="164"/>
      <c r="E60" s="164"/>
      <c r="F60" s="146"/>
      <c r="G60" s="164"/>
      <c r="H60" s="164"/>
      <c r="I60" s="164"/>
      <c r="J60" s="164"/>
      <c r="K60" s="164"/>
      <c r="L60" s="164"/>
      <c r="M60" s="164"/>
      <c r="N60" s="164" t="e">
        <f>VLOOKUP(B:B,'QT Second level review'!C:O,10,0)</f>
        <v>#N/A</v>
      </c>
      <c r="O60" s="146"/>
      <c r="P60" s="146"/>
      <c r="Q60" s="146"/>
      <c r="R60" s="146"/>
      <c r="S60" s="146"/>
    </row>
    <row r="61" spans="1:19">
      <c r="A61" s="146" t="str">
        <f t="shared" si="0"/>
        <v>Test not reviewed</v>
      </c>
      <c r="B61" s="164"/>
      <c r="C61" s="164"/>
      <c r="D61" s="164"/>
      <c r="E61" s="164"/>
      <c r="F61" s="146"/>
      <c r="G61" s="164"/>
      <c r="H61" s="164"/>
      <c r="I61" s="164"/>
      <c r="J61" s="164"/>
      <c r="K61" s="164"/>
      <c r="L61" s="164"/>
      <c r="M61" s="164"/>
      <c r="N61" s="164" t="e">
        <f>VLOOKUP(B:B,'QT Second level review'!C:O,10,0)</f>
        <v>#N/A</v>
      </c>
      <c r="O61" s="146"/>
      <c r="P61" s="146"/>
      <c r="Q61" s="146"/>
      <c r="R61" s="146"/>
      <c r="S61" s="146"/>
    </row>
    <row r="62" spans="1:19">
      <c r="A62" s="146" t="str">
        <f t="shared" si="0"/>
        <v>Test not reviewed</v>
      </c>
      <c r="B62" s="164"/>
      <c r="C62" s="164"/>
      <c r="D62" s="164"/>
      <c r="E62" s="164"/>
      <c r="F62" s="146"/>
      <c r="G62" s="164"/>
      <c r="H62" s="164"/>
      <c r="I62" s="164"/>
      <c r="J62" s="164"/>
      <c r="K62" s="164"/>
      <c r="L62" s="164"/>
      <c r="M62" s="164"/>
      <c r="N62" s="164" t="e">
        <f>VLOOKUP(B:B,'QT Second level review'!C:O,10,0)</f>
        <v>#N/A</v>
      </c>
      <c r="O62" s="146"/>
      <c r="P62" s="146"/>
      <c r="Q62" s="146"/>
      <c r="R62" s="146"/>
      <c r="S62" s="146"/>
    </row>
    <row r="63" spans="1:19">
      <c r="A63" s="146" t="str">
        <f t="shared" si="0"/>
        <v>Test not reviewed</v>
      </c>
      <c r="B63" s="164"/>
      <c r="C63" s="164"/>
      <c r="D63" s="164"/>
      <c r="E63" s="164"/>
      <c r="F63" s="146"/>
      <c r="G63" s="164"/>
      <c r="H63" s="164"/>
      <c r="I63" s="164"/>
      <c r="J63" s="164"/>
      <c r="K63" s="164"/>
      <c r="L63" s="164"/>
      <c r="M63" s="164"/>
      <c r="N63" s="164" t="e">
        <f>VLOOKUP(B:B,'QT Second level review'!C:O,10,0)</f>
        <v>#N/A</v>
      </c>
      <c r="O63" s="146"/>
      <c r="P63" s="146"/>
      <c r="Q63" s="146"/>
      <c r="R63" s="146"/>
      <c r="S63" s="146"/>
    </row>
    <row r="64" spans="1:19">
      <c r="A64" s="146" t="str">
        <f t="shared" si="0"/>
        <v>Test not reviewed</v>
      </c>
      <c r="B64" s="164"/>
      <c r="C64" s="164"/>
      <c r="D64" s="164"/>
      <c r="E64" s="164"/>
      <c r="F64" s="146"/>
      <c r="G64" s="164"/>
      <c r="H64" s="164"/>
      <c r="I64" s="164"/>
      <c r="J64" s="164"/>
      <c r="K64" s="164"/>
      <c r="L64" s="164"/>
      <c r="M64" s="164"/>
      <c r="N64" s="164" t="e">
        <f>VLOOKUP(B:B,'QT Second level review'!C:O,10,0)</f>
        <v>#N/A</v>
      </c>
      <c r="O64" s="146"/>
      <c r="P64" s="146"/>
      <c r="Q64" s="146"/>
      <c r="R64" s="146"/>
      <c r="S64" s="146"/>
    </row>
    <row r="65" spans="1:19">
      <c r="A65" s="146" t="str">
        <f t="shared" si="0"/>
        <v>Test not reviewed</v>
      </c>
      <c r="B65" s="164"/>
      <c r="C65" s="164"/>
      <c r="D65" s="164"/>
      <c r="E65" s="164"/>
      <c r="F65" s="146"/>
      <c r="G65" s="164"/>
      <c r="H65" s="164"/>
      <c r="I65" s="164"/>
      <c r="J65" s="164"/>
      <c r="K65" s="164"/>
      <c r="L65" s="164"/>
      <c r="M65" s="164"/>
      <c r="N65" s="164" t="e">
        <f>VLOOKUP(B:B,'QT Second level review'!C:O,10,0)</f>
        <v>#N/A</v>
      </c>
      <c r="O65" s="146"/>
      <c r="P65" s="146"/>
      <c r="Q65" s="146"/>
      <c r="R65" s="146"/>
      <c r="S65" s="146"/>
    </row>
    <row r="66" spans="1:19">
      <c r="A66" s="146" t="str">
        <f t="shared" si="0"/>
        <v>Test not reviewed</v>
      </c>
      <c r="B66" s="164"/>
      <c r="C66" s="164"/>
      <c r="D66" s="164"/>
      <c r="E66" s="164"/>
      <c r="F66" s="146"/>
      <c r="G66" s="164"/>
      <c r="H66" s="164"/>
      <c r="I66" s="164"/>
      <c r="J66" s="164"/>
      <c r="K66" s="164"/>
      <c r="L66" s="164"/>
      <c r="M66" s="164"/>
      <c r="N66" s="164" t="e">
        <f>VLOOKUP(B:B,'QT Second level review'!C:O,10,0)</f>
        <v>#N/A</v>
      </c>
      <c r="O66" s="146"/>
      <c r="P66" s="146"/>
      <c r="Q66" s="146"/>
      <c r="R66" s="146"/>
      <c r="S66" s="146"/>
    </row>
    <row r="67" spans="1:19">
      <c r="A67" s="146" t="str">
        <f t="shared" ref="A67:A130" si="1">IF(ISNA(N67),"Test not reviewed","OK")</f>
        <v>Test not reviewed</v>
      </c>
      <c r="B67" s="164"/>
      <c r="C67" s="164"/>
      <c r="D67" s="164"/>
      <c r="E67" s="164"/>
      <c r="F67" s="146"/>
      <c r="G67" s="164"/>
      <c r="H67" s="164"/>
      <c r="I67" s="164"/>
      <c r="J67" s="164"/>
      <c r="K67" s="164"/>
      <c r="L67" s="164"/>
      <c r="M67" s="164"/>
      <c r="N67" s="164" t="e">
        <f>VLOOKUP(B:B,'QT Second level review'!C:O,10,0)</f>
        <v>#N/A</v>
      </c>
      <c r="O67" s="146"/>
      <c r="P67" s="146"/>
      <c r="Q67" s="146"/>
      <c r="R67" s="146"/>
      <c r="S67" s="146"/>
    </row>
    <row r="68" spans="1:19">
      <c r="A68" s="146" t="str">
        <f t="shared" si="1"/>
        <v>Test not reviewed</v>
      </c>
      <c r="B68" s="164"/>
      <c r="C68" s="164"/>
      <c r="D68" s="164"/>
      <c r="E68" s="164"/>
      <c r="F68" s="146"/>
      <c r="G68" s="164"/>
      <c r="H68" s="164"/>
      <c r="I68" s="164"/>
      <c r="J68" s="164"/>
      <c r="K68" s="164"/>
      <c r="L68" s="164"/>
      <c r="M68" s="164"/>
      <c r="N68" s="164" t="e">
        <f>VLOOKUP(B:B,'QT Second level review'!C:O,10,0)</f>
        <v>#N/A</v>
      </c>
      <c r="O68" s="146"/>
      <c r="P68" s="146"/>
      <c r="Q68" s="146"/>
      <c r="R68" s="146"/>
      <c r="S68" s="146"/>
    </row>
    <row r="69" spans="1:19">
      <c r="A69" s="146" t="str">
        <f t="shared" si="1"/>
        <v>Test not reviewed</v>
      </c>
      <c r="B69" s="164"/>
      <c r="C69" s="164"/>
      <c r="D69" s="164"/>
      <c r="E69" s="164"/>
      <c r="F69" s="146"/>
      <c r="G69" s="164"/>
      <c r="H69" s="164"/>
      <c r="I69" s="164"/>
      <c r="J69" s="164"/>
      <c r="K69" s="164"/>
      <c r="L69" s="164"/>
      <c r="M69" s="164"/>
      <c r="N69" s="164" t="e">
        <f>VLOOKUP(B:B,'QT Second level review'!C:O,10,0)</f>
        <v>#N/A</v>
      </c>
      <c r="O69" s="146"/>
      <c r="P69" s="146"/>
      <c r="Q69" s="146"/>
      <c r="R69" s="146"/>
      <c r="S69" s="146"/>
    </row>
    <row r="70" spans="1:19">
      <c r="A70" s="146" t="str">
        <f t="shared" si="1"/>
        <v>Test not reviewed</v>
      </c>
      <c r="B70" s="164"/>
      <c r="C70" s="164"/>
      <c r="D70" s="164"/>
      <c r="E70" s="164"/>
      <c r="F70" s="146"/>
      <c r="G70" s="164"/>
      <c r="H70" s="164"/>
      <c r="I70" s="164"/>
      <c r="J70" s="164"/>
      <c r="K70" s="164"/>
      <c r="L70" s="164"/>
      <c r="M70" s="164"/>
      <c r="N70" s="164" t="e">
        <f>VLOOKUP(B:B,'QT Second level review'!C:O,10,0)</f>
        <v>#N/A</v>
      </c>
      <c r="O70" s="146"/>
      <c r="P70" s="146"/>
      <c r="Q70" s="146"/>
      <c r="R70" s="146"/>
      <c r="S70" s="146"/>
    </row>
    <row r="71" spans="1:19">
      <c r="A71" s="146" t="str">
        <f t="shared" si="1"/>
        <v>Test not reviewed</v>
      </c>
      <c r="B71" s="164"/>
      <c r="C71" s="164"/>
      <c r="D71" s="164"/>
      <c r="E71" s="164"/>
      <c r="F71" s="146"/>
      <c r="G71" s="164"/>
      <c r="H71" s="164"/>
      <c r="I71" s="164"/>
      <c r="J71" s="164"/>
      <c r="K71" s="164"/>
      <c r="L71" s="164"/>
      <c r="M71" s="164"/>
      <c r="N71" s="164" t="e">
        <f>VLOOKUP(B:B,'QT Second level review'!C:O,10,0)</f>
        <v>#N/A</v>
      </c>
      <c r="O71" s="146"/>
      <c r="P71" s="146"/>
      <c r="Q71" s="146"/>
      <c r="R71" s="146"/>
      <c r="S71" s="146"/>
    </row>
    <row r="72" spans="1:19">
      <c r="A72" s="146" t="str">
        <f t="shared" si="1"/>
        <v>Test not reviewed</v>
      </c>
      <c r="B72" s="164"/>
      <c r="C72" s="164"/>
      <c r="D72" s="164"/>
      <c r="E72" s="164"/>
      <c r="F72" s="146"/>
      <c r="G72" s="164"/>
      <c r="H72" s="164"/>
      <c r="I72" s="164"/>
      <c r="J72" s="164"/>
      <c r="K72" s="164"/>
      <c r="L72" s="164"/>
      <c r="M72" s="164"/>
      <c r="N72" s="164" t="e">
        <f>VLOOKUP(B:B,'QT Second level review'!C:O,10,0)</f>
        <v>#N/A</v>
      </c>
      <c r="O72" s="146"/>
      <c r="P72" s="146"/>
      <c r="Q72" s="146"/>
      <c r="R72" s="146"/>
      <c r="S72" s="146"/>
    </row>
    <row r="73" spans="1:19">
      <c r="A73" s="146" t="str">
        <f t="shared" si="1"/>
        <v>Test not reviewed</v>
      </c>
      <c r="B73" s="164"/>
      <c r="C73" s="164"/>
      <c r="D73" s="164"/>
      <c r="E73" s="164"/>
      <c r="F73" s="146"/>
      <c r="G73" s="164"/>
      <c r="H73" s="164"/>
      <c r="I73" s="164"/>
      <c r="J73" s="164"/>
      <c r="K73" s="164"/>
      <c r="L73" s="164"/>
      <c r="M73" s="164"/>
      <c r="N73" s="164" t="e">
        <f>VLOOKUP(B:B,'QT Second level review'!C:O,10,0)</f>
        <v>#N/A</v>
      </c>
      <c r="O73" s="146"/>
      <c r="P73" s="146"/>
      <c r="Q73" s="146"/>
      <c r="R73" s="146"/>
      <c r="S73" s="146"/>
    </row>
    <row r="74" spans="1:19">
      <c r="A74" s="146" t="str">
        <f t="shared" si="1"/>
        <v>Test not reviewed</v>
      </c>
      <c r="B74" s="164"/>
      <c r="C74" s="164"/>
      <c r="D74" s="164"/>
      <c r="E74" s="164"/>
      <c r="F74" s="146"/>
      <c r="G74" s="164"/>
      <c r="H74" s="164"/>
      <c r="I74" s="164"/>
      <c r="J74" s="164"/>
      <c r="K74" s="164"/>
      <c r="L74" s="164"/>
      <c r="M74" s="164"/>
      <c r="N74" s="164" t="e">
        <f>VLOOKUP(B:B,'QT Second level review'!C:O,10,0)</f>
        <v>#N/A</v>
      </c>
      <c r="O74" s="146"/>
      <c r="P74" s="146"/>
      <c r="Q74" s="146"/>
      <c r="R74" s="146"/>
      <c r="S74" s="146"/>
    </row>
    <row r="75" spans="1:19">
      <c r="A75" s="146" t="str">
        <f t="shared" si="1"/>
        <v>Test not reviewed</v>
      </c>
      <c r="B75" s="164"/>
      <c r="C75" s="164"/>
      <c r="D75" s="164"/>
      <c r="E75" s="164"/>
      <c r="F75" s="146"/>
      <c r="G75" s="164"/>
      <c r="H75" s="164"/>
      <c r="I75" s="164"/>
      <c r="J75" s="164"/>
      <c r="K75" s="164"/>
      <c r="L75" s="164"/>
      <c r="M75" s="164"/>
      <c r="N75" s="164" t="e">
        <f>VLOOKUP(B:B,'QT Second level review'!C:O,10,0)</f>
        <v>#N/A</v>
      </c>
      <c r="O75" s="146"/>
      <c r="P75" s="146"/>
      <c r="Q75" s="146"/>
      <c r="R75" s="146"/>
      <c r="S75" s="146"/>
    </row>
    <row r="76" spans="1:19">
      <c r="A76" s="146" t="str">
        <f t="shared" si="1"/>
        <v>Test not reviewed</v>
      </c>
      <c r="B76" s="164"/>
      <c r="C76" s="164"/>
      <c r="D76" s="164"/>
      <c r="E76" s="164"/>
      <c r="F76" s="146"/>
      <c r="G76" s="164"/>
      <c r="H76" s="164"/>
      <c r="I76" s="164"/>
      <c r="J76" s="164"/>
      <c r="K76" s="164"/>
      <c r="L76" s="164"/>
      <c r="M76" s="164"/>
      <c r="N76" s="164" t="e">
        <f>VLOOKUP(B:B,'QT Second level review'!C:O,10,0)</f>
        <v>#N/A</v>
      </c>
      <c r="O76" s="146"/>
      <c r="P76" s="146"/>
      <c r="Q76" s="146"/>
      <c r="R76" s="146"/>
      <c r="S76" s="146"/>
    </row>
    <row r="77" spans="1:19">
      <c r="A77" s="146" t="str">
        <f t="shared" si="1"/>
        <v>Test not reviewed</v>
      </c>
      <c r="B77" s="164"/>
      <c r="C77" s="164"/>
      <c r="D77" s="164"/>
      <c r="E77" s="164"/>
      <c r="F77" s="146"/>
      <c r="G77" s="164"/>
      <c r="H77" s="164"/>
      <c r="I77" s="164"/>
      <c r="J77" s="164"/>
      <c r="K77" s="164"/>
      <c r="L77" s="164"/>
      <c r="M77" s="164"/>
      <c r="N77" s="164" t="e">
        <f>VLOOKUP(B:B,'QT Second level review'!C:O,10,0)</f>
        <v>#N/A</v>
      </c>
      <c r="O77" s="146"/>
      <c r="P77" s="146"/>
      <c r="Q77" s="146"/>
      <c r="R77" s="146"/>
      <c r="S77" s="146"/>
    </row>
    <row r="78" spans="1:19">
      <c r="A78" s="146" t="str">
        <f t="shared" si="1"/>
        <v>Test not reviewed</v>
      </c>
      <c r="B78" s="164"/>
      <c r="C78" s="164"/>
      <c r="D78" s="164"/>
      <c r="E78" s="164"/>
      <c r="F78" s="146"/>
      <c r="G78" s="164"/>
      <c r="H78" s="164"/>
      <c r="I78" s="164"/>
      <c r="J78" s="164"/>
      <c r="K78" s="164"/>
      <c r="L78" s="164"/>
      <c r="M78" s="164"/>
      <c r="N78" s="164" t="e">
        <f>VLOOKUP(B:B,'QT Second level review'!C:O,10,0)</f>
        <v>#N/A</v>
      </c>
      <c r="O78" s="146"/>
      <c r="P78" s="146"/>
      <c r="Q78" s="146"/>
      <c r="R78" s="146"/>
      <c r="S78" s="146"/>
    </row>
    <row r="79" spans="1:19">
      <c r="A79" s="146" t="str">
        <f t="shared" si="1"/>
        <v>Test not reviewed</v>
      </c>
      <c r="B79" s="164"/>
      <c r="C79" s="164"/>
      <c r="D79" s="164"/>
      <c r="E79" s="164"/>
      <c r="F79" s="146"/>
      <c r="G79" s="164"/>
      <c r="H79" s="164"/>
      <c r="I79" s="164"/>
      <c r="J79" s="164"/>
      <c r="K79" s="164"/>
      <c r="L79" s="164"/>
      <c r="M79" s="164"/>
      <c r="N79" s="164" t="e">
        <f>VLOOKUP(B:B,'QT Second level review'!C:O,10,0)</f>
        <v>#N/A</v>
      </c>
      <c r="O79" s="146"/>
      <c r="P79" s="146"/>
      <c r="Q79" s="146"/>
      <c r="R79" s="146"/>
      <c r="S79" s="146"/>
    </row>
    <row r="80" spans="1:19">
      <c r="A80" s="146" t="str">
        <f t="shared" si="1"/>
        <v>Test not reviewed</v>
      </c>
      <c r="B80" s="164"/>
      <c r="C80" s="164"/>
      <c r="D80" s="164"/>
      <c r="E80" s="164"/>
      <c r="F80" s="146"/>
      <c r="G80" s="164"/>
      <c r="H80" s="164"/>
      <c r="I80" s="164"/>
      <c r="J80" s="164"/>
      <c r="K80" s="164"/>
      <c r="L80" s="164"/>
      <c r="M80" s="164"/>
      <c r="N80" s="164" t="e">
        <f>VLOOKUP(B:B,'QT Second level review'!C:O,10,0)</f>
        <v>#N/A</v>
      </c>
      <c r="O80" s="146"/>
      <c r="P80" s="146"/>
      <c r="Q80" s="146"/>
      <c r="R80" s="146"/>
      <c r="S80" s="146"/>
    </row>
    <row r="81" spans="1:19">
      <c r="A81" s="146" t="str">
        <f t="shared" si="1"/>
        <v>Test not reviewed</v>
      </c>
      <c r="B81" s="164"/>
      <c r="C81" s="164"/>
      <c r="D81" s="164"/>
      <c r="E81" s="164"/>
      <c r="F81" s="146"/>
      <c r="G81" s="164"/>
      <c r="H81" s="164"/>
      <c r="I81" s="164"/>
      <c r="J81" s="164"/>
      <c r="K81" s="164"/>
      <c r="L81" s="164"/>
      <c r="M81" s="164"/>
      <c r="N81" s="164" t="e">
        <f>VLOOKUP(B:B,'QT Second level review'!C:O,10,0)</f>
        <v>#N/A</v>
      </c>
      <c r="O81" s="146"/>
      <c r="P81" s="146"/>
      <c r="Q81" s="146"/>
      <c r="R81" s="146"/>
      <c r="S81" s="146"/>
    </row>
    <row r="82" spans="1:19">
      <c r="A82" s="146" t="str">
        <f t="shared" si="1"/>
        <v>Test not reviewed</v>
      </c>
      <c r="B82" s="164"/>
      <c r="C82" s="164"/>
      <c r="D82" s="164"/>
      <c r="E82" s="164"/>
      <c r="F82" s="146"/>
      <c r="G82" s="164"/>
      <c r="H82" s="164"/>
      <c r="I82" s="164"/>
      <c r="J82" s="164"/>
      <c r="K82" s="164"/>
      <c r="L82" s="164"/>
      <c r="M82" s="164"/>
      <c r="N82" s="164" t="e">
        <f>VLOOKUP(B:B,'QT Second level review'!C:O,10,0)</f>
        <v>#N/A</v>
      </c>
      <c r="O82" s="146"/>
      <c r="P82" s="146"/>
      <c r="Q82" s="146"/>
      <c r="R82" s="146"/>
      <c r="S82" s="146"/>
    </row>
    <row r="83" spans="1:19">
      <c r="A83" s="146" t="str">
        <f t="shared" si="1"/>
        <v>Test not reviewed</v>
      </c>
      <c r="B83" s="164"/>
      <c r="C83" s="164"/>
      <c r="D83" s="164"/>
      <c r="E83" s="164"/>
      <c r="F83" s="146"/>
      <c r="G83" s="164"/>
      <c r="H83" s="164"/>
      <c r="I83" s="164"/>
      <c r="J83" s="164"/>
      <c r="K83" s="164"/>
      <c r="L83" s="164"/>
      <c r="M83" s="164"/>
      <c r="N83" s="164" t="e">
        <f>VLOOKUP(B:B,'QT Second level review'!C:O,10,0)</f>
        <v>#N/A</v>
      </c>
      <c r="O83" s="146"/>
      <c r="P83" s="146"/>
      <c r="Q83" s="146"/>
      <c r="R83" s="146"/>
      <c r="S83" s="146"/>
    </row>
    <row r="84" spans="1:19">
      <c r="A84" s="146" t="str">
        <f t="shared" si="1"/>
        <v>Test not reviewed</v>
      </c>
      <c r="B84" s="164"/>
      <c r="C84" s="164"/>
      <c r="D84" s="164"/>
      <c r="E84" s="164"/>
      <c r="F84" s="146"/>
      <c r="G84" s="164"/>
      <c r="H84" s="164"/>
      <c r="I84" s="164"/>
      <c r="J84" s="164"/>
      <c r="K84" s="164"/>
      <c r="L84" s="164"/>
      <c r="M84" s="164"/>
      <c r="N84" s="164" t="e">
        <f>VLOOKUP(B:B,'QT Second level review'!C:O,10,0)</f>
        <v>#N/A</v>
      </c>
      <c r="O84" s="146"/>
      <c r="P84" s="146"/>
      <c r="Q84" s="146"/>
      <c r="R84" s="146"/>
      <c r="S84" s="146"/>
    </row>
    <row r="85" spans="1:19">
      <c r="A85" s="146" t="str">
        <f t="shared" si="1"/>
        <v>Test not reviewed</v>
      </c>
      <c r="B85" s="164"/>
      <c r="C85" s="164"/>
      <c r="D85" s="164"/>
      <c r="E85" s="164"/>
      <c r="F85" s="146"/>
      <c r="G85" s="164"/>
      <c r="H85" s="164"/>
      <c r="I85" s="164"/>
      <c r="J85" s="164"/>
      <c r="K85" s="164"/>
      <c r="L85" s="164"/>
      <c r="M85" s="164"/>
      <c r="N85" s="164" t="e">
        <f>VLOOKUP(B:B,'QT Second level review'!C:O,10,0)</f>
        <v>#N/A</v>
      </c>
      <c r="O85" s="146"/>
      <c r="P85" s="146"/>
      <c r="Q85" s="146"/>
      <c r="R85" s="146"/>
      <c r="S85" s="146"/>
    </row>
    <row r="86" spans="1:19">
      <c r="A86" s="146" t="str">
        <f t="shared" si="1"/>
        <v>Test not reviewed</v>
      </c>
      <c r="B86" s="164"/>
      <c r="C86" s="164"/>
      <c r="D86" s="164"/>
      <c r="E86" s="164"/>
      <c r="F86" s="146"/>
      <c r="G86" s="164"/>
      <c r="H86" s="164"/>
      <c r="I86" s="164"/>
      <c r="J86" s="164"/>
      <c r="K86" s="164"/>
      <c r="L86" s="164"/>
      <c r="M86" s="164"/>
      <c r="N86" s="164" t="e">
        <f>VLOOKUP(B:B,'QT Second level review'!C:O,10,0)</f>
        <v>#N/A</v>
      </c>
      <c r="O86" s="146"/>
      <c r="P86" s="146"/>
      <c r="Q86" s="146"/>
      <c r="R86" s="146"/>
      <c r="S86" s="146"/>
    </row>
    <row r="87" spans="1:19">
      <c r="A87" s="146" t="str">
        <f t="shared" si="1"/>
        <v>Test not reviewed</v>
      </c>
      <c r="B87" s="164"/>
      <c r="C87" s="164"/>
      <c r="D87" s="164"/>
      <c r="E87" s="164"/>
      <c r="F87" s="146"/>
      <c r="G87" s="164"/>
      <c r="H87" s="164"/>
      <c r="I87" s="164"/>
      <c r="J87" s="164"/>
      <c r="K87" s="164"/>
      <c r="L87" s="164"/>
      <c r="M87" s="164"/>
      <c r="N87" s="164" t="e">
        <f>VLOOKUP(B:B,'QT Second level review'!C:O,10,0)</f>
        <v>#N/A</v>
      </c>
      <c r="O87" s="146"/>
      <c r="P87" s="146"/>
      <c r="Q87" s="146"/>
      <c r="R87" s="146"/>
      <c r="S87" s="146"/>
    </row>
    <row r="88" spans="1:19">
      <c r="A88" s="146" t="str">
        <f t="shared" si="1"/>
        <v>Test not reviewed</v>
      </c>
      <c r="B88" s="164"/>
      <c r="C88" s="164"/>
      <c r="D88" s="164"/>
      <c r="E88" s="164"/>
      <c r="F88" s="146"/>
      <c r="G88" s="164"/>
      <c r="H88" s="164"/>
      <c r="I88" s="164"/>
      <c r="J88" s="164"/>
      <c r="K88" s="164"/>
      <c r="L88" s="164"/>
      <c r="M88" s="164"/>
      <c r="N88" s="164" t="e">
        <f>VLOOKUP(B:B,'QT Second level review'!C:O,10,0)</f>
        <v>#N/A</v>
      </c>
      <c r="O88" s="146"/>
      <c r="P88" s="146"/>
      <c r="Q88" s="146"/>
      <c r="R88" s="146"/>
      <c r="S88" s="146"/>
    </row>
    <row r="89" spans="1:19">
      <c r="A89" s="146" t="str">
        <f t="shared" si="1"/>
        <v>Test not reviewed</v>
      </c>
      <c r="B89" s="164"/>
      <c r="C89" s="164"/>
      <c r="D89" s="164"/>
      <c r="E89" s="164"/>
      <c r="F89" s="146"/>
      <c r="G89" s="164"/>
      <c r="H89" s="164"/>
      <c r="I89" s="164"/>
      <c r="J89" s="164"/>
      <c r="K89" s="164"/>
      <c r="L89" s="164"/>
      <c r="M89" s="164"/>
      <c r="N89" s="164" t="e">
        <f>VLOOKUP(B:B,'QT Second level review'!C:O,10,0)</f>
        <v>#N/A</v>
      </c>
      <c r="O89" s="146"/>
      <c r="P89" s="146"/>
      <c r="Q89" s="146"/>
      <c r="R89" s="146"/>
      <c r="S89" s="146"/>
    </row>
    <row r="90" spans="1:19">
      <c r="A90" s="146" t="str">
        <f t="shared" si="1"/>
        <v>Test not reviewed</v>
      </c>
      <c r="B90" s="164"/>
      <c r="C90" s="164"/>
      <c r="D90" s="164"/>
      <c r="E90" s="164"/>
      <c r="F90" s="146"/>
      <c r="G90" s="164"/>
      <c r="H90" s="164"/>
      <c r="I90" s="164"/>
      <c r="J90" s="164"/>
      <c r="K90" s="164"/>
      <c r="L90" s="164"/>
      <c r="M90" s="164"/>
      <c r="N90" s="164" t="e">
        <f>VLOOKUP(B:B,'QT Second level review'!C:O,10,0)</f>
        <v>#N/A</v>
      </c>
      <c r="O90" s="146"/>
      <c r="P90" s="146"/>
      <c r="Q90" s="146"/>
      <c r="R90" s="146"/>
      <c r="S90" s="146"/>
    </row>
    <row r="91" spans="1:19">
      <c r="A91" s="146" t="str">
        <f t="shared" si="1"/>
        <v>Test not reviewed</v>
      </c>
      <c r="B91" s="164"/>
      <c r="C91" s="164"/>
      <c r="D91" s="164"/>
      <c r="E91" s="164"/>
      <c r="F91" s="146"/>
      <c r="G91" s="164"/>
      <c r="H91" s="164"/>
      <c r="I91" s="164"/>
      <c r="J91" s="164"/>
      <c r="K91" s="164"/>
      <c r="L91" s="164"/>
      <c r="M91" s="164"/>
      <c r="N91" s="164" t="e">
        <f>VLOOKUP(B:B,'QT Second level review'!C:O,10,0)</f>
        <v>#N/A</v>
      </c>
      <c r="O91" s="146"/>
      <c r="P91" s="146"/>
      <c r="Q91" s="146"/>
      <c r="R91" s="146"/>
      <c r="S91" s="146"/>
    </row>
    <row r="92" spans="1:19">
      <c r="A92" s="146" t="str">
        <f t="shared" si="1"/>
        <v>Test not reviewed</v>
      </c>
      <c r="B92" s="164"/>
      <c r="C92" s="164"/>
      <c r="D92" s="164"/>
      <c r="E92" s="164"/>
      <c r="F92" s="146"/>
      <c r="G92" s="164"/>
      <c r="H92" s="164"/>
      <c r="I92" s="164"/>
      <c r="J92" s="164"/>
      <c r="K92" s="164"/>
      <c r="L92" s="164"/>
      <c r="M92" s="164"/>
      <c r="N92" s="164" t="e">
        <f>VLOOKUP(B:B,'QT Second level review'!C:O,10,0)</f>
        <v>#N/A</v>
      </c>
      <c r="O92" s="146"/>
      <c r="P92" s="146"/>
      <c r="Q92" s="146"/>
      <c r="R92" s="146"/>
      <c r="S92" s="146"/>
    </row>
    <row r="93" spans="1:19">
      <c r="A93" s="146" t="str">
        <f t="shared" si="1"/>
        <v>Test not reviewed</v>
      </c>
      <c r="B93" s="164"/>
      <c r="C93" s="164"/>
      <c r="D93" s="164"/>
      <c r="E93" s="164"/>
      <c r="F93" s="146"/>
      <c r="G93" s="164"/>
      <c r="H93" s="164"/>
      <c r="I93" s="164"/>
      <c r="J93" s="164"/>
      <c r="K93" s="164"/>
      <c r="L93" s="164"/>
      <c r="M93" s="164"/>
      <c r="N93" s="164" t="e">
        <f>VLOOKUP(B:B,'QT Second level review'!C:O,10,0)</f>
        <v>#N/A</v>
      </c>
      <c r="O93" s="146"/>
      <c r="P93" s="146"/>
      <c r="Q93" s="146"/>
      <c r="R93" s="146"/>
      <c r="S93" s="146"/>
    </row>
    <row r="94" spans="1:19">
      <c r="A94" s="146" t="str">
        <f t="shared" si="1"/>
        <v>Test not reviewed</v>
      </c>
      <c r="B94" s="164"/>
      <c r="C94" s="164"/>
      <c r="D94" s="164"/>
      <c r="E94" s="164"/>
      <c r="F94" s="146"/>
      <c r="G94" s="164"/>
      <c r="H94" s="164"/>
      <c r="I94" s="164"/>
      <c r="J94" s="164"/>
      <c r="K94" s="164"/>
      <c r="L94" s="164"/>
      <c r="M94" s="164"/>
      <c r="N94" s="164" t="e">
        <f>VLOOKUP(B:B,'QT Second level review'!C:O,10,0)</f>
        <v>#N/A</v>
      </c>
      <c r="O94" s="146"/>
      <c r="P94" s="146"/>
      <c r="Q94" s="146"/>
      <c r="R94" s="146"/>
      <c r="S94" s="146"/>
    </row>
    <row r="95" spans="1:19">
      <c r="A95" s="146" t="str">
        <f t="shared" si="1"/>
        <v>Test not reviewed</v>
      </c>
      <c r="B95" s="164"/>
      <c r="C95" s="164"/>
      <c r="D95" s="164"/>
      <c r="E95" s="164"/>
      <c r="F95" s="146"/>
      <c r="G95" s="164"/>
      <c r="H95" s="164"/>
      <c r="I95" s="164"/>
      <c r="J95" s="164"/>
      <c r="K95" s="164"/>
      <c r="L95" s="164"/>
      <c r="M95" s="164"/>
      <c r="N95" s="164" t="e">
        <f>VLOOKUP(B:B,'QT Second level review'!C:O,10,0)</f>
        <v>#N/A</v>
      </c>
      <c r="O95" s="146"/>
      <c r="P95" s="146"/>
      <c r="Q95" s="146"/>
      <c r="R95" s="146"/>
      <c r="S95" s="146"/>
    </row>
    <row r="96" spans="1:19">
      <c r="A96" s="146" t="str">
        <f t="shared" si="1"/>
        <v>Test not reviewed</v>
      </c>
      <c r="B96" s="164"/>
      <c r="C96" s="164"/>
      <c r="D96" s="164"/>
      <c r="E96" s="164"/>
      <c r="F96" s="146"/>
      <c r="G96" s="164"/>
      <c r="H96" s="164"/>
      <c r="I96" s="164"/>
      <c r="J96" s="164"/>
      <c r="K96" s="164"/>
      <c r="L96" s="164"/>
      <c r="M96" s="164"/>
      <c r="N96" s="164" t="e">
        <f>VLOOKUP(B:B,'QT Second level review'!C:O,10,0)</f>
        <v>#N/A</v>
      </c>
      <c r="O96" s="146"/>
      <c r="P96" s="146"/>
      <c r="Q96" s="146"/>
      <c r="R96" s="146"/>
      <c r="S96" s="146"/>
    </row>
    <row r="97" spans="1:19">
      <c r="A97" s="146" t="str">
        <f t="shared" si="1"/>
        <v>Test not reviewed</v>
      </c>
      <c r="B97" s="164"/>
      <c r="C97" s="164"/>
      <c r="D97" s="164"/>
      <c r="E97" s="164"/>
      <c r="F97" s="146"/>
      <c r="G97" s="164"/>
      <c r="H97" s="164"/>
      <c r="I97" s="164"/>
      <c r="J97" s="164"/>
      <c r="K97" s="164"/>
      <c r="L97" s="164"/>
      <c r="M97" s="164"/>
      <c r="N97" s="164" t="e">
        <f>VLOOKUP(B:B,'QT Second level review'!C:O,10,0)</f>
        <v>#N/A</v>
      </c>
      <c r="O97" s="146"/>
      <c r="P97" s="146"/>
      <c r="Q97" s="146"/>
      <c r="R97" s="146"/>
      <c r="S97" s="146"/>
    </row>
    <row r="98" spans="1:19">
      <c r="A98" s="146" t="str">
        <f t="shared" si="1"/>
        <v>Test not reviewed</v>
      </c>
      <c r="B98" s="164"/>
      <c r="C98" s="164"/>
      <c r="D98" s="164"/>
      <c r="E98" s="164"/>
      <c r="F98" s="146"/>
      <c r="G98" s="164"/>
      <c r="H98" s="164"/>
      <c r="I98" s="164"/>
      <c r="J98" s="164"/>
      <c r="K98" s="164"/>
      <c r="L98" s="164"/>
      <c r="M98" s="164"/>
      <c r="N98" s="164" t="e">
        <f>VLOOKUP(B:B,'QT Second level review'!C:O,10,0)</f>
        <v>#N/A</v>
      </c>
      <c r="O98" s="146"/>
      <c r="P98" s="146"/>
      <c r="Q98" s="146"/>
      <c r="R98" s="146"/>
      <c r="S98" s="146"/>
    </row>
    <row r="99" spans="1:19">
      <c r="A99" s="146" t="str">
        <f t="shared" si="1"/>
        <v>Test not reviewed</v>
      </c>
      <c r="B99" s="164"/>
      <c r="C99" s="164"/>
      <c r="D99" s="164"/>
      <c r="E99" s="164"/>
      <c r="F99" s="146"/>
      <c r="G99" s="164"/>
      <c r="H99" s="164"/>
      <c r="I99" s="164"/>
      <c r="J99" s="164"/>
      <c r="K99" s="164"/>
      <c r="L99" s="164"/>
      <c r="M99" s="164"/>
      <c r="N99" s="164" t="e">
        <f>VLOOKUP(B:B,'QT Second level review'!C:O,10,0)</f>
        <v>#N/A</v>
      </c>
      <c r="O99" s="146"/>
      <c r="P99" s="146"/>
      <c r="Q99" s="146"/>
      <c r="R99" s="146"/>
      <c r="S99" s="146"/>
    </row>
    <row r="100" spans="1:19">
      <c r="A100" s="146" t="str">
        <f t="shared" si="1"/>
        <v>Test not reviewed</v>
      </c>
      <c r="B100" s="164"/>
      <c r="C100" s="164"/>
      <c r="D100" s="164"/>
      <c r="E100" s="164"/>
      <c r="F100" s="146"/>
      <c r="G100" s="164"/>
      <c r="H100" s="164"/>
      <c r="I100" s="164"/>
      <c r="J100" s="164"/>
      <c r="K100" s="164"/>
      <c r="L100" s="164"/>
      <c r="M100" s="164"/>
      <c r="N100" s="164" t="e">
        <f>VLOOKUP(B:B,'QT Second level review'!C:O,10,0)</f>
        <v>#N/A</v>
      </c>
      <c r="O100" s="146"/>
      <c r="P100" s="146"/>
      <c r="Q100" s="146"/>
      <c r="R100" s="146"/>
      <c r="S100" s="146"/>
    </row>
    <row r="101" spans="1:19">
      <c r="A101" s="146" t="str">
        <f t="shared" si="1"/>
        <v>Test not reviewed</v>
      </c>
      <c r="B101" s="164"/>
      <c r="C101" s="164"/>
      <c r="D101" s="164"/>
      <c r="E101" s="164"/>
      <c r="F101" s="146"/>
      <c r="G101" s="164"/>
      <c r="H101" s="164"/>
      <c r="I101" s="164"/>
      <c r="J101" s="164"/>
      <c r="K101" s="164"/>
      <c r="L101" s="164"/>
      <c r="M101" s="164"/>
      <c r="N101" s="164" t="e">
        <f>VLOOKUP(B:B,'QT Second level review'!C:O,10,0)</f>
        <v>#N/A</v>
      </c>
      <c r="O101" s="146"/>
      <c r="P101" s="146"/>
      <c r="Q101" s="146"/>
      <c r="R101" s="146"/>
      <c r="S101" s="146"/>
    </row>
    <row r="102" spans="1:19">
      <c r="A102" s="146" t="str">
        <f t="shared" si="1"/>
        <v>Test not reviewed</v>
      </c>
      <c r="B102" s="164"/>
      <c r="C102" s="164"/>
      <c r="D102" s="164"/>
      <c r="E102" s="164"/>
      <c r="F102" s="146"/>
      <c r="G102" s="164"/>
      <c r="H102" s="164"/>
      <c r="I102" s="164"/>
      <c r="J102" s="164"/>
      <c r="K102" s="164"/>
      <c r="L102" s="164"/>
      <c r="M102" s="164"/>
      <c r="N102" s="164" t="e">
        <f>VLOOKUP(B:B,'QT Second level review'!C:O,10,0)</f>
        <v>#N/A</v>
      </c>
      <c r="O102" s="146"/>
      <c r="P102" s="146"/>
      <c r="Q102" s="146"/>
      <c r="R102" s="146"/>
      <c r="S102" s="146"/>
    </row>
    <row r="103" spans="1:19">
      <c r="A103" s="146" t="str">
        <f t="shared" si="1"/>
        <v>Test not reviewed</v>
      </c>
      <c r="B103" s="164"/>
      <c r="C103" s="164"/>
      <c r="D103" s="164"/>
      <c r="E103" s="164"/>
      <c r="F103" s="146"/>
      <c r="G103" s="164"/>
      <c r="H103" s="164"/>
      <c r="I103" s="164"/>
      <c r="J103" s="164"/>
      <c r="K103" s="164"/>
      <c r="L103" s="164"/>
      <c r="M103" s="164"/>
      <c r="N103" s="164" t="e">
        <f>VLOOKUP(B:B,'QT Second level review'!C:O,10,0)</f>
        <v>#N/A</v>
      </c>
      <c r="O103" s="146"/>
      <c r="P103" s="146"/>
      <c r="Q103" s="146"/>
      <c r="R103" s="146"/>
      <c r="S103" s="146"/>
    </row>
    <row r="104" spans="1:19">
      <c r="A104" s="146" t="str">
        <f t="shared" si="1"/>
        <v>Test not reviewed</v>
      </c>
      <c r="B104" s="164"/>
      <c r="C104" s="164"/>
      <c r="D104" s="164"/>
      <c r="E104" s="164"/>
      <c r="F104" s="146"/>
      <c r="G104" s="164"/>
      <c r="H104" s="164"/>
      <c r="I104" s="164"/>
      <c r="J104" s="164"/>
      <c r="K104" s="164"/>
      <c r="L104" s="164"/>
      <c r="M104" s="164"/>
      <c r="N104" s="164" t="e">
        <f>VLOOKUP(B:B,'QT Second level review'!C:O,10,0)</f>
        <v>#N/A</v>
      </c>
      <c r="O104" s="146"/>
      <c r="P104" s="146"/>
      <c r="Q104" s="146"/>
      <c r="R104" s="146"/>
      <c r="S104" s="146"/>
    </row>
    <row r="105" spans="1:19">
      <c r="A105" s="146" t="str">
        <f t="shared" si="1"/>
        <v>Test not reviewed</v>
      </c>
      <c r="B105" s="164"/>
      <c r="C105" s="164"/>
      <c r="D105" s="164"/>
      <c r="E105" s="164"/>
      <c r="F105" s="146"/>
      <c r="G105" s="164"/>
      <c r="H105" s="164"/>
      <c r="I105" s="164"/>
      <c r="J105" s="164"/>
      <c r="K105" s="164"/>
      <c r="L105" s="164"/>
      <c r="M105" s="164"/>
      <c r="N105" s="164" t="e">
        <f>VLOOKUP(B:B,'QT Second level review'!C:O,10,0)</f>
        <v>#N/A</v>
      </c>
      <c r="O105" s="146"/>
      <c r="P105" s="146"/>
      <c r="Q105" s="146"/>
      <c r="R105" s="146"/>
      <c r="S105" s="146"/>
    </row>
    <row r="106" spans="1:19">
      <c r="A106" s="146" t="str">
        <f t="shared" si="1"/>
        <v>Test not reviewed</v>
      </c>
      <c r="B106" s="164"/>
      <c r="C106" s="164"/>
      <c r="D106" s="164"/>
      <c r="E106" s="164"/>
      <c r="F106" s="146"/>
      <c r="G106" s="164"/>
      <c r="H106" s="164"/>
      <c r="I106" s="164"/>
      <c r="J106" s="164"/>
      <c r="K106" s="164"/>
      <c r="L106" s="164"/>
      <c r="M106" s="164"/>
      <c r="N106" s="164" t="e">
        <f>VLOOKUP(B:B,'QT Second level review'!C:O,10,0)</f>
        <v>#N/A</v>
      </c>
      <c r="O106" s="146"/>
      <c r="P106" s="146"/>
      <c r="Q106" s="146"/>
      <c r="R106" s="146"/>
      <c r="S106" s="146"/>
    </row>
    <row r="107" spans="1:19">
      <c r="A107" s="146" t="str">
        <f t="shared" si="1"/>
        <v>Test not reviewed</v>
      </c>
      <c r="B107" s="164"/>
      <c r="C107" s="164"/>
      <c r="D107" s="164"/>
      <c r="E107" s="164"/>
      <c r="F107" s="146"/>
      <c r="G107" s="164"/>
      <c r="H107" s="164"/>
      <c r="I107" s="164"/>
      <c r="J107" s="164"/>
      <c r="K107" s="164"/>
      <c r="L107" s="164"/>
      <c r="M107" s="164"/>
      <c r="N107" s="164" t="e">
        <f>VLOOKUP(B:B,'QT Second level review'!C:O,10,0)</f>
        <v>#N/A</v>
      </c>
      <c r="O107" s="146"/>
      <c r="P107" s="146"/>
      <c r="Q107" s="146"/>
      <c r="R107" s="146"/>
      <c r="S107" s="146"/>
    </row>
    <row r="108" spans="1:19">
      <c r="A108" s="146" t="str">
        <f t="shared" si="1"/>
        <v>Test not reviewed</v>
      </c>
      <c r="B108" s="164"/>
      <c r="C108" s="164"/>
      <c r="D108" s="164"/>
      <c r="E108" s="164"/>
      <c r="F108" s="146"/>
      <c r="G108" s="164"/>
      <c r="H108" s="164"/>
      <c r="I108" s="164"/>
      <c r="J108" s="164"/>
      <c r="K108" s="164"/>
      <c r="L108" s="164"/>
      <c r="M108" s="164"/>
      <c r="N108" s="164" t="e">
        <f>VLOOKUP(B:B,'QT Second level review'!C:O,10,0)</f>
        <v>#N/A</v>
      </c>
      <c r="O108" s="146"/>
      <c r="P108" s="146"/>
      <c r="Q108" s="146"/>
      <c r="R108" s="146"/>
      <c r="S108" s="146"/>
    </row>
    <row r="109" spans="1:19">
      <c r="A109" s="146" t="str">
        <f t="shared" si="1"/>
        <v>Test not reviewed</v>
      </c>
      <c r="B109" s="164"/>
      <c r="C109" s="164"/>
      <c r="D109" s="164"/>
      <c r="E109" s="164"/>
      <c r="F109" s="146"/>
      <c r="G109" s="164"/>
      <c r="H109" s="164"/>
      <c r="I109" s="164"/>
      <c r="J109" s="164"/>
      <c r="K109" s="164"/>
      <c r="L109" s="164"/>
      <c r="M109" s="164"/>
      <c r="N109" s="164" t="e">
        <f>VLOOKUP(B:B,'QT Second level review'!C:O,10,0)</f>
        <v>#N/A</v>
      </c>
      <c r="O109" s="146"/>
      <c r="P109" s="146"/>
      <c r="Q109" s="146"/>
      <c r="R109" s="146"/>
      <c r="S109" s="146"/>
    </row>
    <row r="110" spans="1:19">
      <c r="A110" s="146" t="str">
        <f t="shared" si="1"/>
        <v>Test not reviewed</v>
      </c>
      <c r="B110" s="164"/>
      <c r="C110" s="164"/>
      <c r="D110" s="164"/>
      <c r="E110" s="164"/>
      <c r="F110" s="146"/>
      <c r="G110" s="164"/>
      <c r="H110" s="164"/>
      <c r="I110" s="164"/>
      <c r="J110" s="164"/>
      <c r="K110" s="164"/>
      <c r="L110" s="164"/>
      <c r="M110" s="164"/>
      <c r="N110" s="164" t="e">
        <f>VLOOKUP(B:B,'QT Second level review'!C:O,10,0)</f>
        <v>#N/A</v>
      </c>
      <c r="O110" s="146"/>
      <c r="P110" s="146"/>
      <c r="Q110" s="146"/>
      <c r="R110" s="146"/>
      <c r="S110" s="146"/>
    </row>
    <row r="111" spans="1:19">
      <c r="A111" s="146" t="str">
        <f t="shared" si="1"/>
        <v>Test not reviewed</v>
      </c>
      <c r="B111" s="164"/>
      <c r="C111" s="164"/>
      <c r="D111" s="164"/>
      <c r="E111" s="164"/>
      <c r="F111" s="146"/>
      <c r="G111" s="164"/>
      <c r="H111" s="164"/>
      <c r="I111" s="164"/>
      <c r="J111" s="164"/>
      <c r="K111" s="164"/>
      <c r="L111" s="164"/>
      <c r="M111" s="164"/>
      <c r="N111" s="164" t="e">
        <f>VLOOKUP(B:B,'QT Second level review'!C:O,10,0)</f>
        <v>#N/A</v>
      </c>
      <c r="O111" s="146"/>
      <c r="P111" s="146"/>
      <c r="Q111" s="146"/>
      <c r="R111" s="146"/>
      <c r="S111" s="146"/>
    </row>
    <row r="112" spans="1:19">
      <c r="A112" s="146" t="str">
        <f t="shared" si="1"/>
        <v>Test not reviewed</v>
      </c>
      <c r="B112" s="164"/>
      <c r="C112" s="164"/>
      <c r="D112" s="164"/>
      <c r="E112" s="164"/>
      <c r="F112" s="146"/>
      <c r="G112" s="164"/>
      <c r="H112" s="164"/>
      <c r="I112" s="164"/>
      <c r="J112" s="164"/>
      <c r="K112" s="164"/>
      <c r="L112" s="164"/>
      <c r="M112" s="164"/>
      <c r="N112" s="164" t="e">
        <f>VLOOKUP(B:B,'QT Second level review'!C:O,10,0)</f>
        <v>#N/A</v>
      </c>
      <c r="O112" s="146"/>
      <c r="P112" s="146"/>
      <c r="Q112" s="146"/>
      <c r="R112" s="146"/>
      <c r="S112" s="146"/>
    </row>
    <row r="113" spans="1:19">
      <c r="A113" s="146" t="str">
        <f t="shared" si="1"/>
        <v>Test not reviewed</v>
      </c>
      <c r="B113" s="164"/>
      <c r="C113" s="164"/>
      <c r="D113" s="164"/>
      <c r="E113" s="164"/>
      <c r="F113" s="146"/>
      <c r="G113" s="164"/>
      <c r="H113" s="164"/>
      <c r="I113" s="164"/>
      <c r="J113" s="164"/>
      <c r="K113" s="164"/>
      <c r="L113" s="164"/>
      <c r="M113" s="164"/>
      <c r="N113" s="164" t="e">
        <f>VLOOKUP(B:B,'QT Second level review'!C:O,10,0)</f>
        <v>#N/A</v>
      </c>
      <c r="O113" s="146"/>
      <c r="P113" s="146"/>
      <c r="Q113" s="146"/>
      <c r="R113" s="146"/>
      <c r="S113" s="146"/>
    </row>
    <row r="114" spans="1:19">
      <c r="A114" s="146" t="str">
        <f t="shared" si="1"/>
        <v>Test not reviewed</v>
      </c>
      <c r="B114" s="164"/>
      <c r="C114" s="164"/>
      <c r="D114" s="164"/>
      <c r="E114" s="164"/>
      <c r="F114" s="146"/>
      <c r="G114" s="164"/>
      <c r="H114" s="164"/>
      <c r="I114" s="164"/>
      <c r="J114" s="164"/>
      <c r="K114" s="164"/>
      <c r="L114" s="164"/>
      <c r="M114" s="164"/>
      <c r="N114" s="164" t="e">
        <f>VLOOKUP(B:B,'QT Second level review'!C:O,10,0)</f>
        <v>#N/A</v>
      </c>
      <c r="O114" s="146"/>
      <c r="P114" s="146"/>
      <c r="Q114" s="146"/>
      <c r="R114" s="146"/>
      <c r="S114" s="146"/>
    </row>
    <row r="115" spans="1:19">
      <c r="A115" s="146" t="str">
        <f t="shared" si="1"/>
        <v>Test not reviewed</v>
      </c>
      <c r="B115" s="164"/>
      <c r="C115" s="164"/>
      <c r="D115" s="164"/>
      <c r="E115" s="164"/>
      <c r="F115" s="146"/>
      <c r="G115" s="164"/>
      <c r="H115" s="164"/>
      <c r="I115" s="164"/>
      <c r="J115" s="164"/>
      <c r="K115" s="164"/>
      <c r="L115" s="164"/>
      <c r="M115" s="164"/>
      <c r="N115" s="164" t="e">
        <f>VLOOKUP(B:B,'QT Second level review'!C:O,10,0)</f>
        <v>#N/A</v>
      </c>
      <c r="O115" s="146"/>
      <c r="P115" s="146"/>
      <c r="Q115" s="146"/>
      <c r="R115" s="146"/>
      <c r="S115" s="146"/>
    </row>
    <row r="116" spans="1:19">
      <c r="A116" s="146" t="str">
        <f t="shared" si="1"/>
        <v>Test not reviewed</v>
      </c>
      <c r="B116" s="164"/>
      <c r="C116" s="164"/>
      <c r="D116" s="164"/>
      <c r="E116" s="164"/>
      <c r="F116" s="146"/>
      <c r="G116" s="164"/>
      <c r="H116" s="164"/>
      <c r="I116" s="164"/>
      <c r="J116" s="164"/>
      <c r="K116" s="164"/>
      <c r="L116" s="164"/>
      <c r="M116" s="164"/>
      <c r="N116" s="164" t="e">
        <f>VLOOKUP(B:B,'QT Second level review'!C:O,10,0)</f>
        <v>#N/A</v>
      </c>
      <c r="O116" s="146"/>
      <c r="P116" s="146"/>
      <c r="Q116" s="146"/>
      <c r="R116" s="146"/>
      <c r="S116" s="146"/>
    </row>
    <row r="117" spans="1:19">
      <c r="A117" s="146" t="str">
        <f t="shared" si="1"/>
        <v>Test not reviewed</v>
      </c>
      <c r="B117" s="164"/>
      <c r="C117" s="164"/>
      <c r="D117" s="164"/>
      <c r="E117" s="164"/>
      <c r="F117" s="146"/>
      <c r="G117" s="164"/>
      <c r="H117" s="164"/>
      <c r="I117" s="164"/>
      <c r="J117" s="164"/>
      <c r="K117" s="164"/>
      <c r="L117" s="164"/>
      <c r="M117" s="164"/>
      <c r="N117" s="164" t="e">
        <f>VLOOKUP(B:B,'QT Second level review'!C:O,10,0)</f>
        <v>#N/A</v>
      </c>
      <c r="O117" s="146"/>
      <c r="P117" s="146"/>
      <c r="Q117" s="146"/>
      <c r="R117" s="146"/>
      <c r="S117" s="146"/>
    </row>
    <row r="118" spans="1:19">
      <c r="A118" s="146" t="str">
        <f t="shared" si="1"/>
        <v>Test not reviewed</v>
      </c>
      <c r="B118" s="164"/>
      <c r="C118" s="164"/>
      <c r="D118" s="164"/>
      <c r="E118" s="164"/>
      <c r="F118" s="146"/>
      <c r="G118" s="164"/>
      <c r="H118" s="164"/>
      <c r="I118" s="164"/>
      <c r="J118" s="164"/>
      <c r="K118" s="164"/>
      <c r="L118" s="164"/>
      <c r="M118" s="164"/>
      <c r="N118" s="164" t="e">
        <f>VLOOKUP(B:B,'QT Second level review'!C:O,10,0)</f>
        <v>#N/A</v>
      </c>
      <c r="O118" s="146"/>
      <c r="P118" s="146"/>
      <c r="Q118" s="146"/>
      <c r="R118" s="146"/>
      <c r="S118" s="146"/>
    </row>
    <row r="119" spans="1:19">
      <c r="A119" s="146" t="str">
        <f t="shared" si="1"/>
        <v>Test not reviewed</v>
      </c>
      <c r="B119" s="164"/>
      <c r="C119" s="164"/>
      <c r="D119" s="164"/>
      <c r="E119" s="164"/>
      <c r="F119" s="146"/>
      <c r="G119" s="164"/>
      <c r="H119" s="164"/>
      <c r="I119" s="164"/>
      <c r="J119" s="164"/>
      <c r="K119" s="164"/>
      <c r="L119" s="164"/>
      <c r="M119" s="164"/>
      <c r="N119" s="164" t="e">
        <f>VLOOKUP(B:B,'QT Second level review'!C:O,10,0)</f>
        <v>#N/A</v>
      </c>
      <c r="O119" s="146"/>
      <c r="P119" s="146"/>
      <c r="Q119" s="146"/>
      <c r="R119" s="146"/>
      <c r="S119" s="146"/>
    </row>
    <row r="120" spans="1:19">
      <c r="A120" s="146" t="str">
        <f t="shared" si="1"/>
        <v>Test not reviewed</v>
      </c>
      <c r="B120" s="164"/>
      <c r="C120" s="164"/>
      <c r="D120" s="164"/>
      <c r="E120" s="164"/>
      <c r="F120" s="146"/>
      <c r="G120" s="164"/>
      <c r="H120" s="164"/>
      <c r="I120" s="164"/>
      <c r="J120" s="164"/>
      <c r="K120" s="164"/>
      <c r="L120" s="164"/>
      <c r="M120" s="164"/>
      <c r="N120" s="164" t="e">
        <f>VLOOKUP(B:B,'QT Second level review'!C:O,10,0)</f>
        <v>#N/A</v>
      </c>
      <c r="O120" s="146"/>
      <c r="P120" s="146"/>
      <c r="Q120" s="146"/>
      <c r="R120" s="146"/>
      <c r="S120" s="146"/>
    </row>
    <row r="121" spans="1:19">
      <c r="A121" s="146" t="str">
        <f t="shared" si="1"/>
        <v>Test not reviewed</v>
      </c>
      <c r="B121" s="164"/>
      <c r="C121" s="164"/>
      <c r="D121" s="164"/>
      <c r="E121" s="164"/>
      <c r="F121" s="146"/>
      <c r="G121" s="164"/>
      <c r="H121" s="164"/>
      <c r="I121" s="164"/>
      <c r="J121" s="164"/>
      <c r="K121" s="164"/>
      <c r="L121" s="164"/>
      <c r="M121" s="164"/>
      <c r="N121" s="164" t="e">
        <f>VLOOKUP(B:B,'QT Second level review'!C:O,10,0)</f>
        <v>#N/A</v>
      </c>
      <c r="O121" s="146"/>
      <c r="P121" s="146"/>
      <c r="Q121" s="146"/>
      <c r="R121" s="146"/>
      <c r="S121" s="146"/>
    </row>
    <row r="122" spans="1:19">
      <c r="A122" s="146" t="str">
        <f t="shared" si="1"/>
        <v>Test not reviewed</v>
      </c>
      <c r="B122" s="164"/>
      <c r="C122" s="164"/>
      <c r="D122" s="164"/>
      <c r="E122" s="164"/>
      <c r="F122" s="146"/>
      <c r="G122" s="164"/>
      <c r="H122" s="164"/>
      <c r="I122" s="164"/>
      <c r="J122" s="164"/>
      <c r="K122" s="164"/>
      <c r="L122" s="164"/>
      <c r="M122" s="164"/>
      <c r="N122" s="164" t="e">
        <f>VLOOKUP(B:B,'QT Second level review'!C:O,10,0)</f>
        <v>#N/A</v>
      </c>
      <c r="O122" s="146"/>
      <c r="P122" s="146"/>
      <c r="Q122" s="146"/>
      <c r="R122" s="146"/>
      <c r="S122" s="146"/>
    </row>
    <row r="123" spans="1:19">
      <c r="A123" s="146" t="str">
        <f t="shared" si="1"/>
        <v>Test not reviewed</v>
      </c>
      <c r="B123" s="164"/>
      <c r="C123" s="164"/>
      <c r="D123" s="164"/>
      <c r="E123" s="164"/>
      <c r="F123" s="146"/>
      <c r="G123" s="164"/>
      <c r="H123" s="164"/>
      <c r="I123" s="164"/>
      <c r="J123" s="164"/>
      <c r="K123" s="164"/>
      <c r="L123" s="164"/>
      <c r="M123" s="164"/>
      <c r="N123" s="164" t="e">
        <f>VLOOKUP(B:B,'QT Second level review'!C:O,10,0)</f>
        <v>#N/A</v>
      </c>
      <c r="O123" s="146"/>
      <c r="P123" s="146"/>
      <c r="Q123" s="146"/>
      <c r="R123" s="146"/>
      <c r="S123" s="146"/>
    </row>
    <row r="124" spans="1:19">
      <c r="A124" s="146" t="str">
        <f t="shared" si="1"/>
        <v>Test not reviewed</v>
      </c>
      <c r="B124" s="164"/>
      <c r="C124" s="164"/>
      <c r="D124" s="164"/>
      <c r="E124" s="164"/>
      <c r="F124" s="146"/>
      <c r="G124" s="164"/>
      <c r="H124" s="164"/>
      <c r="I124" s="164"/>
      <c r="J124" s="164"/>
      <c r="K124" s="164"/>
      <c r="L124" s="164"/>
      <c r="M124" s="164"/>
      <c r="N124" s="164" t="e">
        <f>VLOOKUP(B:B,'QT Second level review'!C:O,10,0)</f>
        <v>#N/A</v>
      </c>
      <c r="O124" s="146"/>
      <c r="P124" s="146"/>
      <c r="Q124" s="146"/>
      <c r="R124" s="146"/>
      <c r="S124" s="146"/>
    </row>
    <row r="125" spans="1:19">
      <c r="A125" s="146" t="str">
        <f t="shared" si="1"/>
        <v>Test not reviewed</v>
      </c>
      <c r="B125" s="164"/>
      <c r="C125" s="164"/>
      <c r="D125" s="164"/>
      <c r="E125" s="164"/>
      <c r="F125" s="146"/>
      <c r="G125" s="164"/>
      <c r="H125" s="164"/>
      <c r="I125" s="164"/>
      <c r="J125" s="164"/>
      <c r="K125" s="164"/>
      <c r="L125" s="164"/>
      <c r="M125" s="164"/>
      <c r="N125" s="164" t="e">
        <f>VLOOKUP(B:B,'QT Second level review'!C:O,10,0)</f>
        <v>#N/A</v>
      </c>
      <c r="O125" s="146"/>
      <c r="P125" s="146"/>
      <c r="Q125" s="146"/>
      <c r="R125" s="146"/>
      <c r="S125" s="146"/>
    </row>
    <row r="126" spans="1:19">
      <c r="A126" s="146" t="str">
        <f t="shared" si="1"/>
        <v>Test not reviewed</v>
      </c>
      <c r="B126" s="164"/>
      <c r="C126" s="164"/>
      <c r="D126" s="164"/>
      <c r="E126" s="164"/>
      <c r="F126" s="146"/>
      <c r="G126" s="164"/>
      <c r="H126" s="164"/>
      <c r="I126" s="164"/>
      <c r="J126" s="164"/>
      <c r="K126" s="164"/>
      <c r="L126" s="164"/>
      <c r="M126" s="164"/>
      <c r="N126" s="164" t="e">
        <f>VLOOKUP(B:B,'QT Second level review'!C:O,10,0)</f>
        <v>#N/A</v>
      </c>
      <c r="O126" s="146"/>
      <c r="P126" s="146"/>
      <c r="Q126" s="146"/>
      <c r="R126" s="146"/>
      <c r="S126" s="146"/>
    </row>
    <row r="127" spans="1:19">
      <c r="A127" s="146" t="str">
        <f t="shared" si="1"/>
        <v>Test not reviewed</v>
      </c>
      <c r="B127" s="164"/>
      <c r="C127" s="164"/>
      <c r="D127" s="164"/>
      <c r="E127" s="164"/>
      <c r="F127" s="146"/>
      <c r="G127" s="164"/>
      <c r="H127" s="164"/>
      <c r="I127" s="164"/>
      <c r="J127" s="164"/>
      <c r="K127" s="164"/>
      <c r="L127" s="164"/>
      <c r="M127" s="164"/>
      <c r="N127" s="164" t="e">
        <f>VLOOKUP(B:B,'QT Second level review'!C:O,10,0)</f>
        <v>#N/A</v>
      </c>
      <c r="O127" s="146"/>
      <c r="P127" s="146"/>
      <c r="Q127" s="146"/>
      <c r="R127" s="146"/>
      <c r="S127" s="146"/>
    </row>
    <row r="128" spans="1:19">
      <c r="A128" s="146" t="str">
        <f t="shared" si="1"/>
        <v>Test not reviewed</v>
      </c>
      <c r="B128" s="164"/>
      <c r="C128" s="164"/>
      <c r="D128" s="164"/>
      <c r="E128" s="164"/>
      <c r="F128" s="146"/>
      <c r="G128" s="164"/>
      <c r="H128" s="164"/>
      <c r="I128" s="164"/>
      <c r="J128" s="164"/>
      <c r="K128" s="164"/>
      <c r="L128" s="164"/>
      <c r="M128" s="164"/>
      <c r="N128" s="164" t="e">
        <f>VLOOKUP(B:B,'QT Second level review'!C:O,10,0)</f>
        <v>#N/A</v>
      </c>
      <c r="O128" s="146"/>
      <c r="P128" s="146"/>
      <c r="Q128" s="146"/>
      <c r="R128" s="146"/>
      <c r="S128" s="146"/>
    </row>
    <row r="129" spans="1:19">
      <c r="A129" s="146" t="str">
        <f t="shared" si="1"/>
        <v>Test not reviewed</v>
      </c>
      <c r="B129" s="164"/>
      <c r="C129" s="164"/>
      <c r="D129" s="164"/>
      <c r="E129" s="164"/>
      <c r="F129" s="146"/>
      <c r="G129" s="164"/>
      <c r="H129" s="164"/>
      <c r="I129" s="164"/>
      <c r="J129" s="164"/>
      <c r="K129" s="164"/>
      <c r="L129" s="164"/>
      <c r="M129" s="164"/>
      <c r="N129" s="164" t="e">
        <f>VLOOKUP(B:B,'QT Second level review'!C:O,10,0)</f>
        <v>#N/A</v>
      </c>
      <c r="O129" s="146"/>
      <c r="P129" s="146"/>
      <c r="Q129" s="146"/>
      <c r="R129" s="146"/>
      <c r="S129" s="146"/>
    </row>
    <row r="130" spans="1:19">
      <c r="A130" s="146" t="str">
        <f t="shared" si="1"/>
        <v>Test not reviewed</v>
      </c>
      <c r="B130" s="164"/>
      <c r="C130" s="164"/>
      <c r="D130" s="164"/>
      <c r="E130" s="164"/>
      <c r="F130" s="146"/>
      <c r="G130" s="164"/>
      <c r="H130" s="164"/>
      <c r="I130" s="164"/>
      <c r="J130" s="164"/>
      <c r="K130" s="164"/>
      <c r="L130" s="164"/>
      <c r="M130" s="164"/>
      <c r="N130" s="164" t="e">
        <f>VLOOKUP(B:B,'QT Second level review'!C:O,10,0)</f>
        <v>#N/A</v>
      </c>
      <c r="O130" s="146"/>
      <c r="P130" s="146"/>
      <c r="Q130" s="146"/>
      <c r="R130" s="146"/>
      <c r="S130" s="146"/>
    </row>
    <row r="131" spans="1:19">
      <c r="A131" s="146" t="str">
        <f t="shared" ref="A131:A194" si="2">IF(ISNA(N131),"Test not reviewed","OK")</f>
        <v>Test not reviewed</v>
      </c>
      <c r="B131" s="164"/>
      <c r="C131" s="164"/>
      <c r="D131" s="164"/>
      <c r="E131" s="164"/>
      <c r="F131" s="146"/>
      <c r="G131" s="164"/>
      <c r="H131" s="164"/>
      <c r="I131" s="164"/>
      <c r="J131" s="164"/>
      <c r="K131" s="164"/>
      <c r="L131" s="164"/>
      <c r="M131" s="164"/>
      <c r="N131" s="164" t="e">
        <f>VLOOKUP(B:B,'QT Second level review'!C:O,10,0)</f>
        <v>#N/A</v>
      </c>
      <c r="O131" s="146"/>
      <c r="P131" s="146"/>
      <c r="Q131" s="146"/>
      <c r="R131" s="146"/>
      <c r="S131" s="146"/>
    </row>
    <row r="132" spans="1:19">
      <c r="A132" s="146" t="str">
        <f t="shared" si="2"/>
        <v>Test not reviewed</v>
      </c>
      <c r="B132" s="164"/>
      <c r="C132" s="164"/>
      <c r="D132" s="164"/>
      <c r="E132" s="164"/>
      <c r="F132" s="146"/>
      <c r="G132" s="164"/>
      <c r="H132" s="164"/>
      <c r="I132" s="164"/>
      <c r="J132" s="164"/>
      <c r="K132" s="164"/>
      <c r="L132" s="164"/>
      <c r="M132" s="164"/>
      <c r="N132" s="164" t="e">
        <f>VLOOKUP(B:B,'QT Second level review'!C:O,10,0)</f>
        <v>#N/A</v>
      </c>
      <c r="O132" s="146"/>
      <c r="P132" s="146"/>
      <c r="Q132" s="146"/>
      <c r="R132" s="146"/>
      <c r="S132" s="146"/>
    </row>
    <row r="133" spans="1:19">
      <c r="A133" s="146" t="str">
        <f t="shared" si="2"/>
        <v>Test not reviewed</v>
      </c>
      <c r="B133" s="164"/>
      <c r="C133" s="164"/>
      <c r="D133" s="164"/>
      <c r="E133" s="164"/>
      <c r="F133" s="146"/>
      <c r="G133" s="164"/>
      <c r="H133" s="164"/>
      <c r="I133" s="164"/>
      <c r="J133" s="164"/>
      <c r="K133" s="164"/>
      <c r="L133" s="164"/>
      <c r="M133" s="164"/>
      <c r="N133" s="164" t="e">
        <f>VLOOKUP(B:B,'QT Second level review'!C:O,10,0)</f>
        <v>#N/A</v>
      </c>
      <c r="O133" s="146"/>
      <c r="P133" s="146"/>
      <c r="Q133" s="146"/>
      <c r="R133" s="146"/>
      <c r="S133" s="146"/>
    </row>
    <row r="134" spans="1:19">
      <c r="A134" s="146" t="str">
        <f t="shared" si="2"/>
        <v>Test not reviewed</v>
      </c>
      <c r="B134" s="164"/>
      <c r="C134" s="164"/>
      <c r="D134" s="164"/>
      <c r="E134" s="164"/>
      <c r="F134" s="146"/>
      <c r="G134" s="164"/>
      <c r="H134" s="164"/>
      <c r="I134" s="164"/>
      <c r="J134" s="164"/>
      <c r="K134" s="164"/>
      <c r="L134" s="164"/>
      <c r="M134" s="164"/>
      <c r="N134" s="164" t="e">
        <f>VLOOKUP(B:B,'QT Second level review'!C:O,10,0)</f>
        <v>#N/A</v>
      </c>
      <c r="O134" s="146"/>
      <c r="P134" s="146"/>
      <c r="Q134" s="146"/>
      <c r="R134" s="146"/>
      <c r="S134" s="146"/>
    </row>
    <row r="135" spans="1:19">
      <c r="A135" s="146" t="str">
        <f t="shared" si="2"/>
        <v>Test not reviewed</v>
      </c>
      <c r="B135" s="164"/>
      <c r="C135" s="164"/>
      <c r="D135" s="164"/>
      <c r="E135" s="164"/>
      <c r="F135" s="146"/>
      <c r="G135" s="164"/>
      <c r="H135" s="164"/>
      <c r="I135" s="164"/>
      <c r="J135" s="164"/>
      <c r="K135" s="164"/>
      <c r="L135" s="164"/>
      <c r="M135" s="164"/>
      <c r="N135" s="164" t="e">
        <f>VLOOKUP(B:B,'QT Second level review'!C:O,10,0)</f>
        <v>#N/A</v>
      </c>
      <c r="O135" s="146"/>
      <c r="P135" s="146"/>
      <c r="Q135" s="146"/>
      <c r="R135" s="146"/>
      <c r="S135" s="146"/>
    </row>
    <row r="136" spans="1:19">
      <c r="A136" s="146" t="str">
        <f t="shared" si="2"/>
        <v>Test not reviewed</v>
      </c>
      <c r="B136" s="164"/>
      <c r="C136" s="164"/>
      <c r="D136" s="164"/>
      <c r="E136" s="164"/>
      <c r="F136" s="146"/>
      <c r="G136" s="164"/>
      <c r="H136" s="164"/>
      <c r="I136" s="164"/>
      <c r="J136" s="164"/>
      <c r="K136" s="164"/>
      <c r="L136" s="164"/>
      <c r="M136" s="164"/>
      <c r="N136" s="164" t="e">
        <f>VLOOKUP(B:B,'QT Second level review'!C:O,10,0)</f>
        <v>#N/A</v>
      </c>
      <c r="O136" s="146"/>
      <c r="P136" s="146"/>
      <c r="Q136" s="146"/>
      <c r="R136" s="146"/>
      <c r="S136" s="146"/>
    </row>
    <row r="137" spans="1:19">
      <c r="A137" s="146" t="str">
        <f t="shared" si="2"/>
        <v>Test not reviewed</v>
      </c>
      <c r="B137" s="164"/>
      <c r="C137" s="164"/>
      <c r="D137" s="164"/>
      <c r="E137" s="164"/>
      <c r="F137" s="146"/>
      <c r="G137" s="164"/>
      <c r="H137" s="164"/>
      <c r="I137" s="164"/>
      <c r="J137" s="164"/>
      <c r="K137" s="164"/>
      <c r="L137" s="164"/>
      <c r="M137" s="164"/>
      <c r="N137" s="164" t="e">
        <f>VLOOKUP(B:B,'QT Second level review'!C:O,10,0)</f>
        <v>#N/A</v>
      </c>
      <c r="O137" s="146"/>
      <c r="P137" s="146"/>
      <c r="Q137" s="146"/>
      <c r="R137" s="146"/>
      <c r="S137" s="146"/>
    </row>
    <row r="138" spans="1:19">
      <c r="A138" s="146" t="str">
        <f t="shared" si="2"/>
        <v>Test not reviewed</v>
      </c>
      <c r="B138" s="164"/>
      <c r="C138" s="164"/>
      <c r="D138" s="164"/>
      <c r="E138" s="164"/>
      <c r="F138" s="146"/>
      <c r="G138" s="164"/>
      <c r="H138" s="164"/>
      <c r="I138" s="164"/>
      <c r="J138" s="164"/>
      <c r="K138" s="164"/>
      <c r="L138" s="164"/>
      <c r="M138" s="164"/>
      <c r="N138" s="164" t="e">
        <f>VLOOKUP(B:B,'QT Second level review'!C:O,10,0)</f>
        <v>#N/A</v>
      </c>
      <c r="O138" s="146"/>
      <c r="P138" s="146"/>
      <c r="Q138" s="146"/>
      <c r="R138" s="146"/>
      <c r="S138" s="146"/>
    </row>
    <row r="139" spans="1:19">
      <c r="A139" s="146" t="str">
        <f t="shared" si="2"/>
        <v>Test not reviewed</v>
      </c>
      <c r="B139" s="164"/>
      <c r="C139" s="164"/>
      <c r="D139" s="164"/>
      <c r="E139" s="164"/>
      <c r="F139" s="146"/>
      <c r="G139" s="164"/>
      <c r="H139" s="164"/>
      <c r="I139" s="164"/>
      <c r="J139" s="164"/>
      <c r="K139" s="164"/>
      <c r="L139" s="164"/>
      <c r="M139" s="164"/>
      <c r="N139" s="164" t="e">
        <f>VLOOKUP(B:B,'QT Second level review'!C:O,10,0)</f>
        <v>#N/A</v>
      </c>
      <c r="O139" s="146"/>
      <c r="P139" s="146"/>
      <c r="Q139" s="146"/>
      <c r="R139" s="146"/>
      <c r="S139" s="146"/>
    </row>
    <row r="140" spans="1:19">
      <c r="A140" s="146" t="str">
        <f t="shared" si="2"/>
        <v>Test not reviewed</v>
      </c>
      <c r="B140" s="164"/>
      <c r="C140" s="164"/>
      <c r="D140" s="164"/>
      <c r="E140" s="164"/>
      <c r="F140" s="146"/>
      <c r="G140" s="164"/>
      <c r="H140" s="164"/>
      <c r="I140" s="164"/>
      <c r="J140" s="164"/>
      <c r="K140" s="164"/>
      <c r="L140" s="164"/>
      <c r="M140" s="164"/>
      <c r="N140" s="164" t="e">
        <f>VLOOKUP(B:B,'QT Second level review'!C:O,10,0)</f>
        <v>#N/A</v>
      </c>
      <c r="O140" s="146"/>
      <c r="P140" s="146"/>
      <c r="Q140" s="146"/>
      <c r="R140" s="146"/>
      <c r="S140" s="146"/>
    </row>
    <row r="141" spans="1:19">
      <c r="A141" s="146" t="str">
        <f t="shared" si="2"/>
        <v>Test not reviewed</v>
      </c>
      <c r="B141" s="164"/>
      <c r="C141" s="164"/>
      <c r="D141" s="164"/>
      <c r="E141" s="164"/>
      <c r="F141" s="146"/>
      <c r="G141" s="164"/>
      <c r="H141" s="164"/>
      <c r="I141" s="164"/>
      <c r="J141" s="164"/>
      <c r="K141" s="164"/>
      <c r="L141" s="164"/>
      <c r="M141" s="164"/>
      <c r="N141" s="164" t="e">
        <f>VLOOKUP(B:B,'QT Second level review'!C:O,10,0)</f>
        <v>#N/A</v>
      </c>
      <c r="O141" s="146"/>
      <c r="P141" s="146"/>
      <c r="Q141" s="146"/>
      <c r="R141" s="146"/>
      <c r="S141" s="146"/>
    </row>
    <row r="142" spans="1:19">
      <c r="A142" s="146" t="str">
        <f t="shared" si="2"/>
        <v>Test not reviewed</v>
      </c>
      <c r="B142" s="164"/>
      <c r="C142" s="164"/>
      <c r="D142" s="164"/>
      <c r="E142" s="164"/>
      <c r="F142" s="146"/>
      <c r="G142" s="164"/>
      <c r="H142" s="164"/>
      <c r="I142" s="164"/>
      <c r="J142" s="164"/>
      <c r="K142" s="164"/>
      <c r="L142" s="164"/>
      <c r="M142" s="164"/>
      <c r="N142" s="164" t="e">
        <f>VLOOKUP(B:B,'QT Second level review'!C:O,10,0)</f>
        <v>#N/A</v>
      </c>
      <c r="O142" s="146"/>
      <c r="P142" s="146"/>
      <c r="Q142" s="146"/>
      <c r="R142" s="146"/>
      <c r="S142" s="146"/>
    </row>
    <row r="143" spans="1:19">
      <c r="A143" s="146" t="str">
        <f t="shared" si="2"/>
        <v>Test not reviewed</v>
      </c>
      <c r="B143" s="164"/>
      <c r="C143" s="164"/>
      <c r="D143" s="164"/>
      <c r="E143" s="164"/>
      <c r="F143" s="146"/>
      <c r="G143" s="164"/>
      <c r="H143" s="164"/>
      <c r="I143" s="164"/>
      <c r="J143" s="164"/>
      <c r="K143" s="164"/>
      <c r="L143" s="164"/>
      <c r="M143" s="164"/>
      <c r="N143" s="164" t="e">
        <f>VLOOKUP(B:B,'QT Second level review'!C:O,10,0)</f>
        <v>#N/A</v>
      </c>
      <c r="O143" s="146"/>
      <c r="P143" s="146"/>
      <c r="Q143" s="146"/>
      <c r="R143" s="146"/>
      <c r="S143" s="146"/>
    </row>
    <row r="144" spans="1:19">
      <c r="A144" s="146" t="str">
        <f t="shared" si="2"/>
        <v>Test not reviewed</v>
      </c>
      <c r="B144" s="164"/>
      <c r="C144" s="164"/>
      <c r="D144" s="164"/>
      <c r="E144" s="164"/>
      <c r="F144" s="146"/>
      <c r="G144" s="164"/>
      <c r="H144" s="164"/>
      <c r="I144" s="164"/>
      <c r="J144" s="164"/>
      <c r="K144" s="164"/>
      <c r="L144" s="164"/>
      <c r="M144" s="164"/>
      <c r="N144" s="164" t="e">
        <f>VLOOKUP(B:B,'QT Second level review'!C:O,10,0)</f>
        <v>#N/A</v>
      </c>
      <c r="O144" s="146"/>
      <c r="P144" s="146"/>
      <c r="Q144" s="146"/>
      <c r="R144" s="146"/>
      <c r="S144" s="146"/>
    </row>
    <row r="145" spans="1:19">
      <c r="A145" s="146" t="str">
        <f t="shared" si="2"/>
        <v>Test not reviewed</v>
      </c>
      <c r="B145" s="164"/>
      <c r="C145" s="164"/>
      <c r="D145" s="164"/>
      <c r="E145" s="164"/>
      <c r="F145" s="146"/>
      <c r="G145" s="164"/>
      <c r="H145" s="164"/>
      <c r="I145" s="164"/>
      <c r="J145" s="164"/>
      <c r="K145" s="164"/>
      <c r="L145" s="164"/>
      <c r="M145" s="164"/>
      <c r="N145" s="164" t="e">
        <f>VLOOKUP(B:B,'QT Second level review'!C:O,10,0)</f>
        <v>#N/A</v>
      </c>
      <c r="O145" s="146"/>
      <c r="P145" s="146"/>
      <c r="Q145" s="146"/>
      <c r="R145" s="146"/>
      <c r="S145" s="146"/>
    </row>
    <row r="146" spans="1:19">
      <c r="A146" s="146" t="str">
        <f t="shared" si="2"/>
        <v>Test not reviewed</v>
      </c>
      <c r="B146" s="164"/>
      <c r="C146" s="164"/>
      <c r="D146" s="164"/>
      <c r="E146" s="164"/>
      <c r="F146" s="146"/>
      <c r="G146" s="164"/>
      <c r="H146" s="164"/>
      <c r="I146" s="164"/>
      <c r="J146" s="164"/>
      <c r="K146" s="164"/>
      <c r="L146" s="164"/>
      <c r="M146" s="164"/>
      <c r="N146" s="164" t="e">
        <f>VLOOKUP(B:B,'QT Second level review'!C:O,10,0)</f>
        <v>#N/A</v>
      </c>
      <c r="O146" s="146"/>
      <c r="P146" s="146"/>
      <c r="Q146" s="146"/>
      <c r="R146" s="146"/>
      <c r="S146" s="146"/>
    </row>
    <row r="147" spans="1:19">
      <c r="A147" s="146" t="str">
        <f t="shared" si="2"/>
        <v>Test not reviewed</v>
      </c>
      <c r="B147" s="164"/>
      <c r="C147" s="164"/>
      <c r="D147" s="164"/>
      <c r="E147" s="164"/>
      <c r="F147" s="146"/>
      <c r="G147" s="164"/>
      <c r="H147" s="164"/>
      <c r="I147" s="164"/>
      <c r="J147" s="164"/>
      <c r="K147" s="164"/>
      <c r="L147" s="164"/>
      <c r="M147" s="164"/>
      <c r="N147" s="164" t="e">
        <f>VLOOKUP(B:B,'QT Second level review'!C:O,10,0)</f>
        <v>#N/A</v>
      </c>
      <c r="O147" s="146"/>
      <c r="P147" s="146"/>
      <c r="Q147" s="146"/>
      <c r="R147" s="146"/>
      <c r="S147" s="146"/>
    </row>
    <row r="148" spans="1:19">
      <c r="A148" s="146" t="str">
        <f t="shared" si="2"/>
        <v>Test not reviewed</v>
      </c>
      <c r="B148" s="164"/>
      <c r="C148" s="164"/>
      <c r="D148" s="164"/>
      <c r="E148" s="164"/>
      <c r="F148" s="146"/>
      <c r="G148" s="164"/>
      <c r="H148" s="164"/>
      <c r="I148" s="164"/>
      <c r="J148" s="164"/>
      <c r="K148" s="164"/>
      <c r="L148" s="164"/>
      <c r="M148" s="164"/>
      <c r="N148" s="164" t="e">
        <f>VLOOKUP(B:B,'QT Second level review'!C:O,10,0)</f>
        <v>#N/A</v>
      </c>
      <c r="O148" s="146"/>
      <c r="P148" s="146"/>
      <c r="Q148" s="146"/>
      <c r="R148" s="146"/>
      <c r="S148" s="146"/>
    </row>
    <row r="149" spans="1:19">
      <c r="A149" s="146" t="str">
        <f t="shared" si="2"/>
        <v>Test not reviewed</v>
      </c>
      <c r="B149" s="164"/>
      <c r="C149" s="164"/>
      <c r="D149" s="164"/>
      <c r="E149" s="164"/>
      <c r="F149" s="146"/>
      <c r="G149" s="164"/>
      <c r="H149" s="164"/>
      <c r="I149" s="164"/>
      <c r="J149" s="164"/>
      <c r="K149" s="164"/>
      <c r="L149" s="164"/>
      <c r="M149" s="164"/>
      <c r="N149" s="164" t="e">
        <f>VLOOKUP(B:B,'QT Second level review'!C:O,10,0)</f>
        <v>#N/A</v>
      </c>
      <c r="O149" s="146"/>
      <c r="P149" s="146"/>
      <c r="Q149" s="146"/>
      <c r="R149" s="146"/>
      <c r="S149" s="146"/>
    </row>
    <row r="150" spans="1:19">
      <c r="A150" s="146" t="str">
        <f t="shared" si="2"/>
        <v>Test not reviewed</v>
      </c>
      <c r="B150" s="164"/>
      <c r="C150" s="164"/>
      <c r="D150" s="164"/>
      <c r="E150" s="164"/>
      <c r="F150" s="146"/>
      <c r="G150" s="164"/>
      <c r="H150" s="164"/>
      <c r="I150" s="164"/>
      <c r="J150" s="164"/>
      <c r="K150" s="164"/>
      <c r="L150" s="164"/>
      <c r="M150" s="164"/>
      <c r="N150" s="164" t="e">
        <f>VLOOKUP(B:B,'QT Second level review'!C:O,10,0)</f>
        <v>#N/A</v>
      </c>
      <c r="O150" s="146"/>
      <c r="P150" s="146"/>
      <c r="Q150" s="146"/>
      <c r="R150" s="146"/>
      <c r="S150" s="146"/>
    </row>
    <row r="151" spans="1:19">
      <c r="A151" s="146" t="str">
        <f t="shared" si="2"/>
        <v>Test not reviewed</v>
      </c>
      <c r="B151" s="164"/>
      <c r="C151" s="164"/>
      <c r="D151" s="164"/>
      <c r="E151" s="164"/>
      <c r="F151" s="146"/>
      <c r="G151" s="164"/>
      <c r="H151" s="164"/>
      <c r="I151" s="164"/>
      <c r="J151" s="164"/>
      <c r="K151" s="164"/>
      <c r="L151" s="164"/>
      <c r="M151" s="164"/>
      <c r="N151" s="164" t="e">
        <f>VLOOKUP(B:B,'QT Second level review'!C:O,10,0)</f>
        <v>#N/A</v>
      </c>
      <c r="O151" s="146"/>
      <c r="P151" s="146"/>
      <c r="Q151" s="146"/>
      <c r="R151" s="146"/>
      <c r="S151" s="146"/>
    </row>
    <row r="152" spans="1:19">
      <c r="A152" s="146" t="str">
        <f t="shared" si="2"/>
        <v>Test not reviewed</v>
      </c>
      <c r="B152" s="164"/>
      <c r="C152" s="164"/>
      <c r="D152" s="164"/>
      <c r="E152" s="164"/>
      <c r="F152" s="146"/>
      <c r="G152" s="164"/>
      <c r="H152" s="164"/>
      <c r="I152" s="164"/>
      <c r="J152" s="164"/>
      <c r="K152" s="164"/>
      <c r="L152" s="164"/>
      <c r="M152" s="164"/>
      <c r="N152" s="164" t="e">
        <f>VLOOKUP(B:B,'QT Second level review'!C:O,10,0)</f>
        <v>#N/A</v>
      </c>
      <c r="O152" s="146"/>
      <c r="P152" s="146"/>
      <c r="Q152" s="146"/>
      <c r="R152" s="146"/>
      <c r="S152" s="146"/>
    </row>
    <row r="153" spans="1:19">
      <c r="A153" s="146" t="str">
        <f t="shared" si="2"/>
        <v>Test not reviewed</v>
      </c>
      <c r="B153" s="164"/>
      <c r="C153" s="164"/>
      <c r="D153" s="164"/>
      <c r="E153" s="164"/>
      <c r="F153" s="146"/>
      <c r="G153" s="164"/>
      <c r="H153" s="164"/>
      <c r="I153" s="164"/>
      <c r="J153" s="164"/>
      <c r="K153" s="164"/>
      <c r="L153" s="164"/>
      <c r="M153" s="164"/>
      <c r="N153" s="164" t="e">
        <f>VLOOKUP(B:B,'QT Second level review'!C:O,10,0)</f>
        <v>#N/A</v>
      </c>
      <c r="O153" s="146"/>
      <c r="P153" s="146"/>
      <c r="Q153" s="146"/>
      <c r="R153" s="146"/>
      <c r="S153" s="146"/>
    </row>
    <row r="154" spans="1:19">
      <c r="A154" s="146" t="str">
        <f t="shared" si="2"/>
        <v>Test not reviewed</v>
      </c>
      <c r="B154" s="164"/>
      <c r="C154" s="164"/>
      <c r="D154" s="164"/>
      <c r="E154" s="164"/>
      <c r="F154" s="146"/>
      <c r="G154" s="164"/>
      <c r="H154" s="164"/>
      <c r="I154" s="164"/>
      <c r="J154" s="164"/>
      <c r="K154" s="164"/>
      <c r="L154" s="164"/>
      <c r="M154" s="164"/>
      <c r="N154" s="164" t="e">
        <f>VLOOKUP(B:B,'QT Second level review'!C:O,10,0)</f>
        <v>#N/A</v>
      </c>
      <c r="O154" s="146"/>
      <c r="P154" s="146"/>
      <c r="Q154" s="146"/>
      <c r="R154" s="146"/>
      <c r="S154" s="146"/>
    </row>
    <row r="155" spans="1:19">
      <c r="A155" s="146" t="str">
        <f t="shared" si="2"/>
        <v>Test not reviewed</v>
      </c>
      <c r="B155" s="164"/>
      <c r="C155" s="164"/>
      <c r="D155" s="164"/>
      <c r="E155" s="164"/>
      <c r="F155" s="146"/>
      <c r="G155" s="164"/>
      <c r="H155" s="164"/>
      <c r="I155" s="164"/>
      <c r="J155" s="164"/>
      <c r="K155" s="164"/>
      <c r="L155" s="164"/>
      <c r="M155" s="164"/>
      <c r="N155" s="164" t="e">
        <f>VLOOKUP(B:B,'QT Second level review'!C:O,10,0)</f>
        <v>#N/A</v>
      </c>
      <c r="O155" s="146"/>
      <c r="P155" s="146"/>
      <c r="Q155" s="146"/>
      <c r="R155" s="146"/>
      <c r="S155" s="146"/>
    </row>
    <row r="156" spans="1:19">
      <c r="A156" s="146" t="str">
        <f t="shared" si="2"/>
        <v>Test not reviewed</v>
      </c>
      <c r="B156" s="164"/>
      <c r="C156" s="164"/>
      <c r="D156" s="164"/>
      <c r="E156" s="164"/>
      <c r="F156" s="146"/>
      <c r="G156" s="164"/>
      <c r="H156" s="164"/>
      <c r="I156" s="164"/>
      <c r="J156" s="164"/>
      <c r="K156" s="164"/>
      <c r="L156" s="164"/>
      <c r="M156" s="164"/>
      <c r="N156" s="164" t="e">
        <f>VLOOKUP(B:B,'QT Second level review'!C:O,10,0)</f>
        <v>#N/A</v>
      </c>
      <c r="O156" s="146"/>
      <c r="P156" s="146"/>
      <c r="Q156" s="146"/>
      <c r="R156" s="146"/>
      <c r="S156" s="146"/>
    </row>
    <row r="157" spans="1:19">
      <c r="A157" s="146" t="str">
        <f t="shared" si="2"/>
        <v>Test not reviewed</v>
      </c>
      <c r="B157" s="164"/>
      <c r="C157" s="164"/>
      <c r="D157" s="164"/>
      <c r="E157" s="164"/>
      <c r="F157" s="146"/>
      <c r="G157" s="164"/>
      <c r="H157" s="164"/>
      <c r="I157" s="164"/>
      <c r="J157" s="164"/>
      <c r="K157" s="164"/>
      <c r="L157" s="164"/>
      <c r="M157" s="164"/>
      <c r="N157" s="164" t="e">
        <f>VLOOKUP(B:B,'QT Second level review'!C:O,10,0)</f>
        <v>#N/A</v>
      </c>
      <c r="O157" s="146"/>
      <c r="P157" s="146"/>
      <c r="Q157" s="146"/>
      <c r="R157" s="146"/>
      <c r="S157" s="146"/>
    </row>
    <row r="158" spans="1:19">
      <c r="A158" s="146" t="str">
        <f t="shared" si="2"/>
        <v>Test not reviewed</v>
      </c>
      <c r="B158" s="164"/>
      <c r="C158" s="164"/>
      <c r="D158" s="164"/>
      <c r="E158" s="164"/>
      <c r="F158" s="146"/>
      <c r="G158" s="164"/>
      <c r="H158" s="164"/>
      <c r="I158" s="164"/>
      <c r="J158" s="164"/>
      <c r="K158" s="164"/>
      <c r="L158" s="164"/>
      <c r="M158" s="164"/>
      <c r="N158" s="164" t="e">
        <f>VLOOKUP(B:B,'QT Second level review'!C:O,10,0)</f>
        <v>#N/A</v>
      </c>
      <c r="O158" s="146"/>
      <c r="P158" s="146"/>
      <c r="Q158" s="146"/>
      <c r="R158" s="146"/>
      <c r="S158" s="146"/>
    </row>
    <row r="159" spans="1:19">
      <c r="A159" s="146" t="str">
        <f t="shared" si="2"/>
        <v>Test not reviewed</v>
      </c>
      <c r="B159" s="164"/>
      <c r="C159" s="164"/>
      <c r="D159" s="164"/>
      <c r="E159" s="164"/>
      <c r="F159" s="146"/>
      <c r="G159" s="164"/>
      <c r="H159" s="164"/>
      <c r="I159" s="164"/>
      <c r="J159" s="164"/>
      <c r="K159" s="164"/>
      <c r="L159" s="164"/>
      <c r="M159" s="164"/>
      <c r="N159" s="164" t="e">
        <f>VLOOKUP(B:B,'QT Second level review'!C:O,10,0)</f>
        <v>#N/A</v>
      </c>
      <c r="O159" s="146"/>
      <c r="P159" s="146"/>
      <c r="Q159" s="146"/>
      <c r="R159" s="146"/>
      <c r="S159" s="146"/>
    </row>
    <row r="160" spans="1:19">
      <c r="A160" s="146" t="str">
        <f t="shared" si="2"/>
        <v>Test not reviewed</v>
      </c>
      <c r="B160" s="164"/>
      <c r="C160" s="164"/>
      <c r="D160" s="164"/>
      <c r="E160" s="164"/>
      <c r="F160" s="146"/>
      <c r="G160" s="164"/>
      <c r="H160" s="164"/>
      <c r="I160" s="164"/>
      <c r="J160" s="164"/>
      <c r="K160" s="164"/>
      <c r="L160" s="164"/>
      <c r="M160" s="164"/>
      <c r="N160" s="164" t="e">
        <f>VLOOKUP(B:B,'QT Second level review'!C:O,10,0)</f>
        <v>#N/A</v>
      </c>
      <c r="O160" s="146"/>
      <c r="P160" s="146"/>
      <c r="Q160" s="146"/>
      <c r="R160" s="146"/>
      <c r="S160" s="146"/>
    </row>
    <row r="161" spans="1:19">
      <c r="A161" s="146" t="str">
        <f t="shared" si="2"/>
        <v>Test not reviewed</v>
      </c>
      <c r="B161" s="164"/>
      <c r="C161" s="164"/>
      <c r="D161" s="164"/>
      <c r="E161" s="164"/>
      <c r="F161" s="146"/>
      <c r="G161" s="164"/>
      <c r="H161" s="164"/>
      <c r="I161" s="164"/>
      <c r="J161" s="164"/>
      <c r="K161" s="164"/>
      <c r="L161" s="164"/>
      <c r="M161" s="164"/>
      <c r="N161" s="164" t="e">
        <f>VLOOKUP(B:B,'QT Second level review'!C:O,10,0)</f>
        <v>#N/A</v>
      </c>
      <c r="O161" s="146"/>
      <c r="P161" s="146"/>
      <c r="Q161" s="146"/>
      <c r="R161" s="146"/>
      <c r="S161" s="146"/>
    </row>
    <row r="162" spans="1:19">
      <c r="A162" s="146" t="str">
        <f t="shared" si="2"/>
        <v>Test not reviewed</v>
      </c>
      <c r="B162" s="164"/>
      <c r="C162" s="164"/>
      <c r="D162" s="164"/>
      <c r="E162" s="164"/>
      <c r="F162" s="146"/>
      <c r="G162" s="164"/>
      <c r="H162" s="164"/>
      <c r="I162" s="164"/>
      <c r="J162" s="164"/>
      <c r="K162" s="164"/>
      <c r="L162" s="164"/>
      <c r="M162" s="164"/>
      <c r="N162" s="164" t="e">
        <f>VLOOKUP(B:B,'QT Second level review'!C:O,10,0)</f>
        <v>#N/A</v>
      </c>
      <c r="O162" s="146"/>
      <c r="P162" s="146"/>
      <c r="Q162" s="146"/>
      <c r="R162" s="146"/>
      <c r="S162" s="146"/>
    </row>
    <row r="163" spans="1:19">
      <c r="A163" s="146" t="str">
        <f t="shared" si="2"/>
        <v>Test not reviewed</v>
      </c>
      <c r="B163" s="164"/>
      <c r="C163" s="164"/>
      <c r="D163" s="164"/>
      <c r="E163" s="164"/>
      <c r="F163" s="146"/>
      <c r="G163" s="164"/>
      <c r="H163" s="164"/>
      <c r="I163" s="164"/>
      <c r="J163" s="164"/>
      <c r="K163" s="164"/>
      <c r="L163" s="164"/>
      <c r="M163" s="164"/>
      <c r="N163" s="164" t="e">
        <f>VLOOKUP(B:B,'QT Second level review'!C:O,10,0)</f>
        <v>#N/A</v>
      </c>
      <c r="O163" s="146"/>
      <c r="P163" s="146"/>
      <c r="Q163" s="146"/>
      <c r="R163" s="146"/>
      <c r="S163" s="146"/>
    </row>
    <row r="164" spans="1:19">
      <c r="A164" s="146" t="str">
        <f t="shared" si="2"/>
        <v>Test not reviewed</v>
      </c>
      <c r="B164" s="164"/>
      <c r="C164" s="164"/>
      <c r="D164" s="164"/>
      <c r="E164" s="164"/>
      <c r="F164" s="146"/>
      <c r="G164" s="164"/>
      <c r="H164" s="164"/>
      <c r="I164" s="164"/>
      <c r="J164" s="164"/>
      <c r="K164" s="164"/>
      <c r="L164" s="164"/>
      <c r="M164" s="164"/>
      <c r="N164" s="164" t="e">
        <f>VLOOKUP(B:B,'QT Second level review'!C:O,10,0)</f>
        <v>#N/A</v>
      </c>
      <c r="O164" s="146"/>
      <c r="P164" s="146"/>
      <c r="Q164" s="146"/>
      <c r="R164" s="146"/>
      <c r="S164" s="146"/>
    </row>
    <row r="165" spans="1:19">
      <c r="A165" s="146" t="str">
        <f t="shared" si="2"/>
        <v>Test not reviewed</v>
      </c>
      <c r="B165" s="164"/>
      <c r="C165" s="164"/>
      <c r="D165" s="164"/>
      <c r="E165" s="164"/>
      <c r="F165" s="146"/>
      <c r="G165" s="164"/>
      <c r="H165" s="164"/>
      <c r="I165" s="164"/>
      <c r="J165" s="164"/>
      <c r="K165" s="164"/>
      <c r="L165" s="164"/>
      <c r="M165" s="164"/>
      <c r="N165" s="164" t="e">
        <f>VLOOKUP(B:B,'QT Second level review'!C:O,10,0)</f>
        <v>#N/A</v>
      </c>
      <c r="O165" s="146"/>
      <c r="P165" s="146"/>
      <c r="Q165" s="146"/>
      <c r="R165" s="146"/>
      <c r="S165" s="146"/>
    </row>
    <row r="166" spans="1:19">
      <c r="A166" s="146" t="str">
        <f t="shared" si="2"/>
        <v>Test not reviewed</v>
      </c>
      <c r="B166" s="164"/>
      <c r="C166" s="164"/>
      <c r="D166" s="164"/>
      <c r="E166" s="164"/>
      <c r="F166" s="146"/>
      <c r="G166" s="164"/>
      <c r="H166" s="164"/>
      <c r="I166" s="164"/>
      <c r="J166" s="164"/>
      <c r="K166" s="164"/>
      <c r="L166" s="164"/>
      <c r="M166" s="164"/>
      <c r="N166" s="164" t="e">
        <f>VLOOKUP(B:B,'QT Second level review'!C:O,10,0)</f>
        <v>#N/A</v>
      </c>
      <c r="O166" s="146"/>
      <c r="P166" s="146"/>
      <c r="Q166" s="146"/>
      <c r="R166" s="146"/>
      <c r="S166" s="146"/>
    </row>
    <row r="167" spans="1:19">
      <c r="A167" s="146" t="str">
        <f t="shared" si="2"/>
        <v>Test not reviewed</v>
      </c>
      <c r="B167" s="164"/>
      <c r="C167" s="164"/>
      <c r="D167" s="164"/>
      <c r="E167" s="164"/>
      <c r="F167" s="146"/>
      <c r="G167" s="164"/>
      <c r="H167" s="164"/>
      <c r="I167" s="164"/>
      <c r="J167" s="164"/>
      <c r="K167" s="164"/>
      <c r="L167" s="164"/>
      <c r="M167" s="164"/>
      <c r="N167" s="164" t="e">
        <f>VLOOKUP(B:B,'QT Second level review'!C:O,10,0)</f>
        <v>#N/A</v>
      </c>
      <c r="O167" s="146"/>
      <c r="P167" s="146"/>
      <c r="Q167" s="146"/>
      <c r="R167" s="146"/>
      <c r="S167" s="146"/>
    </row>
    <row r="168" spans="1:19">
      <c r="A168" s="146" t="str">
        <f t="shared" si="2"/>
        <v>Test not reviewed</v>
      </c>
      <c r="B168" s="164"/>
      <c r="C168" s="164"/>
      <c r="D168" s="164"/>
      <c r="E168" s="164"/>
      <c r="F168" s="146"/>
      <c r="G168" s="164"/>
      <c r="H168" s="164"/>
      <c r="I168" s="164"/>
      <c r="J168" s="164"/>
      <c r="K168" s="164"/>
      <c r="L168" s="164"/>
      <c r="M168" s="164"/>
      <c r="N168" s="164" t="e">
        <f>VLOOKUP(B:B,'QT Second level review'!C:O,10,0)</f>
        <v>#N/A</v>
      </c>
      <c r="O168" s="146"/>
      <c r="P168" s="146"/>
      <c r="Q168" s="146"/>
      <c r="R168" s="146"/>
      <c r="S168" s="146"/>
    </row>
    <row r="169" spans="1:19">
      <c r="A169" s="146" t="str">
        <f t="shared" si="2"/>
        <v>Test not reviewed</v>
      </c>
      <c r="B169" s="164"/>
      <c r="C169" s="164"/>
      <c r="D169" s="164"/>
      <c r="E169" s="164"/>
      <c r="F169" s="146"/>
      <c r="G169" s="164"/>
      <c r="H169" s="164"/>
      <c r="I169" s="164"/>
      <c r="J169" s="164"/>
      <c r="K169" s="164"/>
      <c r="L169" s="164"/>
      <c r="M169" s="164"/>
      <c r="N169" s="164" t="e">
        <f>VLOOKUP(B:B,'QT Second level review'!C:O,10,0)</f>
        <v>#N/A</v>
      </c>
      <c r="O169" s="146"/>
      <c r="P169" s="146"/>
      <c r="Q169" s="146"/>
      <c r="R169" s="146"/>
      <c r="S169" s="146"/>
    </row>
    <row r="170" spans="1:19">
      <c r="A170" s="146" t="str">
        <f t="shared" si="2"/>
        <v>Test not reviewed</v>
      </c>
      <c r="B170" s="164"/>
      <c r="C170" s="164"/>
      <c r="D170" s="164"/>
      <c r="E170" s="164"/>
      <c r="F170" s="146"/>
      <c r="G170" s="164"/>
      <c r="H170" s="164"/>
      <c r="I170" s="164"/>
      <c r="J170" s="164"/>
      <c r="K170" s="164"/>
      <c r="L170" s="164"/>
      <c r="M170" s="164"/>
      <c r="N170" s="164" t="e">
        <f>VLOOKUP(B:B,'QT Second level review'!C:O,10,0)</f>
        <v>#N/A</v>
      </c>
      <c r="O170" s="146"/>
      <c r="P170" s="146"/>
      <c r="Q170" s="146"/>
      <c r="R170" s="146"/>
      <c r="S170" s="146"/>
    </row>
    <row r="171" spans="1:19">
      <c r="A171" s="146" t="str">
        <f t="shared" si="2"/>
        <v>Test not reviewed</v>
      </c>
      <c r="B171" s="164"/>
      <c r="C171" s="164"/>
      <c r="D171" s="164"/>
      <c r="E171" s="164"/>
      <c r="F171" s="146"/>
      <c r="G171" s="164"/>
      <c r="H171" s="164"/>
      <c r="I171" s="164"/>
      <c r="J171" s="164"/>
      <c r="K171" s="164"/>
      <c r="L171" s="164"/>
      <c r="M171" s="164"/>
      <c r="N171" s="164" t="e">
        <f>VLOOKUP(B:B,'QT Second level review'!C:O,10,0)</f>
        <v>#N/A</v>
      </c>
      <c r="O171" s="146"/>
      <c r="P171" s="146"/>
      <c r="Q171" s="146"/>
      <c r="R171" s="146"/>
      <c r="S171" s="146"/>
    </row>
    <row r="172" spans="1:19">
      <c r="A172" s="146" t="str">
        <f t="shared" si="2"/>
        <v>Test not reviewed</v>
      </c>
      <c r="B172" s="164"/>
      <c r="C172" s="164"/>
      <c r="D172" s="164"/>
      <c r="E172" s="164"/>
      <c r="F172" s="146"/>
      <c r="G172" s="164"/>
      <c r="H172" s="164"/>
      <c r="I172" s="164"/>
      <c r="J172" s="164"/>
      <c r="K172" s="164"/>
      <c r="L172" s="164"/>
      <c r="M172" s="164"/>
      <c r="N172" s="164" t="e">
        <f>VLOOKUP(B:B,'QT Second level review'!C:O,10,0)</f>
        <v>#N/A</v>
      </c>
      <c r="O172" s="146"/>
      <c r="P172" s="146"/>
      <c r="Q172" s="146"/>
      <c r="R172" s="146"/>
      <c r="S172" s="146"/>
    </row>
    <row r="173" spans="1:19">
      <c r="A173" s="146" t="str">
        <f t="shared" si="2"/>
        <v>Test not reviewed</v>
      </c>
      <c r="B173" s="164"/>
      <c r="C173" s="164"/>
      <c r="D173" s="164"/>
      <c r="E173" s="164"/>
      <c r="F173" s="146"/>
      <c r="G173" s="164"/>
      <c r="H173" s="164"/>
      <c r="I173" s="164"/>
      <c r="J173" s="164"/>
      <c r="K173" s="164"/>
      <c r="L173" s="164"/>
      <c r="M173" s="164"/>
      <c r="N173" s="164" t="e">
        <f>VLOOKUP(B:B,'QT Second level review'!C:O,10,0)</f>
        <v>#N/A</v>
      </c>
      <c r="O173" s="146"/>
      <c r="P173" s="146"/>
      <c r="Q173" s="146"/>
      <c r="R173" s="146"/>
      <c r="S173" s="146"/>
    </row>
    <row r="174" spans="1:19">
      <c r="A174" s="146" t="str">
        <f t="shared" si="2"/>
        <v>Test not reviewed</v>
      </c>
      <c r="B174" s="164"/>
      <c r="C174" s="164"/>
      <c r="D174" s="164"/>
      <c r="E174" s="164"/>
      <c r="F174" s="146"/>
      <c r="G174" s="164"/>
      <c r="H174" s="164"/>
      <c r="I174" s="164"/>
      <c r="J174" s="164"/>
      <c r="K174" s="164"/>
      <c r="L174" s="164"/>
      <c r="M174" s="164"/>
      <c r="N174" s="164" t="e">
        <f>VLOOKUP(B:B,'QT Second level review'!C:O,10,0)</f>
        <v>#N/A</v>
      </c>
      <c r="O174" s="146"/>
      <c r="P174" s="146"/>
      <c r="Q174" s="146"/>
      <c r="R174" s="146"/>
      <c r="S174" s="146"/>
    </row>
    <row r="175" spans="1:19">
      <c r="A175" s="146" t="str">
        <f t="shared" si="2"/>
        <v>Test not reviewed</v>
      </c>
      <c r="B175" s="164"/>
      <c r="C175" s="164"/>
      <c r="D175" s="164"/>
      <c r="E175" s="164"/>
      <c r="F175" s="146"/>
      <c r="G175" s="164"/>
      <c r="H175" s="164"/>
      <c r="I175" s="164"/>
      <c r="J175" s="164"/>
      <c r="K175" s="164"/>
      <c r="L175" s="164"/>
      <c r="M175" s="164"/>
      <c r="N175" s="164" t="e">
        <f>VLOOKUP(B:B,'QT Second level review'!C:O,10,0)</f>
        <v>#N/A</v>
      </c>
      <c r="O175" s="146"/>
      <c r="P175" s="146"/>
      <c r="Q175" s="146"/>
      <c r="R175" s="146"/>
      <c r="S175" s="146"/>
    </row>
    <row r="176" spans="1:19">
      <c r="A176" s="146" t="str">
        <f t="shared" si="2"/>
        <v>Test not reviewed</v>
      </c>
      <c r="B176" s="164"/>
      <c r="C176" s="164"/>
      <c r="D176" s="164"/>
      <c r="E176" s="164"/>
      <c r="F176" s="146"/>
      <c r="G176" s="164"/>
      <c r="H176" s="164"/>
      <c r="I176" s="164"/>
      <c r="J176" s="164"/>
      <c r="K176" s="164"/>
      <c r="L176" s="164"/>
      <c r="M176" s="164"/>
      <c r="N176" s="164" t="e">
        <f>VLOOKUP(B:B,'QT Second level review'!C:O,10,0)</f>
        <v>#N/A</v>
      </c>
      <c r="O176" s="146"/>
      <c r="P176" s="146"/>
      <c r="Q176" s="146"/>
      <c r="R176" s="146"/>
      <c r="S176" s="146"/>
    </row>
    <row r="177" spans="1:19">
      <c r="A177" s="146" t="str">
        <f t="shared" si="2"/>
        <v>Test not reviewed</v>
      </c>
      <c r="B177" s="164"/>
      <c r="C177" s="164"/>
      <c r="D177" s="164"/>
      <c r="E177" s="164"/>
      <c r="F177" s="146"/>
      <c r="G177" s="164"/>
      <c r="H177" s="164"/>
      <c r="I177" s="164"/>
      <c r="J177" s="164"/>
      <c r="K177" s="164"/>
      <c r="L177" s="164"/>
      <c r="M177" s="164"/>
      <c r="N177" s="164" t="e">
        <f>VLOOKUP(B:B,'QT Second level review'!C:O,10,0)</f>
        <v>#N/A</v>
      </c>
      <c r="O177" s="146"/>
      <c r="P177" s="146"/>
      <c r="Q177" s="146"/>
      <c r="R177" s="146"/>
      <c r="S177" s="146"/>
    </row>
    <row r="178" spans="1:19">
      <c r="A178" s="146" t="str">
        <f t="shared" si="2"/>
        <v>Test not reviewed</v>
      </c>
      <c r="B178" s="164"/>
      <c r="C178" s="164"/>
      <c r="D178" s="164"/>
      <c r="E178" s="164"/>
      <c r="F178" s="146"/>
      <c r="G178" s="164"/>
      <c r="H178" s="164"/>
      <c r="I178" s="164"/>
      <c r="J178" s="164"/>
      <c r="K178" s="164"/>
      <c r="L178" s="164"/>
      <c r="M178" s="164"/>
      <c r="N178" s="164" t="e">
        <f>VLOOKUP(B:B,'QT Second level review'!C:O,10,0)</f>
        <v>#N/A</v>
      </c>
      <c r="O178" s="146"/>
      <c r="P178" s="146"/>
      <c r="Q178" s="146"/>
      <c r="R178" s="146"/>
      <c r="S178" s="146"/>
    </row>
    <row r="179" spans="1:19">
      <c r="A179" s="146" t="str">
        <f t="shared" si="2"/>
        <v>Test not reviewed</v>
      </c>
      <c r="B179" s="164"/>
      <c r="C179" s="164"/>
      <c r="D179" s="164"/>
      <c r="E179" s="164"/>
      <c r="F179" s="146"/>
      <c r="G179" s="164"/>
      <c r="H179" s="164"/>
      <c r="I179" s="164"/>
      <c r="J179" s="164"/>
      <c r="K179" s="164"/>
      <c r="L179" s="164"/>
      <c r="M179" s="164"/>
      <c r="N179" s="164" t="e">
        <f>VLOOKUP(B:B,'QT Second level review'!C:O,10,0)</f>
        <v>#N/A</v>
      </c>
      <c r="O179" s="146"/>
      <c r="P179" s="146"/>
      <c r="Q179" s="146"/>
      <c r="R179" s="146"/>
      <c r="S179" s="146"/>
    </row>
    <row r="180" spans="1:19">
      <c r="A180" s="146" t="str">
        <f t="shared" si="2"/>
        <v>Test not reviewed</v>
      </c>
      <c r="B180" s="164"/>
      <c r="C180" s="164"/>
      <c r="D180" s="164"/>
      <c r="E180" s="164"/>
      <c r="F180" s="146"/>
      <c r="G180" s="164"/>
      <c r="H180" s="164"/>
      <c r="I180" s="164"/>
      <c r="J180" s="164"/>
      <c r="K180" s="164"/>
      <c r="L180" s="164"/>
      <c r="M180" s="164"/>
      <c r="N180" s="164" t="e">
        <f>VLOOKUP(B:B,'QT Second level review'!C:O,10,0)</f>
        <v>#N/A</v>
      </c>
      <c r="O180" s="146"/>
      <c r="P180" s="146"/>
      <c r="Q180" s="146"/>
      <c r="R180" s="146"/>
      <c r="S180" s="146"/>
    </row>
    <row r="181" spans="1:19">
      <c r="A181" s="146" t="str">
        <f t="shared" si="2"/>
        <v>Test not reviewed</v>
      </c>
      <c r="B181" s="164"/>
      <c r="C181" s="164"/>
      <c r="D181" s="164"/>
      <c r="E181" s="164"/>
      <c r="F181" s="146"/>
      <c r="G181" s="164"/>
      <c r="H181" s="164"/>
      <c r="I181" s="164"/>
      <c r="J181" s="164"/>
      <c r="K181" s="164"/>
      <c r="L181" s="164"/>
      <c r="M181" s="164"/>
      <c r="N181" s="164" t="e">
        <f>VLOOKUP(B:B,'QT Second level review'!C:O,10,0)</f>
        <v>#N/A</v>
      </c>
      <c r="O181" s="146"/>
      <c r="P181" s="146"/>
      <c r="Q181" s="146"/>
      <c r="R181" s="146"/>
      <c r="S181" s="146"/>
    </row>
    <row r="182" spans="1:19">
      <c r="A182" s="146" t="str">
        <f t="shared" si="2"/>
        <v>Test not reviewed</v>
      </c>
      <c r="B182" s="164"/>
      <c r="C182" s="164"/>
      <c r="D182" s="164"/>
      <c r="E182" s="164"/>
      <c r="F182" s="146"/>
      <c r="G182" s="164"/>
      <c r="H182" s="164"/>
      <c r="I182" s="164"/>
      <c r="J182" s="164"/>
      <c r="K182" s="164"/>
      <c r="L182" s="164"/>
      <c r="M182" s="164"/>
      <c r="N182" s="164" t="e">
        <f>VLOOKUP(B:B,'QT Second level review'!C:O,10,0)</f>
        <v>#N/A</v>
      </c>
      <c r="O182" s="146"/>
      <c r="P182" s="146"/>
      <c r="Q182" s="146"/>
      <c r="R182" s="146"/>
      <c r="S182" s="146"/>
    </row>
    <row r="183" spans="1:19">
      <c r="A183" s="146" t="str">
        <f t="shared" si="2"/>
        <v>Test not reviewed</v>
      </c>
      <c r="B183" s="164"/>
      <c r="C183" s="164"/>
      <c r="D183" s="164"/>
      <c r="E183" s="164"/>
      <c r="F183" s="146"/>
      <c r="G183" s="164"/>
      <c r="H183" s="164"/>
      <c r="I183" s="164"/>
      <c r="J183" s="164"/>
      <c r="K183" s="164"/>
      <c r="L183" s="164"/>
      <c r="M183" s="164"/>
      <c r="N183" s="164" t="e">
        <f>VLOOKUP(B:B,'QT Second level review'!C:O,10,0)</f>
        <v>#N/A</v>
      </c>
      <c r="O183" s="146"/>
      <c r="P183" s="146"/>
      <c r="Q183" s="146"/>
      <c r="R183" s="146"/>
      <c r="S183" s="146"/>
    </row>
    <row r="184" spans="1:19">
      <c r="A184" s="146" t="str">
        <f t="shared" si="2"/>
        <v>Test not reviewed</v>
      </c>
      <c r="B184" s="164"/>
      <c r="C184" s="164"/>
      <c r="D184" s="164"/>
      <c r="E184" s="164"/>
      <c r="F184" s="146"/>
      <c r="G184" s="164"/>
      <c r="H184" s="164"/>
      <c r="I184" s="164"/>
      <c r="J184" s="164"/>
      <c r="K184" s="164"/>
      <c r="L184" s="164"/>
      <c r="M184" s="164"/>
      <c r="N184" s="164" t="e">
        <f>VLOOKUP(B:B,'QT Second level review'!C:O,10,0)</f>
        <v>#N/A</v>
      </c>
      <c r="O184" s="146"/>
      <c r="P184" s="146"/>
      <c r="Q184" s="146"/>
      <c r="R184" s="146"/>
      <c r="S184" s="146"/>
    </row>
    <row r="185" spans="1:19">
      <c r="A185" s="146" t="str">
        <f t="shared" si="2"/>
        <v>Test not reviewed</v>
      </c>
      <c r="B185" s="164"/>
      <c r="C185" s="164"/>
      <c r="D185" s="164"/>
      <c r="E185" s="164"/>
      <c r="F185" s="146"/>
      <c r="G185" s="164"/>
      <c r="H185" s="164"/>
      <c r="I185" s="164"/>
      <c r="J185" s="164"/>
      <c r="K185" s="164"/>
      <c r="L185" s="164"/>
      <c r="M185" s="164"/>
      <c r="N185" s="164" t="e">
        <f>VLOOKUP(B:B,'QT Second level review'!C:O,10,0)</f>
        <v>#N/A</v>
      </c>
      <c r="O185" s="146"/>
      <c r="P185" s="146"/>
      <c r="Q185" s="146"/>
      <c r="R185" s="146"/>
      <c r="S185" s="146"/>
    </row>
    <row r="186" spans="1:19">
      <c r="A186" s="146" t="str">
        <f t="shared" si="2"/>
        <v>Test not reviewed</v>
      </c>
      <c r="B186" s="164"/>
      <c r="C186" s="164"/>
      <c r="D186" s="164"/>
      <c r="E186" s="164"/>
      <c r="F186" s="146"/>
      <c r="G186" s="164"/>
      <c r="H186" s="164"/>
      <c r="I186" s="164"/>
      <c r="J186" s="164"/>
      <c r="K186" s="164"/>
      <c r="L186" s="164"/>
      <c r="M186" s="164"/>
      <c r="N186" s="164" t="e">
        <f>VLOOKUP(B:B,'QT Second level review'!C:O,10,0)</f>
        <v>#N/A</v>
      </c>
      <c r="O186" s="146"/>
      <c r="P186" s="146"/>
      <c r="Q186" s="146"/>
      <c r="R186" s="146"/>
      <c r="S186" s="146"/>
    </row>
    <row r="187" spans="1:19">
      <c r="A187" s="146" t="str">
        <f t="shared" si="2"/>
        <v>Test not reviewed</v>
      </c>
      <c r="B187" s="164"/>
      <c r="C187" s="164"/>
      <c r="D187" s="164"/>
      <c r="E187" s="164"/>
      <c r="F187" s="146"/>
      <c r="G187" s="164"/>
      <c r="H187" s="164"/>
      <c r="I187" s="164"/>
      <c r="J187" s="164"/>
      <c r="K187" s="164"/>
      <c r="L187" s="164"/>
      <c r="M187" s="164"/>
      <c r="N187" s="164" t="e">
        <f>VLOOKUP(B:B,'QT Second level review'!C:O,10,0)</f>
        <v>#N/A</v>
      </c>
      <c r="O187" s="146"/>
      <c r="P187" s="146"/>
      <c r="Q187" s="146"/>
      <c r="R187" s="146"/>
      <c r="S187" s="146"/>
    </row>
    <row r="188" spans="1:19">
      <c r="A188" s="146" t="str">
        <f t="shared" si="2"/>
        <v>Test not reviewed</v>
      </c>
      <c r="B188" s="164"/>
      <c r="C188" s="164"/>
      <c r="D188" s="164"/>
      <c r="E188" s="164"/>
      <c r="F188" s="146"/>
      <c r="G188" s="164"/>
      <c r="H188" s="164"/>
      <c r="I188" s="164"/>
      <c r="J188" s="164"/>
      <c r="K188" s="164"/>
      <c r="L188" s="164"/>
      <c r="M188" s="164"/>
      <c r="N188" s="164" t="e">
        <f>VLOOKUP(B:B,'QT Second level review'!C:O,10,0)</f>
        <v>#N/A</v>
      </c>
      <c r="O188" s="146"/>
      <c r="P188" s="146"/>
      <c r="Q188" s="146"/>
      <c r="R188" s="146"/>
      <c r="S188" s="146"/>
    </row>
    <row r="189" spans="1:19">
      <c r="A189" s="146" t="str">
        <f t="shared" si="2"/>
        <v>Test not reviewed</v>
      </c>
      <c r="B189" s="164"/>
      <c r="C189" s="164"/>
      <c r="D189" s="164"/>
      <c r="E189" s="164"/>
      <c r="F189" s="146"/>
      <c r="G189" s="164"/>
      <c r="H189" s="164"/>
      <c r="I189" s="164"/>
      <c r="J189" s="164"/>
      <c r="K189" s="164"/>
      <c r="L189" s="164"/>
      <c r="M189" s="164"/>
      <c r="N189" s="164" t="e">
        <f>VLOOKUP(B:B,'QT Second level review'!C:O,10,0)</f>
        <v>#N/A</v>
      </c>
      <c r="O189" s="146"/>
      <c r="P189" s="146"/>
      <c r="Q189" s="146"/>
      <c r="R189" s="146"/>
      <c r="S189" s="146"/>
    </row>
    <row r="190" spans="1:19">
      <c r="A190" s="146" t="str">
        <f t="shared" si="2"/>
        <v>Test not reviewed</v>
      </c>
      <c r="B190" s="164"/>
      <c r="C190" s="164"/>
      <c r="D190" s="164"/>
      <c r="E190" s="164"/>
      <c r="F190" s="146"/>
      <c r="G190" s="164"/>
      <c r="H190" s="164"/>
      <c r="I190" s="164"/>
      <c r="J190" s="164"/>
      <c r="K190" s="164"/>
      <c r="L190" s="164"/>
      <c r="M190" s="164"/>
      <c r="N190" s="164" t="e">
        <f>VLOOKUP(B:B,'QT Second level review'!C:O,10,0)</f>
        <v>#N/A</v>
      </c>
      <c r="O190" s="146"/>
      <c r="P190" s="146"/>
      <c r="Q190" s="146"/>
      <c r="R190" s="146"/>
      <c r="S190" s="146"/>
    </row>
    <row r="191" spans="1:19">
      <c r="A191" s="146" t="str">
        <f t="shared" si="2"/>
        <v>Test not reviewed</v>
      </c>
      <c r="B191" s="164"/>
      <c r="C191" s="164"/>
      <c r="D191" s="164"/>
      <c r="E191" s="164"/>
      <c r="F191" s="146"/>
      <c r="G191" s="164"/>
      <c r="H191" s="164"/>
      <c r="I191" s="164"/>
      <c r="J191" s="164"/>
      <c r="K191" s="164"/>
      <c r="L191" s="164"/>
      <c r="M191" s="164"/>
      <c r="N191" s="164" t="e">
        <f>VLOOKUP(B:B,'QT Second level review'!C:O,10,0)</f>
        <v>#N/A</v>
      </c>
      <c r="O191" s="146"/>
      <c r="P191" s="146"/>
      <c r="Q191" s="146"/>
      <c r="R191" s="146"/>
      <c r="S191" s="146"/>
    </row>
    <row r="192" spans="1:19">
      <c r="A192" s="146" t="str">
        <f t="shared" si="2"/>
        <v>Test not reviewed</v>
      </c>
      <c r="B192" s="164"/>
      <c r="C192" s="164"/>
      <c r="D192" s="164"/>
      <c r="E192" s="164"/>
      <c r="F192" s="146"/>
      <c r="G192" s="164"/>
      <c r="H192" s="164"/>
      <c r="I192" s="164"/>
      <c r="J192" s="164"/>
      <c r="K192" s="164"/>
      <c r="L192" s="164"/>
      <c r="M192" s="164"/>
      <c r="N192" s="164" t="e">
        <f>VLOOKUP(B:B,'QT Second level review'!C:O,10,0)</f>
        <v>#N/A</v>
      </c>
      <c r="O192" s="146"/>
      <c r="P192" s="146"/>
      <c r="Q192" s="146"/>
      <c r="R192" s="146"/>
      <c r="S192" s="146"/>
    </row>
    <row r="193" spans="1:19">
      <c r="A193" s="146" t="str">
        <f t="shared" si="2"/>
        <v>Test not reviewed</v>
      </c>
      <c r="B193" s="164"/>
      <c r="C193" s="164"/>
      <c r="D193" s="164"/>
      <c r="E193" s="164"/>
      <c r="F193" s="146"/>
      <c r="G193" s="164"/>
      <c r="H193" s="164"/>
      <c r="I193" s="164"/>
      <c r="J193" s="164"/>
      <c r="K193" s="164"/>
      <c r="L193" s="164"/>
      <c r="M193" s="164"/>
      <c r="N193" s="164" t="e">
        <f>VLOOKUP(B:B,'QT Second level review'!C:O,10,0)</f>
        <v>#N/A</v>
      </c>
      <c r="O193" s="146"/>
      <c r="P193" s="146"/>
      <c r="Q193" s="146"/>
      <c r="R193" s="146"/>
      <c r="S193" s="146"/>
    </row>
    <row r="194" spans="1:19">
      <c r="A194" s="146" t="str">
        <f t="shared" si="2"/>
        <v>Test not reviewed</v>
      </c>
      <c r="B194" s="164"/>
      <c r="C194" s="164"/>
      <c r="D194" s="164"/>
      <c r="E194" s="164"/>
      <c r="F194" s="146"/>
      <c r="G194" s="164"/>
      <c r="H194" s="164"/>
      <c r="I194" s="164"/>
      <c r="J194" s="164"/>
      <c r="K194" s="164"/>
      <c r="L194" s="164"/>
      <c r="M194" s="164"/>
      <c r="N194" s="164" t="e">
        <f>VLOOKUP(B:B,'QT Second level review'!C:O,10,0)</f>
        <v>#N/A</v>
      </c>
      <c r="O194" s="146"/>
      <c r="P194" s="146"/>
      <c r="Q194" s="146"/>
      <c r="R194" s="146"/>
      <c r="S194" s="146"/>
    </row>
    <row r="195" spans="1:19">
      <c r="A195" s="146" t="str">
        <f t="shared" ref="A195:A258" si="3">IF(ISNA(N195),"Test not reviewed","OK")</f>
        <v>Test not reviewed</v>
      </c>
      <c r="B195" s="164"/>
      <c r="C195" s="164"/>
      <c r="D195" s="164"/>
      <c r="E195" s="164"/>
      <c r="F195" s="146"/>
      <c r="G195" s="164"/>
      <c r="H195" s="164"/>
      <c r="I195" s="164"/>
      <c r="J195" s="164"/>
      <c r="K195" s="164"/>
      <c r="L195" s="164"/>
      <c r="M195" s="164"/>
      <c r="N195" s="164" t="e">
        <f>VLOOKUP(B:B,'QT Second level review'!C:O,10,0)</f>
        <v>#N/A</v>
      </c>
      <c r="O195" s="146"/>
      <c r="P195" s="146"/>
      <c r="Q195" s="146"/>
      <c r="R195" s="146"/>
      <c r="S195" s="146"/>
    </row>
    <row r="196" spans="1:19">
      <c r="A196" s="146" t="str">
        <f t="shared" si="3"/>
        <v>Test not reviewed</v>
      </c>
      <c r="B196" s="164"/>
      <c r="C196" s="164"/>
      <c r="D196" s="164"/>
      <c r="E196" s="164"/>
      <c r="F196" s="146"/>
      <c r="G196" s="164"/>
      <c r="H196" s="164"/>
      <c r="I196" s="164"/>
      <c r="J196" s="164"/>
      <c r="K196" s="164"/>
      <c r="L196" s="164"/>
      <c r="M196" s="164"/>
      <c r="N196" s="164" t="e">
        <f>VLOOKUP(B:B,'QT Second level review'!C:O,10,0)</f>
        <v>#N/A</v>
      </c>
      <c r="O196" s="146"/>
      <c r="P196" s="146"/>
      <c r="Q196" s="146"/>
      <c r="R196" s="146"/>
      <c r="S196" s="146"/>
    </row>
    <row r="197" spans="1:19">
      <c r="A197" s="146" t="str">
        <f t="shared" si="3"/>
        <v>Test not reviewed</v>
      </c>
      <c r="B197" s="164"/>
      <c r="C197" s="164"/>
      <c r="D197" s="164"/>
      <c r="E197" s="164"/>
      <c r="F197" s="146"/>
      <c r="G197" s="164"/>
      <c r="H197" s="164"/>
      <c r="I197" s="164"/>
      <c r="J197" s="164"/>
      <c r="K197" s="164"/>
      <c r="L197" s="164"/>
      <c r="M197" s="164"/>
      <c r="N197" s="164" t="e">
        <f>VLOOKUP(B:B,'QT Second level review'!C:O,10,0)</f>
        <v>#N/A</v>
      </c>
      <c r="O197" s="146"/>
      <c r="P197" s="146"/>
      <c r="Q197" s="146"/>
      <c r="R197" s="146"/>
      <c r="S197" s="146"/>
    </row>
    <row r="198" spans="1:19">
      <c r="A198" s="146" t="str">
        <f t="shared" si="3"/>
        <v>Test not reviewed</v>
      </c>
      <c r="B198" s="164"/>
      <c r="C198" s="164"/>
      <c r="D198" s="164"/>
      <c r="E198" s="164"/>
      <c r="F198" s="146"/>
      <c r="G198" s="164"/>
      <c r="H198" s="164"/>
      <c r="I198" s="164"/>
      <c r="J198" s="164"/>
      <c r="K198" s="164"/>
      <c r="L198" s="164"/>
      <c r="M198" s="164"/>
      <c r="N198" s="164" t="e">
        <f>VLOOKUP(B:B,'QT Second level review'!C:O,10,0)</f>
        <v>#N/A</v>
      </c>
      <c r="O198" s="146"/>
      <c r="P198" s="146"/>
      <c r="Q198" s="146"/>
      <c r="R198" s="146"/>
      <c r="S198" s="146"/>
    </row>
    <row r="199" spans="1:19">
      <c r="A199" s="146" t="str">
        <f t="shared" si="3"/>
        <v>Test not reviewed</v>
      </c>
      <c r="B199" s="164"/>
      <c r="C199" s="164"/>
      <c r="D199" s="164"/>
      <c r="E199" s="164"/>
      <c r="F199" s="146"/>
      <c r="G199" s="164"/>
      <c r="H199" s="164"/>
      <c r="I199" s="164"/>
      <c r="J199" s="164"/>
      <c r="K199" s="164"/>
      <c r="L199" s="164"/>
      <c r="M199" s="164"/>
      <c r="N199" s="164" t="e">
        <f>VLOOKUP(B:B,'QT Second level review'!C:O,10,0)</f>
        <v>#N/A</v>
      </c>
      <c r="O199" s="146"/>
      <c r="P199" s="146"/>
      <c r="Q199" s="146"/>
      <c r="R199" s="146"/>
      <c r="S199" s="146"/>
    </row>
    <row r="200" spans="1:19">
      <c r="A200" s="146" t="str">
        <f t="shared" si="3"/>
        <v>Test not reviewed</v>
      </c>
      <c r="B200" s="164"/>
      <c r="C200" s="164"/>
      <c r="D200" s="164"/>
      <c r="E200" s="164"/>
      <c r="F200" s="146"/>
      <c r="G200" s="164"/>
      <c r="H200" s="164"/>
      <c r="I200" s="164"/>
      <c r="J200" s="164"/>
      <c r="K200" s="164"/>
      <c r="L200" s="164"/>
      <c r="M200" s="164"/>
      <c r="N200" s="164" t="e">
        <f>VLOOKUP(B:B,'QT Second level review'!C:O,10,0)</f>
        <v>#N/A</v>
      </c>
      <c r="O200" s="146"/>
      <c r="P200" s="146"/>
      <c r="Q200" s="146"/>
      <c r="R200" s="146"/>
      <c r="S200" s="146"/>
    </row>
    <row r="201" spans="1:19">
      <c r="A201" s="146" t="str">
        <f t="shared" si="3"/>
        <v>Test not reviewed</v>
      </c>
      <c r="B201" s="164"/>
      <c r="C201" s="164"/>
      <c r="D201" s="164"/>
      <c r="E201" s="164"/>
      <c r="F201" s="146"/>
      <c r="G201" s="164"/>
      <c r="H201" s="164"/>
      <c r="I201" s="164"/>
      <c r="J201" s="164"/>
      <c r="K201" s="164"/>
      <c r="L201" s="164"/>
      <c r="M201" s="164"/>
      <c r="N201" s="164" t="e">
        <f>VLOOKUP(B:B,'QT Second level review'!C:O,10,0)</f>
        <v>#N/A</v>
      </c>
      <c r="O201" s="146"/>
      <c r="P201" s="146"/>
      <c r="Q201" s="146"/>
      <c r="R201" s="146"/>
      <c r="S201" s="146"/>
    </row>
    <row r="202" spans="1:19">
      <c r="A202" s="146" t="str">
        <f t="shared" si="3"/>
        <v>Test not reviewed</v>
      </c>
      <c r="B202" s="164"/>
      <c r="C202" s="164"/>
      <c r="D202" s="164"/>
      <c r="E202" s="164"/>
      <c r="F202" s="146"/>
      <c r="G202" s="164"/>
      <c r="H202" s="164"/>
      <c r="I202" s="164"/>
      <c r="J202" s="164"/>
      <c r="K202" s="164"/>
      <c r="L202" s="164"/>
      <c r="M202" s="164"/>
      <c r="N202" s="164" t="e">
        <f>VLOOKUP(B:B,'QT Second level review'!C:O,10,0)</f>
        <v>#N/A</v>
      </c>
      <c r="O202" s="146"/>
      <c r="P202" s="146"/>
      <c r="Q202" s="146"/>
      <c r="R202" s="146"/>
      <c r="S202" s="146"/>
    </row>
    <row r="203" spans="1:19">
      <c r="A203" s="146" t="str">
        <f t="shared" si="3"/>
        <v>Test not reviewed</v>
      </c>
      <c r="B203" s="164"/>
      <c r="C203" s="164"/>
      <c r="D203" s="164"/>
      <c r="E203" s="164"/>
      <c r="F203" s="146"/>
      <c r="G203" s="164"/>
      <c r="H203" s="164"/>
      <c r="I203" s="164"/>
      <c r="J203" s="164"/>
      <c r="K203" s="164"/>
      <c r="L203" s="164"/>
      <c r="M203" s="164"/>
      <c r="N203" s="164" t="e">
        <f>VLOOKUP(B:B,'QT Second level review'!C:O,10,0)</f>
        <v>#N/A</v>
      </c>
      <c r="O203" s="146"/>
      <c r="P203" s="146"/>
      <c r="Q203" s="146"/>
      <c r="R203" s="146"/>
      <c r="S203" s="146"/>
    </row>
    <row r="204" spans="1:19">
      <c r="A204" s="146" t="str">
        <f t="shared" si="3"/>
        <v>Test not reviewed</v>
      </c>
      <c r="B204" s="164"/>
      <c r="C204" s="164"/>
      <c r="D204" s="164"/>
      <c r="E204" s="164"/>
      <c r="F204" s="146"/>
      <c r="G204" s="164"/>
      <c r="H204" s="164"/>
      <c r="I204" s="164"/>
      <c r="J204" s="164"/>
      <c r="K204" s="164"/>
      <c r="L204" s="164"/>
      <c r="M204" s="164"/>
      <c r="N204" s="164" t="e">
        <f>VLOOKUP(B:B,'QT Second level review'!C:O,10,0)</f>
        <v>#N/A</v>
      </c>
      <c r="O204" s="146"/>
      <c r="P204" s="146"/>
      <c r="Q204" s="146"/>
      <c r="R204" s="146"/>
      <c r="S204" s="146"/>
    </row>
    <row r="205" spans="1:19">
      <c r="A205" s="146" t="str">
        <f t="shared" si="3"/>
        <v>Test not reviewed</v>
      </c>
      <c r="B205" s="164"/>
      <c r="C205" s="164"/>
      <c r="D205" s="164"/>
      <c r="E205" s="164"/>
      <c r="F205" s="146"/>
      <c r="G205" s="164"/>
      <c r="H205" s="164"/>
      <c r="I205" s="164"/>
      <c r="J205" s="164"/>
      <c r="K205" s="164"/>
      <c r="L205" s="164"/>
      <c r="M205" s="164"/>
      <c r="N205" s="164" t="e">
        <f>VLOOKUP(B:B,'QT Second level review'!C:O,10,0)</f>
        <v>#N/A</v>
      </c>
      <c r="O205" s="146"/>
      <c r="P205" s="146"/>
      <c r="Q205" s="146"/>
      <c r="R205" s="146"/>
      <c r="S205" s="146"/>
    </row>
    <row r="206" spans="1:19">
      <c r="A206" s="146" t="str">
        <f t="shared" si="3"/>
        <v>Test not reviewed</v>
      </c>
      <c r="B206" s="164"/>
      <c r="C206" s="164"/>
      <c r="D206" s="164"/>
      <c r="E206" s="164"/>
      <c r="F206" s="146"/>
      <c r="G206" s="164"/>
      <c r="H206" s="164"/>
      <c r="I206" s="164"/>
      <c r="J206" s="164"/>
      <c r="K206" s="164"/>
      <c r="L206" s="164"/>
      <c r="M206" s="164"/>
      <c r="N206" s="164" t="e">
        <f>VLOOKUP(B:B,'QT Second level review'!C:O,10,0)</f>
        <v>#N/A</v>
      </c>
      <c r="O206" s="146"/>
      <c r="P206" s="146"/>
      <c r="Q206" s="146"/>
      <c r="R206" s="146"/>
      <c r="S206" s="146"/>
    </row>
    <row r="207" spans="1:19">
      <c r="A207" s="146" t="str">
        <f t="shared" si="3"/>
        <v>Test not reviewed</v>
      </c>
      <c r="B207" s="164"/>
      <c r="C207" s="164"/>
      <c r="D207" s="164"/>
      <c r="E207" s="164"/>
      <c r="F207" s="146"/>
      <c r="G207" s="164"/>
      <c r="H207" s="164"/>
      <c r="I207" s="164"/>
      <c r="J207" s="164"/>
      <c r="K207" s="164"/>
      <c r="L207" s="164"/>
      <c r="M207" s="164"/>
      <c r="N207" s="164" t="e">
        <f>VLOOKUP(B:B,'QT Second level review'!C:O,10,0)</f>
        <v>#N/A</v>
      </c>
      <c r="O207" s="146"/>
      <c r="P207" s="146"/>
      <c r="Q207" s="146"/>
      <c r="R207" s="146"/>
      <c r="S207" s="146"/>
    </row>
    <row r="208" spans="1:19">
      <c r="A208" s="146" t="str">
        <f t="shared" si="3"/>
        <v>Test not reviewed</v>
      </c>
      <c r="B208" s="164"/>
      <c r="C208" s="164"/>
      <c r="D208" s="164"/>
      <c r="E208" s="164"/>
      <c r="F208" s="146"/>
      <c r="G208" s="164"/>
      <c r="H208" s="164"/>
      <c r="I208" s="164"/>
      <c r="J208" s="164"/>
      <c r="K208" s="164"/>
      <c r="L208" s="164"/>
      <c r="M208" s="164"/>
      <c r="N208" s="164" t="e">
        <f>VLOOKUP(B:B,'QT Second level review'!C:O,10,0)</f>
        <v>#N/A</v>
      </c>
      <c r="O208" s="146"/>
      <c r="P208" s="146"/>
      <c r="Q208" s="146"/>
      <c r="R208" s="146"/>
      <c r="S208" s="146"/>
    </row>
    <row r="209" spans="1:19">
      <c r="A209" s="146" t="str">
        <f t="shared" si="3"/>
        <v>Test not reviewed</v>
      </c>
      <c r="B209" s="164"/>
      <c r="C209" s="164"/>
      <c r="D209" s="164"/>
      <c r="E209" s="164"/>
      <c r="F209" s="146"/>
      <c r="G209" s="164"/>
      <c r="H209" s="164"/>
      <c r="I209" s="164"/>
      <c r="J209" s="164"/>
      <c r="K209" s="164"/>
      <c r="L209" s="164"/>
      <c r="M209" s="164"/>
      <c r="N209" s="164" t="e">
        <f>VLOOKUP(B:B,'QT Second level review'!C:O,10,0)</f>
        <v>#N/A</v>
      </c>
      <c r="O209" s="146"/>
      <c r="P209" s="146"/>
      <c r="Q209" s="146"/>
      <c r="R209" s="146"/>
      <c r="S209" s="146"/>
    </row>
    <row r="210" spans="1:19">
      <c r="A210" s="146" t="str">
        <f t="shared" si="3"/>
        <v>Test not reviewed</v>
      </c>
      <c r="B210" s="164"/>
      <c r="C210" s="164"/>
      <c r="D210" s="164"/>
      <c r="E210" s="164"/>
      <c r="F210" s="146"/>
      <c r="G210" s="164"/>
      <c r="H210" s="164"/>
      <c r="I210" s="164"/>
      <c r="J210" s="164"/>
      <c r="K210" s="164"/>
      <c r="L210" s="164"/>
      <c r="M210" s="164"/>
      <c r="N210" s="164" t="e">
        <f>VLOOKUP(B:B,'QT Second level review'!C:O,10,0)</f>
        <v>#N/A</v>
      </c>
      <c r="O210" s="146"/>
      <c r="P210" s="146"/>
      <c r="Q210" s="146"/>
      <c r="R210" s="146"/>
      <c r="S210" s="146"/>
    </row>
    <row r="211" spans="1:19">
      <c r="A211" s="146" t="str">
        <f t="shared" si="3"/>
        <v>Test not reviewed</v>
      </c>
      <c r="B211" s="164"/>
      <c r="C211" s="164"/>
      <c r="D211" s="164"/>
      <c r="E211" s="164"/>
      <c r="F211" s="146"/>
      <c r="G211" s="164"/>
      <c r="H211" s="164"/>
      <c r="I211" s="164"/>
      <c r="J211" s="164"/>
      <c r="K211" s="164"/>
      <c r="L211" s="164"/>
      <c r="M211" s="164"/>
      <c r="N211" s="164" t="e">
        <f>VLOOKUP(B:B,'QT Second level review'!C:O,10,0)</f>
        <v>#N/A</v>
      </c>
      <c r="O211" s="146"/>
      <c r="P211" s="146"/>
      <c r="Q211" s="146"/>
      <c r="R211" s="146"/>
      <c r="S211" s="146"/>
    </row>
    <row r="212" spans="1:19">
      <c r="A212" s="146" t="str">
        <f t="shared" si="3"/>
        <v>Test not reviewed</v>
      </c>
      <c r="B212" s="164"/>
      <c r="C212" s="164"/>
      <c r="D212" s="164"/>
      <c r="E212" s="164"/>
      <c r="F212" s="146"/>
      <c r="G212" s="164"/>
      <c r="H212" s="164"/>
      <c r="I212" s="164"/>
      <c r="J212" s="164"/>
      <c r="K212" s="164"/>
      <c r="L212" s="164"/>
      <c r="M212" s="164"/>
      <c r="N212" s="164" t="e">
        <f>VLOOKUP(B:B,'QT Second level review'!C:O,10,0)</f>
        <v>#N/A</v>
      </c>
      <c r="O212" s="146"/>
      <c r="P212" s="146"/>
      <c r="Q212" s="146"/>
      <c r="R212" s="146"/>
      <c r="S212" s="146"/>
    </row>
    <row r="213" spans="1:19">
      <c r="A213" s="146" t="str">
        <f t="shared" si="3"/>
        <v>Test not reviewed</v>
      </c>
      <c r="B213" s="164"/>
      <c r="C213" s="164"/>
      <c r="D213" s="164"/>
      <c r="E213" s="164"/>
      <c r="F213" s="146"/>
      <c r="G213" s="164"/>
      <c r="H213" s="164"/>
      <c r="I213" s="164"/>
      <c r="J213" s="164"/>
      <c r="K213" s="164"/>
      <c r="L213" s="164"/>
      <c r="M213" s="164"/>
      <c r="N213" s="164" t="e">
        <f>VLOOKUP(B:B,'QT Second level review'!C:O,10,0)</f>
        <v>#N/A</v>
      </c>
      <c r="O213" s="146"/>
      <c r="P213" s="146"/>
      <c r="Q213" s="146"/>
      <c r="R213" s="146"/>
      <c r="S213" s="146"/>
    </row>
    <row r="214" spans="1:19">
      <c r="A214" s="146" t="str">
        <f t="shared" si="3"/>
        <v>Test not reviewed</v>
      </c>
      <c r="B214" s="164"/>
      <c r="C214" s="164"/>
      <c r="D214" s="164"/>
      <c r="E214" s="164"/>
      <c r="F214" s="146"/>
      <c r="G214" s="164"/>
      <c r="H214" s="164"/>
      <c r="I214" s="164"/>
      <c r="J214" s="164"/>
      <c r="K214" s="164"/>
      <c r="L214" s="164"/>
      <c r="M214" s="164"/>
      <c r="N214" s="164" t="e">
        <f>VLOOKUP(B:B,'QT Second level review'!C:O,10,0)</f>
        <v>#N/A</v>
      </c>
      <c r="O214" s="146"/>
      <c r="P214" s="146"/>
      <c r="Q214" s="146"/>
      <c r="R214" s="146"/>
      <c r="S214" s="146"/>
    </row>
    <row r="215" spans="1:19">
      <c r="A215" s="146" t="str">
        <f t="shared" si="3"/>
        <v>Test not reviewed</v>
      </c>
      <c r="B215" s="164"/>
      <c r="C215" s="164"/>
      <c r="D215" s="164"/>
      <c r="E215" s="164"/>
      <c r="F215" s="146"/>
      <c r="G215" s="164"/>
      <c r="H215" s="164"/>
      <c r="I215" s="164"/>
      <c r="J215" s="164"/>
      <c r="K215" s="164"/>
      <c r="L215" s="164"/>
      <c r="M215" s="164"/>
      <c r="N215" s="164" t="e">
        <f>VLOOKUP(B:B,'QT Second level review'!C:O,10,0)</f>
        <v>#N/A</v>
      </c>
      <c r="O215" s="146"/>
      <c r="P215" s="146"/>
      <c r="Q215" s="146"/>
      <c r="R215" s="146"/>
      <c r="S215" s="146"/>
    </row>
    <row r="216" spans="1:19">
      <c r="A216" s="146" t="str">
        <f t="shared" si="3"/>
        <v>Test not reviewed</v>
      </c>
      <c r="B216" s="164"/>
      <c r="C216" s="164"/>
      <c r="D216" s="164"/>
      <c r="E216" s="164"/>
      <c r="F216" s="146"/>
      <c r="G216" s="164"/>
      <c r="H216" s="164"/>
      <c r="I216" s="164"/>
      <c r="J216" s="164"/>
      <c r="K216" s="164"/>
      <c r="L216" s="164"/>
      <c r="M216" s="164"/>
      <c r="N216" s="164" t="e">
        <f>VLOOKUP(B:B,'QT Second level review'!C:O,10,0)</f>
        <v>#N/A</v>
      </c>
      <c r="O216" s="146"/>
      <c r="P216" s="146"/>
      <c r="Q216" s="146"/>
      <c r="R216" s="146"/>
      <c r="S216" s="146"/>
    </row>
    <row r="217" spans="1:19">
      <c r="A217" s="146" t="str">
        <f t="shared" si="3"/>
        <v>Test not reviewed</v>
      </c>
      <c r="B217" s="164"/>
      <c r="C217" s="164"/>
      <c r="D217" s="164"/>
      <c r="E217" s="164"/>
      <c r="F217" s="146"/>
      <c r="G217" s="164"/>
      <c r="H217" s="164"/>
      <c r="I217" s="164"/>
      <c r="J217" s="164"/>
      <c r="K217" s="164"/>
      <c r="L217" s="164"/>
      <c r="M217" s="164"/>
      <c r="N217" s="164" t="e">
        <f>VLOOKUP(B:B,'QT Second level review'!C:O,10,0)</f>
        <v>#N/A</v>
      </c>
      <c r="O217" s="146"/>
      <c r="P217" s="146"/>
      <c r="Q217" s="146"/>
      <c r="R217" s="146"/>
      <c r="S217" s="146"/>
    </row>
    <row r="218" spans="1:19">
      <c r="A218" s="146" t="str">
        <f t="shared" si="3"/>
        <v>Test not reviewed</v>
      </c>
      <c r="B218" s="164"/>
      <c r="C218" s="164"/>
      <c r="D218" s="164"/>
      <c r="E218" s="164"/>
      <c r="F218" s="146"/>
      <c r="G218" s="164"/>
      <c r="H218" s="164"/>
      <c r="I218" s="164"/>
      <c r="J218" s="164"/>
      <c r="K218" s="164"/>
      <c r="L218" s="164"/>
      <c r="M218" s="164"/>
      <c r="N218" s="164" t="e">
        <f>VLOOKUP(B:B,'QT Second level review'!C:O,10,0)</f>
        <v>#N/A</v>
      </c>
      <c r="O218" s="146"/>
      <c r="P218" s="146"/>
      <c r="Q218" s="146"/>
      <c r="R218" s="146"/>
      <c r="S218" s="146"/>
    </row>
    <row r="219" spans="1:19">
      <c r="A219" s="146" t="str">
        <f t="shared" si="3"/>
        <v>Test not reviewed</v>
      </c>
      <c r="B219" s="164"/>
      <c r="C219" s="164"/>
      <c r="D219" s="164"/>
      <c r="E219" s="164"/>
      <c r="F219" s="146"/>
      <c r="G219" s="164"/>
      <c r="H219" s="164"/>
      <c r="I219" s="164"/>
      <c r="J219" s="164"/>
      <c r="K219" s="164"/>
      <c r="L219" s="164"/>
      <c r="M219" s="164"/>
      <c r="N219" s="164" t="e">
        <f>VLOOKUP(B:B,'QT Second level review'!C:O,10,0)</f>
        <v>#N/A</v>
      </c>
      <c r="O219" s="146"/>
      <c r="P219" s="146"/>
      <c r="Q219" s="146"/>
      <c r="R219" s="146"/>
      <c r="S219" s="146"/>
    </row>
    <row r="220" spans="1:19">
      <c r="A220" s="146" t="str">
        <f t="shared" si="3"/>
        <v>Test not reviewed</v>
      </c>
      <c r="B220" s="164"/>
      <c r="C220" s="164"/>
      <c r="D220" s="164"/>
      <c r="E220" s="164"/>
      <c r="F220" s="146"/>
      <c r="G220" s="164"/>
      <c r="H220" s="164"/>
      <c r="I220" s="164"/>
      <c r="J220" s="164"/>
      <c r="K220" s="164"/>
      <c r="L220" s="164"/>
      <c r="M220" s="164"/>
      <c r="N220" s="164" t="e">
        <f>VLOOKUP(B:B,'QT Second level review'!C:O,10,0)</f>
        <v>#N/A</v>
      </c>
      <c r="O220" s="146"/>
      <c r="P220" s="146"/>
      <c r="Q220" s="146"/>
      <c r="R220" s="146"/>
      <c r="S220" s="146"/>
    </row>
    <row r="221" spans="1:19">
      <c r="A221" s="146" t="str">
        <f t="shared" si="3"/>
        <v>Test not reviewed</v>
      </c>
      <c r="B221" s="164"/>
      <c r="C221" s="164"/>
      <c r="D221" s="164"/>
      <c r="E221" s="164"/>
      <c r="F221" s="146"/>
      <c r="G221" s="164"/>
      <c r="H221" s="164"/>
      <c r="I221" s="164"/>
      <c r="J221" s="164"/>
      <c r="K221" s="164"/>
      <c r="L221" s="164"/>
      <c r="M221" s="164"/>
      <c r="N221" s="164" t="e">
        <f>VLOOKUP(B:B,'QT Second level review'!C:O,10,0)</f>
        <v>#N/A</v>
      </c>
      <c r="O221" s="146"/>
      <c r="P221" s="146"/>
      <c r="Q221" s="146"/>
      <c r="R221" s="146"/>
      <c r="S221" s="146"/>
    </row>
    <row r="222" spans="1:19">
      <c r="A222" s="146" t="str">
        <f t="shared" si="3"/>
        <v>Test not reviewed</v>
      </c>
      <c r="B222" s="164"/>
      <c r="C222" s="164"/>
      <c r="D222" s="164"/>
      <c r="E222" s="164"/>
      <c r="F222" s="146"/>
      <c r="G222" s="164"/>
      <c r="H222" s="164"/>
      <c r="I222" s="164"/>
      <c r="J222" s="164"/>
      <c r="K222" s="164"/>
      <c r="L222" s="164"/>
      <c r="M222" s="164"/>
      <c r="N222" s="164" t="e">
        <f>VLOOKUP(B:B,'QT Second level review'!C:O,10,0)</f>
        <v>#N/A</v>
      </c>
      <c r="O222" s="146"/>
      <c r="P222" s="146"/>
      <c r="Q222" s="146"/>
      <c r="R222" s="146"/>
      <c r="S222" s="146"/>
    </row>
    <row r="223" spans="1:19">
      <c r="A223" s="146" t="str">
        <f t="shared" si="3"/>
        <v>Test not reviewed</v>
      </c>
      <c r="B223" s="164"/>
      <c r="C223" s="164"/>
      <c r="D223" s="164"/>
      <c r="E223" s="164"/>
      <c r="F223" s="146"/>
      <c r="G223" s="164"/>
      <c r="H223" s="164"/>
      <c r="I223" s="164"/>
      <c r="J223" s="164"/>
      <c r="K223" s="164"/>
      <c r="L223" s="164"/>
      <c r="M223" s="164"/>
      <c r="N223" s="164" t="e">
        <f>VLOOKUP(B:B,'QT Second level review'!C:O,10,0)</f>
        <v>#N/A</v>
      </c>
      <c r="O223" s="146"/>
      <c r="P223" s="146"/>
      <c r="Q223" s="146"/>
      <c r="R223" s="146"/>
      <c r="S223" s="146"/>
    </row>
    <row r="224" spans="1:19">
      <c r="A224" s="146" t="str">
        <f t="shared" si="3"/>
        <v>Test not reviewed</v>
      </c>
      <c r="B224" s="164"/>
      <c r="C224" s="164"/>
      <c r="D224" s="164"/>
      <c r="E224" s="164"/>
      <c r="F224" s="146"/>
      <c r="G224" s="164"/>
      <c r="H224" s="164"/>
      <c r="I224" s="164"/>
      <c r="J224" s="164"/>
      <c r="K224" s="164"/>
      <c r="L224" s="164"/>
      <c r="M224" s="164"/>
      <c r="N224" s="164" t="e">
        <f>VLOOKUP(B:B,'QT Second level review'!C:O,10,0)</f>
        <v>#N/A</v>
      </c>
      <c r="O224" s="146"/>
      <c r="P224" s="146"/>
      <c r="Q224" s="146"/>
      <c r="R224" s="146"/>
      <c r="S224" s="146"/>
    </row>
    <row r="225" spans="1:19">
      <c r="A225" s="146" t="str">
        <f t="shared" si="3"/>
        <v>Test not reviewed</v>
      </c>
      <c r="B225" s="164"/>
      <c r="C225" s="164"/>
      <c r="D225" s="164"/>
      <c r="E225" s="164"/>
      <c r="F225" s="146"/>
      <c r="G225" s="164"/>
      <c r="H225" s="164"/>
      <c r="I225" s="164"/>
      <c r="J225" s="164"/>
      <c r="K225" s="164"/>
      <c r="L225" s="164"/>
      <c r="M225" s="164"/>
      <c r="N225" s="164" t="e">
        <f>VLOOKUP(B:B,'QT Second level review'!C:O,10,0)</f>
        <v>#N/A</v>
      </c>
      <c r="O225" s="146"/>
      <c r="P225" s="146"/>
      <c r="Q225" s="146"/>
      <c r="R225" s="146"/>
      <c r="S225" s="146"/>
    </row>
    <row r="226" spans="1:19">
      <c r="A226" s="146" t="str">
        <f t="shared" si="3"/>
        <v>Test not reviewed</v>
      </c>
      <c r="B226" s="164"/>
      <c r="C226" s="164"/>
      <c r="D226" s="164"/>
      <c r="E226" s="164"/>
      <c r="F226" s="146"/>
      <c r="G226" s="164"/>
      <c r="H226" s="164"/>
      <c r="I226" s="164"/>
      <c r="J226" s="164"/>
      <c r="K226" s="164"/>
      <c r="L226" s="164"/>
      <c r="M226" s="164"/>
      <c r="N226" s="164" t="e">
        <f>VLOOKUP(B:B,'QT Second level review'!C:O,10,0)</f>
        <v>#N/A</v>
      </c>
      <c r="O226" s="146"/>
      <c r="P226" s="146"/>
      <c r="Q226" s="146"/>
      <c r="R226" s="146"/>
      <c r="S226" s="146"/>
    </row>
    <row r="227" spans="1:19">
      <c r="A227" s="146" t="str">
        <f t="shared" si="3"/>
        <v>Test not reviewed</v>
      </c>
      <c r="B227" s="164"/>
      <c r="C227" s="164"/>
      <c r="D227" s="164"/>
      <c r="E227" s="164"/>
      <c r="F227" s="146"/>
      <c r="G227" s="164"/>
      <c r="H227" s="164"/>
      <c r="I227" s="164"/>
      <c r="J227" s="164"/>
      <c r="K227" s="164"/>
      <c r="L227" s="164"/>
      <c r="M227" s="164"/>
      <c r="N227" s="164" t="e">
        <f>VLOOKUP(B:B,'QT Second level review'!C:O,10,0)</f>
        <v>#N/A</v>
      </c>
      <c r="O227" s="146"/>
      <c r="P227" s="146"/>
      <c r="Q227" s="146"/>
      <c r="R227" s="146"/>
      <c r="S227" s="146"/>
    </row>
    <row r="228" spans="1:19">
      <c r="A228" s="146" t="str">
        <f t="shared" si="3"/>
        <v>Test not reviewed</v>
      </c>
      <c r="B228" s="164"/>
      <c r="C228" s="164"/>
      <c r="D228" s="164"/>
      <c r="E228" s="164"/>
      <c r="F228" s="146"/>
      <c r="G228" s="164"/>
      <c r="H228" s="164"/>
      <c r="I228" s="164"/>
      <c r="J228" s="164"/>
      <c r="K228" s="164"/>
      <c r="L228" s="164"/>
      <c r="M228" s="164"/>
      <c r="N228" s="164" t="e">
        <f>VLOOKUP(B:B,'QT Second level review'!C:O,10,0)</f>
        <v>#N/A</v>
      </c>
      <c r="O228" s="146"/>
      <c r="P228" s="146"/>
      <c r="Q228" s="146"/>
      <c r="R228" s="146"/>
      <c r="S228" s="146"/>
    </row>
    <row r="229" spans="1:19">
      <c r="A229" s="146" t="str">
        <f t="shared" si="3"/>
        <v>Test not reviewed</v>
      </c>
      <c r="B229" s="164"/>
      <c r="C229" s="164"/>
      <c r="D229" s="164"/>
      <c r="E229" s="164"/>
      <c r="F229" s="146"/>
      <c r="G229" s="164"/>
      <c r="H229" s="164"/>
      <c r="I229" s="164"/>
      <c r="J229" s="164"/>
      <c r="K229" s="164"/>
      <c r="L229" s="164"/>
      <c r="M229" s="164"/>
      <c r="N229" s="164" t="e">
        <f>VLOOKUP(B:B,'QT Second level review'!C:O,10,0)</f>
        <v>#N/A</v>
      </c>
      <c r="O229" s="146"/>
      <c r="P229" s="146"/>
      <c r="Q229" s="146"/>
      <c r="R229" s="146"/>
      <c r="S229" s="146"/>
    </row>
    <row r="230" spans="1:19">
      <c r="A230" s="146" t="str">
        <f t="shared" si="3"/>
        <v>Test not reviewed</v>
      </c>
      <c r="B230" s="164"/>
      <c r="C230" s="164"/>
      <c r="D230" s="164"/>
      <c r="E230" s="164"/>
      <c r="F230" s="146"/>
      <c r="G230" s="164"/>
      <c r="H230" s="164"/>
      <c r="I230" s="164"/>
      <c r="J230" s="164"/>
      <c r="K230" s="164"/>
      <c r="L230" s="164"/>
      <c r="M230" s="164"/>
      <c r="N230" s="164" t="e">
        <f>VLOOKUP(B:B,'QT Second level review'!C:O,10,0)</f>
        <v>#N/A</v>
      </c>
      <c r="O230" s="146"/>
      <c r="P230" s="146"/>
      <c r="Q230" s="146"/>
      <c r="R230" s="146"/>
      <c r="S230" s="146"/>
    </row>
    <row r="231" spans="1:19">
      <c r="A231" s="146" t="str">
        <f t="shared" si="3"/>
        <v>Test not reviewed</v>
      </c>
      <c r="B231" s="164"/>
      <c r="C231" s="164"/>
      <c r="D231" s="164"/>
      <c r="E231" s="164"/>
      <c r="F231" s="146"/>
      <c r="G231" s="164"/>
      <c r="H231" s="164"/>
      <c r="I231" s="164"/>
      <c r="J231" s="164"/>
      <c r="K231" s="164"/>
      <c r="L231" s="164"/>
      <c r="M231" s="164"/>
      <c r="N231" s="164" t="e">
        <f>VLOOKUP(B:B,'QT Second level review'!C:O,10,0)</f>
        <v>#N/A</v>
      </c>
      <c r="O231" s="146"/>
      <c r="P231" s="146"/>
      <c r="Q231" s="146"/>
      <c r="R231" s="146"/>
      <c r="S231" s="146"/>
    </row>
    <row r="232" spans="1:19">
      <c r="A232" s="146" t="str">
        <f t="shared" si="3"/>
        <v>Test not reviewed</v>
      </c>
      <c r="B232" s="164"/>
      <c r="C232" s="164"/>
      <c r="D232" s="164"/>
      <c r="E232" s="164"/>
      <c r="F232" s="146"/>
      <c r="G232" s="164"/>
      <c r="H232" s="164"/>
      <c r="I232" s="164"/>
      <c r="J232" s="164"/>
      <c r="K232" s="164"/>
      <c r="L232" s="164"/>
      <c r="M232" s="164"/>
      <c r="N232" s="164" t="e">
        <f>VLOOKUP(B:B,'QT Second level review'!C:O,10,0)</f>
        <v>#N/A</v>
      </c>
      <c r="O232" s="146"/>
      <c r="P232" s="146"/>
      <c r="Q232" s="146"/>
      <c r="R232" s="146"/>
      <c r="S232" s="146"/>
    </row>
    <row r="233" spans="1:19">
      <c r="A233" s="146" t="str">
        <f t="shared" si="3"/>
        <v>Test not reviewed</v>
      </c>
      <c r="B233" s="164"/>
      <c r="C233" s="164"/>
      <c r="D233" s="164"/>
      <c r="E233" s="164"/>
      <c r="F233" s="146"/>
      <c r="G233" s="164"/>
      <c r="H233" s="164"/>
      <c r="I233" s="164"/>
      <c r="J233" s="164"/>
      <c r="K233" s="164"/>
      <c r="L233" s="164"/>
      <c r="M233" s="164"/>
      <c r="N233" s="164" t="e">
        <f>VLOOKUP(B:B,'QT Second level review'!C:O,10,0)</f>
        <v>#N/A</v>
      </c>
      <c r="O233" s="146"/>
      <c r="P233" s="146"/>
      <c r="Q233" s="146"/>
      <c r="R233" s="146"/>
      <c r="S233" s="146"/>
    </row>
    <row r="234" spans="1:19">
      <c r="A234" s="146" t="str">
        <f t="shared" si="3"/>
        <v>Test not reviewed</v>
      </c>
      <c r="B234" s="164"/>
      <c r="C234" s="164"/>
      <c r="D234" s="164"/>
      <c r="E234" s="164"/>
      <c r="F234" s="146"/>
      <c r="G234" s="164"/>
      <c r="H234" s="164"/>
      <c r="I234" s="164"/>
      <c r="J234" s="164"/>
      <c r="K234" s="164"/>
      <c r="L234" s="164"/>
      <c r="M234" s="164"/>
      <c r="N234" s="164" t="e">
        <f>VLOOKUP(B:B,'QT Second level review'!C:O,10,0)</f>
        <v>#N/A</v>
      </c>
      <c r="O234" s="146"/>
      <c r="P234" s="146"/>
      <c r="Q234" s="146"/>
      <c r="R234" s="146"/>
      <c r="S234" s="146"/>
    </row>
    <row r="235" spans="1:19">
      <c r="A235" s="146" t="str">
        <f t="shared" si="3"/>
        <v>Test not reviewed</v>
      </c>
      <c r="B235" s="164"/>
      <c r="C235" s="164"/>
      <c r="D235" s="164"/>
      <c r="E235" s="164"/>
      <c r="F235" s="146"/>
      <c r="G235" s="164"/>
      <c r="H235" s="164"/>
      <c r="I235" s="164"/>
      <c r="J235" s="164"/>
      <c r="K235" s="164"/>
      <c r="L235" s="164"/>
      <c r="M235" s="164"/>
      <c r="N235" s="164" t="e">
        <f>VLOOKUP(B:B,'QT Second level review'!C:O,10,0)</f>
        <v>#N/A</v>
      </c>
      <c r="O235" s="146"/>
      <c r="P235" s="146"/>
      <c r="Q235" s="146"/>
      <c r="R235" s="146"/>
      <c r="S235" s="146"/>
    </row>
    <row r="236" spans="1:19">
      <c r="A236" s="146" t="str">
        <f t="shared" si="3"/>
        <v>Test not reviewed</v>
      </c>
      <c r="B236" s="164"/>
      <c r="C236" s="164"/>
      <c r="D236" s="164"/>
      <c r="E236" s="164"/>
      <c r="F236" s="146"/>
      <c r="G236" s="164"/>
      <c r="H236" s="164"/>
      <c r="I236" s="164"/>
      <c r="J236" s="164"/>
      <c r="K236" s="164"/>
      <c r="L236" s="164"/>
      <c r="M236" s="164"/>
      <c r="N236" s="164" t="e">
        <f>VLOOKUP(B:B,'QT Second level review'!C:O,10,0)</f>
        <v>#N/A</v>
      </c>
      <c r="O236" s="146"/>
      <c r="P236" s="146"/>
      <c r="Q236" s="146"/>
      <c r="R236" s="146"/>
      <c r="S236" s="146"/>
    </row>
    <row r="237" spans="1:19">
      <c r="A237" s="146" t="str">
        <f t="shared" si="3"/>
        <v>Test not reviewed</v>
      </c>
      <c r="B237" s="164"/>
      <c r="C237" s="164"/>
      <c r="D237" s="164"/>
      <c r="E237" s="164"/>
      <c r="F237" s="146"/>
      <c r="G237" s="164"/>
      <c r="H237" s="164"/>
      <c r="I237" s="164"/>
      <c r="J237" s="164"/>
      <c r="K237" s="164"/>
      <c r="L237" s="164"/>
      <c r="M237" s="164"/>
      <c r="N237" s="164" t="e">
        <f>VLOOKUP(B:B,'QT Second level review'!C:O,10,0)</f>
        <v>#N/A</v>
      </c>
      <c r="O237" s="146"/>
      <c r="P237" s="146"/>
      <c r="Q237" s="146"/>
      <c r="R237" s="146"/>
      <c r="S237" s="146"/>
    </row>
    <row r="238" spans="1:19">
      <c r="A238" s="146" t="str">
        <f t="shared" si="3"/>
        <v>Test not reviewed</v>
      </c>
      <c r="B238" s="164"/>
      <c r="C238" s="164"/>
      <c r="D238" s="164"/>
      <c r="E238" s="164"/>
      <c r="F238" s="146"/>
      <c r="G238" s="164"/>
      <c r="H238" s="164"/>
      <c r="I238" s="164"/>
      <c r="J238" s="164"/>
      <c r="K238" s="164"/>
      <c r="L238" s="164"/>
      <c r="M238" s="164"/>
      <c r="N238" s="164" t="e">
        <f>VLOOKUP(B:B,'QT Second level review'!C:O,10,0)</f>
        <v>#N/A</v>
      </c>
      <c r="O238" s="146"/>
      <c r="P238" s="146"/>
      <c r="Q238" s="146"/>
      <c r="R238" s="146"/>
      <c r="S238" s="146"/>
    </row>
    <row r="239" spans="1:19">
      <c r="A239" s="146" t="str">
        <f t="shared" si="3"/>
        <v>Test not reviewed</v>
      </c>
      <c r="B239" s="164"/>
      <c r="C239" s="164"/>
      <c r="D239" s="164"/>
      <c r="E239" s="164"/>
      <c r="F239" s="146"/>
      <c r="G239" s="164"/>
      <c r="H239" s="164"/>
      <c r="I239" s="164"/>
      <c r="J239" s="164"/>
      <c r="K239" s="164"/>
      <c r="L239" s="164"/>
      <c r="M239" s="164"/>
      <c r="N239" s="164" t="e">
        <f>VLOOKUP(B:B,'QT Second level review'!C:O,10,0)</f>
        <v>#N/A</v>
      </c>
      <c r="O239" s="146"/>
      <c r="P239" s="146"/>
      <c r="Q239" s="146"/>
      <c r="R239" s="146"/>
      <c r="S239" s="146"/>
    </row>
    <row r="240" spans="1:19">
      <c r="A240" s="146" t="str">
        <f t="shared" si="3"/>
        <v>Test not reviewed</v>
      </c>
      <c r="B240" s="164"/>
      <c r="C240" s="164"/>
      <c r="D240" s="164"/>
      <c r="E240" s="164"/>
      <c r="F240" s="146"/>
      <c r="G240" s="164"/>
      <c r="H240" s="164"/>
      <c r="I240" s="164"/>
      <c r="J240" s="164"/>
      <c r="K240" s="164"/>
      <c r="L240" s="164"/>
      <c r="M240" s="164"/>
      <c r="N240" s="164" t="e">
        <f>VLOOKUP(B:B,'QT Second level review'!C:O,10,0)</f>
        <v>#N/A</v>
      </c>
      <c r="O240" s="146"/>
      <c r="P240" s="146"/>
      <c r="Q240" s="146"/>
      <c r="R240" s="146"/>
      <c r="S240" s="146"/>
    </row>
    <row r="241" spans="1:19">
      <c r="A241" s="146" t="str">
        <f t="shared" si="3"/>
        <v>Test not reviewed</v>
      </c>
      <c r="B241" s="164"/>
      <c r="C241" s="164"/>
      <c r="D241" s="164"/>
      <c r="E241" s="164"/>
      <c r="F241" s="146"/>
      <c r="G241" s="164"/>
      <c r="H241" s="164"/>
      <c r="I241" s="164"/>
      <c r="J241" s="164"/>
      <c r="K241" s="164"/>
      <c r="L241" s="164"/>
      <c r="M241" s="164"/>
      <c r="N241" s="164" t="e">
        <f>VLOOKUP(B:B,'QT Second level review'!C:O,10,0)</f>
        <v>#N/A</v>
      </c>
      <c r="O241" s="146"/>
      <c r="P241" s="146"/>
      <c r="Q241" s="146"/>
      <c r="R241" s="146"/>
      <c r="S241" s="146"/>
    </row>
    <row r="242" spans="1:19">
      <c r="A242" s="146" t="str">
        <f t="shared" si="3"/>
        <v>Test not reviewed</v>
      </c>
      <c r="B242" s="164"/>
      <c r="C242" s="164"/>
      <c r="D242" s="164"/>
      <c r="E242" s="164"/>
      <c r="F242" s="146"/>
      <c r="G242" s="164"/>
      <c r="H242" s="164"/>
      <c r="I242" s="164"/>
      <c r="J242" s="164"/>
      <c r="K242" s="164"/>
      <c r="L242" s="164"/>
      <c r="M242" s="164"/>
      <c r="N242" s="164" t="e">
        <f>VLOOKUP(B:B,'QT Second level review'!C:O,10,0)</f>
        <v>#N/A</v>
      </c>
      <c r="O242" s="146"/>
      <c r="P242" s="146"/>
      <c r="Q242" s="146"/>
      <c r="R242" s="146"/>
      <c r="S242" s="146"/>
    </row>
    <row r="243" spans="1:19">
      <c r="A243" s="146" t="str">
        <f t="shared" si="3"/>
        <v>Test not reviewed</v>
      </c>
      <c r="B243" s="164"/>
      <c r="C243" s="164"/>
      <c r="D243" s="164"/>
      <c r="E243" s="164"/>
      <c r="F243" s="146"/>
      <c r="G243" s="164"/>
      <c r="H243" s="164"/>
      <c r="I243" s="164"/>
      <c r="J243" s="164"/>
      <c r="K243" s="164"/>
      <c r="L243" s="164"/>
      <c r="M243" s="164"/>
      <c r="N243" s="164" t="e">
        <f>VLOOKUP(B:B,'QT Second level review'!C:O,10,0)</f>
        <v>#N/A</v>
      </c>
      <c r="O243" s="146"/>
      <c r="P243" s="146"/>
      <c r="Q243" s="146"/>
      <c r="R243" s="146"/>
      <c r="S243" s="146"/>
    </row>
    <row r="244" spans="1:19">
      <c r="A244" s="146" t="str">
        <f t="shared" si="3"/>
        <v>Test not reviewed</v>
      </c>
      <c r="B244" s="164"/>
      <c r="C244" s="164"/>
      <c r="D244" s="164"/>
      <c r="E244" s="164"/>
      <c r="F244" s="146"/>
      <c r="G244" s="164"/>
      <c r="H244" s="164"/>
      <c r="I244" s="164"/>
      <c r="J244" s="164"/>
      <c r="K244" s="164"/>
      <c r="L244" s="164"/>
      <c r="M244" s="164"/>
      <c r="N244" s="164" t="e">
        <f>VLOOKUP(B:B,'QT Second level review'!C:O,10,0)</f>
        <v>#N/A</v>
      </c>
      <c r="O244" s="146"/>
      <c r="P244" s="146"/>
      <c r="Q244" s="146"/>
      <c r="R244" s="146"/>
      <c r="S244" s="146"/>
    </row>
    <row r="245" spans="1:19">
      <c r="A245" s="146" t="str">
        <f t="shared" si="3"/>
        <v>Test not reviewed</v>
      </c>
      <c r="B245" s="164"/>
      <c r="C245" s="164"/>
      <c r="D245" s="164"/>
      <c r="E245" s="164"/>
      <c r="F245" s="146"/>
      <c r="G245" s="164"/>
      <c r="H245" s="164"/>
      <c r="I245" s="164"/>
      <c r="J245" s="164"/>
      <c r="K245" s="164"/>
      <c r="L245" s="164"/>
      <c r="M245" s="164"/>
      <c r="N245" s="164" t="e">
        <f>VLOOKUP(B:B,'QT Second level review'!C:O,10,0)</f>
        <v>#N/A</v>
      </c>
      <c r="O245" s="146"/>
      <c r="P245" s="146"/>
      <c r="Q245" s="146"/>
      <c r="R245" s="146"/>
      <c r="S245" s="146"/>
    </row>
    <row r="246" spans="1:19">
      <c r="A246" s="146" t="str">
        <f t="shared" si="3"/>
        <v>Test not reviewed</v>
      </c>
      <c r="B246" s="164"/>
      <c r="C246" s="164"/>
      <c r="D246" s="164"/>
      <c r="E246" s="164"/>
      <c r="F246" s="146"/>
      <c r="G246" s="164"/>
      <c r="H246" s="164"/>
      <c r="I246" s="164"/>
      <c r="J246" s="164"/>
      <c r="K246" s="164"/>
      <c r="L246" s="164"/>
      <c r="M246" s="164"/>
      <c r="N246" s="164" t="e">
        <f>VLOOKUP(B:B,'QT Second level review'!C:O,10,0)</f>
        <v>#N/A</v>
      </c>
      <c r="O246" s="146"/>
      <c r="P246" s="146"/>
      <c r="Q246" s="146"/>
      <c r="R246" s="146"/>
      <c r="S246" s="146"/>
    </row>
    <row r="247" spans="1:19">
      <c r="A247" s="146" t="str">
        <f t="shared" si="3"/>
        <v>Test not reviewed</v>
      </c>
      <c r="B247" s="164"/>
      <c r="C247" s="164"/>
      <c r="D247" s="164"/>
      <c r="E247" s="164"/>
      <c r="F247" s="146"/>
      <c r="G247" s="164"/>
      <c r="H247" s="164"/>
      <c r="I247" s="164"/>
      <c r="J247" s="164"/>
      <c r="K247" s="164"/>
      <c r="L247" s="164"/>
      <c r="M247" s="164"/>
      <c r="N247" s="164" t="e">
        <f>VLOOKUP(B:B,'QT Second level review'!C:O,10,0)</f>
        <v>#N/A</v>
      </c>
      <c r="O247" s="146"/>
      <c r="P247" s="146"/>
      <c r="Q247" s="146"/>
      <c r="R247" s="146"/>
      <c r="S247" s="146"/>
    </row>
    <row r="248" spans="1:19">
      <c r="A248" s="146" t="str">
        <f t="shared" si="3"/>
        <v>Test not reviewed</v>
      </c>
      <c r="B248" s="164"/>
      <c r="C248" s="164"/>
      <c r="D248" s="164"/>
      <c r="E248" s="164"/>
      <c r="F248" s="146"/>
      <c r="G248" s="164"/>
      <c r="H248" s="164"/>
      <c r="I248" s="164"/>
      <c r="J248" s="164"/>
      <c r="K248" s="164"/>
      <c r="L248" s="164"/>
      <c r="M248" s="164"/>
      <c r="N248" s="164" t="e">
        <f>VLOOKUP(B:B,'QT Second level review'!C:O,10,0)</f>
        <v>#N/A</v>
      </c>
      <c r="O248" s="146"/>
      <c r="P248" s="146"/>
      <c r="Q248" s="146"/>
      <c r="R248" s="146"/>
      <c r="S248" s="146"/>
    </row>
    <row r="249" spans="1:19">
      <c r="A249" s="146" t="str">
        <f t="shared" si="3"/>
        <v>Test not reviewed</v>
      </c>
      <c r="B249" s="164"/>
      <c r="C249" s="164"/>
      <c r="D249" s="164"/>
      <c r="E249" s="164"/>
      <c r="F249" s="146"/>
      <c r="G249" s="164"/>
      <c r="H249" s="164"/>
      <c r="I249" s="164"/>
      <c r="J249" s="164"/>
      <c r="K249" s="164"/>
      <c r="L249" s="164"/>
      <c r="M249" s="164"/>
      <c r="N249" s="164" t="e">
        <f>VLOOKUP(B:B,'QT Second level review'!C:O,10,0)</f>
        <v>#N/A</v>
      </c>
      <c r="O249" s="146"/>
      <c r="P249" s="146"/>
      <c r="Q249" s="146"/>
      <c r="R249" s="146"/>
      <c r="S249" s="146"/>
    </row>
    <row r="250" spans="1:19">
      <c r="A250" s="146" t="str">
        <f t="shared" si="3"/>
        <v>Test not reviewed</v>
      </c>
      <c r="B250" s="164"/>
      <c r="C250" s="164"/>
      <c r="D250" s="164"/>
      <c r="E250" s="164"/>
      <c r="F250" s="146"/>
      <c r="G250" s="164"/>
      <c r="H250" s="164"/>
      <c r="I250" s="164"/>
      <c r="J250" s="164"/>
      <c r="K250" s="164"/>
      <c r="L250" s="164"/>
      <c r="M250" s="164"/>
      <c r="N250" s="164" t="e">
        <f>VLOOKUP(B:B,'QT Second level review'!C:O,10,0)</f>
        <v>#N/A</v>
      </c>
      <c r="O250" s="146"/>
      <c r="P250" s="146"/>
      <c r="Q250" s="146"/>
      <c r="R250" s="146"/>
      <c r="S250" s="146"/>
    </row>
    <row r="251" spans="1:19">
      <c r="A251" s="146" t="str">
        <f t="shared" si="3"/>
        <v>Test not reviewed</v>
      </c>
      <c r="B251" s="164"/>
      <c r="C251" s="164"/>
      <c r="D251" s="164"/>
      <c r="E251" s="164"/>
      <c r="F251" s="146"/>
      <c r="G251" s="164"/>
      <c r="H251" s="164"/>
      <c r="I251" s="164"/>
      <c r="J251" s="164"/>
      <c r="K251" s="164"/>
      <c r="L251" s="164"/>
      <c r="M251" s="164"/>
      <c r="N251" s="164" t="e">
        <f>VLOOKUP(B:B,'QT Second level review'!C:O,10,0)</f>
        <v>#N/A</v>
      </c>
      <c r="O251" s="146"/>
      <c r="P251" s="146"/>
      <c r="Q251" s="146"/>
      <c r="R251" s="146"/>
      <c r="S251" s="146"/>
    </row>
    <row r="252" spans="1:19">
      <c r="A252" s="146" t="str">
        <f t="shared" si="3"/>
        <v>Test not reviewed</v>
      </c>
      <c r="B252" s="164"/>
      <c r="C252" s="164"/>
      <c r="D252" s="164"/>
      <c r="E252" s="164"/>
      <c r="F252" s="146"/>
      <c r="G252" s="164"/>
      <c r="H252" s="164"/>
      <c r="I252" s="164"/>
      <c r="J252" s="164"/>
      <c r="K252" s="164"/>
      <c r="L252" s="164"/>
      <c r="M252" s="164"/>
      <c r="N252" s="164" t="e">
        <f>VLOOKUP(B:B,'QT Second level review'!C:O,10,0)</f>
        <v>#N/A</v>
      </c>
      <c r="O252" s="146"/>
      <c r="P252" s="146"/>
      <c r="Q252" s="146"/>
      <c r="R252" s="146"/>
      <c r="S252" s="146"/>
    </row>
    <row r="253" spans="1:19">
      <c r="A253" s="146" t="str">
        <f t="shared" si="3"/>
        <v>Test not reviewed</v>
      </c>
      <c r="B253" s="164"/>
      <c r="C253" s="164"/>
      <c r="D253" s="164"/>
      <c r="E253" s="164"/>
      <c r="F253" s="146"/>
      <c r="G253" s="164"/>
      <c r="H253" s="164"/>
      <c r="I253" s="164"/>
      <c r="J253" s="164"/>
      <c r="K253" s="164"/>
      <c r="L253" s="164"/>
      <c r="M253" s="164"/>
      <c r="N253" s="164" t="e">
        <f>VLOOKUP(B:B,'QT Second level review'!C:O,10,0)</f>
        <v>#N/A</v>
      </c>
      <c r="O253" s="146"/>
      <c r="P253" s="146"/>
      <c r="Q253" s="146"/>
      <c r="R253" s="146"/>
      <c r="S253" s="146"/>
    </row>
    <row r="254" spans="1:19">
      <c r="A254" s="146" t="str">
        <f t="shared" si="3"/>
        <v>Test not reviewed</v>
      </c>
      <c r="B254" s="164"/>
      <c r="C254" s="164"/>
      <c r="D254" s="164"/>
      <c r="E254" s="164"/>
      <c r="F254" s="146"/>
      <c r="G254" s="164"/>
      <c r="H254" s="164"/>
      <c r="I254" s="164"/>
      <c r="J254" s="164"/>
      <c r="K254" s="164"/>
      <c r="L254" s="164"/>
      <c r="M254" s="164"/>
      <c r="N254" s="164" t="e">
        <f>VLOOKUP(B:B,'QT Second level review'!C:O,10,0)</f>
        <v>#N/A</v>
      </c>
      <c r="O254" s="146"/>
      <c r="P254" s="146"/>
      <c r="Q254" s="146"/>
      <c r="R254" s="146"/>
      <c r="S254" s="146"/>
    </row>
    <row r="255" spans="1:19">
      <c r="A255" s="146" t="str">
        <f t="shared" si="3"/>
        <v>Test not reviewed</v>
      </c>
      <c r="B255" s="164"/>
      <c r="C255" s="164"/>
      <c r="D255" s="164"/>
      <c r="E255" s="164"/>
      <c r="F255" s="146"/>
      <c r="G255" s="164"/>
      <c r="H255" s="164"/>
      <c r="I255" s="164"/>
      <c r="J255" s="164"/>
      <c r="K255" s="164"/>
      <c r="L255" s="164"/>
      <c r="M255" s="164"/>
      <c r="N255" s="164" t="e">
        <f>VLOOKUP(B:B,'QT Second level review'!C:O,10,0)</f>
        <v>#N/A</v>
      </c>
      <c r="O255" s="146"/>
      <c r="P255" s="146"/>
      <c r="Q255" s="146"/>
      <c r="R255" s="146"/>
      <c r="S255" s="146"/>
    </row>
    <row r="256" spans="1:19">
      <c r="A256" s="146" t="str">
        <f t="shared" si="3"/>
        <v>Test not reviewed</v>
      </c>
      <c r="B256" s="164"/>
      <c r="C256" s="164"/>
      <c r="D256" s="164"/>
      <c r="E256" s="164"/>
      <c r="F256" s="146"/>
      <c r="G256" s="164"/>
      <c r="H256" s="164"/>
      <c r="I256" s="164"/>
      <c r="J256" s="164"/>
      <c r="K256" s="164"/>
      <c r="L256" s="164"/>
      <c r="M256" s="164"/>
      <c r="N256" s="164" t="e">
        <f>VLOOKUP(B:B,'QT Second level review'!C:O,10,0)</f>
        <v>#N/A</v>
      </c>
      <c r="O256" s="146"/>
      <c r="P256" s="146"/>
      <c r="Q256" s="146"/>
      <c r="R256" s="146"/>
      <c r="S256" s="146"/>
    </row>
    <row r="257" spans="1:19">
      <c r="A257" s="146" t="str">
        <f t="shared" si="3"/>
        <v>Test not reviewed</v>
      </c>
      <c r="B257" s="164"/>
      <c r="C257" s="164"/>
      <c r="D257" s="164"/>
      <c r="E257" s="164"/>
      <c r="F257" s="146"/>
      <c r="G257" s="164"/>
      <c r="H257" s="164"/>
      <c r="I257" s="164"/>
      <c r="J257" s="164"/>
      <c r="K257" s="164"/>
      <c r="L257" s="164"/>
      <c r="M257" s="164"/>
      <c r="N257" s="164" t="e">
        <f>VLOOKUP(B:B,'QT Second level review'!C:O,10,0)</f>
        <v>#N/A</v>
      </c>
      <c r="O257" s="146"/>
      <c r="P257" s="146"/>
      <c r="Q257" s="146"/>
      <c r="R257" s="146"/>
      <c r="S257" s="146"/>
    </row>
    <row r="258" spans="1:19">
      <c r="A258" s="146" t="str">
        <f t="shared" si="3"/>
        <v>Test not reviewed</v>
      </c>
      <c r="B258" s="164"/>
      <c r="C258" s="164"/>
      <c r="D258" s="164"/>
      <c r="E258" s="164"/>
      <c r="F258" s="146"/>
      <c r="G258" s="164"/>
      <c r="H258" s="164"/>
      <c r="I258" s="164"/>
      <c r="J258" s="164"/>
      <c r="K258" s="164"/>
      <c r="L258" s="164"/>
      <c r="M258" s="164"/>
      <c r="N258" s="164" t="e">
        <f>VLOOKUP(B:B,'QT Second level review'!C:O,10,0)</f>
        <v>#N/A</v>
      </c>
      <c r="O258" s="146"/>
      <c r="P258" s="146"/>
      <c r="Q258" s="146"/>
      <c r="R258" s="146"/>
      <c r="S258" s="146"/>
    </row>
    <row r="259" spans="1:19">
      <c r="A259" s="146" t="str">
        <f t="shared" ref="A259:A284" si="4">IF(ISNA(N259),"Test not reviewed","OK")</f>
        <v>Test not reviewed</v>
      </c>
      <c r="B259" s="164"/>
      <c r="C259" s="164"/>
      <c r="D259" s="164"/>
      <c r="E259" s="164"/>
      <c r="F259" s="146"/>
      <c r="G259" s="164"/>
      <c r="H259" s="164"/>
      <c r="I259" s="164"/>
      <c r="J259" s="164"/>
      <c r="K259" s="164"/>
      <c r="L259" s="164"/>
      <c r="M259" s="164"/>
      <c r="N259" s="164" t="e">
        <f>VLOOKUP(B:B,'QT Second level review'!C:O,10,0)</f>
        <v>#N/A</v>
      </c>
      <c r="O259" s="146"/>
      <c r="P259" s="146"/>
      <c r="Q259" s="146"/>
      <c r="R259" s="146"/>
      <c r="S259" s="146"/>
    </row>
    <row r="260" spans="1:19">
      <c r="A260" s="146" t="str">
        <f t="shared" si="4"/>
        <v>Test not reviewed</v>
      </c>
      <c r="B260" s="164"/>
      <c r="C260" s="164"/>
      <c r="D260" s="164"/>
      <c r="E260" s="164"/>
      <c r="F260" s="146"/>
      <c r="G260" s="164"/>
      <c r="H260" s="164"/>
      <c r="I260" s="164"/>
      <c r="J260" s="164"/>
      <c r="K260" s="164"/>
      <c r="L260" s="164"/>
      <c r="M260" s="164"/>
      <c r="N260" s="164" t="e">
        <f>VLOOKUP(B:B,'QT Second level review'!C:O,10,0)</f>
        <v>#N/A</v>
      </c>
      <c r="O260" s="146"/>
      <c r="P260" s="146"/>
      <c r="Q260" s="146"/>
      <c r="R260" s="146"/>
      <c r="S260" s="146"/>
    </row>
    <row r="261" spans="1:19">
      <c r="A261" s="146" t="str">
        <f t="shared" si="4"/>
        <v>Test not reviewed</v>
      </c>
      <c r="B261" s="164"/>
      <c r="C261" s="164"/>
      <c r="D261" s="164"/>
      <c r="E261" s="164"/>
      <c r="F261" s="146"/>
      <c r="G261" s="164"/>
      <c r="H261" s="164"/>
      <c r="I261" s="164"/>
      <c r="J261" s="164"/>
      <c r="K261" s="164"/>
      <c r="L261" s="164"/>
      <c r="M261" s="164"/>
      <c r="N261" s="164" t="e">
        <f>VLOOKUP(B:B,'QT Second level review'!C:O,10,0)</f>
        <v>#N/A</v>
      </c>
      <c r="O261" s="146"/>
      <c r="P261" s="146"/>
      <c r="Q261" s="146"/>
      <c r="R261" s="146"/>
      <c r="S261" s="146"/>
    </row>
    <row r="262" spans="1:19">
      <c r="A262" s="146" t="str">
        <f t="shared" si="4"/>
        <v>Test not reviewed</v>
      </c>
      <c r="B262" s="164"/>
      <c r="C262" s="164"/>
      <c r="D262" s="164"/>
      <c r="E262" s="164"/>
      <c r="F262" s="146"/>
      <c r="G262" s="164"/>
      <c r="H262" s="164"/>
      <c r="I262" s="164"/>
      <c r="J262" s="164"/>
      <c r="K262" s="164"/>
      <c r="L262" s="164"/>
      <c r="M262" s="164"/>
      <c r="N262" s="164" t="e">
        <f>VLOOKUP(B:B,'QT Second level review'!C:O,10,0)</f>
        <v>#N/A</v>
      </c>
      <c r="O262" s="146"/>
      <c r="P262" s="146"/>
      <c r="Q262" s="146"/>
      <c r="R262" s="146"/>
      <c r="S262" s="146"/>
    </row>
    <row r="263" spans="1:19">
      <c r="A263" s="146" t="str">
        <f t="shared" si="4"/>
        <v>Test not reviewed</v>
      </c>
      <c r="B263" s="164"/>
      <c r="C263" s="164"/>
      <c r="D263" s="164"/>
      <c r="E263" s="164"/>
      <c r="F263" s="146"/>
      <c r="G263" s="164"/>
      <c r="H263" s="164"/>
      <c r="I263" s="164"/>
      <c r="J263" s="164"/>
      <c r="K263" s="164"/>
      <c r="L263" s="164"/>
      <c r="M263" s="164"/>
      <c r="N263" s="164" t="e">
        <f>VLOOKUP(B:B,'QT Second level review'!C:O,10,0)</f>
        <v>#N/A</v>
      </c>
      <c r="O263" s="146"/>
      <c r="P263" s="146"/>
      <c r="Q263" s="146"/>
      <c r="R263" s="146"/>
      <c r="S263" s="146"/>
    </row>
    <row r="264" spans="1:19">
      <c r="A264" s="146" t="str">
        <f t="shared" si="4"/>
        <v>Test not reviewed</v>
      </c>
      <c r="B264" s="164"/>
      <c r="C264" s="164"/>
      <c r="D264" s="164"/>
      <c r="E264" s="164"/>
      <c r="F264" s="146"/>
      <c r="G264" s="164"/>
      <c r="H264" s="164"/>
      <c r="I264" s="164"/>
      <c r="J264" s="164"/>
      <c r="K264" s="164"/>
      <c r="L264" s="164"/>
      <c r="M264" s="164"/>
      <c r="N264" s="164" t="e">
        <f>VLOOKUP(B:B,'QT Second level review'!C:O,10,0)</f>
        <v>#N/A</v>
      </c>
      <c r="O264" s="146"/>
      <c r="P264" s="146"/>
      <c r="Q264" s="146"/>
      <c r="R264" s="146"/>
      <c r="S264" s="146"/>
    </row>
    <row r="265" spans="1:19">
      <c r="A265" s="146" t="str">
        <f t="shared" si="4"/>
        <v>Test not reviewed</v>
      </c>
      <c r="B265" s="164"/>
      <c r="C265" s="164"/>
      <c r="D265" s="164"/>
      <c r="E265" s="164"/>
      <c r="F265" s="146"/>
      <c r="G265" s="164"/>
      <c r="H265" s="164"/>
      <c r="I265" s="164"/>
      <c r="J265" s="164"/>
      <c r="K265" s="164"/>
      <c r="L265" s="164"/>
      <c r="M265" s="164"/>
      <c r="N265" s="164" t="e">
        <f>VLOOKUP(B:B,'QT Second level review'!C:O,10,0)</f>
        <v>#N/A</v>
      </c>
      <c r="O265" s="146"/>
      <c r="P265" s="146"/>
      <c r="Q265" s="146"/>
      <c r="R265" s="146"/>
      <c r="S265" s="146"/>
    </row>
    <row r="266" spans="1:19">
      <c r="A266" s="146" t="str">
        <f t="shared" si="4"/>
        <v>Test not reviewed</v>
      </c>
      <c r="B266" s="164"/>
      <c r="C266" s="164"/>
      <c r="D266" s="164"/>
      <c r="E266" s="164"/>
      <c r="F266" s="146"/>
      <c r="G266" s="164"/>
      <c r="H266" s="164"/>
      <c r="I266" s="164"/>
      <c r="J266" s="164"/>
      <c r="K266" s="164"/>
      <c r="L266" s="164"/>
      <c r="M266" s="164"/>
      <c r="N266" s="164" t="e">
        <f>VLOOKUP(B:B,'QT Second level review'!C:O,10,0)</f>
        <v>#N/A</v>
      </c>
      <c r="O266" s="146"/>
      <c r="P266" s="146"/>
      <c r="Q266" s="146"/>
      <c r="R266" s="146"/>
      <c r="S266" s="146"/>
    </row>
    <row r="267" spans="1:19">
      <c r="A267" s="146" t="str">
        <f t="shared" si="4"/>
        <v>Test not reviewed</v>
      </c>
      <c r="B267" s="164"/>
      <c r="C267" s="164"/>
      <c r="D267" s="164"/>
      <c r="E267" s="164"/>
      <c r="F267" s="146"/>
      <c r="G267" s="164"/>
      <c r="H267" s="164"/>
      <c r="I267" s="164"/>
      <c r="J267" s="164"/>
      <c r="K267" s="164"/>
      <c r="L267" s="164"/>
      <c r="M267" s="164"/>
      <c r="N267" s="164" t="e">
        <f>VLOOKUP(B:B,'QT Second level review'!C:O,10,0)</f>
        <v>#N/A</v>
      </c>
      <c r="O267" s="146"/>
      <c r="P267" s="146"/>
      <c r="Q267" s="146"/>
      <c r="R267" s="146"/>
      <c r="S267" s="146"/>
    </row>
    <row r="268" spans="1:19">
      <c r="A268" s="146" t="str">
        <f t="shared" si="4"/>
        <v>Test not reviewed</v>
      </c>
      <c r="B268" s="164"/>
      <c r="C268" s="164"/>
      <c r="D268" s="164"/>
      <c r="E268" s="164"/>
      <c r="F268" s="146"/>
      <c r="G268" s="164"/>
      <c r="H268" s="164"/>
      <c r="I268" s="164"/>
      <c r="J268" s="164"/>
      <c r="K268" s="164"/>
      <c r="L268" s="164"/>
      <c r="M268" s="164"/>
      <c r="N268" s="164" t="e">
        <f>VLOOKUP(B:B,'QT Second level review'!C:O,10,0)</f>
        <v>#N/A</v>
      </c>
      <c r="O268" s="146"/>
      <c r="P268" s="146"/>
      <c r="Q268" s="146"/>
      <c r="R268" s="146"/>
      <c r="S268" s="146"/>
    </row>
    <row r="269" spans="1:19">
      <c r="A269" s="146" t="str">
        <f t="shared" si="4"/>
        <v>Test not reviewed</v>
      </c>
      <c r="B269" s="164"/>
      <c r="C269" s="164"/>
      <c r="D269" s="164"/>
      <c r="E269" s="164"/>
      <c r="F269" s="146"/>
      <c r="G269" s="164"/>
      <c r="H269" s="164"/>
      <c r="I269" s="164"/>
      <c r="J269" s="164"/>
      <c r="K269" s="164"/>
      <c r="L269" s="164"/>
      <c r="M269" s="164"/>
      <c r="N269" s="164" t="e">
        <f>VLOOKUP(B:B,'QT Second level review'!C:O,10,0)</f>
        <v>#N/A</v>
      </c>
      <c r="O269" s="146"/>
      <c r="P269" s="146"/>
      <c r="Q269" s="146"/>
      <c r="R269" s="146"/>
      <c r="S269" s="146"/>
    </row>
    <row r="270" spans="1:19">
      <c r="A270" s="146" t="str">
        <f t="shared" si="4"/>
        <v>Test not reviewed</v>
      </c>
      <c r="B270" s="164"/>
      <c r="C270" s="164"/>
      <c r="D270" s="164"/>
      <c r="E270" s="164"/>
      <c r="F270" s="146"/>
      <c r="G270" s="164"/>
      <c r="H270" s="164"/>
      <c r="I270" s="164"/>
      <c r="J270" s="164"/>
      <c r="K270" s="164"/>
      <c r="L270" s="164"/>
      <c r="M270" s="164"/>
      <c r="N270" s="164" t="e">
        <f>VLOOKUP(B:B,'QT Second level review'!C:O,10,0)</f>
        <v>#N/A</v>
      </c>
      <c r="O270" s="146"/>
      <c r="P270" s="146"/>
      <c r="Q270" s="146"/>
      <c r="R270" s="146"/>
      <c r="S270" s="146"/>
    </row>
    <row r="271" spans="1:19">
      <c r="A271" s="146" t="str">
        <f t="shared" si="4"/>
        <v>Test not reviewed</v>
      </c>
      <c r="B271" s="164"/>
      <c r="C271" s="164"/>
      <c r="D271" s="164"/>
      <c r="E271" s="164"/>
      <c r="F271" s="146"/>
      <c r="G271" s="164"/>
      <c r="H271" s="164"/>
      <c r="I271" s="164"/>
      <c r="J271" s="164"/>
      <c r="K271" s="164"/>
      <c r="L271" s="164"/>
      <c r="M271" s="164"/>
      <c r="N271" s="164" t="e">
        <f>VLOOKUP(B:B,'QT Second level review'!C:O,10,0)</f>
        <v>#N/A</v>
      </c>
      <c r="O271" s="146"/>
      <c r="P271" s="146"/>
      <c r="Q271" s="146"/>
      <c r="R271" s="146"/>
      <c r="S271" s="146"/>
    </row>
    <row r="272" spans="1:19">
      <c r="A272" s="146" t="str">
        <f t="shared" si="4"/>
        <v>Test not reviewed</v>
      </c>
      <c r="B272" s="164"/>
      <c r="C272" s="164"/>
      <c r="D272" s="164"/>
      <c r="E272" s="164"/>
      <c r="F272" s="146"/>
      <c r="G272" s="164"/>
      <c r="H272" s="164"/>
      <c r="I272" s="164"/>
      <c r="J272" s="164"/>
      <c r="K272" s="164"/>
      <c r="L272" s="164"/>
      <c r="M272" s="164"/>
      <c r="N272" s="164" t="e">
        <f>VLOOKUP(B:B,'QT Second level review'!C:O,10,0)</f>
        <v>#N/A</v>
      </c>
      <c r="O272" s="146"/>
      <c r="P272" s="146"/>
      <c r="Q272" s="146"/>
      <c r="R272" s="146"/>
      <c r="S272" s="146"/>
    </row>
    <row r="273" spans="1:19">
      <c r="A273" s="146" t="str">
        <f t="shared" si="4"/>
        <v>Test not reviewed</v>
      </c>
      <c r="B273" s="164"/>
      <c r="C273" s="164"/>
      <c r="D273" s="164"/>
      <c r="E273" s="164"/>
      <c r="F273" s="146"/>
      <c r="G273" s="164"/>
      <c r="H273" s="164"/>
      <c r="I273" s="164"/>
      <c r="J273" s="164"/>
      <c r="K273" s="164"/>
      <c r="L273" s="164"/>
      <c r="M273" s="164"/>
      <c r="N273" s="164" t="e">
        <f>VLOOKUP(B:B,'QT Second level review'!C:O,10,0)</f>
        <v>#N/A</v>
      </c>
      <c r="O273" s="146"/>
      <c r="P273" s="146"/>
      <c r="Q273" s="146"/>
      <c r="R273" s="146"/>
      <c r="S273" s="146"/>
    </row>
    <row r="274" spans="1:19">
      <c r="A274" s="146" t="str">
        <f t="shared" si="4"/>
        <v>Test not reviewed</v>
      </c>
      <c r="B274" s="164"/>
      <c r="C274" s="164"/>
      <c r="D274" s="164"/>
      <c r="E274" s="164"/>
      <c r="F274" s="146"/>
      <c r="G274" s="164"/>
      <c r="H274" s="164"/>
      <c r="I274" s="164"/>
      <c r="J274" s="164"/>
      <c r="K274" s="164"/>
      <c r="L274" s="164"/>
      <c r="M274" s="164"/>
      <c r="N274" s="164" t="e">
        <f>VLOOKUP(B:B,'QT Second level review'!C:O,10,0)</f>
        <v>#N/A</v>
      </c>
      <c r="O274" s="146"/>
      <c r="P274" s="146"/>
      <c r="Q274" s="146"/>
      <c r="R274" s="146"/>
      <c r="S274" s="146"/>
    </row>
    <row r="275" spans="1:19">
      <c r="A275" s="146" t="str">
        <f t="shared" si="4"/>
        <v>Test not reviewed</v>
      </c>
      <c r="B275" s="164"/>
      <c r="C275" s="164"/>
      <c r="D275" s="164"/>
      <c r="E275" s="164"/>
      <c r="F275" s="146"/>
      <c r="G275" s="164"/>
      <c r="H275" s="164"/>
      <c r="I275" s="164"/>
      <c r="J275" s="164"/>
      <c r="K275" s="164"/>
      <c r="L275" s="164"/>
      <c r="M275" s="164"/>
      <c r="N275" s="164" t="e">
        <f>VLOOKUP(B:B,'QT Second level review'!C:O,10,0)</f>
        <v>#N/A</v>
      </c>
      <c r="O275" s="146"/>
      <c r="P275" s="146"/>
      <c r="Q275" s="146"/>
      <c r="R275" s="146"/>
      <c r="S275" s="146"/>
    </row>
    <row r="276" spans="1:19">
      <c r="A276" s="146" t="str">
        <f t="shared" si="4"/>
        <v>Test not reviewed</v>
      </c>
      <c r="B276" s="164"/>
      <c r="C276" s="164"/>
      <c r="D276" s="164"/>
      <c r="E276" s="164"/>
      <c r="F276" s="146"/>
      <c r="G276" s="164"/>
      <c r="H276" s="164"/>
      <c r="I276" s="164"/>
      <c r="J276" s="164"/>
      <c r="K276" s="164"/>
      <c r="L276" s="164"/>
      <c r="M276" s="164"/>
      <c r="N276" s="164" t="e">
        <f>VLOOKUP(B:B,'QT Second level review'!C:O,10,0)</f>
        <v>#N/A</v>
      </c>
      <c r="O276" s="146"/>
      <c r="P276" s="146"/>
      <c r="Q276" s="146"/>
      <c r="R276" s="146"/>
      <c r="S276" s="146"/>
    </row>
    <row r="277" spans="1:19">
      <c r="A277" s="146" t="str">
        <f t="shared" si="4"/>
        <v>Test not reviewed</v>
      </c>
      <c r="B277" s="164"/>
      <c r="C277" s="164"/>
      <c r="D277" s="164"/>
      <c r="E277" s="164"/>
      <c r="F277" s="146"/>
      <c r="G277" s="164"/>
      <c r="H277" s="164"/>
      <c r="I277" s="164"/>
      <c r="J277" s="164"/>
      <c r="K277" s="164"/>
      <c r="L277" s="164"/>
      <c r="M277" s="164"/>
      <c r="N277" s="164" t="e">
        <f>VLOOKUP(B:B,'QT Second level review'!C:O,10,0)</f>
        <v>#N/A</v>
      </c>
      <c r="O277" s="146"/>
      <c r="P277" s="146"/>
      <c r="Q277" s="146"/>
      <c r="R277" s="146"/>
      <c r="S277" s="146"/>
    </row>
    <row r="278" spans="1:19">
      <c r="A278" s="146" t="str">
        <f t="shared" si="4"/>
        <v>Test not reviewed</v>
      </c>
      <c r="B278" s="164"/>
      <c r="C278" s="164"/>
      <c r="D278" s="164"/>
      <c r="E278" s="164"/>
      <c r="F278" s="146"/>
      <c r="G278" s="164"/>
      <c r="H278" s="164"/>
      <c r="I278" s="164"/>
      <c r="J278" s="164"/>
      <c r="K278" s="164"/>
      <c r="L278" s="164"/>
      <c r="M278" s="164"/>
      <c r="N278" s="164" t="e">
        <f>VLOOKUP(B:B,'QT Second level review'!C:O,10,0)</f>
        <v>#N/A</v>
      </c>
      <c r="O278" s="146"/>
      <c r="P278" s="146"/>
      <c r="Q278" s="146"/>
      <c r="R278" s="146"/>
      <c r="S278" s="146"/>
    </row>
    <row r="279" spans="1:19">
      <c r="A279" s="146" t="str">
        <f t="shared" si="4"/>
        <v>Test not reviewed</v>
      </c>
      <c r="B279" s="164"/>
      <c r="C279" s="164"/>
      <c r="D279" s="164"/>
      <c r="E279" s="164"/>
      <c r="F279" s="146"/>
      <c r="G279" s="164"/>
      <c r="H279" s="164"/>
      <c r="I279" s="164"/>
      <c r="J279" s="164"/>
      <c r="K279" s="164"/>
      <c r="L279" s="164"/>
      <c r="M279" s="164"/>
      <c r="N279" s="164" t="e">
        <f>VLOOKUP(B:B,'QT Second level review'!C:O,10,0)</f>
        <v>#N/A</v>
      </c>
      <c r="O279" s="146"/>
      <c r="P279" s="146"/>
      <c r="Q279" s="146"/>
      <c r="R279" s="146"/>
      <c r="S279" s="146"/>
    </row>
    <row r="280" spans="1:19">
      <c r="A280" s="146" t="str">
        <f t="shared" si="4"/>
        <v>Test not reviewed</v>
      </c>
      <c r="B280" s="164"/>
      <c r="C280" s="164"/>
      <c r="D280" s="164"/>
      <c r="E280" s="164"/>
      <c r="F280" s="146"/>
      <c r="G280" s="164"/>
      <c r="H280" s="164"/>
      <c r="I280" s="164"/>
      <c r="J280" s="164"/>
      <c r="K280" s="164"/>
      <c r="L280" s="164"/>
      <c r="M280" s="164"/>
      <c r="N280" s="164" t="e">
        <f>VLOOKUP(B:B,'QT Second level review'!C:O,10,0)</f>
        <v>#N/A</v>
      </c>
      <c r="O280" s="146"/>
      <c r="P280" s="146"/>
      <c r="Q280" s="146"/>
      <c r="R280" s="146"/>
      <c r="S280" s="146"/>
    </row>
    <row r="281" spans="1:19">
      <c r="A281" s="146" t="str">
        <f t="shared" si="4"/>
        <v>Test not reviewed</v>
      </c>
      <c r="B281" s="164"/>
      <c r="C281" s="164"/>
      <c r="D281" s="164"/>
      <c r="E281" s="164"/>
      <c r="F281" s="146"/>
      <c r="G281" s="164"/>
      <c r="H281" s="164"/>
      <c r="I281" s="164"/>
      <c r="J281" s="164"/>
      <c r="K281" s="164"/>
      <c r="L281" s="164"/>
      <c r="M281" s="164"/>
      <c r="N281" s="164" t="e">
        <f>VLOOKUP(B:B,'QT Second level review'!C:O,10,0)</f>
        <v>#N/A</v>
      </c>
      <c r="O281" s="146"/>
      <c r="P281" s="146"/>
      <c r="Q281" s="146"/>
      <c r="R281" s="146"/>
      <c r="S281" s="146"/>
    </row>
    <row r="282" spans="1:19">
      <c r="A282" s="146" t="str">
        <f t="shared" si="4"/>
        <v>Test not reviewed</v>
      </c>
      <c r="B282" s="164"/>
      <c r="C282" s="164"/>
      <c r="D282" s="164"/>
      <c r="E282" s="164"/>
      <c r="F282" s="146"/>
      <c r="G282" s="164"/>
      <c r="H282" s="164"/>
      <c r="I282" s="164"/>
      <c r="J282" s="164"/>
      <c r="K282" s="164"/>
      <c r="L282" s="164"/>
      <c r="M282" s="164"/>
      <c r="N282" s="164" t="e">
        <f>VLOOKUP(B:B,'QT Second level review'!C:O,10,0)</f>
        <v>#N/A</v>
      </c>
      <c r="O282" s="146"/>
      <c r="P282" s="146"/>
      <c r="Q282" s="146"/>
      <c r="R282" s="146"/>
      <c r="S282" s="146"/>
    </row>
    <row r="283" spans="1:19">
      <c r="A283" s="146" t="str">
        <f t="shared" si="4"/>
        <v>Test not reviewed</v>
      </c>
      <c r="B283" s="164"/>
      <c r="C283" s="164"/>
      <c r="D283" s="164"/>
      <c r="E283" s="164"/>
      <c r="F283" s="146"/>
      <c r="G283" s="164"/>
      <c r="H283" s="164"/>
      <c r="I283" s="164"/>
      <c r="J283" s="164"/>
      <c r="K283" s="164"/>
      <c r="L283" s="164"/>
      <c r="M283" s="164"/>
      <c r="N283" s="164" t="e">
        <f>VLOOKUP(B:B,'QT Second level review'!C:O,10,0)</f>
        <v>#N/A</v>
      </c>
      <c r="O283" s="146"/>
      <c r="P283" s="146"/>
      <c r="Q283" s="146"/>
      <c r="R283" s="146"/>
      <c r="S283" s="146"/>
    </row>
    <row r="284" spans="1:19">
      <c r="A284" s="146" t="str">
        <f t="shared" si="4"/>
        <v>Test not reviewed</v>
      </c>
      <c r="B284" s="164"/>
      <c r="C284" s="164"/>
      <c r="D284" s="164"/>
      <c r="E284" s="164"/>
      <c r="F284" s="146"/>
      <c r="G284" s="164"/>
      <c r="H284" s="164"/>
      <c r="I284" s="164"/>
      <c r="J284" s="164"/>
      <c r="K284" s="164"/>
      <c r="L284" s="164"/>
      <c r="M284" s="164"/>
      <c r="N284" s="164" t="e">
        <f>VLOOKUP(B:B,'QT Second level review'!C:O,10,0)</f>
        <v>#N/A</v>
      </c>
      <c r="O284" s="146"/>
      <c r="P284" s="146"/>
      <c r="Q284" s="146"/>
      <c r="R284" s="146"/>
      <c r="S284" s="14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297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312</v>
      </c>
      <c r="B10" s="160" t="s">
        <v>313</v>
      </c>
      <c r="C10" s="209"/>
      <c r="D10" s="210"/>
      <c r="E10" s="150"/>
      <c r="F10" s="150"/>
    </row>
    <row r="11" spans="1:7" ht="51">
      <c r="A11" s="151" t="s">
        <v>314</v>
      </c>
      <c r="B11" s="160" t="s">
        <v>315</v>
      </c>
      <c r="C11" s="209"/>
      <c r="D11" s="210"/>
      <c r="E11" s="152" t="s">
        <v>316</v>
      </c>
      <c r="F11" s="150"/>
    </row>
    <row r="12" spans="1:7" ht="38.25">
      <c r="A12" s="151" t="s">
        <v>317</v>
      </c>
      <c r="B12" s="160" t="s">
        <v>318</v>
      </c>
      <c r="C12" s="209"/>
      <c r="D12" s="210"/>
      <c r="E12" s="150"/>
      <c r="F12" s="150"/>
    </row>
    <row r="13" spans="1:7" ht="38.25">
      <c r="A13" s="151" t="s">
        <v>319</v>
      </c>
      <c r="B13" s="160" t="s">
        <v>320</v>
      </c>
      <c r="C13" s="209"/>
      <c r="D13" s="210"/>
      <c r="E13" s="150" t="s">
        <v>321</v>
      </c>
      <c r="F13" s="150"/>
    </row>
    <row r="14" spans="1:7" ht="25.5">
      <c r="A14" s="151" t="s">
        <v>322</v>
      </c>
      <c r="B14" s="160" t="s">
        <v>323</v>
      </c>
      <c r="C14" s="209"/>
      <c r="D14" s="210"/>
      <c r="E14" s="150"/>
      <c r="F14" s="150"/>
    </row>
    <row r="15" spans="1:7" ht="63.75">
      <c r="A15" s="151" t="s">
        <v>324</v>
      </c>
      <c r="B15" s="160" t="s">
        <v>325</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330</v>
      </c>
      <c r="B18" s="160" t="s">
        <v>331</v>
      </c>
      <c r="C18" s="209"/>
      <c r="D18" s="210"/>
      <c r="E18" s="150"/>
      <c r="F18" s="150"/>
    </row>
    <row r="19" spans="1:6" ht="25.5">
      <c r="A19" s="151" t="s">
        <v>332</v>
      </c>
      <c r="B19" s="160" t="s">
        <v>333</v>
      </c>
      <c r="C19" s="209"/>
      <c r="D19" s="210"/>
      <c r="E19" s="150"/>
      <c r="F19" s="150"/>
    </row>
    <row r="20" spans="1:6" ht="25.5">
      <c r="A20" s="151" t="s">
        <v>334</v>
      </c>
      <c r="B20" s="160" t="s">
        <v>335</v>
      </c>
      <c r="C20" s="209"/>
      <c r="D20" s="210"/>
      <c r="E20" s="150"/>
      <c r="F20" s="150"/>
    </row>
    <row r="21" spans="1:6" ht="63.75">
      <c r="A21" s="151" t="s">
        <v>336</v>
      </c>
      <c r="B21" s="160" t="s">
        <v>337</v>
      </c>
      <c r="C21" s="209"/>
      <c r="D21" s="210"/>
      <c r="E21" s="152" t="s">
        <v>338</v>
      </c>
      <c r="F21" s="150"/>
    </row>
    <row r="22" spans="1:6" ht="18.75">
      <c r="A22" s="148"/>
      <c r="B22" s="157" t="s">
        <v>339</v>
      </c>
      <c r="C22" s="149"/>
      <c r="D22" s="149"/>
      <c r="E22" s="215"/>
      <c r="F22" s="215"/>
    </row>
    <row r="23" spans="1:6" ht="25.5">
      <c r="A23" s="151" t="s">
        <v>340</v>
      </c>
      <c r="B23" s="160" t="s">
        <v>341</v>
      </c>
      <c r="C23" s="209"/>
      <c r="D23" s="210"/>
      <c r="E23" s="150"/>
      <c r="F23" s="150"/>
    </row>
    <row r="24" spans="1:6" ht="18.75">
      <c r="A24" s="148"/>
      <c r="B24" s="157" t="s">
        <v>342</v>
      </c>
      <c r="C24" s="149"/>
      <c r="D24" s="149"/>
      <c r="E24" s="215"/>
      <c r="F24" s="215"/>
    </row>
    <row r="25" spans="1:6" ht="76.5">
      <c r="A25" s="151" t="s">
        <v>343</v>
      </c>
      <c r="B25" s="160" t="s">
        <v>344</v>
      </c>
      <c r="C25" s="209"/>
      <c r="D25" s="210"/>
      <c r="E25" s="150"/>
      <c r="F25" s="150"/>
    </row>
    <row r="26" spans="1:6" ht="18.75">
      <c r="A26" s="148"/>
      <c r="B26" s="157" t="s">
        <v>345</v>
      </c>
      <c r="C26" s="149"/>
      <c r="D26" s="149"/>
      <c r="E26" s="215"/>
      <c r="F26" s="215"/>
    </row>
    <row r="27" spans="1:6" ht="38.25">
      <c r="A27" s="151" t="s">
        <v>346</v>
      </c>
      <c r="B27" s="160" t="s">
        <v>347</v>
      </c>
      <c r="C27" s="209"/>
      <c r="D27" s="210"/>
      <c r="E27" s="150"/>
      <c r="F27" s="150"/>
    </row>
    <row r="28" spans="1:6" ht="25.5">
      <c r="A28" s="151" t="s">
        <v>348</v>
      </c>
      <c r="B28" s="160" t="s">
        <v>349</v>
      </c>
      <c r="C28" s="209"/>
      <c r="D28" s="210"/>
      <c r="E28" s="150"/>
      <c r="F28" s="150"/>
    </row>
    <row r="29" spans="1:6" ht="25.5">
      <c r="A29" s="151" t="s">
        <v>350</v>
      </c>
      <c r="B29" s="160" t="s">
        <v>351</v>
      </c>
      <c r="C29" s="209"/>
      <c r="D29" s="210"/>
      <c r="E29" s="150"/>
      <c r="F29" s="150"/>
    </row>
    <row r="30" spans="1:6" ht="18.75">
      <c r="A30" s="148"/>
      <c r="B30" s="157" t="s">
        <v>352</v>
      </c>
      <c r="C30" s="149"/>
      <c r="D30" s="149"/>
      <c r="E30" s="215"/>
      <c r="F30" s="215"/>
    </row>
    <row r="31" spans="1:6" ht="25.5">
      <c r="A31" s="151" t="s">
        <v>353</v>
      </c>
      <c r="B31" s="160" t="s">
        <v>354</v>
      </c>
      <c r="C31" s="209"/>
      <c r="D31" s="210"/>
      <c r="E31" s="150"/>
      <c r="F31" s="150"/>
    </row>
    <row r="32" spans="1:6" ht="38.25">
      <c r="A32" s="151" t="s">
        <v>355</v>
      </c>
      <c r="B32" s="160" t="s">
        <v>356</v>
      </c>
      <c r="C32" s="209"/>
      <c r="D32" s="210"/>
      <c r="E32" s="150"/>
      <c r="F32" s="150"/>
    </row>
    <row r="33" spans="1:6" ht="18.75">
      <c r="A33" s="148"/>
      <c r="B33" s="157" t="s">
        <v>357</v>
      </c>
      <c r="C33" s="149"/>
      <c r="D33" s="149"/>
      <c r="E33" s="215"/>
      <c r="F33" s="215"/>
    </row>
    <row r="34" spans="1:6" ht="38.25">
      <c r="A34" s="151" t="s">
        <v>358</v>
      </c>
      <c r="B34" s="160" t="s">
        <v>359</v>
      </c>
      <c r="C34" s="209"/>
      <c r="D34" s="210"/>
      <c r="E34" s="150"/>
      <c r="F34" s="150"/>
    </row>
    <row r="35" spans="1:6" ht="18.75">
      <c r="A35" s="148"/>
      <c r="B35" s="157" t="s">
        <v>360</v>
      </c>
      <c r="C35" s="149"/>
      <c r="D35" s="149"/>
      <c r="E35" s="215"/>
      <c r="F35" s="215"/>
    </row>
    <row r="36" spans="1:6" ht="38.25">
      <c r="A36" s="151" t="s">
        <v>361</v>
      </c>
      <c r="B36" s="160" t="s">
        <v>362</v>
      </c>
      <c r="C36" s="209"/>
      <c r="D36" s="210"/>
      <c r="E36" s="150"/>
      <c r="F36" s="150"/>
    </row>
    <row r="37" spans="1:6" ht="25.5">
      <c r="A37" s="151" t="s">
        <v>363</v>
      </c>
      <c r="B37" s="160" t="s">
        <v>364</v>
      </c>
      <c r="C37" s="209"/>
      <c r="D37" s="210"/>
      <c r="E37" s="150"/>
      <c r="F37" s="150"/>
    </row>
    <row r="38" spans="1:6" ht="38.25">
      <c r="A38" s="151" t="s">
        <v>365</v>
      </c>
      <c r="B38" s="160" t="s">
        <v>366</v>
      </c>
      <c r="C38" s="209"/>
      <c r="D38" s="210"/>
      <c r="E38" s="150"/>
      <c r="F38" s="150"/>
    </row>
    <row r="39" spans="1:6" ht="38.25">
      <c r="A39" s="151" t="s">
        <v>367</v>
      </c>
      <c r="B39" s="160" t="s">
        <v>368</v>
      </c>
      <c r="C39" s="209"/>
      <c r="D39" s="210"/>
      <c r="E39" s="150"/>
      <c r="F39" s="150"/>
    </row>
    <row r="40" spans="1:6" ht="18.75">
      <c r="A40" s="148"/>
      <c r="B40" s="157" t="s">
        <v>369</v>
      </c>
      <c r="C40" s="149"/>
      <c r="D40" s="149"/>
      <c r="E40" s="215"/>
      <c r="F40" s="215"/>
    </row>
    <row r="41" spans="1:6" ht="38.25">
      <c r="A41" s="151" t="s">
        <v>370</v>
      </c>
      <c r="B41" s="160" t="s">
        <v>371</v>
      </c>
      <c r="C41" s="209"/>
      <c r="D41" s="210"/>
      <c r="E41" s="150"/>
      <c r="F41" s="150"/>
    </row>
    <row r="42" spans="1:6" ht="38.25">
      <c r="A42" s="151" t="s">
        <v>372</v>
      </c>
      <c r="B42" s="160" t="s">
        <v>373</v>
      </c>
      <c r="C42" s="209"/>
      <c r="D42" s="210"/>
      <c r="E42" s="150"/>
      <c r="F42" s="150"/>
    </row>
    <row r="43" spans="1:6" ht="18.75">
      <c r="A43" s="148"/>
      <c r="B43" s="157" t="s">
        <v>374</v>
      </c>
      <c r="C43" s="149"/>
      <c r="D43" s="149"/>
      <c r="E43" s="215"/>
      <c r="F43" s="215"/>
    </row>
    <row r="44" spans="1:6" ht="51">
      <c r="A44" s="151" t="s">
        <v>375</v>
      </c>
      <c r="B44" s="160" t="s">
        <v>376</v>
      </c>
      <c r="C44" s="209"/>
      <c r="D44" s="210"/>
      <c r="E44" s="150"/>
      <c r="F44" s="150"/>
    </row>
    <row r="45" spans="1:6" ht="18">
      <c r="A45" s="211"/>
      <c r="B45" s="212" t="s">
        <v>377</v>
      </c>
      <c r="C45" s="211"/>
      <c r="D45" s="211"/>
      <c r="E45" s="211"/>
      <c r="F45" s="211"/>
    </row>
    <row r="46" spans="1:6">
      <c r="A46" s="151"/>
      <c r="B46" s="160"/>
    </row>
    <row r="47" spans="1:6" ht="15">
      <c r="A47" s="213"/>
      <c r="B47" s="214" t="s">
        <v>378</v>
      </c>
      <c r="C47" s="213"/>
      <c r="D47" s="213"/>
      <c r="E47" s="213"/>
      <c r="F47" s="213"/>
    </row>
  </sheetData>
  <mergeCells count="1">
    <mergeCell ref="E2:F2"/>
  </mergeCells>
  <conditionalFormatting sqref="C6">
    <cfRule type="cellIs" dxfId="1493" priority="1378" operator="equal">
      <formula>"No"</formula>
    </cfRule>
    <cfRule type="cellIs" dxfId="1492" priority="1379" operator="equal">
      <formula>"NA"</formula>
    </cfRule>
    <cfRule type="cellIs" dxfId="1491" priority="1380" operator="equal">
      <formula>"Yes"</formula>
    </cfRule>
  </conditionalFormatting>
  <conditionalFormatting sqref="C7">
    <cfRule type="cellIs" dxfId="1490" priority="1332" operator="equal">
      <formula>"No"</formula>
    </cfRule>
    <cfRule type="cellIs" dxfId="1489" priority="1333" operator="equal">
      <formula>"NA"</formula>
    </cfRule>
    <cfRule type="cellIs" dxfId="1488" priority="1334" operator="equal">
      <formula>"Yes"</formula>
    </cfRule>
  </conditionalFormatting>
  <conditionalFormatting sqref="C8">
    <cfRule type="cellIs" dxfId="1487" priority="1286" operator="equal">
      <formula>"No"</formula>
    </cfRule>
    <cfRule type="cellIs" dxfId="1486" priority="1287" operator="equal">
      <formula>"NA"</formula>
    </cfRule>
    <cfRule type="cellIs" dxfId="1485" priority="1288" operator="equal">
      <formula>"Yes"</formula>
    </cfRule>
  </conditionalFormatting>
  <conditionalFormatting sqref="C10">
    <cfRule type="cellIs" dxfId="1484" priority="1240" operator="equal">
      <formula>"No"</formula>
    </cfRule>
    <cfRule type="cellIs" dxfId="1483" priority="1241" operator="equal">
      <formula>"NA"</formula>
    </cfRule>
    <cfRule type="cellIs" dxfId="1482" priority="1242" operator="equal">
      <formula>"Yes"</formula>
    </cfRule>
  </conditionalFormatting>
  <conditionalFormatting sqref="C11">
    <cfRule type="cellIs" dxfId="1481" priority="1194" operator="equal">
      <formula>"No"</formula>
    </cfRule>
    <cfRule type="cellIs" dxfId="1480" priority="1195" operator="equal">
      <formula>"NA"</formula>
    </cfRule>
    <cfRule type="cellIs" dxfId="1479" priority="1196" operator="equal">
      <formula>"Yes"</formula>
    </cfRule>
  </conditionalFormatting>
  <conditionalFormatting sqref="C12">
    <cfRule type="cellIs" dxfId="1478" priority="1148" operator="equal">
      <formula>"No"</formula>
    </cfRule>
    <cfRule type="cellIs" dxfId="1477" priority="1149" operator="equal">
      <formula>"NA"</formula>
    </cfRule>
    <cfRule type="cellIs" dxfId="1476" priority="1150" operator="equal">
      <formula>"Yes"</formula>
    </cfRule>
  </conditionalFormatting>
  <conditionalFormatting sqref="C13">
    <cfRule type="cellIs" dxfId="1475" priority="1102" operator="equal">
      <formula>"No"</formula>
    </cfRule>
    <cfRule type="cellIs" dxfId="1474" priority="1103" operator="equal">
      <formula>"NA"</formula>
    </cfRule>
    <cfRule type="cellIs" dxfId="1473" priority="1104" operator="equal">
      <formula>"Yes"</formula>
    </cfRule>
  </conditionalFormatting>
  <conditionalFormatting sqref="C14">
    <cfRule type="cellIs" dxfId="1472" priority="1056" operator="equal">
      <formula>"No"</formula>
    </cfRule>
    <cfRule type="cellIs" dxfId="1471" priority="1057" operator="equal">
      <formula>"NA"</formula>
    </cfRule>
    <cfRule type="cellIs" dxfId="1470" priority="1058" operator="equal">
      <formula>"Yes"</formula>
    </cfRule>
  </conditionalFormatting>
  <conditionalFormatting sqref="C15">
    <cfRule type="cellIs" dxfId="1469" priority="1010" operator="equal">
      <formula>"No"</formula>
    </cfRule>
    <cfRule type="cellIs" dxfId="1468" priority="1011" operator="equal">
      <formula>"NA"</formula>
    </cfRule>
    <cfRule type="cellIs" dxfId="1467" priority="1012" operator="equal">
      <formula>"Yes"</formula>
    </cfRule>
  </conditionalFormatting>
  <conditionalFormatting sqref="C16">
    <cfRule type="cellIs" dxfId="1466" priority="964" operator="equal">
      <formula>"No"</formula>
    </cfRule>
    <cfRule type="cellIs" dxfId="1465" priority="965" operator="equal">
      <formula>"NA"</formula>
    </cfRule>
    <cfRule type="cellIs" dxfId="1464" priority="966" operator="equal">
      <formula>"Yes"</formula>
    </cfRule>
  </conditionalFormatting>
  <conditionalFormatting sqref="C17">
    <cfRule type="cellIs" dxfId="1463" priority="918" operator="equal">
      <formula>"No"</formula>
    </cfRule>
    <cfRule type="cellIs" dxfId="1462" priority="919" operator="equal">
      <formula>"NA"</formula>
    </cfRule>
    <cfRule type="cellIs" dxfId="1461" priority="920" operator="equal">
      <formula>"Yes"</formula>
    </cfRule>
  </conditionalFormatting>
  <conditionalFormatting sqref="C18">
    <cfRule type="cellIs" dxfId="1460" priority="872" operator="equal">
      <formula>"No"</formula>
    </cfRule>
    <cfRule type="cellIs" dxfId="1459" priority="873" operator="equal">
      <formula>"NA"</formula>
    </cfRule>
    <cfRule type="cellIs" dxfId="1458" priority="874" operator="equal">
      <formula>"Yes"</formula>
    </cfRule>
  </conditionalFormatting>
  <conditionalFormatting sqref="C19">
    <cfRule type="cellIs" dxfId="1457" priority="826" operator="equal">
      <formula>"No"</formula>
    </cfRule>
    <cfRule type="cellIs" dxfId="1456" priority="827" operator="equal">
      <formula>"NA"</formula>
    </cfRule>
    <cfRule type="cellIs" dxfId="1455" priority="828" operator="equal">
      <formula>"Yes"</formula>
    </cfRule>
  </conditionalFormatting>
  <conditionalFormatting sqref="C20">
    <cfRule type="cellIs" dxfId="1454" priority="780" operator="equal">
      <formula>"No"</formula>
    </cfRule>
    <cfRule type="cellIs" dxfId="1453" priority="781" operator="equal">
      <formula>"NA"</formula>
    </cfRule>
    <cfRule type="cellIs" dxfId="1452" priority="782" operator="equal">
      <formula>"Yes"</formula>
    </cfRule>
  </conditionalFormatting>
  <conditionalFormatting sqref="C21">
    <cfRule type="cellIs" dxfId="1451" priority="734" operator="equal">
      <formula>"No"</formula>
    </cfRule>
    <cfRule type="cellIs" dxfId="1450" priority="735" operator="equal">
      <formula>"NA"</formula>
    </cfRule>
    <cfRule type="cellIs" dxfId="1449" priority="736" operator="equal">
      <formula>"Yes"</formula>
    </cfRule>
  </conditionalFormatting>
  <conditionalFormatting sqref="C23">
    <cfRule type="cellIs" dxfId="1448" priority="688" operator="equal">
      <formula>"No"</formula>
    </cfRule>
    <cfRule type="cellIs" dxfId="1447" priority="689" operator="equal">
      <formula>"NA"</formula>
    </cfRule>
    <cfRule type="cellIs" dxfId="1446" priority="690" operator="equal">
      <formula>"Yes"</formula>
    </cfRule>
  </conditionalFormatting>
  <conditionalFormatting sqref="C25">
    <cfRule type="cellIs" dxfId="1445" priority="642" operator="equal">
      <formula>"No"</formula>
    </cfRule>
    <cfRule type="cellIs" dxfId="1444" priority="643" operator="equal">
      <formula>"NA"</formula>
    </cfRule>
    <cfRule type="cellIs" dxfId="1443" priority="644" operator="equal">
      <formula>"Yes"</formula>
    </cfRule>
  </conditionalFormatting>
  <conditionalFormatting sqref="C27">
    <cfRule type="cellIs" dxfId="1442" priority="596" operator="equal">
      <formula>"No"</formula>
    </cfRule>
    <cfRule type="cellIs" dxfId="1441" priority="597" operator="equal">
      <formula>"NA"</formula>
    </cfRule>
    <cfRule type="cellIs" dxfId="1440" priority="598" operator="equal">
      <formula>"Yes"</formula>
    </cfRule>
  </conditionalFormatting>
  <conditionalFormatting sqref="C28">
    <cfRule type="cellIs" dxfId="1439" priority="550" operator="equal">
      <formula>"No"</formula>
    </cfRule>
    <cfRule type="cellIs" dxfId="1438" priority="551" operator="equal">
      <formula>"NA"</formula>
    </cfRule>
    <cfRule type="cellIs" dxfId="1437" priority="552" operator="equal">
      <formula>"Yes"</formula>
    </cfRule>
  </conditionalFormatting>
  <conditionalFormatting sqref="C29">
    <cfRule type="cellIs" dxfId="1436" priority="504" operator="equal">
      <formula>"No"</formula>
    </cfRule>
    <cfRule type="cellIs" dxfId="1435" priority="505" operator="equal">
      <formula>"NA"</formula>
    </cfRule>
    <cfRule type="cellIs" dxfId="1434" priority="506" operator="equal">
      <formula>"Yes"</formula>
    </cfRule>
  </conditionalFormatting>
  <conditionalFormatting sqref="C31">
    <cfRule type="cellIs" dxfId="1433" priority="458" operator="equal">
      <formula>"No"</formula>
    </cfRule>
    <cfRule type="cellIs" dxfId="1432" priority="459" operator="equal">
      <formula>"NA"</formula>
    </cfRule>
    <cfRule type="cellIs" dxfId="1431" priority="460" operator="equal">
      <formula>"Yes"</formula>
    </cfRule>
  </conditionalFormatting>
  <conditionalFormatting sqref="C32">
    <cfRule type="cellIs" dxfId="1430" priority="412" operator="equal">
      <formula>"No"</formula>
    </cfRule>
    <cfRule type="cellIs" dxfId="1429" priority="413" operator="equal">
      <formula>"NA"</formula>
    </cfRule>
    <cfRule type="cellIs" dxfId="1428" priority="414" operator="equal">
      <formula>"Yes"</formula>
    </cfRule>
  </conditionalFormatting>
  <conditionalFormatting sqref="C34">
    <cfRule type="cellIs" dxfId="1427" priority="366" operator="equal">
      <formula>"No"</formula>
    </cfRule>
    <cfRule type="cellIs" dxfId="1426" priority="367" operator="equal">
      <formula>"NA"</formula>
    </cfRule>
    <cfRule type="cellIs" dxfId="1425" priority="368" operator="equal">
      <formula>"Yes"</formula>
    </cfRule>
  </conditionalFormatting>
  <conditionalFormatting sqref="C36">
    <cfRule type="cellIs" dxfId="1424" priority="320" operator="equal">
      <formula>"No"</formula>
    </cfRule>
    <cfRule type="cellIs" dxfId="1423" priority="321" operator="equal">
      <formula>"NA"</formula>
    </cfRule>
    <cfRule type="cellIs" dxfId="1422" priority="322" operator="equal">
      <formula>"Yes"</formula>
    </cfRule>
  </conditionalFormatting>
  <conditionalFormatting sqref="C37">
    <cfRule type="cellIs" dxfId="1421" priority="274" operator="equal">
      <formula>"No"</formula>
    </cfRule>
    <cfRule type="cellIs" dxfId="1420" priority="275" operator="equal">
      <formula>"NA"</formula>
    </cfRule>
    <cfRule type="cellIs" dxfId="1419" priority="276" operator="equal">
      <formula>"Yes"</formula>
    </cfRule>
  </conditionalFormatting>
  <conditionalFormatting sqref="C38">
    <cfRule type="cellIs" dxfId="1418" priority="228" operator="equal">
      <formula>"No"</formula>
    </cfRule>
    <cfRule type="cellIs" dxfId="1417" priority="229" operator="equal">
      <formula>"NA"</formula>
    </cfRule>
    <cfRule type="cellIs" dxfId="1416" priority="230" operator="equal">
      <formula>"Yes"</formula>
    </cfRule>
  </conditionalFormatting>
  <conditionalFormatting sqref="C39">
    <cfRule type="cellIs" dxfId="1415" priority="182" operator="equal">
      <formula>"No"</formula>
    </cfRule>
    <cfRule type="cellIs" dxfId="1414" priority="183" operator="equal">
      <formula>"NA"</formula>
    </cfRule>
    <cfRule type="cellIs" dxfId="1413" priority="184" operator="equal">
      <formula>"Yes"</formula>
    </cfRule>
  </conditionalFormatting>
  <conditionalFormatting sqref="C41">
    <cfRule type="cellIs" dxfId="1412" priority="136" operator="equal">
      <formula>"No"</formula>
    </cfRule>
    <cfRule type="cellIs" dxfId="1411" priority="137" operator="equal">
      <formula>"NA"</formula>
    </cfRule>
    <cfRule type="cellIs" dxfId="1410" priority="138" operator="equal">
      <formula>"Yes"</formula>
    </cfRule>
  </conditionalFormatting>
  <conditionalFormatting sqref="C42">
    <cfRule type="cellIs" dxfId="1409" priority="90" operator="equal">
      <formula>"No"</formula>
    </cfRule>
    <cfRule type="cellIs" dxfId="1408" priority="91" operator="equal">
      <formula>"NA"</formula>
    </cfRule>
    <cfRule type="cellIs" dxfId="1407" priority="92" operator="equal">
      <formula>"Yes"</formula>
    </cfRule>
  </conditionalFormatting>
  <conditionalFormatting sqref="C44">
    <cfRule type="cellIs" dxfId="1406" priority="44" operator="equal">
      <formula>"No"</formula>
    </cfRule>
    <cfRule type="cellIs" dxfId="1405" priority="45" operator="equal">
      <formula>"NA"</formula>
    </cfRule>
    <cfRule type="cellIs" dxfId="1404"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380</v>
      </c>
      <c r="B10" s="160" t="s">
        <v>381</v>
      </c>
      <c r="C10" s="209"/>
      <c r="D10" s="210"/>
      <c r="E10" s="152" t="s">
        <v>382</v>
      </c>
      <c r="F10" s="150"/>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332</v>
      </c>
      <c r="B18" s="160" t="s">
        <v>333</v>
      </c>
      <c r="C18" s="209"/>
      <c r="D18" s="210"/>
      <c r="E18" s="150"/>
      <c r="F18" s="150"/>
    </row>
    <row r="19" spans="1:6" ht="25.5">
      <c r="A19" s="151" t="s">
        <v>334</v>
      </c>
      <c r="B19" s="160" t="s">
        <v>335</v>
      </c>
      <c r="C19" s="209"/>
      <c r="D19" s="210"/>
      <c r="E19" s="150"/>
      <c r="F19" s="150"/>
    </row>
    <row r="20" spans="1:6" ht="18.75">
      <c r="A20" s="148"/>
      <c r="B20" s="157" t="s">
        <v>352</v>
      </c>
      <c r="C20" s="149"/>
      <c r="D20" s="149"/>
      <c r="E20" s="215"/>
      <c r="F20" s="215"/>
    </row>
    <row r="21" spans="1:6" ht="25.5">
      <c r="A21" s="151" t="s">
        <v>383</v>
      </c>
      <c r="B21" s="160" t="s">
        <v>384</v>
      </c>
      <c r="C21" s="209"/>
      <c r="D21" s="210"/>
      <c r="E21" s="150"/>
      <c r="F21" s="150"/>
    </row>
    <row r="22" spans="1:6" ht="38.25">
      <c r="A22" s="151" t="s">
        <v>355</v>
      </c>
      <c r="B22" s="160" t="s">
        <v>356</v>
      </c>
      <c r="C22" s="209"/>
      <c r="D22" s="210"/>
      <c r="E22" s="150"/>
      <c r="F22" s="150"/>
    </row>
    <row r="23" spans="1:6" ht="18.75">
      <c r="A23" s="148"/>
      <c r="B23" s="157" t="s">
        <v>385</v>
      </c>
      <c r="C23" s="149"/>
      <c r="D23" s="149"/>
      <c r="E23" s="215"/>
      <c r="F23" s="215"/>
    </row>
    <row r="24" spans="1:6" ht="38.25">
      <c r="A24" s="151" t="s">
        <v>386</v>
      </c>
      <c r="B24" s="160" t="s">
        <v>387</v>
      </c>
      <c r="C24" s="209"/>
      <c r="D24" s="210"/>
      <c r="E24" s="150"/>
      <c r="F24" s="150"/>
    </row>
    <row r="25" spans="1:6" ht="51">
      <c r="A25" s="151" t="s">
        <v>388</v>
      </c>
      <c r="B25" s="160" t="s">
        <v>389</v>
      </c>
      <c r="C25" s="209"/>
      <c r="D25" s="210"/>
      <c r="E25" s="150"/>
      <c r="F25" s="150"/>
    </row>
    <row r="26" spans="1:6" ht="25.5">
      <c r="A26" s="151" t="s">
        <v>390</v>
      </c>
      <c r="B26" s="160" t="s">
        <v>391</v>
      </c>
      <c r="C26" s="209"/>
      <c r="D26" s="210"/>
      <c r="E26" s="150"/>
      <c r="F26" s="150"/>
    </row>
    <row r="27" spans="1:6" ht="51">
      <c r="A27" s="151" t="s">
        <v>392</v>
      </c>
      <c r="B27" s="160" t="s">
        <v>393</v>
      </c>
      <c r="C27" s="209"/>
      <c r="D27" s="210"/>
      <c r="E27" s="150"/>
      <c r="F27" s="150"/>
    </row>
    <row r="28" spans="1:6" ht="18.75">
      <c r="A28" s="148"/>
      <c r="B28" s="157" t="s">
        <v>360</v>
      </c>
      <c r="C28" s="149"/>
      <c r="D28" s="149"/>
      <c r="E28" s="215"/>
      <c r="F28" s="215"/>
    </row>
    <row r="29" spans="1:6" ht="38.25">
      <c r="A29" s="151" t="s">
        <v>361</v>
      </c>
      <c r="B29" s="160" t="s">
        <v>362</v>
      </c>
      <c r="C29" s="209"/>
      <c r="D29" s="210"/>
      <c r="E29" s="150"/>
      <c r="F29" s="150"/>
    </row>
    <row r="30" spans="1:6" ht="25.5">
      <c r="A30" s="151" t="s">
        <v>363</v>
      </c>
      <c r="B30" s="160" t="s">
        <v>364</v>
      </c>
      <c r="C30" s="209"/>
      <c r="D30" s="210"/>
      <c r="E30" s="150"/>
      <c r="F30" s="150"/>
    </row>
    <row r="31" spans="1:6" ht="38.25">
      <c r="A31" s="151" t="s">
        <v>365</v>
      </c>
      <c r="B31" s="160" t="s">
        <v>366</v>
      </c>
      <c r="C31" s="209"/>
      <c r="D31" s="210"/>
      <c r="E31" s="150"/>
      <c r="F31" s="150"/>
    </row>
    <row r="32" spans="1:6" ht="38.25">
      <c r="A32" s="151" t="s">
        <v>367</v>
      </c>
      <c r="B32" s="160" t="s">
        <v>368</v>
      </c>
      <c r="C32" s="209"/>
      <c r="D32" s="210"/>
      <c r="E32" s="150"/>
      <c r="F32" s="150"/>
    </row>
    <row r="33" spans="1:6" ht="18.75">
      <c r="A33" s="148"/>
      <c r="B33" s="157" t="s">
        <v>369</v>
      </c>
      <c r="C33" s="149"/>
      <c r="D33" s="149"/>
      <c r="E33" s="215"/>
      <c r="F33" s="215"/>
    </row>
    <row r="34" spans="1:6" ht="38.25">
      <c r="A34" s="151" t="s">
        <v>370</v>
      </c>
      <c r="B34" s="160" t="s">
        <v>371</v>
      </c>
      <c r="C34" s="209"/>
      <c r="D34" s="210"/>
      <c r="E34" s="150"/>
      <c r="F34" s="150"/>
    </row>
    <row r="35" spans="1:6" ht="38.25">
      <c r="A35" s="151" t="s">
        <v>372</v>
      </c>
      <c r="B35" s="160" t="s">
        <v>373</v>
      </c>
      <c r="C35" s="209"/>
      <c r="D35" s="210"/>
      <c r="E35" s="150"/>
      <c r="F35" s="150"/>
    </row>
    <row r="36" spans="1:6" ht="18.75">
      <c r="A36" s="148"/>
      <c r="B36" s="157" t="s">
        <v>374</v>
      </c>
      <c r="C36" s="149"/>
      <c r="D36" s="149"/>
      <c r="E36" s="215"/>
      <c r="F36" s="215"/>
    </row>
    <row r="37" spans="1:6" ht="51">
      <c r="A37" s="151" t="s">
        <v>375</v>
      </c>
      <c r="B37" s="160" t="s">
        <v>376</v>
      </c>
      <c r="C37" s="209"/>
      <c r="D37" s="210"/>
      <c r="E37" s="150"/>
      <c r="F37" s="150"/>
    </row>
    <row r="38" spans="1:6" ht="18">
      <c r="A38" s="211"/>
      <c r="B38" s="212" t="s">
        <v>377</v>
      </c>
      <c r="C38" s="211"/>
      <c r="D38" s="211"/>
      <c r="E38" s="211"/>
      <c r="F38" s="211"/>
    </row>
    <row r="39" spans="1:6">
      <c r="A39" s="151"/>
      <c r="B39" s="160"/>
    </row>
    <row r="40" spans="1:6" ht="15">
      <c r="A40" s="213"/>
      <c r="B40" s="214" t="s">
        <v>378</v>
      </c>
      <c r="C40" s="213"/>
      <c r="D40" s="213"/>
      <c r="E40" s="213"/>
      <c r="F40" s="213"/>
    </row>
  </sheetData>
  <mergeCells count="1">
    <mergeCell ref="E2:F2"/>
  </mergeCells>
  <conditionalFormatting sqref="C6">
    <cfRule type="cellIs" dxfId="1403" priority="1194" operator="equal">
      <formula>"No"</formula>
    </cfRule>
    <cfRule type="cellIs" dxfId="1402" priority="1195" operator="equal">
      <formula>"NA"</formula>
    </cfRule>
    <cfRule type="cellIs" dxfId="1401" priority="1196" operator="equal">
      <formula>"Yes"</formula>
    </cfRule>
  </conditionalFormatting>
  <conditionalFormatting sqref="C7">
    <cfRule type="cellIs" dxfId="1400" priority="1148" operator="equal">
      <formula>"No"</formula>
    </cfRule>
    <cfRule type="cellIs" dxfId="1399" priority="1149" operator="equal">
      <formula>"NA"</formula>
    </cfRule>
    <cfRule type="cellIs" dxfId="1398" priority="1150" operator="equal">
      <formula>"Yes"</formula>
    </cfRule>
  </conditionalFormatting>
  <conditionalFormatting sqref="C8">
    <cfRule type="cellIs" dxfId="1397" priority="1102" operator="equal">
      <formula>"No"</formula>
    </cfRule>
    <cfRule type="cellIs" dxfId="1396" priority="1103" operator="equal">
      <formula>"NA"</formula>
    </cfRule>
    <cfRule type="cellIs" dxfId="1395" priority="1104" operator="equal">
      <formula>"Yes"</formula>
    </cfRule>
  </conditionalFormatting>
  <conditionalFormatting sqref="C10">
    <cfRule type="cellIs" dxfId="1394" priority="1056" operator="equal">
      <formula>"No"</formula>
    </cfRule>
    <cfRule type="cellIs" dxfId="1393" priority="1057" operator="equal">
      <formula>"NA"</formula>
    </cfRule>
    <cfRule type="cellIs" dxfId="1392" priority="1058" operator="equal">
      <formula>"Yes"</formula>
    </cfRule>
  </conditionalFormatting>
  <conditionalFormatting sqref="C11">
    <cfRule type="cellIs" dxfId="1391" priority="1010" operator="equal">
      <formula>"No"</formula>
    </cfRule>
    <cfRule type="cellIs" dxfId="1390" priority="1011" operator="equal">
      <formula>"NA"</formula>
    </cfRule>
    <cfRule type="cellIs" dxfId="1389" priority="1012" operator="equal">
      <formula>"Yes"</formula>
    </cfRule>
  </conditionalFormatting>
  <conditionalFormatting sqref="C12">
    <cfRule type="cellIs" dxfId="1388" priority="964" operator="equal">
      <formula>"No"</formula>
    </cfRule>
    <cfRule type="cellIs" dxfId="1387" priority="965" operator="equal">
      <formula>"NA"</formula>
    </cfRule>
    <cfRule type="cellIs" dxfId="1386" priority="966" operator="equal">
      <formula>"Yes"</formula>
    </cfRule>
  </conditionalFormatting>
  <conditionalFormatting sqref="C13">
    <cfRule type="cellIs" dxfId="1385" priority="918" operator="equal">
      <formula>"No"</formula>
    </cfRule>
    <cfRule type="cellIs" dxfId="1384" priority="919" operator="equal">
      <formula>"NA"</formula>
    </cfRule>
    <cfRule type="cellIs" dxfId="1383" priority="920" operator="equal">
      <formula>"Yes"</formula>
    </cfRule>
  </conditionalFormatting>
  <conditionalFormatting sqref="C14">
    <cfRule type="cellIs" dxfId="1382" priority="872" operator="equal">
      <formula>"No"</formula>
    </cfRule>
    <cfRule type="cellIs" dxfId="1381" priority="873" operator="equal">
      <formula>"NA"</formula>
    </cfRule>
    <cfRule type="cellIs" dxfId="1380" priority="874" operator="equal">
      <formula>"Yes"</formula>
    </cfRule>
  </conditionalFormatting>
  <conditionalFormatting sqref="C15">
    <cfRule type="cellIs" dxfId="1379" priority="826" operator="equal">
      <formula>"No"</formula>
    </cfRule>
    <cfRule type="cellIs" dxfId="1378" priority="827" operator="equal">
      <formula>"NA"</formula>
    </cfRule>
    <cfRule type="cellIs" dxfId="1377" priority="828" operator="equal">
      <formula>"Yes"</formula>
    </cfRule>
  </conditionalFormatting>
  <conditionalFormatting sqref="C16">
    <cfRule type="cellIs" dxfId="1376" priority="780" operator="equal">
      <formula>"No"</formula>
    </cfRule>
    <cfRule type="cellIs" dxfId="1375" priority="781" operator="equal">
      <formula>"NA"</formula>
    </cfRule>
    <cfRule type="cellIs" dxfId="1374" priority="782" operator="equal">
      <formula>"Yes"</formula>
    </cfRule>
  </conditionalFormatting>
  <conditionalFormatting sqref="C17">
    <cfRule type="cellIs" dxfId="1373" priority="734" operator="equal">
      <formula>"No"</formula>
    </cfRule>
    <cfRule type="cellIs" dxfId="1372" priority="735" operator="equal">
      <formula>"NA"</formula>
    </cfRule>
    <cfRule type="cellIs" dxfId="1371" priority="736" operator="equal">
      <formula>"Yes"</formula>
    </cfRule>
  </conditionalFormatting>
  <conditionalFormatting sqref="C18">
    <cfRule type="cellIs" dxfId="1370" priority="688" operator="equal">
      <formula>"No"</formula>
    </cfRule>
    <cfRule type="cellIs" dxfId="1369" priority="689" operator="equal">
      <formula>"NA"</formula>
    </cfRule>
    <cfRule type="cellIs" dxfId="1368" priority="690" operator="equal">
      <formula>"Yes"</formula>
    </cfRule>
  </conditionalFormatting>
  <conditionalFormatting sqref="C19">
    <cfRule type="cellIs" dxfId="1367" priority="642" operator="equal">
      <formula>"No"</formula>
    </cfRule>
    <cfRule type="cellIs" dxfId="1366" priority="643" operator="equal">
      <formula>"NA"</formula>
    </cfRule>
    <cfRule type="cellIs" dxfId="1365" priority="644" operator="equal">
      <formula>"Yes"</formula>
    </cfRule>
  </conditionalFormatting>
  <conditionalFormatting sqref="C21">
    <cfRule type="cellIs" dxfId="1364" priority="596" operator="equal">
      <formula>"No"</formula>
    </cfRule>
    <cfRule type="cellIs" dxfId="1363" priority="597" operator="equal">
      <formula>"NA"</formula>
    </cfRule>
    <cfRule type="cellIs" dxfId="1362" priority="598" operator="equal">
      <formula>"Yes"</formula>
    </cfRule>
  </conditionalFormatting>
  <conditionalFormatting sqref="C22">
    <cfRule type="cellIs" dxfId="1361" priority="550" operator="equal">
      <formula>"No"</formula>
    </cfRule>
    <cfRule type="cellIs" dxfId="1360" priority="551" operator="equal">
      <formula>"NA"</formula>
    </cfRule>
    <cfRule type="cellIs" dxfId="1359" priority="552" operator="equal">
      <formula>"Yes"</formula>
    </cfRule>
  </conditionalFormatting>
  <conditionalFormatting sqref="C24">
    <cfRule type="cellIs" dxfId="1358" priority="504" operator="equal">
      <formula>"No"</formula>
    </cfRule>
    <cfRule type="cellIs" dxfId="1357" priority="505" operator="equal">
      <formula>"NA"</formula>
    </cfRule>
    <cfRule type="cellIs" dxfId="1356" priority="506" operator="equal">
      <formula>"Yes"</formula>
    </cfRule>
  </conditionalFormatting>
  <conditionalFormatting sqref="C25">
    <cfRule type="cellIs" dxfId="1355" priority="458" operator="equal">
      <formula>"No"</formula>
    </cfRule>
    <cfRule type="cellIs" dxfId="1354" priority="459" operator="equal">
      <formula>"NA"</formula>
    </cfRule>
    <cfRule type="cellIs" dxfId="1353" priority="460" operator="equal">
      <formula>"Yes"</formula>
    </cfRule>
  </conditionalFormatting>
  <conditionalFormatting sqref="C26">
    <cfRule type="cellIs" dxfId="1352" priority="412" operator="equal">
      <formula>"No"</formula>
    </cfRule>
    <cfRule type="cellIs" dxfId="1351" priority="413" operator="equal">
      <formula>"NA"</formula>
    </cfRule>
    <cfRule type="cellIs" dxfId="1350" priority="414" operator="equal">
      <formula>"Yes"</formula>
    </cfRule>
  </conditionalFormatting>
  <conditionalFormatting sqref="C27">
    <cfRule type="cellIs" dxfId="1349" priority="366" operator="equal">
      <formula>"No"</formula>
    </cfRule>
    <cfRule type="cellIs" dxfId="1348" priority="367" operator="equal">
      <formula>"NA"</formula>
    </cfRule>
    <cfRule type="cellIs" dxfId="1347" priority="368" operator="equal">
      <formula>"Yes"</formula>
    </cfRule>
  </conditionalFormatting>
  <conditionalFormatting sqref="C29">
    <cfRule type="cellIs" dxfId="1346" priority="320" operator="equal">
      <formula>"No"</formula>
    </cfRule>
    <cfRule type="cellIs" dxfId="1345" priority="321" operator="equal">
      <formula>"NA"</formula>
    </cfRule>
    <cfRule type="cellIs" dxfId="1344" priority="322" operator="equal">
      <formula>"Yes"</formula>
    </cfRule>
  </conditionalFormatting>
  <conditionalFormatting sqref="C30">
    <cfRule type="cellIs" dxfId="1343" priority="274" operator="equal">
      <formula>"No"</formula>
    </cfRule>
    <cfRule type="cellIs" dxfId="1342" priority="275" operator="equal">
      <formula>"NA"</formula>
    </cfRule>
    <cfRule type="cellIs" dxfId="1341" priority="276" operator="equal">
      <formula>"Yes"</formula>
    </cfRule>
  </conditionalFormatting>
  <conditionalFormatting sqref="C31">
    <cfRule type="cellIs" dxfId="1340" priority="228" operator="equal">
      <formula>"No"</formula>
    </cfRule>
    <cfRule type="cellIs" dxfId="1339" priority="229" operator="equal">
      <formula>"NA"</formula>
    </cfRule>
    <cfRule type="cellIs" dxfId="1338" priority="230" operator="equal">
      <formula>"Yes"</formula>
    </cfRule>
  </conditionalFormatting>
  <conditionalFormatting sqref="C32">
    <cfRule type="cellIs" dxfId="1337" priority="182" operator="equal">
      <formula>"No"</formula>
    </cfRule>
    <cfRule type="cellIs" dxfId="1336" priority="183" operator="equal">
      <formula>"NA"</formula>
    </cfRule>
    <cfRule type="cellIs" dxfId="1335" priority="184" operator="equal">
      <formula>"Yes"</formula>
    </cfRule>
  </conditionalFormatting>
  <conditionalFormatting sqref="C34">
    <cfRule type="cellIs" dxfId="1334" priority="136" operator="equal">
      <formula>"No"</formula>
    </cfRule>
    <cfRule type="cellIs" dxfId="1333" priority="137" operator="equal">
      <formula>"NA"</formula>
    </cfRule>
    <cfRule type="cellIs" dxfId="1332" priority="138" operator="equal">
      <formula>"Yes"</formula>
    </cfRule>
  </conditionalFormatting>
  <conditionalFormatting sqref="C35">
    <cfRule type="cellIs" dxfId="1331" priority="90" operator="equal">
      <formula>"No"</formula>
    </cfRule>
    <cfRule type="cellIs" dxfId="1330" priority="91" operator="equal">
      <formula>"NA"</formula>
    </cfRule>
    <cfRule type="cellIs" dxfId="1329" priority="92" operator="equal">
      <formula>"Yes"</formula>
    </cfRule>
  </conditionalFormatting>
  <conditionalFormatting sqref="C37">
    <cfRule type="cellIs" dxfId="1328" priority="44" operator="equal">
      <formula>"No"</formula>
    </cfRule>
    <cfRule type="cellIs" dxfId="1327" priority="45" operator="equal">
      <formula>"NA"</formula>
    </cfRule>
    <cfRule type="cellIs" dxfId="1326"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394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38.25">
      <c r="A9" s="151" t="s">
        <v>395</v>
      </c>
      <c r="B9" s="160" t="s">
        <v>396</v>
      </c>
      <c r="C9" s="209"/>
      <c r="D9" s="210"/>
      <c r="E9" s="150"/>
      <c r="F9" s="150"/>
    </row>
    <row r="10" spans="1:7" ht="18.75">
      <c r="A10" s="148"/>
      <c r="B10" s="157" t="s">
        <v>311</v>
      </c>
      <c r="C10" s="149"/>
      <c r="D10" s="149"/>
      <c r="E10" s="215"/>
      <c r="F10" s="215"/>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63.75">
      <c r="A16" s="151" t="s">
        <v>324</v>
      </c>
      <c r="B16" s="160" t="s">
        <v>325</v>
      </c>
      <c r="C16" s="209"/>
      <c r="D16" s="210"/>
      <c r="E16" s="150"/>
      <c r="F16" s="150"/>
    </row>
    <row r="17" spans="1:6" ht="38.25">
      <c r="A17" s="151" t="s">
        <v>326</v>
      </c>
      <c r="B17" s="160" t="s">
        <v>327</v>
      </c>
      <c r="C17" s="209"/>
      <c r="D17" s="210"/>
      <c r="E17" s="150"/>
      <c r="F17" s="150"/>
    </row>
    <row r="18" spans="1:6" ht="38.25">
      <c r="A18" s="151" t="s">
        <v>328</v>
      </c>
      <c r="B18" s="160" t="s">
        <v>329</v>
      </c>
      <c r="C18" s="209"/>
      <c r="D18" s="210"/>
      <c r="E18" s="150"/>
      <c r="F18" s="150"/>
    </row>
    <row r="19" spans="1:6" ht="25.5">
      <c r="A19" s="151" t="s">
        <v>330</v>
      </c>
      <c r="B19" s="160" t="s">
        <v>331</v>
      </c>
      <c r="C19" s="209"/>
      <c r="D19" s="210"/>
      <c r="E19" s="150"/>
      <c r="F19" s="150"/>
    </row>
    <row r="20" spans="1:6" ht="25.5">
      <c r="A20" s="151" t="s">
        <v>332</v>
      </c>
      <c r="B20" s="160" t="s">
        <v>333</v>
      </c>
      <c r="C20" s="209"/>
      <c r="D20" s="210"/>
      <c r="E20" s="150"/>
      <c r="F20" s="150"/>
    </row>
    <row r="21" spans="1:6" ht="18.75">
      <c r="A21" s="148"/>
      <c r="B21" s="157" t="s">
        <v>342</v>
      </c>
      <c r="C21" s="149"/>
      <c r="D21" s="149"/>
      <c r="E21" s="215"/>
      <c r="F21" s="215"/>
    </row>
    <row r="22" spans="1:6" ht="76.5">
      <c r="A22" s="151" t="s">
        <v>343</v>
      </c>
      <c r="B22" s="160" t="s">
        <v>344</v>
      </c>
      <c r="C22" s="209"/>
      <c r="D22" s="210"/>
      <c r="E22" s="150"/>
      <c r="F22" s="150"/>
    </row>
    <row r="23" spans="1:6" ht="18.75">
      <c r="A23" s="148"/>
      <c r="B23" s="157" t="s">
        <v>352</v>
      </c>
      <c r="C23" s="149"/>
      <c r="D23" s="149"/>
      <c r="E23" s="215"/>
      <c r="F23" s="215"/>
    </row>
    <row r="24" spans="1:6" ht="38.25">
      <c r="A24" s="151" t="s">
        <v>355</v>
      </c>
      <c r="B24" s="160" t="s">
        <v>356</v>
      </c>
      <c r="C24" s="209"/>
      <c r="D24" s="210"/>
      <c r="E24" s="150"/>
      <c r="F24" s="150"/>
    </row>
    <row r="25" spans="1:6" ht="18.75">
      <c r="A25" s="148"/>
      <c r="B25" s="157" t="s">
        <v>357</v>
      </c>
      <c r="C25" s="149"/>
      <c r="D25" s="149"/>
      <c r="E25" s="215"/>
      <c r="F25" s="215"/>
    </row>
    <row r="26" spans="1:6" ht="38.25">
      <c r="A26" s="151" t="s">
        <v>358</v>
      </c>
      <c r="B26" s="160" t="s">
        <v>359</v>
      </c>
      <c r="C26" s="209"/>
      <c r="D26" s="210"/>
      <c r="E26" s="150"/>
      <c r="F26" s="150"/>
    </row>
    <row r="27" spans="1:6" ht="18.75">
      <c r="A27" s="148"/>
      <c r="B27" s="157" t="s">
        <v>360</v>
      </c>
      <c r="C27" s="149"/>
      <c r="D27" s="149"/>
      <c r="E27" s="215"/>
      <c r="F27" s="215"/>
    </row>
    <row r="28" spans="1:6" ht="38.25">
      <c r="A28" s="151" t="s">
        <v>361</v>
      </c>
      <c r="B28" s="160" t="s">
        <v>362</v>
      </c>
      <c r="C28" s="209"/>
      <c r="D28" s="210"/>
      <c r="E28" s="150"/>
      <c r="F28" s="150"/>
    </row>
    <row r="29" spans="1:6" ht="25.5">
      <c r="A29" s="151" t="s">
        <v>363</v>
      </c>
      <c r="B29" s="160" t="s">
        <v>364</v>
      </c>
      <c r="C29" s="209"/>
      <c r="D29" s="210"/>
      <c r="E29" s="150"/>
      <c r="F29" s="150"/>
    </row>
    <row r="30" spans="1:6" ht="38.25">
      <c r="A30" s="151" t="s">
        <v>365</v>
      </c>
      <c r="B30" s="160" t="s">
        <v>366</v>
      </c>
      <c r="C30" s="209"/>
      <c r="D30" s="210"/>
      <c r="E30" s="150"/>
      <c r="F30" s="150"/>
    </row>
    <row r="31" spans="1:6" ht="38.25">
      <c r="A31" s="151" t="s">
        <v>367</v>
      </c>
      <c r="B31" s="160" t="s">
        <v>368</v>
      </c>
      <c r="C31" s="209"/>
      <c r="D31" s="210"/>
      <c r="E31" s="150"/>
      <c r="F31" s="150"/>
    </row>
    <row r="32" spans="1:6" ht="18.75">
      <c r="A32" s="148"/>
      <c r="B32" s="157" t="s">
        <v>369</v>
      </c>
      <c r="C32" s="149"/>
      <c r="D32" s="149"/>
      <c r="E32" s="215"/>
      <c r="F32" s="215"/>
    </row>
    <row r="33" spans="1:6" ht="38.25">
      <c r="A33" s="151" t="s">
        <v>370</v>
      </c>
      <c r="B33" s="160" t="s">
        <v>371</v>
      </c>
      <c r="C33" s="209"/>
      <c r="D33" s="210"/>
      <c r="E33" s="150"/>
      <c r="F33" s="150"/>
    </row>
    <row r="34" spans="1:6" ht="38.25">
      <c r="A34" s="151" t="s">
        <v>372</v>
      </c>
      <c r="B34" s="160" t="s">
        <v>373</v>
      </c>
      <c r="C34" s="209"/>
      <c r="D34" s="210"/>
      <c r="E34" s="150"/>
      <c r="F34" s="150"/>
    </row>
    <row r="35" spans="1:6" ht="18.75">
      <c r="A35" s="148"/>
      <c r="B35" s="157" t="s">
        <v>374</v>
      </c>
      <c r="C35" s="149"/>
      <c r="D35" s="149"/>
      <c r="E35" s="215"/>
      <c r="F35" s="215"/>
    </row>
    <row r="36" spans="1:6" ht="51">
      <c r="A36" s="151" t="s">
        <v>375</v>
      </c>
      <c r="B36" s="160" t="s">
        <v>376</v>
      </c>
      <c r="C36" s="209"/>
      <c r="D36" s="210"/>
      <c r="E36" s="150"/>
      <c r="F36" s="150"/>
    </row>
    <row r="37" spans="1:6" ht="18">
      <c r="A37" s="211"/>
      <c r="B37" s="212" t="s">
        <v>377</v>
      </c>
      <c r="C37" s="211"/>
      <c r="D37" s="211"/>
      <c r="E37" s="211"/>
      <c r="F37" s="211"/>
    </row>
    <row r="38" spans="1:6">
      <c r="A38" s="151"/>
      <c r="B38" s="160"/>
    </row>
    <row r="39" spans="1:6" ht="15">
      <c r="A39" s="213"/>
      <c r="B39" s="214" t="s">
        <v>378</v>
      </c>
      <c r="C39" s="213"/>
      <c r="D39" s="213"/>
      <c r="E39" s="213"/>
      <c r="F39" s="213"/>
    </row>
  </sheetData>
  <mergeCells count="1">
    <mergeCell ref="E2:F2"/>
  </mergeCells>
  <conditionalFormatting sqref="C6">
    <cfRule type="cellIs" dxfId="1325" priority="1102" operator="equal">
      <formula>"No"</formula>
    </cfRule>
    <cfRule type="cellIs" dxfId="1324" priority="1103" operator="equal">
      <formula>"NA"</formula>
    </cfRule>
    <cfRule type="cellIs" dxfId="1323" priority="1104" operator="equal">
      <formula>"Yes"</formula>
    </cfRule>
  </conditionalFormatting>
  <conditionalFormatting sqref="C7">
    <cfRule type="cellIs" dxfId="1322" priority="1056" operator="equal">
      <formula>"No"</formula>
    </cfRule>
    <cfRule type="cellIs" dxfId="1321" priority="1057" operator="equal">
      <formula>"NA"</formula>
    </cfRule>
    <cfRule type="cellIs" dxfId="1320" priority="1058" operator="equal">
      <formula>"Yes"</formula>
    </cfRule>
  </conditionalFormatting>
  <conditionalFormatting sqref="C8">
    <cfRule type="cellIs" dxfId="1319" priority="1010" operator="equal">
      <formula>"No"</formula>
    </cfRule>
    <cfRule type="cellIs" dxfId="1318" priority="1011" operator="equal">
      <formula>"NA"</formula>
    </cfRule>
    <cfRule type="cellIs" dxfId="1317" priority="1012" operator="equal">
      <formula>"Yes"</formula>
    </cfRule>
  </conditionalFormatting>
  <conditionalFormatting sqref="C9">
    <cfRule type="cellIs" dxfId="1316" priority="964" operator="equal">
      <formula>"No"</formula>
    </cfRule>
    <cfRule type="cellIs" dxfId="1315" priority="965" operator="equal">
      <formula>"NA"</formula>
    </cfRule>
    <cfRule type="cellIs" dxfId="1314" priority="966" operator="equal">
      <formula>"Yes"</formula>
    </cfRule>
  </conditionalFormatting>
  <conditionalFormatting sqref="C11">
    <cfRule type="cellIs" dxfId="1313" priority="918" operator="equal">
      <formula>"No"</formula>
    </cfRule>
    <cfRule type="cellIs" dxfId="1312" priority="919" operator="equal">
      <formula>"NA"</formula>
    </cfRule>
    <cfRule type="cellIs" dxfId="1311" priority="920" operator="equal">
      <formula>"Yes"</formula>
    </cfRule>
  </conditionalFormatting>
  <conditionalFormatting sqref="C12">
    <cfRule type="cellIs" dxfId="1310" priority="872" operator="equal">
      <formula>"No"</formula>
    </cfRule>
    <cfRule type="cellIs" dxfId="1309" priority="873" operator="equal">
      <formula>"NA"</formula>
    </cfRule>
    <cfRule type="cellIs" dxfId="1308" priority="874" operator="equal">
      <formula>"Yes"</formula>
    </cfRule>
  </conditionalFormatting>
  <conditionalFormatting sqref="C13">
    <cfRule type="cellIs" dxfId="1307" priority="826" operator="equal">
      <formula>"No"</formula>
    </cfRule>
    <cfRule type="cellIs" dxfId="1306" priority="827" operator="equal">
      <formula>"NA"</formula>
    </cfRule>
    <cfRule type="cellIs" dxfId="1305" priority="828" operator="equal">
      <formula>"Yes"</formula>
    </cfRule>
  </conditionalFormatting>
  <conditionalFormatting sqref="C14">
    <cfRule type="cellIs" dxfId="1304" priority="780" operator="equal">
      <formula>"No"</formula>
    </cfRule>
    <cfRule type="cellIs" dxfId="1303" priority="781" operator="equal">
      <formula>"NA"</formula>
    </cfRule>
    <cfRule type="cellIs" dxfId="1302" priority="782" operator="equal">
      <formula>"Yes"</formula>
    </cfRule>
  </conditionalFormatting>
  <conditionalFormatting sqref="C15">
    <cfRule type="cellIs" dxfId="1301" priority="734" operator="equal">
      <formula>"No"</formula>
    </cfRule>
    <cfRule type="cellIs" dxfId="1300" priority="735" operator="equal">
      <formula>"NA"</formula>
    </cfRule>
    <cfRule type="cellIs" dxfId="1299" priority="736" operator="equal">
      <formula>"Yes"</formula>
    </cfRule>
  </conditionalFormatting>
  <conditionalFormatting sqref="C16">
    <cfRule type="cellIs" dxfId="1298" priority="688" operator="equal">
      <formula>"No"</formula>
    </cfRule>
    <cfRule type="cellIs" dxfId="1297" priority="689" operator="equal">
      <formula>"NA"</formula>
    </cfRule>
    <cfRule type="cellIs" dxfId="1296" priority="690" operator="equal">
      <formula>"Yes"</formula>
    </cfRule>
  </conditionalFormatting>
  <conditionalFormatting sqref="C17">
    <cfRule type="cellIs" dxfId="1295" priority="642" operator="equal">
      <formula>"No"</formula>
    </cfRule>
    <cfRule type="cellIs" dxfId="1294" priority="643" operator="equal">
      <formula>"NA"</formula>
    </cfRule>
    <cfRule type="cellIs" dxfId="1293" priority="644" operator="equal">
      <formula>"Yes"</formula>
    </cfRule>
  </conditionalFormatting>
  <conditionalFormatting sqref="C18">
    <cfRule type="cellIs" dxfId="1292" priority="596" operator="equal">
      <formula>"No"</formula>
    </cfRule>
    <cfRule type="cellIs" dxfId="1291" priority="597" operator="equal">
      <formula>"NA"</formula>
    </cfRule>
    <cfRule type="cellIs" dxfId="1290" priority="598" operator="equal">
      <formula>"Yes"</formula>
    </cfRule>
  </conditionalFormatting>
  <conditionalFormatting sqref="C19">
    <cfRule type="cellIs" dxfId="1289" priority="550" operator="equal">
      <formula>"No"</formula>
    </cfRule>
    <cfRule type="cellIs" dxfId="1288" priority="551" operator="equal">
      <formula>"NA"</formula>
    </cfRule>
    <cfRule type="cellIs" dxfId="1287" priority="552" operator="equal">
      <formula>"Yes"</formula>
    </cfRule>
  </conditionalFormatting>
  <conditionalFormatting sqref="C20">
    <cfRule type="cellIs" dxfId="1286" priority="504" operator="equal">
      <formula>"No"</formula>
    </cfRule>
    <cfRule type="cellIs" dxfId="1285" priority="505" operator="equal">
      <formula>"NA"</formula>
    </cfRule>
    <cfRule type="cellIs" dxfId="1284" priority="506" operator="equal">
      <formula>"Yes"</formula>
    </cfRule>
  </conditionalFormatting>
  <conditionalFormatting sqref="C22">
    <cfRule type="cellIs" dxfId="1283" priority="458" operator="equal">
      <formula>"No"</formula>
    </cfRule>
    <cfRule type="cellIs" dxfId="1282" priority="459" operator="equal">
      <formula>"NA"</formula>
    </cfRule>
    <cfRule type="cellIs" dxfId="1281" priority="460" operator="equal">
      <formula>"Yes"</formula>
    </cfRule>
  </conditionalFormatting>
  <conditionalFormatting sqref="C24">
    <cfRule type="cellIs" dxfId="1280" priority="412" operator="equal">
      <formula>"No"</formula>
    </cfRule>
    <cfRule type="cellIs" dxfId="1279" priority="413" operator="equal">
      <formula>"NA"</formula>
    </cfRule>
    <cfRule type="cellIs" dxfId="1278" priority="414" operator="equal">
      <formula>"Yes"</formula>
    </cfRule>
  </conditionalFormatting>
  <conditionalFormatting sqref="C26">
    <cfRule type="cellIs" dxfId="1277" priority="366" operator="equal">
      <formula>"No"</formula>
    </cfRule>
    <cfRule type="cellIs" dxfId="1276" priority="367" operator="equal">
      <formula>"NA"</formula>
    </cfRule>
    <cfRule type="cellIs" dxfId="1275" priority="368" operator="equal">
      <formula>"Yes"</formula>
    </cfRule>
  </conditionalFormatting>
  <conditionalFormatting sqref="C28">
    <cfRule type="cellIs" dxfId="1274" priority="320" operator="equal">
      <formula>"No"</formula>
    </cfRule>
    <cfRule type="cellIs" dxfId="1273" priority="321" operator="equal">
      <formula>"NA"</formula>
    </cfRule>
    <cfRule type="cellIs" dxfId="1272" priority="322" operator="equal">
      <formula>"Yes"</formula>
    </cfRule>
  </conditionalFormatting>
  <conditionalFormatting sqref="C29">
    <cfRule type="cellIs" dxfId="1271" priority="274" operator="equal">
      <formula>"No"</formula>
    </cfRule>
    <cfRule type="cellIs" dxfId="1270" priority="275" operator="equal">
      <formula>"NA"</formula>
    </cfRule>
    <cfRule type="cellIs" dxfId="1269" priority="276" operator="equal">
      <formula>"Yes"</formula>
    </cfRule>
  </conditionalFormatting>
  <conditionalFormatting sqref="C30">
    <cfRule type="cellIs" dxfId="1268" priority="228" operator="equal">
      <formula>"No"</formula>
    </cfRule>
    <cfRule type="cellIs" dxfId="1267" priority="229" operator="equal">
      <formula>"NA"</formula>
    </cfRule>
    <cfRule type="cellIs" dxfId="1266" priority="230" operator="equal">
      <formula>"Yes"</formula>
    </cfRule>
  </conditionalFormatting>
  <conditionalFormatting sqref="C31">
    <cfRule type="cellIs" dxfId="1265" priority="182" operator="equal">
      <formula>"No"</formula>
    </cfRule>
    <cfRule type="cellIs" dxfId="1264" priority="183" operator="equal">
      <formula>"NA"</formula>
    </cfRule>
    <cfRule type="cellIs" dxfId="1263" priority="184" operator="equal">
      <formula>"Yes"</formula>
    </cfRule>
  </conditionalFormatting>
  <conditionalFormatting sqref="C33">
    <cfRule type="cellIs" dxfId="1262" priority="136" operator="equal">
      <formula>"No"</formula>
    </cfRule>
    <cfRule type="cellIs" dxfId="1261" priority="137" operator="equal">
      <formula>"NA"</formula>
    </cfRule>
    <cfRule type="cellIs" dxfId="1260" priority="138" operator="equal">
      <formula>"Yes"</formula>
    </cfRule>
  </conditionalFormatting>
  <conditionalFormatting sqref="C34">
    <cfRule type="cellIs" dxfId="1259" priority="90" operator="equal">
      <formula>"No"</formula>
    </cfRule>
    <cfRule type="cellIs" dxfId="1258" priority="91" operator="equal">
      <formula>"NA"</formula>
    </cfRule>
    <cfRule type="cellIs" dxfId="1257" priority="92" operator="equal">
      <formula>"Yes"</formula>
    </cfRule>
  </conditionalFormatting>
  <conditionalFormatting sqref="C36">
    <cfRule type="cellIs" dxfId="1256" priority="44" operator="equal">
      <formula>"No"</formula>
    </cfRule>
    <cfRule type="cellIs" dxfId="1255" priority="45" operator="equal">
      <formula>"NA"</formula>
    </cfRule>
    <cfRule type="cellIs" dxfId="1254"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397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51">
      <c r="A7" s="151" t="s">
        <v>314</v>
      </c>
      <c r="B7" s="160" t="s">
        <v>315</v>
      </c>
      <c r="C7" s="209"/>
      <c r="D7" s="210"/>
      <c r="E7" s="152" t="s">
        <v>316</v>
      </c>
      <c r="F7" s="150"/>
    </row>
    <row r="8" spans="1:7" ht="38.25">
      <c r="A8" s="151" t="s">
        <v>319</v>
      </c>
      <c r="B8" s="160" t="s">
        <v>320</v>
      </c>
      <c r="C8" s="209"/>
      <c r="D8" s="210"/>
      <c r="E8" s="150" t="s">
        <v>321</v>
      </c>
      <c r="F8" s="150"/>
    </row>
    <row r="9" spans="1:7" ht="25.5">
      <c r="A9" s="151" t="s">
        <v>322</v>
      </c>
      <c r="B9" s="160" t="s">
        <v>323</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18.75">
      <c r="A12" s="148"/>
      <c r="B12" s="157" t="s">
        <v>303</v>
      </c>
      <c r="C12" s="149"/>
      <c r="D12" s="149"/>
      <c r="E12" s="215"/>
      <c r="F12" s="215"/>
    </row>
    <row r="13" spans="1:7" ht="38.25">
      <c r="A13" s="151" t="s">
        <v>306</v>
      </c>
      <c r="B13" s="160" t="s">
        <v>307</v>
      </c>
      <c r="C13" s="209"/>
      <c r="D13" s="210"/>
      <c r="E13" s="150"/>
      <c r="F13" s="150"/>
    </row>
    <row r="14" spans="1:7" ht="25.5">
      <c r="A14" s="151" t="s">
        <v>398</v>
      </c>
      <c r="B14" s="160" t="s">
        <v>399</v>
      </c>
      <c r="C14" s="209"/>
      <c r="D14" s="210"/>
      <c r="E14" s="150"/>
      <c r="F14" s="150"/>
    </row>
    <row r="15" spans="1:7" ht="38.25">
      <c r="A15" s="151" t="s">
        <v>400</v>
      </c>
      <c r="B15" s="160" t="s">
        <v>401</v>
      </c>
      <c r="C15" s="209"/>
      <c r="D15" s="210"/>
      <c r="E15" s="150"/>
      <c r="F15" s="150"/>
    </row>
    <row r="16" spans="1:7" ht="25.5">
      <c r="A16" s="151" t="s">
        <v>402</v>
      </c>
      <c r="B16" s="160" t="s">
        <v>403</v>
      </c>
      <c r="C16" s="209"/>
      <c r="D16" s="210"/>
      <c r="E16" s="150"/>
      <c r="F16" s="150"/>
    </row>
    <row r="17" spans="1:6" ht="25.5">
      <c r="A17" s="151" t="s">
        <v>404</v>
      </c>
      <c r="B17" s="160" t="s">
        <v>405</v>
      </c>
      <c r="C17" s="209"/>
      <c r="D17" s="210"/>
      <c r="E17" s="150"/>
      <c r="F17" s="150"/>
    </row>
    <row r="18" spans="1:6" ht="25.5">
      <c r="A18" s="151" t="s">
        <v>406</v>
      </c>
      <c r="B18" s="160" t="s">
        <v>407</v>
      </c>
      <c r="C18" s="209"/>
      <c r="D18" s="210"/>
      <c r="E18" s="150"/>
      <c r="F18" s="150"/>
    </row>
    <row r="19" spans="1:6" ht="25.5">
      <c r="A19" s="151" t="s">
        <v>408</v>
      </c>
      <c r="B19" s="160" t="s">
        <v>409</v>
      </c>
      <c r="C19" s="209"/>
      <c r="D19" s="210"/>
      <c r="E19" s="150"/>
      <c r="F19" s="150"/>
    </row>
    <row r="20" spans="1:6" ht="38.25">
      <c r="A20" s="151" t="s">
        <v>410</v>
      </c>
      <c r="B20" s="160" t="s">
        <v>411</v>
      </c>
      <c r="C20" s="209"/>
      <c r="D20" s="210"/>
      <c r="E20" s="150"/>
      <c r="F20" s="150"/>
    </row>
    <row r="21" spans="1:6" ht="25.5">
      <c r="A21" s="151" t="s">
        <v>412</v>
      </c>
      <c r="B21" s="160" t="s">
        <v>413</v>
      </c>
      <c r="C21" s="209"/>
      <c r="D21" s="210"/>
      <c r="E21" s="150"/>
      <c r="F21" s="150"/>
    </row>
    <row r="22" spans="1:6" ht="18.75">
      <c r="A22" s="148"/>
      <c r="B22" s="157" t="s">
        <v>360</v>
      </c>
      <c r="C22" s="149"/>
      <c r="D22" s="149"/>
      <c r="E22" s="215"/>
      <c r="F22" s="215"/>
    </row>
    <row r="23" spans="1:6" ht="38.25">
      <c r="A23" s="151" t="s">
        <v>361</v>
      </c>
      <c r="B23" s="160" t="s">
        <v>362</v>
      </c>
      <c r="C23" s="209"/>
      <c r="D23" s="210"/>
      <c r="E23" s="150"/>
      <c r="F23" s="150"/>
    </row>
    <row r="24" spans="1:6" ht="25.5">
      <c r="A24" s="151" t="s">
        <v>363</v>
      </c>
      <c r="B24" s="160" t="s">
        <v>364</v>
      </c>
      <c r="C24" s="209"/>
      <c r="D24" s="210"/>
      <c r="E24" s="150"/>
      <c r="F24" s="150"/>
    </row>
    <row r="25" spans="1:6" ht="38.25">
      <c r="A25" s="151" t="s">
        <v>365</v>
      </c>
      <c r="B25" s="160" t="s">
        <v>366</v>
      </c>
      <c r="C25" s="209"/>
      <c r="D25" s="210"/>
      <c r="E25" s="150"/>
      <c r="F25" s="150"/>
    </row>
    <row r="26" spans="1:6" ht="38.25">
      <c r="A26" s="151" t="s">
        <v>367</v>
      </c>
      <c r="B26" s="160" t="s">
        <v>368</v>
      </c>
      <c r="C26" s="209"/>
      <c r="D26" s="210"/>
      <c r="E26" s="150"/>
      <c r="F26" s="150"/>
    </row>
    <row r="27" spans="1:6" ht="18.75">
      <c r="A27" s="148"/>
      <c r="B27" s="157" t="s">
        <v>369</v>
      </c>
      <c r="C27" s="149"/>
      <c r="D27" s="149"/>
      <c r="E27" s="215"/>
      <c r="F27" s="215"/>
    </row>
    <row r="28" spans="1:6" ht="38.25">
      <c r="A28" s="151" t="s">
        <v>370</v>
      </c>
      <c r="B28" s="160" t="s">
        <v>371</v>
      </c>
      <c r="C28" s="209"/>
      <c r="D28" s="210"/>
      <c r="E28" s="150"/>
      <c r="F28" s="150"/>
    </row>
    <row r="29" spans="1:6" ht="38.25">
      <c r="A29" s="151" t="s">
        <v>372</v>
      </c>
      <c r="B29" s="160" t="s">
        <v>373</v>
      </c>
      <c r="C29" s="209"/>
      <c r="D29" s="210"/>
      <c r="E29" s="150"/>
      <c r="F29" s="150"/>
    </row>
    <row r="30" spans="1:6" ht="18.75">
      <c r="A30" s="148"/>
      <c r="B30" s="157" t="s">
        <v>374</v>
      </c>
      <c r="C30" s="149"/>
      <c r="D30" s="149"/>
      <c r="E30" s="215"/>
      <c r="F30" s="215"/>
    </row>
    <row r="31" spans="1:6" ht="51">
      <c r="A31" s="151" t="s">
        <v>375</v>
      </c>
      <c r="B31" s="160" t="s">
        <v>376</v>
      </c>
      <c r="C31" s="209"/>
      <c r="D31" s="210"/>
      <c r="E31" s="150"/>
      <c r="F31" s="150"/>
    </row>
    <row r="32" spans="1:6" ht="18">
      <c r="A32" s="211"/>
      <c r="B32" s="212" t="s">
        <v>377</v>
      </c>
      <c r="C32" s="211"/>
      <c r="D32" s="211"/>
      <c r="E32" s="211"/>
      <c r="F32" s="211"/>
    </row>
    <row r="33" spans="1:6">
      <c r="A33" s="151"/>
      <c r="B33" s="160"/>
    </row>
    <row r="34" spans="1:6" ht="15">
      <c r="A34" s="213"/>
      <c r="B34" s="214" t="s">
        <v>378</v>
      </c>
      <c r="C34" s="213"/>
      <c r="D34" s="213"/>
      <c r="E34" s="213"/>
      <c r="F34" s="213"/>
    </row>
  </sheetData>
  <mergeCells count="1">
    <mergeCell ref="E2:F2"/>
  </mergeCells>
  <conditionalFormatting sqref="C6">
    <cfRule type="cellIs" dxfId="1253" priority="1010" operator="equal">
      <formula>"No"</formula>
    </cfRule>
    <cfRule type="cellIs" dxfId="1252" priority="1011" operator="equal">
      <formula>"NA"</formula>
    </cfRule>
    <cfRule type="cellIs" dxfId="1251" priority="1012" operator="equal">
      <formula>"Yes"</formula>
    </cfRule>
  </conditionalFormatting>
  <conditionalFormatting sqref="C7">
    <cfRule type="cellIs" dxfId="1250" priority="964" operator="equal">
      <formula>"No"</formula>
    </cfRule>
    <cfRule type="cellIs" dxfId="1249" priority="965" operator="equal">
      <formula>"NA"</formula>
    </cfRule>
    <cfRule type="cellIs" dxfId="1248" priority="966" operator="equal">
      <formula>"Yes"</formula>
    </cfRule>
  </conditionalFormatting>
  <conditionalFormatting sqref="C8">
    <cfRule type="cellIs" dxfId="1247" priority="918" operator="equal">
      <formula>"No"</formula>
    </cfRule>
    <cfRule type="cellIs" dxfId="1246" priority="919" operator="equal">
      <formula>"NA"</formula>
    </cfRule>
    <cfRule type="cellIs" dxfId="1245" priority="920" operator="equal">
      <formula>"Yes"</formula>
    </cfRule>
  </conditionalFormatting>
  <conditionalFormatting sqref="C9">
    <cfRule type="cellIs" dxfId="1244" priority="872" operator="equal">
      <formula>"No"</formula>
    </cfRule>
    <cfRule type="cellIs" dxfId="1243" priority="873" operator="equal">
      <formula>"NA"</formula>
    </cfRule>
    <cfRule type="cellIs" dxfId="1242" priority="874" operator="equal">
      <formula>"Yes"</formula>
    </cfRule>
  </conditionalFormatting>
  <conditionalFormatting sqref="C10">
    <cfRule type="cellIs" dxfId="1241" priority="826" operator="equal">
      <formula>"No"</formula>
    </cfRule>
    <cfRule type="cellIs" dxfId="1240" priority="827" operator="equal">
      <formula>"NA"</formula>
    </cfRule>
    <cfRule type="cellIs" dxfId="1239" priority="828" operator="equal">
      <formula>"Yes"</formula>
    </cfRule>
  </conditionalFormatting>
  <conditionalFormatting sqref="C11">
    <cfRule type="cellIs" dxfId="1238" priority="780" operator="equal">
      <formula>"No"</formula>
    </cfRule>
    <cfRule type="cellIs" dxfId="1237" priority="781" operator="equal">
      <formula>"NA"</formula>
    </cfRule>
    <cfRule type="cellIs" dxfId="1236" priority="782" operator="equal">
      <formula>"Yes"</formula>
    </cfRule>
  </conditionalFormatting>
  <conditionalFormatting sqref="C13">
    <cfRule type="cellIs" dxfId="1235" priority="734" operator="equal">
      <formula>"No"</formula>
    </cfRule>
    <cfRule type="cellIs" dxfId="1234" priority="735" operator="equal">
      <formula>"NA"</formula>
    </cfRule>
    <cfRule type="cellIs" dxfId="1233" priority="736" operator="equal">
      <formula>"Yes"</formula>
    </cfRule>
  </conditionalFormatting>
  <conditionalFormatting sqref="C14">
    <cfRule type="cellIs" dxfId="1232" priority="688" operator="equal">
      <formula>"No"</formula>
    </cfRule>
    <cfRule type="cellIs" dxfId="1231" priority="689" operator="equal">
      <formula>"NA"</formula>
    </cfRule>
    <cfRule type="cellIs" dxfId="1230" priority="690" operator="equal">
      <formula>"Yes"</formula>
    </cfRule>
  </conditionalFormatting>
  <conditionalFormatting sqref="C15">
    <cfRule type="cellIs" dxfId="1229" priority="642" operator="equal">
      <formula>"No"</formula>
    </cfRule>
    <cfRule type="cellIs" dxfId="1228" priority="643" operator="equal">
      <formula>"NA"</formula>
    </cfRule>
    <cfRule type="cellIs" dxfId="1227" priority="644" operator="equal">
      <formula>"Yes"</formula>
    </cfRule>
  </conditionalFormatting>
  <conditionalFormatting sqref="C16">
    <cfRule type="cellIs" dxfId="1226" priority="596" operator="equal">
      <formula>"No"</formula>
    </cfRule>
    <cfRule type="cellIs" dxfId="1225" priority="597" operator="equal">
      <formula>"NA"</formula>
    </cfRule>
    <cfRule type="cellIs" dxfId="1224" priority="598" operator="equal">
      <formula>"Yes"</formula>
    </cfRule>
  </conditionalFormatting>
  <conditionalFormatting sqref="C17">
    <cfRule type="cellIs" dxfId="1223" priority="550" operator="equal">
      <formula>"No"</formula>
    </cfRule>
    <cfRule type="cellIs" dxfId="1222" priority="551" operator="equal">
      <formula>"NA"</formula>
    </cfRule>
    <cfRule type="cellIs" dxfId="1221" priority="552" operator="equal">
      <formula>"Yes"</formula>
    </cfRule>
  </conditionalFormatting>
  <conditionalFormatting sqref="C18">
    <cfRule type="cellIs" dxfId="1220" priority="504" operator="equal">
      <formula>"No"</formula>
    </cfRule>
    <cfRule type="cellIs" dxfId="1219" priority="505" operator="equal">
      <formula>"NA"</formula>
    </cfRule>
    <cfRule type="cellIs" dxfId="1218" priority="506" operator="equal">
      <formula>"Yes"</formula>
    </cfRule>
  </conditionalFormatting>
  <conditionalFormatting sqref="C19">
    <cfRule type="cellIs" dxfId="1217" priority="458" operator="equal">
      <formula>"No"</formula>
    </cfRule>
    <cfRule type="cellIs" dxfId="1216" priority="459" operator="equal">
      <formula>"NA"</formula>
    </cfRule>
    <cfRule type="cellIs" dxfId="1215" priority="460" operator="equal">
      <formula>"Yes"</formula>
    </cfRule>
  </conditionalFormatting>
  <conditionalFormatting sqref="C20">
    <cfRule type="cellIs" dxfId="1214" priority="412" operator="equal">
      <formula>"No"</formula>
    </cfRule>
    <cfRule type="cellIs" dxfId="1213" priority="413" operator="equal">
      <formula>"NA"</formula>
    </cfRule>
    <cfRule type="cellIs" dxfId="1212" priority="414" operator="equal">
      <formula>"Yes"</formula>
    </cfRule>
  </conditionalFormatting>
  <conditionalFormatting sqref="C21">
    <cfRule type="cellIs" dxfId="1211" priority="366" operator="equal">
      <formula>"No"</formula>
    </cfRule>
    <cfRule type="cellIs" dxfId="1210" priority="367" operator="equal">
      <formula>"NA"</formula>
    </cfRule>
    <cfRule type="cellIs" dxfId="1209" priority="368" operator="equal">
      <formula>"Yes"</formula>
    </cfRule>
  </conditionalFormatting>
  <conditionalFormatting sqref="C23">
    <cfRule type="cellIs" dxfId="1208" priority="320" operator="equal">
      <formula>"No"</formula>
    </cfRule>
    <cfRule type="cellIs" dxfId="1207" priority="321" operator="equal">
      <formula>"NA"</formula>
    </cfRule>
    <cfRule type="cellIs" dxfId="1206" priority="322" operator="equal">
      <formula>"Yes"</formula>
    </cfRule>
  </conditionalFormatting>
  <conditionalFormatting sqref="C24">
    <cfRule type="cellIs" dxfId="1205" priority="274" operator="equal">
      <formula>"No"</formula>
    </cfRule>
    <cfRule type="cellIs" dxfId="1204" priority="275" operator="equal">
      <formula>"NA"</formula>
    </cfRule>
    <cfRule type="cellIs" dxfId="1203" priority="276" operator="equal">
      <formula>"Yes"</formula>
    </cfRule>
  </conditionalFormatting>
  <conditionalFormatting sqref="C25">
    <cfRule type="cellIs" dxfId="1202" priority="228" operator="equal">
      <formula>"No"</formula>
    </cfRule>
    <cfRule type="cellIs" dxfId="1201" priority="229" operator="equal">
      <formula>"NA"</formula>
    </cfRule>
    <cfRule type="cellIs" dxfId="1200" priority="230" operator="equal">
      <formula>"Yes"</formula>
    </cfRule>
  </conditionalFormatting>
  <conditionalFormatting sqref="C26">
    <cfRule type="cellIs" dxfId="1199" priority="182" operator="equal">
      <formula>"No"</formula>
    </cfRule>
    <cfRule type="cellIs" dxfId="1198" priority="183" operator="equal">
      <formula>"NA"</formula>
    </cfRule>
    <cfRule type="cellIs" dxfId="1197" priority="184" operator="equal">
      <formula>"Yes"</formula>
    </cfRule>
  </conditionalFormatting>
  <conditionalFormatting sqref="C28">
    <cfRule type="cellIs" dxfId="1196" priority="136" operator="equal">
      <formula>"No"</formula>
    </cfRule>
    <cfRule type="cellIs" dxfId="1195" priority="137" operator="equal">
      <formula>"NA"</formula>
    </cfRule>
    <cfRule type="cellIs" dxfId="1194" priority="138" operator="equal">
      <formula>"Yes"</formula>
    </cfRule>
  </conditionalFormatting>
  <conditionalFormatting sqref="C29">
    <cfRule type="cellIs" dxfId="1193" priority="90" operator="equal">
      <formula>"No"</formula>
    </cfRule>
    <cfRule type="cellIs" dxfId="1192" priority="91" operator="equal">
      <formula>"NA"</formula>
    </cfRule>
    <cfRule type="cellIs" dxfId="1191" priority="92" operator="equal">
      <formula>"Yes"</formula>
    </cfRule>
  </conditionalFormatting>
  <conditionalFormatting sqref="C31">
    <cfRule type="cellIs" dxfId="1190" priority="44" operator="equal">
      <formula>"No"</formula>
    </cfRule>
    <cfRule type="cellIs" dxfId="1189" priority="45" operator="equal">
      <formula>"NA"</formula>
    </cfRule>
    <cfRule type="cellIs" dxfId="1188"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414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38.25">
      <c r="A7" s="151" t="s">
        <v>317</v>
      </c>
      <c r="B7" s="160" t="s">
        <v>318</v>
      </c>
      <c r="C7" s="209"/>
      <c r="D7" s="210"/>
      <c r="E7" s="150"/>
      <c r="F7" s="150"/>
    </row>
    <row r="8" spans="1:7" ht="38.25">
      <c r="A8" s="151" t="s">
        <v>319</v>
      </c>
      <c r="B8" s="160" t="s">
        <v>320</v>
      </c>
      <c r="C8" s="209"/>
      <c r="D8" s="210"/>
      <c r="E8" s="150" t="s">
        <v>321</v>
      </c>
      <c r="F8" s="150"/>
    </row>
    <row r="9" spans="1:7" ht="63.75">
      <c r="A9" s="151" t="s">
        <v>324</v>
      </c>
      <c r="B9" s="160" t="s">
        <v>325</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25.5">
      <c r="A12" s="151" t="s">
        <v>332</v>
      </c>
      <c r="B12" s="160" t="s">
        <v>333</v>
      </c>
      <c r="C12" s="209"/>
      <c r="D12" s="210"/>
      <c r="E12" s="150"/>
      <c r="F12" s="150"/>
    </row>
    <row r="13" spans="1:7" ht="25.5">
      <c r="A13" s="151" t="s">
        <v>334</v>
      </c>
      <c r="B13" s="160" t="s">
        <v>335</v>
      </c>
      <c r="C13" s="209"/>
      <c r="D13" s="210"/>
      <c r="E13" s="150"/>
      <c r="F13" s="150"/>
    </row>
    <row r="14" spans="1:7" ht="63.75">
      <c r="A14" s="151" t="s">
        <v>336</v>
      </c>
      <c r="B14" s="160" t="s">
        <v>337</v>
      </c>
      <c r="C14" s="209"/>
      <c r="D14" s="210"/>
      <c r="E14" s="152" t="s">
        <v>338</v>
      </c>
      <c r="F14" s="150"/>
    </row>
    <row r="15" spans="1:7" ht="18.75">
      <c r="A15" s="148"/>
      <c r="B15" s="157" t="s">
        <v>360</v>
      </c>
      <c r="C15" s="149"/>
      <c r="D15" s="149"/>
      <c r="E15" s="215"/>
      <c r="F15" s="215"/>
    </row>
    <row r="16" spans="1:7" ht="38.25">
      <c r="A16" s="151" t="s">
        <v>361</v>
      </c>
      <c r="B16" s="160" t="s">
        <v>362</v>
      </c>
      <c r="C16" s="209"/>
      <c r="D16" s="210"/>
      <c r="E16" s="150"/>
      <c r="F16" s="150"/>
    </row>
    <row r="17" spans="1:6" ht="25.5">
      <c r="A17" s="151" t="s">
        <v>363</v>
      </c>
      <c r="B17" s="160" t="s">
        <v>364</v>
      </c>
      <c r="C17" s="209"/>
      <c r="D17" s="210"/>
      <c r="E17" s="150"/>
      <c r="F17" s="150"/>
    </row>
    <row r="18" spans="1:6" ht="38.25">
      <c r="A18" s="151" t="s">
        <v>365</v>
      </c>
      <c r="B18" s="160" t="s">
        <v>366</v>
      </c>
      <c r="C18" s="209"/>
      <c r="D18" s="210"/>
      <c r="E18" s="150"/>
      <c r="F18" s="150"/>
    </row>
    <row r="19" spans="1:6" ht="38.25">
      <c r="A19" s="151" t="s">
        <v>367</v>
      </c>
      <c r="B19" s="160" t="s">
        <v>368</v>
      </c>
      <c r="C19" s="209"/>
      <c r="D19" s="210"/>
      <c r="E19" s="150"/>
      <c r="F19" s="150"/>
    </row>
    <row r="20" spans="1:6" ht="18.75">
      <c r="A20" s="148"/>
      <c r="B20" s="157" t="s">
        <v>369</v>
      </c>
      <c r="C20" s="149"/>
      <c r="D20" s="149"/>
      <c r="E20" s="215"/>
      <c r="F20" s="215"/>
    </row>
    <row r="21" spans="1:6" ht="38.25">
      <c r="A21" s="151" t="s">
        <v>370</v>
      </c>
      <c r="B21" s="160" t="s">
        <v>371</v>
      </c>
      <c r="C21" s="209"/>
      <c r="D21" s="210"/>
      <c r="E21" s="150"/>
      <c r="F21" s="150"/>
    </row>
    <row r="22" spans="1:6" ht="38.25">
      <c r="A22" s="151" t="s">
        <v>372</v>
      </c>
      <c r="B22" s="160" t="s">
        <v>373</v>
      </c>
      <c r="C22" s="209"/>
      <c r="D22" s="210"/>
      <c r="E22" s="150"/>
      <c r="F22" s="150"/>
    </row>
    <row r="23" spans="1:6" ht="18.75">
      <c r="A23" s="148"/>
      <c r="B23" s="157" t="s">
        <v>374</v>
      </c>
      <c r="C23" s="149"/>
      <c r="D23" s="149"/>
      <c r="E23" s="215"/>
      <c r="F23" s="215"/>
    </row>
    <row r="24" spans="1:6" ht="51">
      <c r="A24" s="151" t="s">
        <v>375</v>
      </c>
      <c r="B24" s="160" t="s">
        <v>376</v>
      </c>
      <c r="C24" s="209"/>
      <c r="D24" s="210"/>
      <c r="E24" s="150"/>
      <c r="F24" s="150"/>
    </row>
    <row r="25" spans="1:6" ht="18">
      <c r="A25" s="211"/>
      <c r="B25" s="212" t="s">
        <v>377</v>
      </c>
      <c r="C25" s="211"/>
      <c r="D25" s="211"/>
      <c r="E25" s="211"/>
      <c r="F25" s="211"/>
    </row>
    <row r="26" spans="1:6">
      <c r="A26" s="151"/>
      <c r="B26" s="160"/>
    </row>
    <row r="27" spans="1:6" ht="15">
      <c r="A27" s="213"/>
      <c r="B27" s="214" t="s">
        <v>378</v>
      </c>
      <c r="C27" s="213"/>
      <c r="D27" s="213"/>
      <c r="E27" s="213"/>
      <c r="F27" s="213"/>
    </row>
  </sheetData>
  <mergeCells count="1">
    <mergeCell ref="E2:F2"/>
  </mergeCells>
  <conditionalFormatting sqref="C6">
    <cfRule type="cellIs" dxfId="1187" priority="734" operator="equal">
      <formula>"No"</formula>
    </cfRule>
    <cfRule type="cellIs" dxfId="1186" priority="735" operator="equal">
      <formula>"NA"</formula>
    </cfRule>
    <cfRule type="cellIs" dxfId="1185" priority="736" operator="equal">
      <formula>"Yes"</formula>
    </cfRule>
  </conditionalFormatting>
  <conditionalFormatting sqref="C7">
    <cfRule type="cellIs" dxfId="1184" priority="688" operator="equal">
      <formula>"No"</formula>
    </cfRule>
    <cfRule type="cellIs" dxfId="1183" priority="689" operator="equal">
      <formula>"NA"</formula>
    </cfRule>
    <cfRule type="cellIs" dxfId="1182" priority="690" operator="equal">
      <formula>"Yes"</formula>
    </cfRule>
  </conditionalFormatting>
  <conditionalFormatting sqref="C8">
    <cfRule type="cellIs" dxfId="1181" priority="642" operator="equal">
      <formula>"No"</formula>
    </cfRule>
    <cfRule type="cellIs" dxfId="1180" priority="643" operator="equal">
      <formula>"NA"</formula>
    </cfRule>
    <cfRule type="cellIs" dxfId="1179" priority="644" operator="equal">
      <formula>"Yes"</formula>
    </cfRule>
  </conditionalFormatting>
  <conditionalFormatting sqref="C9">
    <cfRule type="cellIs" dxfId="1178" priority="596" operator="equal">
      <formula>"No"</formula>
    </cfRule>
    <cfRule type="cellIs" dxfId="1177" priority="597" operator="equal">
      <formula>"NA"</formula>
    </cfRule>
    <cfRule type="cellIs" dxfId="1176" priority="598" operator="equal">
      <formula>"Yes"</formula>
    </cfRule>
  </conditionalFormatting>
  <conditionalFormatting sqref="C10">
    <cfRule type="cellIs" dxfId="1175" priority="550" operator="equal">
      <formula>"No"</formula>
    </cfRule>
    <cfRule type="cellIs" dxfId="1174" priority="551" operator="equal">
      <formula>"NA"</formula>
    </cfRule>
    <cfRule type="cellIs" dxfId="1173" priority="552" operator="equal">
      <formula>"Yes"</formula>
    </cfRule>
  </conditionalFormatting>
  <conditionalFormatting sqref="C11">
    <cfRule type="cellIs" dxfId="1172" priority="504" operator="equal">
      <formula>"No"</formula>
    </cfRule>
    <cfRule type="cellIs" dxfId="1171" priority="505" operator="equal">
      <formula>"NA"</formula>
    </cfRule>
    <cfRule type="cellIs" dxfId="1170" priority="506" operator="equal">
      <formula>"Yes"</formula>
    </cfRule>
  </conditionalFormatting>
  <conditionalFormatting sqref="C12">
    <cfRule type="cellIs" dxfId="1169" priority="458" operator="equal">
      <formula>"No"</formula>
    </cfRule>
    <cfRule type="cellIs" dxfId="1168" priority="459" operator="equal">
      <formula>"NA"</formula>
    </cfRule>
    <cfRule type="cellIs" dxfId="1167" priority="460" operator="equal">
      <formula>"Yes"</formula>
    </cfRule>
  </conditionalFormatting>
  <conditionalFormatting sqref="C13">
    <cfRule type="cellIs" dxfId="1166" priority="412" operator="equal">
      <formula>"No"</formula>
    </cfRule>
    <cfRule type="cellIs" dxfId="1165" priority="413" operator="equal">
      <formula>"NA"</formula>
    </cfRule>
    <cfRule type="cellIs" dxfId="1164" priority="414" operator="equal">
      <formula>"Yes"</formula>
    </cfRule>
  </conditionalFormatting>
  <conditionalFormatting sqref="C14">
    <cfRule type="cellIs" dxfId="1163" priority="366" operator="equal">
      <formula>"No"</formula>
    </cfRule>
    <cfRule type="cellIs" dxfId="1162" priority="367" operator="equal">
      <formula>"NA"</formula>
    </cfRule>
    <cfRule type="cellIs" dxfId="1161" priority="368" operator="equal">
      <formula>"Yes"</formula>
    </cfRule>
  </conditionalFormatting>
  <conditionalFormatting sqref="C16">
    <cfRule type="cellIs" dxfId="1160" priority="320" operator="equal">
      <formula>"No"</formula>
    </cfRule>
    <cfRule type="cellIs" dxfId="1159" priority="321" operator="equal">
      <formula>"NA"</formula>
    </cfRule>
    <cfRule type="cellIs" dxfId="1158" priority="322" operator="equal">
      <formula>"Yes"</formula>
    </cfRule>
  </conditionalFormatting>
  <conditionalFormatting sqref="C17">
    <cfRule type="cellIs" dxfId="1157" priority="274" operator="equal">
      <formula>"No"</formula>
    </cfRule>
    <cfRule type="cellIs" dxfId="1156" priority="275" operator="equal">
      <formula>"NA"</formula>
    </cfRule>
    <cfRule type="cellIs" dxfId="1155" priority="276" operator="equal">
      <formula>"Yes"</formula>
    </cfRule>
  </conditionalFormatting>
  <conditionalFormatting sqref="C18">
    <cfRule type="cellIs" dxfId="1154" priority="228" operator="equal">
      <formula>"No"</formula>
    </cfRule>
    <cfRule type="cellIs" dxfId="1153" priority="229" operator="equal">
      <formula>"NA"</formula>
    </cfRule>
    <cfRule type="cellIs" dxfId="1152" priority="230" operator="equal">
      <formula>"Yes"</formula>
    </cfRule>
  </conditionalFormatting>
  <conditionalFormatting sqref="C19">
    <cfRule type="cellIs" dxfId="1151" priority="182" operator="equal">
      <formula>"No"</formula>
    </cfRule>
    <cfRule type="cellIs" dxfId="1150" priority="183" operator="equal">
      <formula>"NA"</formula>
    </cfRule>
    <cfRule type="cellIs" dxfId="1149" priority="184" operator="equal">
      <formula>"Yes"</formula>
    </cfRule>
  </conditionalFormatting>
  <conditionalFormatting sqref="C21">
    <cfRule type="cellIs" dxfId="1148" priority="136" operator="equal">
      <formula>"No"</formula>
    </cfRule>
    <cfRule type="cellIs" dxfId="1147" priority="137" operator="equal">
      <formula>"NA"</formula>
    </cfRule>
    <cfRule type="cellIs" dxfId="1146" priority="138" operator="equal">
      <formula>"Yes"</formula>
    </cfRule>
  </conditionalFormatting>
  <conditionalFormatting sqref="C22">
    <cfRule type="cellIs" dxfId="1145" priority="90" operator="equal">
      <formula>"No"</formula>
    </cfRule>
    <cfRule type="cellIs" dxfId="1144" priority="91" operator="equal">
      <formula>"NA"</formula>
    </cfRule>
    <cfRule type="cellIs" dxfId="1143" priority="92" operator="equal">
      <formula>"Yes"</formula>
    </cfRule>
  </conditionalFormatting>
  <conditionalFormatting sqref="C24">
    <cfRule type="cellIs" dxfId="1142" priority="44" operator="equal">
      <formula>"No"</formula>
    </cfRule>
    <cfRule type="cellIs" dxfId="1141" priority="45" operator="equal">
      <formula>"NA"</formula>
    </cfRule>
    <cfRule type="cellIs" dxfId="1140"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415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416</v>
      </c>
      <c r="C5" s="149"/>
      <c r="D5" s="149"/>
      <c r="E5" s="215"/>
      <c r="F5" s="215"/>
    </row>
    <row r="6" spans="1:7" ht="76.5">
      <c r="A6" s="151" t="s">
        <v>417</v>
      </c>
      <c r="B6" s="160" t="s">
        <v>418</v>
      </c>
      <c r="C6" s="209"/>
      <c r="D6" s="210"/>
      <c r="E6" s="152" t="s">
        <v>419</v>
      </c>
      <c r="F6" s="150"/>
    </row>
    <row r="7" spans="1:7" ht="76.5">
      <c r="A7" s="151" t="s">
        <v>420</v>
      </c>
      <c r="B7" s="160" t="s">
        <v>421</v>
      </c>
      <c r="C7" s="209"/>
      <c r="D7" s="210"/>
      <c r="E7" s="152" t="s">
        <v>422</v>
      </c>
      <c r="F7" s="150"/>
    </row>
    <row r="8" spans="1:7" ht="25.5">
      <c r="A8" s="151" t="s">
        <v>423</v>
      </c>
      <c r="B8" s="160" t="s">
        <v>424</v>
      </c>
      <c r="C8" s="209"/>
      <c r="D8" s="210"/>
      <c r="E8" s="150"/>
      <c r="F8" s="150"/>
    </row>
    <row r="9" spans="1:7" ht="18.75">
      <c r="A9" s="148"/>
      <c r="B9" s="157" t="s">
        <v>425</v>
      </c>
      <c r="C9" s="149"/>
      <c r="D9" s="149"/>
      <c r="E9" s="215"/>
      <c r="F9" s="215"/>
    </row>
    <row r="10" spans="1:7" ht="25.5">
      <c r="A10" s="151" t="s">
        <v>426</v>
      </c>
      <c r="B10" s="160" t="s">
        <v>427</v>
      </c>
      <c r="C10" s="209"/>
      <c r="D10" s="210"/>
      <c r="E10" s="150" t="s">
        <v>428</v>
      </c>
      <c r="F10" s="150"/>
    </row>
    <row r="11" spans="1:7" ht="25.5">
      <c r="A11" s="151" t="s">
        <v>429</v>
      </c>
      <c r="B11" s="160" t="s">
        <v>430</v>
      </c>
      <c r="C11" s="209"/>
      <c r="D11" s="210"/>
      <c r="E11" s="150"/>
      <c r="F11" s="150"/>
    </row>
    <row r="12" spans="1:7" ht="18.75">
      <c r="A12" s="148"/>
      <c r="B12" s="157" t="s">
        <v>311</v>
      </c>
      <c r="C12" s="149"/>
      <c r="D12" s="149"/>
      <c r="E12" s="215"/>
      <c r="F12" s="215"/>
    </row>
    <row r="13" spans="1:7" ht="63.75">
      <c r="A13" s="151" t="s">
        <v>336</v>
      </c>
      <c r="B13" s="160" t="s">
        <v>337</v>
      </c>
      <c r="C13" s="209"/>
      <c r="D13" s="210"/>
      <c r="E13" s="152" t="s">
        <v>338</v>
      </c>
      <c r="F13" s="150"/>
    </row>
    <row r="14" spans="1:7" ht="18.75">
      <c r="A14" s="148"/>
      <c r="B14" s="157" t="s">
        <v>360</v>
      </c>
      <c r="C14" s="149"/>
      <c r="D14" s="149"/>
      <c r="E14" s="215"/>
      <c r="F14" s="215"/>
    </row>
    <row r="15" spans="1:7" ht="38.25">
      <c r="A15" s="151" t="s">
        <v>361</v>
      </c>
      <c r="B15" s="160" t="s">
        <v>362</v>
      </c>
      <c r="C15" s="209"/>
      <c r="D15" s="210"/>
      <c r="E15" s="150"/>
      <c r="F15" s="150"/>
    </row>
    <row r="16" spans="1:7" ht="25.5">
      <c r="A16" s="151" t="s">
        <v>363</v>
      </c>
      <c r="B16" s="160" t="s">
        <v>364</v>
      </c>
      <c r="C16" s="209"/>
      <c r="D16" s="210"/>
      <c r="E16" s="150"/>
      <c r="F16" s="150"/>
    </row>
    <row r="17" spans="1:6" ht="38.25">
      <c r="A17" s="151" t="s">
        <v>365</v>
      </c>
      <c r="B17" s="160" t="s">
        <v>366</v>
      </c>
      <c r="C17" s="209"/>
      <c r="D17" s="210"/>
      <c r="E17" s="150"/>
      <c r="F17" s="150"/>
    </row>
    <row r="18" spans="1:6" ht="38.25">
      <c r="A18" s="151" t="s">
        <v>367</v>
      </c>
      <c r="B18" s="160" t="s">
        <v>368</v>
      </c>
      <c r="C18" s="209"/>
      <c r="D18" s="210"/>
      <c r="E18" s="150"/>
      <c r="F18" s="150"/>
    </row>
    <row r="19" spans="1:6" ht="18.75">
      <c r="A19" s="148"/>
      <c r="B19" s="157" t="s">
        <v>369</v>
      </c>
      <c r="C19" s="149"/>
      <c r="D19" s="149"/>
      <c r="E19" s="215"/>
      <c r="F19" s="215"/>
    </row>
    <row r="20" spans="1:6" ht="38.25">
      <c r="A20" s="151" t="s">
        <v>370</v>
      </c>
      <c r="B20" s="160" t="s">
        <v>371</v>
      </c>
      <c r="C20" s="209"/>
      <c r="D20" s="210"/>
      <c r="E20" s="150"/>
      <c r="F20" s="150"/>
    </row>
    <row r="21" spans="1:6" ht="38.25">
      <c r="A21" s="151" t="s">
        <v>372</v>
      </c>
      <c r="B21" s="160" t="s">
        <v>373</v>
      </c>
      <c r="C21" s="209"/>
      <c r="D21" s="210"/>
      <c r="E21" s="150"/>
      <c r="F21" s="150"/>
    </row>
    <row r="22" spans="1:6" ht="18.75">
      <c r="A22" s="148"/>
      <c r="B22" s="157" t="s">
        <v>374</v>
      </c>
      <c r="C22" s="149"/>
      <c r="D22" s="149"/>
      <c r="E22" s="215"/>
      <c r="F22" s="215"/>
    </row>
    <row r="23" spans="1:6" ht="51">
      <c r="A23" s="151" t="s">
        <v>375</v>
      </c>
      <c r="B23" s="160" t="s">
        <v>376</v>
      </c>
      <c r="C23" s="209"/>
      <c r="D23" s="210"/>
      <c r="E23" s="150"/>
      <c r="F23" s="150"/>
    </row>
    <row r="24" spans="1:6" ht="18">
      <c r="A24" s="211"/>
      <c r="B24" s="212" t="s">
        <v>377</v>
      </c>
      <c r="C24" s="211"/>
      <c r="D24" s="211"/>
      <c r="E24" s="211"/>
      <c r="F24" s="211"/>
    </row>
    <row r="25" spans="1:6">
      <c r="A25" s="151"/>
      <c r="B25" s="160"/>
    </row>
    <row r="26" spans="1:6" ht="15">
      <c r="A26" s="213"/>
      <c r="B26" s="214" t="s">
        <v>378</v>
      </c>
      <c r="C26" s="213"/>
      <c r="D26" s="213"/>
      <c r="E26" s="213"/>
      <c r="F26" s="213"/>
    </row>
  </sheetData>
  <mergeCells count="1">
    <mergeCell ref="E2:F2"/>
  </mergeCells>
  <conditionalFormatting sqref="C6">
    <cfRule type="cellIs" dxfId="1139" priority="596" operator="equal">
      <formula>"No"</formula>
    </cfRule>
    <cfRule type="cellIs" dxfId="1138" priority="597" operator="equal">
      <formula>"NA"</formula>
    </cfRule>
    <cfRule type="cellIs" dxfId="1137" priority="598" operator="equal">
      <formula>"Yes"</formula>
    </cfRule>
  </conditionalFormatting>
  <conditionalFormatting sqref="C7">
    <cfRule type="cellIs" dxfId="1136" priority="550" operator="equal">
      <formula>"No"</formula>
    </cfRule>
    <cfRule type="cellIs" dxfId="1135" priority="551" operator="equal">
      <formula>"NA"</formula>
    </cfRule>
    <cfRule type="cellIs" dxfId="1134" priority="552" operator="equal">
      <formula>"Yes"</formula>
    </cfRule>
  </conditionalFormatting>
  <conditionalFormatting sqref="C8">
    <cfRule type="cellIs" dxfId="1133" priority="504" operator="equal">
      <formula>"No"</formula>
    </cfRule>
    <cfRule type="cellIs" dxfId="1132" priority="505" operator="equal">
      <formula>"NA"</formula>
    </cfRule>
    <cfRule type="cellIs" dxfId="1131" priority="506" operator="equal">
      <formula>"Yes"</formula>
    </cfRule>
  </conditionalFormatting>
  <conditionalFormatting sqref="C10">
    <cfRule type="cellIs" dxfId="1130" priority="458" operator="equal">
      <formula>"No"</formula>
    </cfRule>
    <cfRule type="cellIs" dxfId="1129" priority="459" operator="equal">
      <formula>"NA"</formula>
    </cfRule>
    <cfRule type="cellIs" dxfId="1128" priority="460" operator="equal">
      <formula>"Yes"</formula>
    </cfRule>
  </conditionalFormatting>
  <conditionalFormatting sqref="C11">
    <cfRule type="cellIs" dxfId="1127" priority="412" operator="equal">
      <formula>"No"</formula>
    </cfRule>
    <cfRule type="cellIs" dxfId="1126" priority="413" operator="equal">
      <formula>"NA"</formula>
    </cfRule>
    <cfRule type="cellIs" dxfId="1125" priority="414" operator="equal">
      <formula>"Yes"</formula>
    </cfRule>
  </conditionalFormatting>
  <conditionalFormatting sqref="C13">
    <cfRule type="cellIs" dxfId="1124" priority="366" operator="equal">
      <formula>"No"</formula>
    </cfRule>
    <cfRule type="cellIs" dxfId="1123" priority="367" operator="equal">
      <formula>"NA"</formula>
    </cfRule>
    <cfRule type="cellIs" dxfId="1122" priority="368" operator="equal">
      <formula>"Yes"</formula>
    </cfRule>
  </conditionalFormatting>
  <conditionalFormatting sqref="C15">
    <cfRule type="cellIs" dxfId="1121" priority="320" operator="equal">
      <formula>"No"</formula>
    </cfRule>
    <cfRule type="cellIs" dxfId="1120" priority="321" operator="equal">
      <formula>"NA"</formula>
    </cfRule>
    <cfRule type="cellIs" dxfId="1119" priority="322" operator="equal">
      <formula>"Yes"</formula>
    </cfRule>
  </conditionalFormatting>
  <conditionalFormatting sqref="C16">
    <cfRule type="cellIs" dxfId="1118" priority="274" operator="equal">
      <formula>"No"</formula>
    </cfRule>
    <cfRule type="cellIs" dxfId="1117" priority="275" operator="equal">
      <formula>"NA"</formula>
    </cfRule>
    <cfRule type="cellIs" dxfId="1116" priority="276" operator="equal">
      <formula>"Yes"</formula>
    </cfRule>
  </conditionalFormatting>
  <conditionalFormatting sqref="C17">
    <cfRule type="cellIs" dxfId="1115" priority="228" operator="equal">
      <formula>"No"</formula>
    </cfRule>
    <cfRule type="cellIs" dxfId="1114" priority="229" operator="equal">
      <formula>"NA"</formula>
    </cfRule>
    <cfRule type="cellIs" dxfId="1113" priority="230" operator="equal">
      <formula>"Yes"</formula>
    </cfRule>
  </conditionalFormatting>
  <conditionalFormatting sqref="C18">
    <cfRule type="cellIs" dxfId="1112" priority="182" operator="equal">
      <formula>"No"</formula>
    </cfRule>
    <cfRule type="cellIs" dxfId="1111" priority="183" operator="equal">
      <formula>"NA"</formula>
    </cfRule>
    <cfRule type="cellIs" dxfId="1110" priority="184" operator="equal">
      <formula>"Yes"</formula>
    </cfRule>
  </conditionalFormatting>
  <conditionalFormatting sqref="C20">
    <cfRule type="cellIs" dxfId="1109" priority="136" operator="equal">
      <formula>"No"</formula>
    </cfRule>
    <cfRule type="cellIs" dxfId="1108" priority="137" operator="equal">
      <formula>"NA"</formula>
    </cfRule>
    <cfRule type="cellIs" dxfId="1107" priority="138" operator="equal">
      <formula>"Yes"</formula>
    </cfRule>
  </conditionalFormatting>
  <conditionalFormatting sqref="C21">
    <cfRule type="cellIs" dxfId="1106" priority="90" operator="equal">
      <formula>"No"</formula>
    </cfRule>
    <cfRule type="cellIs" dxfId="1105" priority="91" operator="equal">
      <formula>"NA"</formula>
    </cfRule>
    <cfRule type="cellIs" dxfId="1104" priority="92" operator="equal">
      <formula>"Yes"</formula>
    </cfRule>
  </conditionalFormatting>
  <conditionalFormatting sqref="C23">
    <cfRule type="cellIs" dxfId="1103" priority="44" operator="equal">
      <formula>"No"</formula>
    </cfRule>
    <cfRule type="cellIs" dxfId="1102" priority="45" operator="equal">
      <formula>"NA"</formula>
    </cfRule>
    <cfRule type="cellIs" dxfId="1101"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432</v>
      </c>
      <c r="C5" s="149"/>
      <c r="D5" s="149"/>
      <c r="E5" s="215"/>
      <c r="F5" s="215"/>
    </row>
    <row r="6" spans="1:7" ht="38.25">
      <c r="A6" s="151" t="s">
        <v>433</v>
      </c>
      <c r="B6" s="160" t="s">
        <v>434</v>
      </c>
      <c r="C6" s="209"/>
      <c r="D6" s="210"/>
      <c r="E6" s="150"/>
      <c r="F6" s="150"/>
    </row>
    <row r="7" spans="1:7" ht="25.5">
      <c r="A7" s="151" t="s">
        <v>435</v>
      </c>
      <c r="B7" s="160" t="s">
        <v>436</v>
      </c>
      <c r="C7" s="209"/>
      <c r="D7" s="210"/>
      <c r="E7" s="150"/>
      <c r="F7" s="150"/>
    </row>
    <row r="8" spans="1:7" ht="25.5">
      <c r="A8" s="151" t="s">
        <v>437</v>
      </c>
      <c r="B8" s="160" t="s">
        <v>438</v>
      </c>
      <c r="C8" s="209"/>
      <c r="D8" s="210"/>
      <c r="E8" s="150"/>
      <c r="F8" s="150"/>
    </row>
    <row r="9" spans="1:7" ht="38.25">
      <c r="A9" s="151" t="s">
        <v>439</v>
      </c>
      <c r="B9" s="160" t="s">
        <v>440</v>
      </c>
      <c r="C9" s="209"/>
      <c r="D9" s="210"/>
      <c r="E9" s="150"/>
      <c r="F9" s="150"/>
    </row>
    <row r="10" spans="1:7" ht="38.25">
      <c r="A10" s="151" t="s">
        <v>441</v>
      </c>
      <c r="B10" s="160" t="s">
        <v>442</v>
      </c>
      <c r="C10" s="209"/>
      <c r="D10" s="210"/>
      <c r="E10" s="150"/>
      <c r="F10" s="150"/>
    </row>
    <row r="11" spans="1:7" ht="25.5">
      <c r="A11" s="151" t="s">
        <v>443</v>
      </c>
      <c r="B11" s="160" t="s">
        <v>444</v>
      </c>
      <c r="C11" s="209"/>
      <c r="D11" s="210"/>
      <c r="E11" s="150"/>
      <c r="F11" s="150"/>
    </row>
    <row r="12" spans="1:7" ht="18.75">
      <c r="A12" s="148"/>
      <c r="B12" s="157" t="s">
        <v>445</v>
      </c>
      <c r="C12" s="149"/>
      <c r="D12" s="149"/>
      <c r="E12" s="215"/>
      <c r="F12" s="215"/>
    </row>
    <row r="13" spans="1:7" ht="25.5">
      <c r="A13" s="151" t="s">
        <v>446</v>
      </c>
      <c r="B13" s="160" t="s">
        <v>447</v>
      </c>
      <c r="C13" s="209"/>
      <c r="D13" s="210"/>
      <c r="E13" s="150"/>
      <c r="F13" s="150"/>
    </row>
    <row r="14" spans="1:7" ht="38.25">
      <c r="A14" s="151" t="s">
        <v>448</v>
      </c>
      <c r="B14" s="160" t="s">
        <v>449</v>
      </c>
      <c r="C14" s="209"/>
      <c r="D14" s="210"/>
      <c r="E14" s="150"/>
      <c r="F14" s="150"/>
    </row>
    <row r="15" spans="1:7" ht="38.25">
      <c r="A15" s="151" t="s">
        <v>450</v>
      </c>
      <c r="B15" s="160" t="s">
        <v>451</v>
      </c>
      <c r="C15" s="209"/>
      <c r="D15" s="210"/>
      <c r="E15" s="150"/>
      <c r="F15" s="150"/>
    </row>
    <row r="16" spans="1:7" ht="25.5">
      <c r="A16" s="151" t="s">
        <v>452</v>
      </c>
      <c r="B16" s="160" t="s">
        <v>453</v>
      </c>
      <c r="C16" s="209"/>
      <c r="D16" s="210"/>
      <c r="E16" s="150"/>
      <c r="F16" s="150"/>
    </row>
    <row r="17" spans="1:6" ht="25.5">
      <c r="A17" s="151" t="s">
        <v>454</v>
      </c>
      <c r="B17" s="160" t="s">
        <v>455</v>
      </c>
      <c r="C17" s="209"/>
      <c r="D17" s="210"/>
      <c r="E17" s="150"/>
      <c r="F17" s="150"/>
    </row>
    <row r="18" spans="1:6" ht="38.25">
      <c r="A18" s="151" t="s">
        <v>456</v>
      </c>
      <c r="B18" s="160" t="s">
        <v>457</v>
      </c>
      <c r="C18" s="209"/>
      <c r="D18" s="210"/>
      <c r="E18" s="150"/>
      <c r="F18" s="150"/>
    </row>
    <row r="19" spans="1:6" ht="18.75">
      <c r="A19" s="148"/>
      <c r="B19" s="157" t="s">
        <v>458</v>
      </c>
      <c r="C19" s="149"/>
      <c r="D19" s="149"/>
      <c r="E19" s="215"/>
      <c r="F19" s="215"/>
    </row>
    <row r="20" spans="1:6" ht="25.5">
      <c r="A20" s="151" t="s">
        <v>459</v>
      </c>
      <c r="B20" s="160" t="s">
        <v>460</v>
      </c>
      <c r="C20" s="209"/>
      <c r="D20" s="210"/>
      <c r="E20" s="150" t="s">
        <v>461</v>
      </c>
      <c r="F20" s="150"/>
    </row>
    <row r="21" spans="1:6" ht="25.5">
      <c r="A21" s="151" t="s">
        <v>462</v>
      </c>
      <c r="B21" s="160" t="s">
        <v>463</v>
      </c>
      <c r="C21" s="209"/>
      <c r="D21" s="210"/>
      <c r="E21" s="150" t="s">
        <v>461</v>
      </c>
      <c r="F21" s="150"/>
    </row>
    <row r="22" spans="1:6" ht="25.5">
      <c r="A22" s="151" t="s">
        <v>464</v>
      </c>
      <c r="B22" s="160" t="s">
        <v>465</v>
      </c>
      <c r="C22" s="209"/>
      <c r="D22" s="210"/>
      <c r="E22" s="150" t="s">
        <v>461</v>
      </c>
      <c r="F22" s="150"/>
    </row>
    <row r="23" spans="1:6" ht="38.25">
      <c r="A23" s="151" t="s">
        <v>466</v>
      </c>
      <c r="B23" s="160" t="s">
        <v>467</v>
      </c>
      <c r="C23" s="209"/>
      <c r="D23" s="210"/>
      <c r="E23" s="150" t="s">
        <v>461</v>
      </c>
      <c r="F23" s="150"/>
    </row>
    <row r="24" spans="1:6" ht="38.25">
      <c r="A24" s="151" t="s">
        <v>468</v>
      </c>
      <c r="B24" s="160" t="s">
        <v>469</v>
      </c>
      <c r="C24" s="209"/>
      <c r="D24" s="210"/>
      <c r="E24" s="150" t="s">
        <v>461</v>
      </c>
      <c r="F24" s="150"/>
    </row>
    <row r="25" spans="1:6" ht="38.25">
      <c r="A25" s="151" t="s">
        <v>470</v>
      </c>
      <c r="B25" s="160" t="s">
        <v>471</v>
      </c>
      <c r="C25" s="209"/>
      <c r="D25" s="210"/>
      <c r="E25" s="150" t="s">
        <v>461</v>
      </c>
      <c r="F25" s="150"/>
    </row>
    <row r="26" spans="1:6" ht="18.75">
      <c r="A26" s="148"/>
      <c r="B26" s="157" t="s">
        <v>472</v>
      </c>
      <c r="C26" s="149"/>
      <c r="D26" s="149"/>
      <c r="E26" s="215"/>
      <c r="F26" s="215"/>
    </row>
    <row r="27" spans="1:6" ht="25.5">
      <c r="A27" s="151" t="s">
        <v>473</v>
      </c>
      <c r="B27" s="160" t="s">
        <v>474</v>
      </c>
      <c r="C27" s="209"/>
      <c r="D27" s="210"/>
      <c r="E27" s="150"/>
      <c r="F27" s="150"/>
    </row>
    <row r="28" spans="1:6" ht="25.5">
      <c r="A28" s="151" t="s">
        <v>475</v>
      </c>
      <c r="B28" s="160" t="s">
        <v>476</v>
      </c>
      <c r="C28" s="209"/>
      <c r="D28" s="210"/>
      <c r="E28" s="150"/>
      <c r="F28" s="150"/>
    </row>
    <row r="29" spans="1:6" ht="38.25">
      <c r="A29" s="151" t="s">
        <v>477</v>
      </c>
      <c r="B29" s="160" t="s">
        <v>478</v>
      </c>
      <c r="C29" s="209"/>
      <c r="D29" s="210"/>
      <c r="E29" s="150"/>
      <c r="F29" s="150"/>
    </row>
    <row r="30" spans="1:6" ht="18.75">
      <c r="A30" s="148"/>
      <c r="B30" s="157" t="s">
        <v>360</v>
      </c>
      <c r="C30" s="149"/>
      <c r="D30" s="149"/>
      <c r="E30" s="215"/>
      <c r="F30" s="215"/>
    </row>
    <row r="31" spans="1:6" ht="38.25">
      <c r="A31" s="151" t="s">
        <v>361</v>
      </c>
      <c r="B31" s="160" t="s">
        <v>362</v>
      </c>
      <c r="C31" s="209"/>
      <c r="D31" s="210"/>
      <c r="E31" s="150"/>
      <c r="F31" s="150"/>
    </row>
    <row r="32" spans="1:6" ht="25.5">
      <c r="A32" s="151" t="s">
        <v>363</v>
      </c>
      <c r="B32" s="160" t="s">
        <v>364</v>
      </c>
      <c r="C32" s="209"/>
      <c r="D32" s="210"/>
      <c r="E32" s="150"/>
      <c r="F32" s="150"/>
    </row>
    <row r="33" spans="1:6" ht="38.25">
      <c r="A33" s="151" t="s">
        <v>365</v>
      </c>
      <c r="B33" s="160" t="s">
        <v>366</v>
      </c>
      <c r="C33" s="209"/>
      <c r="D33" s="210"/>
      <c r="E33" s="150"/>
      <c r="F33" s="150"/>
    </row>
    <row r="34" spans="1:6" ht="38.25">
      <c r="A34" s="151" t="s">
        <v>367</v>
      </c>
      <c r="B34" s="160" t="s">
        <v>368</v>
      </c>
      <c r="C34" s="209"/>
      <c r="D34" s="210"/>
      <c r="E34" s="150"/>
      <c r="F34" s="150"/>
    </row>
    <row r="35" spans="1:6" ht="18.75">
      <c r="A35" s="148"/>
      <c r="B35" s="157" t="s">
        <v>369</v>
      </c>
      <c r="C35" s="149"/>
      <c r="D35" s="149"/>
      <c r="E35" s="215"/>
      <c r="F35" s="215"/>
    </row>
    <row r="36" spans="1:6" ht="38.25">
      <c r="A36" s="151" t="s">
        <v>370</v>
      </c>
      <c r="B36" s="160" t="s">
        <v>371</v>
      </c>
      <c r="C36" s="209"/>
      <c r="D36" s="210"/>
      <c r="E36" s="150"/>
      <c r="F36" s="150"/>
    </row>
    <row r="37" spans="1:6" ht="38.25">
      <c r="A37" s="151" t="s">
        <v>372</v>
      </c>
      <c r="B37" s="160" t="s">
        <v>373</v>
      </c>
      <c r="C37" s="209"/>
      <c r="D37" s="210"/>
      <c r="E37" s="150"/>
      <c r="F37" s="150"/>
    </row>
    <row r="38" spans="1:6" ht="18.75">
      <c r="A38" s="148"/>
      <c r="B38" s="157" t="s">
        <v>374</v>
      </c>
      <c r="C38" s="149"/>
      <c r="D38" s="149"/>
      <c r="E38" s="215"/>
      <c r="F38" s="215"/>
    </row>
    <row r="39" spans="1:6" ht="51">
      <c r="A39" s="151" t="s">
        <v>375</v>
      </c>
      <c r="B39" s="160" t="s">
        <v>376</v>
      </c>
      <c r="C39" s="209"/>
      <c r="D39" s="210"/>
      <c r="E39" s="150"/>
      <c r="F39" s="150"/>
    </row>
    <row r="40" spans="1:6" ht="18">
      <c r="A40" s="211"/>
      <c r="B40" s="212" t="s">
        <v>377</v>
      </c>
      <c r="C40" s="211"/>
      <c r="D40" s="211"/>
      <c r="E40" s="211"/>
      <c r="F40" s="211"/>
    </row>
    <row r="41" spans="1:6">
      <c r="A41" s="151"/>
      <c r="B41" s="160"/>
    </row>
    <row r="42" spans="1:6" ht="15">
      <c r="A42" s="213"/>
      <c r="B42" s="214" t="s">
        <v>378</v>
      </c>
      <c r="C42" s="213"/>
      <c r="D42" s="213"/>
      <c r="E42" s="213"/>
      <c r="F42" s="213"/>
    </row>
  </sheetData>
  <mergeCells count="1">
    <mergeCell ref="E2:F2"/>
  </mergeCells>
  <conditionalFormatting sqref="C6">
    <cfRule type="cellIs" dxfId="1100" priority="1286" operator="equal">
      <formula>"No"</formula>
    </cfRule>
    <cfRule type="cellIs" dxfId="1099" priority="1287" operator="equal">
      <formula>"NA"</formula>
    </cfRule>
    <cfRule type="cellIs" dxfId="1098" priority="1288" operator="equal">
      <formula>"Yes"</formula>
    </cfRule>
  </conditionalFormatting>
  <conditionalFormatting sqref="C7">
    <cfRule type="cellIs" dxfId="1097" priority="1240" operator="equal">
      <formula>"No"</formula>
    </cfRule>
    <cfRule type="cellIs" dxfId="1096" priority="1241" operator="equal">
      <formula>"NA"</formula>
    </cfRule>
    <cfRule type="cellIs" dxfId="1095" priority="1242" operator="equal">
      <formula>"Yes"</formula>
    </cfRule>
  </conditionalFormatting>
  <conditionalFormatting sqref="C8">
    <cfRule type="cellIs" dxfId="1094" priority="1194" operator="equal">
      <formula>"No"</formula>
    </cfRule>
    <cfRule type="cellIs" dxfId="1093" priority="1195" operator="equal">
      <formula>"NA"</formula>
    </cfRule>
    <cfRule type="cellIs" dxfId="1092" priority="1196" operator="equal">
      <formula>"Yes"</formula>
    </cfRule>
  </conditionalFormatting>
  <conditionalFormatting sqref="C9">
    <cfRule type="cellIs" dxfId="1091" priority="1148" operator="equal">
      <formula>"No"</formula>
    </cfRule>
    <cfRule type="cellIs" dxfId="1090" priority="1149" operator="equal">
      <formula>"NA"</formula>
    </cfRule>
    <cfRule type="cellIs" dxfId="1089" priority="1150" operator="equal">
      <formula>"Yes"</formula>
    </cfRule>
  </conditionalFormatting>
  <conditionalFormatting sqref="C10">
    <cfRule type="cellIs" dxfId="1088" priority="1102" operator="equal">
      <formula>"No"</formula>
    </cfRule>
    <cfRule type="cellIs" dxfId="1087" priority="1103" operator="equal">
      <formula>"NA"</formula>
    </cfRule>
    <cfRule type="cellIs" dxfId="1086" priority="1104" operator="equal">
      <formula>"Yes"</formula>
    </cfRule>
  </conditionalFormatting>
  <conditionalFormatting sqref="C11">
    <cfRule type="cellIs" dxfId="1085" priority="1056" operator="equal">
      <formula>"No"</formula>
    </cfRule>
    <cfRule type="cellIs" dxfId="1084" priority="1057" operator="equal">
      <formula>"NA"</formula>
    </cfRule>
    <cfRule type="cellIs" dxfId="1083" priority="1058" operator="equal">
      <formula>"Yes"</formula>
    </cfRule>
  </conditionalFormatting>
  <conditionalFormatting sqref="C13">
    <cfRule type="cellIs" dxfId="1082" priority="1010" operator="equal">
      <formula>"No"</formula>
    </cfRule>
    <cfRule type="cellIs" dxfId="1081" priority="1011" operator="equal">
      <formula>"NA"</formula>
    </cfRule>
    <cfRule type="cellIs" dxfId="1080" priority="1012" operator="equal">
      <formula>"Yes"</formula>
    </cfRule>
  </conditionalFormatting>
  <conditionalFormatting sqref="C14">
    <cfRule type="cellIs" dxfId="1079" priority="964" operator="equal">
      <formula>"No"</formula>
    </cfRule>
    <cfRule type="cellIs" dxfId="1078" priority="965" operator="equal">
      <formula>"NA"</formula>
    </cfRule>
    <cfRule type="cellIs" dxfId="1077" priority="966" operator="equal">
      <formula>"Yes"</formula>
    </cfRule>
  </conditionalFormatting>
  <conditionalFormatting sqref="C15">
    <cfRule type="cellIs" dxfId="1076" priority="918" operator="equal">
      <formula>"No"</formula>
    </cfRule>
    <cfRule type="cellIs" dxfId="1075" priority="919" operator="equal">
      <formula>"NA"</formula>
    </cfRule>
    <cfRule type="cellIs" dxfId="1074" priority="920" operator="equal">
      <formula>"Yes"</formula>
    </cfRule>
  </conditionalFormatting>
  <conditionalFormatting sqref="C16">
    <cfRule type="cellIs" dxfId="1073" priority="872" operator="equal">
      <formula>"No"</formula>
    </cfRule>
    <cfRule type="cellIs" dxfId="1072" priority="873" operator="equal">
      <formula>"NA"</formula>
    </cfRule>
    <cfRule type="cellIs" dxfId="1071" priority="874" operator="equal">
      <formula>"Yes"</formula>
    </cfRule>
  </conditionalFormatting>
  <conditionalFormatting sqref="C17">
    <cfRule type="cellIs" dxfId="1070" priority="826" operator="equal">
      <formula>"No"</formula>
    </cfRule>
    <cfRule type="cellIs" dxfId="1069" priority="827" operator="equal">
      <formula>"NA"</formula>
    </cfRule>
    <cfRule type="cellIs" dxfId="1068" priority="828" operator="equal">
      <formula>"Yes"</formula>
    </cfRule>
  </conditionalFormatting>
  <conditionalFormatting sqref="C18">
    <cfRule type="cellIs" dxfId="1067" priority="780" operator="equal">
      <formula>"No"</formula>
    </cfRule>
    <cfRule type="cellIs" dxfId="1066" priority="781" operator="equal">
      <formula>"NA"</formula>
    </cfRule>
    <cfRule type="cellIs" dxfId="1065" priority="782" operator="equal">
      <formula>"Yes"</formula>
    </cfRule>
  </conditionalFormatting>
  <conditionalFormatting sqref="C20">
    <cfRule type="cellIs" dxfId="1064" priority="734" operator="equal">
      <formula>"No"</formula>
    </cfRule>
    <cfRule type="cellIs" dxfId="1063" priority="735" operator="equal">
      <formula>"NA"</formula>
    </cfRule>
    <cfRule type="cellIs" dxfId="1062" priority="736" operator="equal">
      <formula>"Yes"</formula>
    </cfRule>
  </conditionalFormatting>
  <conditionalFormatting sqref="C21">
    <cfRule type="cellIs" dxfId="1061" priority="688" operator="equal">
      <formula>"No"</formula>
    </cfRule>
    <cfRule type="cellIs" dxfId="1060" priority="689" operator="equal">
      <formula>"NA"</formula>
    </cfRule>
    <cfRule type="cellIs" dxfId="1059" priority="690" operator="equal">
      <formula>"Yes"</formula>
    </cfRule>
  </conditionalFormatting>
  <conditionalFormatting sqref="C22">
    <cfRule type="cellIs" dxfId="1058" priority="642" operator="equal">
      <formula>"No"</formula>
    </cfRule>
    <cfRule type="cellIs" dxfId="1057" priority="643" operator="equal">
      <formula>"NA"</formula>
    </cfRule>
    <cfRule type="cellIs" dxfId="1056" priority="644" operator="equal">
      <formula>"Yes"</formula>
    </cfRule>
  </conditionalFormatting>
  <conditionalFormatting sqref="C23">
    <cfRule type="cellIs" dxfId="1055" priority="596" operator="equal">
      <formula>"No"</formula>
    </cfRule>
    <cfRule type="cellIs" dxfId="1054" priority="597" operator="equal">
      <formula>"NA"</formula>
    </cfRule>
    <cfRule type="cellIs" dxfId="1053" priority="598" operator="equal">
      <formula>"Yes"</formula>
    </cfRule>
  </conditionalFormatting>
  <conditionalFormatting sqref="C24">
    <cfRule type="cellIs" dxfId="1052" priority="550" operator="equal">
      <formula>"No"</formula>
    </cfRule>
    <cfRule type="cellIs" dxfId="1051" priority="551" operator="equal">
      <formula>"NA"</formula>
    </cfRule>
    <cfRule type="cellIs" dxfId="1050" priority="552" operator="equal">
      <formula>"Yes"</formula>
    </cfRule>
  </conditionalFormatting>
  <conditionalFormatting sqref="C25">
    <cfRule type="cellIs" dxfId="1049" priority="504" operator="equal">
      <formula>"No"</formula>
    </cfRule>
    <cfRule type="cellIs" dxfId="1048" priority="505" operator="equal">
      <formula>"NA"</formula>
    </cfRule>
    <cfRule type="cellIs" dxfId="1047" priority="506" operator="equal">
      <formula>"Yes"</formula>
    </cfRule>
  </conditionalFormatting>
  <conditionalFormatting sqref="C27">
    <cfRule type="cellIs" dxfId="1046" priority="458" operator="equal">
      <formula>"No"</formula>
    </cfRule>
    <cfRule type="cellIs" dxfId="1045" priority="459" operator="equal">
      <formula>"NA"</formula>
    </cfRule>
    <cfRule type="cellIs" dxfId="1044" priority="460" operator="equal">
      <formula>"Yes"</formula>
    </cfRule>
  </conditionalFormatting>
  <conditionalFormatting sqref="C28">
    <cfRule type="cellIs" dxfId="1043" priority="412" operator="equal">
      <formula>"No"</formula>
    </cfRule>
    <cfRule type="cellIs" dxfId="1042" priority="413" operator="equal">
      <formula>"NA"</formula>
    </cfRule>
    <cfRule type="cellIs" dxfId="1041" priority="414" operator="equal">
      <formula>"Yes"</formula>
    </cfRule>
  </conditionalFormatting>
  <conditionalFormatting sqref="C29">
    <cfRule type="cellIs" dxfId="1040" priority="366" operator="equal">
      <formula>"No"</formula>
    </cfRule>
    <cfRule type="cellIs" dxfId="1039" priority="367" operator="equal">
      <formula>"NA"</formula>
    </cfRule>
    <cfRule type="cellIs" dxfId="1038" priority="368" operator="equal">
      <formula>"Yes"</formula>
    </cfRule>
  </conditionalFormatting>
  <conditionalFormatting sqref="C31">
    <cfRule type="cellIs" dxfId="1037" priority="320" operator="equal">
      <formula>"No"</formula>
    </cfRule>
    <cfRule type="cellIs" dxfId="1036" priority="321" operator="equal">
      <formula>"NA"</formula>
    </cfRule>
    <cfRule type="cellIs" dxfId="1035" priority="322" operator="equal">
      <formula>"Yes"</formula>
    </cfRule>
  </conditionalFormatting>
  <conditionalFormatting sqref="C32">
    <cfRule type="cellIs" dxfId="1034" priority="274" operator="equal">
      <formula>"No"</formula>
    </cfRule>
    <cfRule type="cellIs" dxfId="1033" priority="275" operator="equal">
      <formula>"NA"</formula>
    </cfRule>
    <cfRule type="cellIs" dxfId="1032" priority="276" operator="equal">
      <formula>"Yes"</formula>
    </cfRule>
  </conditionalFormatting>
  <conditionalFormatting sqref="C33">
    <cfRule type="cellIs" dxfId="1031" priority="228" operator="equal">
      <formula>"No"</formula>
    </cfRule>
    <cfRule type="cellIs" dxfId="1030" priority="229" operator="equal">
      <formula>"NA"</formula>
    </cfRule>
    <cfRule type="cellIs" dxfId="1029" priority="230" operator="equal">
      <formula>"Yes"</formula>
    </cfRule>
  </conditionalFormatting>
  <conditionalFormatting sqref="C34">
    <cfRule type="cellIs" dxfId="1028" priority="182" operator="equal">
      <formula>"No"</formula>
    </cfRule>
    <cfRule type="cellIs" dxfId="1027" priority="183" operator="equal">
      <formula>"NA"</formula>
    </cfRule>
    <cfRule type="cellIs" dxfId="1026" priority="184" operator="equal">
      <formula>"Yes"</formula>
    </cfRule>
  </conditionalFormatting>
  <conditionalFormatting sqref="C36">
    <cfRule type="cellIs" dxfId="1025" priority="136" operator="equal">
      <formula>"No"</formula>
    </cfRule>
    <cfRule type="cellIs" dxfId="1024" priority="137" operator="equal">
      <formula>"NA"</formula>
    </cfRule>
    <cfRule type="cellIs" dxfId="1023" priority="138" operator="equal">
      <formula>"Yes"</formula>
    </cfRule>
  </conditionalFormatting>
  <conditionalFormatting sqref="C37">
    <cfRule type="cellIs" dxfId="1022" priority="90" operator="equal">
      <formula>"No"</formula>
    </cfRule>
    <cfRule type="cellIs" dxfId="1021" priority="91" operator="equal">
      <formula>"NA"</formula>
    </cfRule>
    <cfRule type="cellIs" dxfId="1020" priority="92" operator="equal">
      <formula>"Yes"</formula>
    </cfRule>
  </conditionalFormatting>
  <conditionalFormatting sqref="C39">
    <cfRule type="cellIs" dxfId="1019" priority="44" operator="equal">
      <formula>"No"</formula>
    </cfRule>
    <cfRule type="cellIs" dxfId="1018" priority="45" operator="equal">
      <formula>"NA"</formula>
    </cfRule>
    <cfRule type="cellIs" dxfId="1017"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480</v>
      </c>
      <c r="C5" s="149"/>
      <c r="D5" s="149"/>
      <c r="E5" s="215"/>
      <c r="F5" s="215"/>
    </row>
    <row r="6" spans="1:7" ht="38.25">
      <c r="A6" s="151" t="s">
        <v>481</v>
      </c>
      <c r="B6" s="160" t="s">
        <v>482</v>
      </c>
      <c r="C6" s="209"/>
      <c r="D6" s="210"/>
      <c r="E6" s="150"/>
      <c r="F6" s="150"/>
    </row>
    <row r="7" spans="1:7" ht="25.5">
      <c r="A7" s="151" t="s">
        <v>483</v>
      </c>
      <c r="B7" s="160" t="s">
        <v>484</v>
      </c>
      <c r="C7" s="209"/>
      <c r="D7" s="210"/>
      <c r="E7" s="150"/>
      <c r="F7" s="150"/>
    </row>
    <row r="8" spans="1:7" ht="76.5">
      <c r="A8" s="151" t="s">
        <v>485</v>
      </c>
      <c r="B8" s="160" t="s">
        <v>486</v>
      </c>
      <c r="C8" s="209"/>
      <c r="D8" s="210"/>
      <c r="E8" s="152" t="s">
        <v>487</v>
      </c>
      <c r="F8" s="150"/>
    </row>
    <row r="9" spans="1:7" ht="18.75">
      <c r="A9" s="148"/>
      <c r="B9" s="157" t="s">
        <v>488</v>
      </c>
      <c r="C9" s="149"/>
      <c r="D9" s="149"/>
      <c r="E9" s="215"/>
      <c r="F9" s="215"/>
    </row>
    <row r="10" spans="1:7" ht="38.25">
      <c r="A10" s="151" t="s">
        <v>489</v>
      </c>
      <c r="B10" s="160" t="s">
        <v>490</v>
      </c>
      <c r="C10" s="209"/>
      <c r="D10" s="210"/>
      <c r="E10" s="150"/>
      <c r="F10" s="150"/>
    </row>
    <row r="11" spans="1:7" ht="18.75">
      <c r="A11" s="148"/>
      <c r="B11" s="157" t="s">
        <v>491</v>
      </c>
      <c r="C11" s="149"/>
      <c r="D11" s="149"/>
      <c r="E11" s="215"/>
      <c r="F11" s="215"/>
    </row>
    <row r="12" spans="1:7" ht="51">
      <c r="A12" s="151" t="s">
        <v>492</v>
      </c>
      <c r="B12" s="160" t="s">
        <v>493</v>
      </c>
      <c r="C12" s="209"/>
      <c r="D12" s="210"/>
      <c r="E12" s="150"/>
      <c r="F12" s="150"/>
    </row>
    <row r="13" spans="1:7" ht="25.5">
      <c r="A13" s="151" t="s">
        <v>494</v>
      </c>
      <c r="B13" s="160" t="s">
        <v>495</v>
      </c>
      <c r="C13" s="209"/>
      <c r="D13" s="210"/>
      <c r="E13" s="150"/>
      <c r="F13" s="150"/>
    </row>
    <row r="14" spans="1:7" ht="38.25">
      <c r="A14" s="151" t="s">
        <v>496</v>
      </c>
      <c r="B14" s="160" t="s">
        <v>497</v>
      </c>
      <c r="C14" s="209"/>
      <c r="D14" s="210"/>
      <c r="E14" s="150"/>
      <c r="F14" s="150"/>
    </row>
    <row r="15" spans="1:7" ht="38.25">
      <c r="A15" s="151" t="s">
        <v>498</v>
      </c>
      <c r="B15" s="160" t="s">
        <v>499</v>
      </c>
      <c r="C15" s="209"/>
      <c r="D15" s="210"/>
      <c r="E15" s="150"/>
      <c r="F15" s="150"/>
    </row>
    <row r="16" spans="1:7" ht="38.25">
      <c r="A16" s="151" t="s">
        <v>500</v>
      </c>
      <c r="B16" s="160" t="s">
        <v>501</v>
      </c>
      <c r="C16" s="209"/>
      <c r="D16" s="210"/>
      <c r="E16" s="150"/>
      <c r="F16" s="150"/>
    </row>
    <row r="17" spans="1:6" ht="38.25">
      <c r="A17" s="151" t="s">
        <v>502</v>
      </c>
      <c r="B17" s="160" t="s">
        <v>503</v>
      </c>
      <c r="C17" s="209"/>
      <c r="D17" s="210"/>
      <c r="E17" s="150"/>
      <c r="F17" s="150"/>
    </row>
    <row r="18" spans="1:6" ht="25.5">
      <c r="A18" s="151" t="s">
        <v>504</v>
      </c>
      <c r="B18" s="160" t="s">
        <v>505</v>
      </c>
      <c r="C18" s="209"/>
      <c r="D18" s="210"/>
      <c r="E18" s="150"/>
      <c r="F18" s="150"/>
    </row>
    <row r="19" spans="1:6" ht="38.25">
      <c r="A19" s="151" t="s">
        <v>506</v>
      </c>
      <c r="B19" s="160" t="s">
        <v>507</v>
      </c>
      <c r="C19" s="209"/>
      <c r="D19" s="210"/>
      <c r="E19" s="150"/>
      <c r="F19" s="150"/>
    </row>
    <row r="20" spans="1:6" ht="38.25">
      <c r="A20" s="151" t="s">
        <v>508</v>
      </c>
      <c r="B20" s="160" t="s">
        <v>509</v>
      </c>
      <c r="C20" s="209"/>
      <c r="D20" s="210"/>
      <c r="E20" s="150"/>
      <c r="F20" s="150"/>
    </row>
    <row r="21" spans="1:6" ht="18.75">
      <c r="A21" s="148"/>
      <c r="B21" s="157" t="s">
        <v>510</v>
      </c>
      <c r="C21" s="149"/>
      <c r="D21" s="149"/>
      <c r="E21" s="215"/>
      <c r="F21" s="215"/>
    </row>
    <row r="22" spans="1:6" ht="51">
      <c r="A22" s="151" t="s">
        <v>511</v>
      </c>
      <c r="B22" s="160" t="s">
        <v>512</v>
      </c>
      <c r="C22" s="209"/>
      <c r="D22" s="210"/>
      <c r="E22" s="150"/>
      <c r="F22" s="150"/>
    </row>
    <row r="23" spans="1:6" ht="38.25">
      <c r="A23" s="151" t="s">
        <v>513</v>
      </c>
      <c r="B23" s="160" t="s">
        <v>514</v>
      </c>
      <c r="C23" s="209"/>
      <c r="D23" s="210"/>
      <c r="E23" s="150"/>
      <c r="F23" s="150"/>
    </row>
    <row r="24" spans="1:6" ht="178.5">
      <c r="A24" s="151" t="s">
        <v>515</v>
      </c>
      <c r="B24" s="160" t="s">
        <v>516</v>
      </c>
      <c r="C24" s="209"/>
      <c r="D24" s="210"/>
      <c r="E24" s="152" t="s">
        <v>517</v>
      </c>
      <c r="F24" s="150"/>
    </row>
    <row r="25" spans="1:6" ht="18.75">
      <c r="A25" s="148"/>
      <c r="B25" s="157" t="s">
        <v>518</v>
      </c>
      <c r="C25" s="149"/>
      <c r="D25" s="149"/>
      <c r="E25" s="215"/>
      <c r="F25" s="215"/>
    </row>
    <row r="26" spans="1:6" ht="38.25">
      <c r="A26" s="151" t="s">
        <v>519</v>
      </c>
      <c r="B26" s="160" t="s">
        <v>520</v>
      </c>
      <c r="C26" s="209"/>
      <c r="D26" s="210"/>
      <c r="E26" s="150"/>
      <c r="F26" s="150"/>
    </row>
    <row r="27" spans="1:6" ht="25.5">
      <c r="A27" s="151" t="s">
        <v>521</v>
      </c>
      <c r="B27" s="160" t="s">
        <v>522</v>
      </c>
      <c r="C27" s="209"/>
      <c r="D27" s="210"/>
      <c r="E27" s="150"/>
      <c r="F27" s="150"/>
    </row>
    <row r="28" spans="1:6" ht="38.25">
      <c r="A28" s="151" t="s">
        <v>523</v>
      </c>
      <c r="B28" s="160" t="s">
        <v>524</v>
      </c>
      <c r="C28" s="209"/>
      <c r="D28" s="210"/>
      <c r="E28" s="150"/>
      <c r="F28" s="150"/>
    </row>
    <row r="29" spans="1:6" ht="51">
      <c r="A29" s="151" t="s">
        <v>525</v>
      </c>
      <c r="B29" s="160" t="s">
        <v>526</v>
      </c>
      <c r="C29" s="209"/>
      <c r="D29" s="210"/>
      <c r="E29" s="150"/>
      <c r="F29" s="150"/>
    </row>
    <row r="30" spans="1:6" ht="38.25">
      <c r="A30" s="151" t="s">
        <v>527</v>
      </c>
      <c r="B30" s="160" t="s">
        <v>528</v>
      </c>
      <c r="C30" s="209"/>
      <c r="D30" s="210"/>
      <c r="E30" s="150"/>
      <c r="F30" s="150"/>
    </row>
    <row r="31" spans="1:6" ht="38.25">
      <c r="A31" s="151" t="s">
        <v>529</v>
      </c>
      <c r="B31" s="160" t="s">
        <v>530</v>
      </c>
      <c r="C31" s="209"/>
      <c r="D31" s="210"/>
      <c r="E31" s="150"/>
      <c r="F31" s="150"/>
    </row>
    <row r="32" spans="1:6" ht="18.75">
      <c r="A32" s="148"/>
      <c r="B32" s="157" t="s">
        <v>360</v>
      </c>
      <c r="C32" s="149"/>
      <c r="D32" s="149"/>
      <c r="E32" s="215"/>
      <c r="F32" s="215"/>
    </row>
    <row r="33" spans="1:6" ht="38.25">
      <c r="A33" s="151" t="s">
        <v>361</v>
      </c>
      <c r="B33" s="160" t="s">
        <v>362</v>
      </c>
      <c r="C33" s="209"/>
      <c r="D33" s="210"/>
      <c r="E33" s="150"/>
      <c r="F33" s="150"/>
    </row>
    <row r="34" spans="1:6" ht="25.5">
      <c r="A34" s="151" t="s">
        <v>363</v>
      </c>
      <c r="B34" s="160" t="s">
        <v>364</v>
      </c>
      <c r="C34" s="209"/>
      <c r="D34" s="210"/>
      <c r="E34" s="150"/>
      <c r="F34" s="150"/>
    </row>
    <row r="35" spans="1:6" ht="38.25">
      <c r="A35" s="151" t="s">
        <v>365</v>
      </c>
      <c r="B35" s="160" t="s">
        <v>366</v>
      </c>
      <c r="C35" s="209"/>
      <c r="D35" s="210"/>
      <c r="E35" s="150"/>
      <c r="F35" s="150"/>
    </row>
    <row r="36" spans="1:6" ht="38.25">
      <c r="A36" s="151" t="s">
        <v>367</v>
      </c>
      <c r="B36" s="160" t="s">
        <v>368</v>
      </c>
      <c r="C36" s="209"/>
      <c r="D36" s="210"/>
      <c r="E36" s="150"/>
      <c r="F36" s="150"/>
    </row>
    <row r="37" spans="1:6" ht="18.75">
      <c r="A37" s="148"/>
      <c r="B37" s="157" t="s">
        <v>369</v>
      </c>
      <c r="C37" s="149"/>
      <c r="D37" s="149"/>
      <c r="E37" s="215"/>
      <c r="F37" s="215"/>
    </row>
    <row r="38" spans="1:6" ht="38.25">
      <c r="A38" s="151" t="s">
        <v>370</v>
      </c>
      <c r="B38" s="160" t="s">
        <v>371</v>
      </c>
      <c r="C38" s="209"/>
      <c r="D38" s="210"/>
      <c r="E38" s="150"/>
      <c r="F38" s="150"/>
    </row>
    <row r="39" spans="1:6" ht="38.25">
      <c r="A39" s="151" t="s">
        <v>372</v>
      </c>
      <c r="B39" s="160" t="s">
        <v>373</v>
      </c>
      <c r="C39" s="209"/>
      <c r="D39" s="210"/>
      <c r="E39" s="150"/>
      <c r="F39" s="150"/>
    </row>
    <row r="40" spans="1:6" ht="18.75">
      <c r="A40" s="148"/>
      <c r="B40" s="157" t="s">
        <v>374</v>
      </c>
      <c r="C40" s="149"/>
      <c r="D40" s="149"/>
      <c r="E40" s="215"/>
      <c r="F40" s="215"/>
    </row>
    <row r="41" spans="1:6" ht="51">
      <c r="A41" s="151" t="s">
        <v>375</v>
      </c>
      <c r="B41" s="160" t="s">
        <v>376</v>
      </c>
      <c r="C41" s="209"/>
      <c r="D41" s="210"/>
      <c r="E41" s="150"/>
      <c r="F41" s="150"/>
    </row>
    <row r="42" spans="1:6" ht="18">
      <c r="A42" s="211"/>
      <c r="B42" s="212" t="s">
        <v>377</v>
      </c>
      <c r="C42" s="211"/>
      <c r="D42" s="211"/>
      <c r="E42" s="211"/>
      <c r="F42" s="211"/>
    </row>
    <row r="43" spans="1:6">
      <c r="A43" s="151"/>
      <c r="B43" s="160"/>
    </row>
    <row r="44" spans="1:6" ht="15">
      <c r="A44" s="213"/>
      <c r="B44" s="214" t="s">
        <v>378</v>
      </c>
      <c r="C44" s="213"/>
      <c r="D44" s="213"/>
      <c r="E44" s="213"/>
      <c r="F44" s="213"/>
    </row>
  </sheetData>
  <mergeCells count="1">
    <mergeCell ref="E2:F2"/>
  </mergeCells>
  <conditionalFormatting sqref="C6">
    <cfRule type="cellIs" dxfId="1016" priority="1332" operator="equal">
      <formula>"No"</formula>
    </cfRule>
    <cfRule type="cellIs" dxfId="1015" priority="1333" operator="equal">
      <formula>"NA"</formula>
    </cfRule>
    <cfRule type="cellIs" dxfId="1014" priority="1334" operator="equal">
      <formula>"Yes"</formula>
    </cfRule>
  </conditionalFormatting>
  <conditionalFormatting sqref="C7">
    <cfRule type="cellIs" dxfId="1013" priority="1286" operator="equal">
      <formula>"No"</formula>
    </cfRule>
    <cfRule type="cellIs" dxfId="1012" priority="1287" operator="equal">
      <formula>"NA"</formula>
    </cfRule>
    <cfRule type="cellIs" dxfId="1011" priority="1288" operator="equal">
      <formula>"Yes"</formula>
    </cfRule>
  </conditionalFormatting>
  <conditionalFormatting sqref="C8">
    <cfRule type="cellIs" dxfId="1010" priority="1240" operator="equal">
      <formula>"No"</formula>
    </cfRule>
    <cfRule type="cellIs" dxfId="1009" priority="1241" operator="equal">
      <formula>"NA"</formula>
    </cfRule>
    <cfRule type="cellIs" dxfId="1008" priority="1242" operator="equal">
      <formula>"Yes"</formula>
    </cfRule>
  </conditionalFormatting>
  <conditionalFormatting sqref="C10">
    <cfRule type="cellIs" dxfId="1007" priority="1194" operator="equal">
      <formula>"No"</formula>
    </cfRule>
    <cfRule type="cellIs" dxfId="1006" priority="1195" operator="equal">
      <formula>"NA"</formula>
    </cfRule>
    <cfRule type="cellIs" dxfId="1005" priority="1196" operator="equal">
      <formula>"Yes"</formula>
    </cfRule>
  </conditionalFormatting>
  <conditionalFormatting sqref="C12">
    <cfRule type="cellIs" dxfId="1004" priority="1148" operator="equal">
      <formula>"No"</formula>
    </cfRule>
    <cfRule type="cellIs" dxfId="1003" priority="1149" operator="equal">
      <formula>"NA"</formula>
    </cfRule>
    <cfRule type="cellIs" dxfId="1002" priority="1150" operator="equal">
      <formula>"Yes"</formula>
    </cfRule>
  </conditionalFormatting>
  <conditionalFormatting sqref="C13">
    <cfRule type="cellIs" dxfId="1001" priority="1102" operator="equal">
      <formula>"No"</formula>
    </cfRule>
    <cfRule type="cellIs" dxfId="1000" priority="1103" operator="equal">
      <formula>"NA"</formula>
    </cfRule>
    <cfRule type="cellIs" dxfId="999" priority="1104" operator="equal">
      <formula>"Yes"</formula>
    </cfRule>
  </conditionalFormatting>
  <conditionalFormatting sqref="C14">
    <cfRule type="cellIs" dxfId="998" priority="1056" operator="equal">
      <formula>"No"</formula>
    </cfRule>
    <cfRule type="cellIs" dxfId="997" priority="1057" operator="equal">
      <formula>"NA"</formula>
    </cfRule>
    <cfRule type="cellIs" dxfId="996" priority="1058" operator="equal">
      <formula>"Yes"</formula>
    </cfRule>
  </conditionalFormatting>
  <conditionalFormatting sqref="C15">
    <cfRule type="cellIs" dxfId="995" priority="1010" operator="equal">
      <formula>"No"</formula>
    </cfRule>
    <cfRule type="cellIs" dxfId="994" priority="1011" operator="equal">
      <formula>"NA"</formula>
    </cfRule>
    <cfRule type="cellIs" dxfId="993" priority="1012" operator="equal">
      <formula>"Yes"</formula>
    </cfRule>
  </conditionalFormatting>
  <conditionalFormatting sqref="C16">
    <cfRule type="cellIs" dxfId="992" priority="964" operator="equal">
      <formula>"No"</formula>
    </cfRule>
    <cfRule type="cellIs" dxfId="991" priority="965" operator="equal">
      <formula>"NA"</formula>
    </cfRule>
    <cfRule type="cellIs" dxfId="990" priority="966" operator="equal">
      <formula>"Yes"</formula>
    </cfRule>
  </conditionalFormatting>
  <conditionalFormatting sqref="C17">
    <cfRule type="cellIs" dxfId="989" priority="918" operator="equal">
      <formula>"No"</formula>
    </cfRule>
    <cfRule type="cellIs" dxfId="988" priority="919" operator="equal">
      <formula>"NA"</formula>
    </cfRule>
    <cfRule type="cellIs" dxfId="987" priority="920" operator="equal">
      <formula>"Yes"</formula>
    </cfRule>
  </conditionalFormatting>
  <conditionalFormatting sqref="C18">
    <cfRule type="cellIs" dxfId="986" priority="872" operator="equal">
      <formula>"No"</formula>
    </cfRule>
    <cfRule type="cellIs" dxfId="985" priority="873" operator="equal">
      <formula>"NA"</formula>
    </cfRule>
    <cfRule type="cellIs" dxfId="984" priority="874" operator="equal">
      <formula>"Yes"</formula>
    </cfRule>
  </conditionalFormatting>
  <conditionalFormatting sqref="C19">
    <cfRule type="cellIs" dxfId="983" priority="826" operator="equal">
      <formula>"No"</formula>
    </cfRule>
    <cfRule type="cellIs" dxfId="982" priority="827" operator="equal">
      <formula>"NA"</formula>
    </cfRule>
    <cfRule type="cellIs" dxfId="981" priority="828" operator="equal">
      <formula>"Yes"</formula>
    </cfRule>
  </conditionalFormatting>
  <conditionalFormatting sqref="C20">
    <cfRule type="cellIs" dxfId="980" priority="780" operator="equal">
      <formula>"No"</formula>
    </cfRule>
    <cfRule type="cellIs" dxfId="979" priority="781" operator="equal">
      <formula>"NA"</formula>
    </cfRule>
    <cfRule type="cellIs" dxfId="978" priority="782" operator="equal">
      <formula>"Yes"</formula>
    </cfRule>
  </conditionalFormatting>
  <conditionalFormatting sqref="C22">
    <cfRule type="cellIs" dxfId="977" priority="734" operator="equal">
      <formula>"No"</formula>
    </cfRule>
    <cfRule type="cellIs" dxfId="976" priority="735" operator="equal">
      <formula>"NA"</formula>
    </cfRule>
    <cfRule type="cellIs" dxfId="975" priority="736" operator="equal">
      <formula>"Yes"</formula>
    </cfRule>
  </conditionalFormatting>
  <conditionalFormatting sqref="C23">
    <cfRule type="cellIs" dxfId="974" priority="688" operator="equal">
      <formula>"No"</formula>
    </cfRule>
    <cfRule type="cellIs" dxfId="973" priority="689" operator="equal">
      <formula>"NA"</formula>
    </cfRule>
    <cfRule type="cellIs" dxfId="972" priority="690" operator="equal">
      <formula>"Yes"</formula>
    </cfRule>
  </conditionalFormatting>
  <conditionalFormatting sqref="C24">
    <cfRule type="cellIs" dxfId="971" priority="642" operator="equal">
      <formula>"No"</formula>
    </cfRule>
    <cfRule type="cellIs" dxfId="970" priority="643" operator="equal">
      <formula>"NA"</formula>
    </cfRule>
    <cfRule type="cellIs" dxfId="969" priority="644" operator="equal">
      <formula>"Yes"</formula>
    </cfRule>
  </conditionalFormatting>
  <conditionalFormatting sqref="C26">
    <cfRule type="cellIs" dxfId="968" priority="596" operator="equal">
      <formula>"No"</formula>
    </cfRule>
    <cfRule type="cellIs" dxfId="967" priority="597" operator="equal">
      <formula>"NA"</formula>
    </cfRule>
    <cfRule type="cellIs" dxfId="966" priority="598" operator="equal">
      <formula>"Yes"</formula>
    </cfRule>
  </conditionalFormatting>
  <conditionalFormatting sqref="C27">
    <cfRule type="cellIs" dxfId="965" priority="550" operator="equal">
      <formula>"No"</formula>
    </cfRule>
    <cfRule type="cellIs" dxfId="964" priority="551" operator="equal">
      <formula>"NA"</formula>
    </cfRule>
    <cfRule type="cellIs" dxfId="963" priority="552" operator="equal">
      <formula>"Yes"</formula>
    </cfRule>
  </conditionalFormatting>
  <conditionalFormatting sqref="C28">
    <cfRule type="cellIs" dxfId="962" priority="504" operator="equal">
      <formula>"No"</formula>
    </cfRule>
    <cfRule type="cellIs" dxfId="961" priority="505" operator="equal">
      <formula>"NA"</formula>
    </cfRule>
    <cfRule type="cellIs" dxfId="960" priority="506" operator="equal">
      <formula>"Yes"</formula>
    </cfRule>
  </conditionalFormatting>
  <conditionalFormatting sqref="C29">
    <cfRule type="cellIs" dxfId="959" priority="458" operator="equal">
      <formula>"No"</formula>
    </cfRule>
    <cfRule type="cellIs" dxfId="958" priority="459" operator="equal">
      <formula>"NA"</formula>
    </cfRule>
    <cfRule type="cellIs" dxfId="957" priority="460" operator="equal">
      <formula>"Yes"</formula>
    </cfRule>
  </conditionalFormatting>
  <conditionalFormatting sqref="C30">
    <cfRule type="cellIs" dxfId="956" priority="412" operator="equal">
      <formula>"No"</formula>
    </cfRule>
    <cfRule type="cellIs" dxfId="955" priority="413" operator="equal">
      <formula>"NA"</formula>
    </cfRule>
    <cfRule type="cellIs" dxfId="954" priority="414" operator="equal">
      <formula>"Yes"</formula>
    </cfRule>
  </conditionalFormatting>
  <conditionalFormatting sqref="C31">
    <cfRule type="cellIs" dxfId="953" priority="366" operator="equal">
      <formula>"No"</formula>
    </cfRule>
    <cfRule type="cellIs" dxfId="952" priority="367" operator="equal">
      <formula>"NA"</formula>
    </cfRule>
    <cfRule type="cellIs" dxfId="951" priority="368" operator="equal">
      <formula>"Yes"</formula>
    </cfRule>
  </conditionalFormatting>
  <conditionalFormatting sqref="C33">
    <cfRule type="cellIs" dxfId="950" priority="320" operator="equal">
      <formula>"No"</formula>
    </cfRule>
    <cfRule type="cellIs" dxfId="949" priority="321" operator="equal">
      <formula>"NA"</formula>
    </cfRule>
    <cfRule type="cellIs" dxfId="948" priority="322" operator="equal">
      <formula>"Yes"</formula>
    </cfRule>
  </conditionalFormatting>
  <conditionalFormatting sqref="C34">
    <cfRule type="cellIs" dxfId="947" priority="274" operator="equal">
      <formula>"No"</formula>
    </cfRule>
    <cfRule type="cellIs" dxfId="946" priority="275" operator="equal">
      <formula>"NA"</formula>
    </cfRule>
    <cfRule type="cellIs" dxfId="945" priority="276" operator="equal">
      <formula>"Yes"</formula>
    </cfRule>
  </conditionalFormatting>
  <conditionalFormatting sqref="C35">
    <cfRule type="cellIs" dxfId="944" priority="228" operator="equal">
      <formula>"No"</formula>
    </cfRule>
    <cfRule type="cellIs" dxfId="943" priority="229" operator="equal">
      <formula>"NA"</formula>
    </cfRule>
    <cfRule type="cellIs" dxfId="942" priority="230" operator="equal">
      <formula>"Yes"</formula>
    </cfRule>
  </conditionalFormatting>
  <conditionalFormatting sqref="C36">
    <cfRule type="cellIs" dxfId="941" priority="182" operator="equal">
      <formula>"No"</formula>
    </cfRule>
    <cfRule type="cellIs" dxfId="940" priority="183" operator="equal">
      <formula>"NA"</formula>
    </cfRule>
    <cfRule type="cellIs" dxfId="939" priority="184" operator="equal">
      <formula>"Yes"</formula>
    </cfRule>
  </conditionalFormatting>
  <conditionalFormatting sqref="C38">
    <cfRule type="cellIs" dxfId="938" priority="136" operator="equal">
      <formula>"No"</formula>
    </cfRule>
    <cfRule type="cellIs" dxfId="937" priority="137" operator="equal">
      <formula>"NA"</formula>
    </cfRule>
    <cfRule type="cellIs" dxfId="936" priority="138" operator="equal">
      <formula>"Yes"</formula>
    </cfRule>
  </conditionalFormatting>
  <conditionalFormatting sqref="C39">
    <cfRule type="cellIs" dxfId="935" priority="90" operator="equal">
      <formula>"No"</formula>
    </cfRule>
    <cfRule type="cellIs" dxfId="934" priority="91" operator="equal">
      <formula>"NA"</formula>
    </cfRule>
    <cfRule type="cellIs" dxfId="933" priority="92" operator="equal">
      <formula>"Yes"</formula>
    </cfRule>
  </conditionalFormatting>
  <conditionalFormatting sqref="C41">
    <cfRule type="cellIs" dxfId="932" priority="44" operator="equal">
      <formula>"No"</formula>
    </cfRule>
    <cfRule type="cellIs" dxfId="931" priority="45" operator="equal">
      <formula>"NA"</formula>
    </cfRule>
    <cfRule type="cellIs" dxfId="930"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531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38.25">
      <c r="A6" s="151" t="s">
        <v>489</v>
      </c>
      <c r="B6" s="160" t="s">
        <v>490</v>
      </c>
      <c r="C6" s="209"/>
      <c r="D6" s="210"/>
      <c r="E6" s="150"/>
      <c r="F6" s="150"/>
    </row>
    <row r="7" spans="1:7" ht="18.75">
      <c r="A7" s="148"/>
      <c r="B7" s="157" t="s">
        <v>480</v>
      </c>
      <c r="C7" s="149"/>
      <c r="D7" s="149"/>
      <c r="E7" s="215"/>
      <c r="F7" s="215"/>
    </row>
    <row r="8" spans="1:7" ht="25.5">
      <c r="A8" s="151" t="s">
        <v>483</v>
      </c>
      <c r="B8" s="160" t="s">
        <v>484</v>
      </c>
      <c r="C8" s="209"/>
      <c r="D8" s="210"/>
      <c r="E8" s="150"/>
      <c r="F8" s="150"/>
    </row>
    <row r="9" spans="1:7" ht="76.5">
      <c r="A9" s="151" t="s">
        <v>485</v>
      </c>
      <c r="B9" s="160" t="s">
        <v>486</v>
      </c>
      <c r="C9" s="209"/>
      <c r="D9" s="210"/>
      <c r="E9" s="152" t="s">
        <v>487</v>
      </c>
      <c r="F9" s="150"/>
    </row>
    <row r="10" spans="1:7" ht="18.75">
      <c r="A10" s="148"/>
      <c r="B10" s="157" t="s">
        <v>491</v>
      </c>
      <c r="C10" s="149"/>
      <c r="D10" s="149"/>
      <c r="E10" s="215"/>
      <c r="F10" s="215"/>
    </row>
    <row r="11" spans="1:7" ht="38.25">
      <c r="A11" s="151" t="s">
        <v>532</v>
      </c>
      <c r="B11" s="160" t="s">
        <v>533</v>
      </c>
      <c r="C11" s="209"/>
      <c r="D11" s="210"/>
      <c r="E11" s="150"/>
      <c r="F11" s="150"/>
    </row>
    <row r="12" spans="1:7" ht="38.25">
      <c r="A12" s="151" t="s">
        <v>534</v>
      </c>
      <c r="B12" s="160" t="s">
        <v>535</v>
      </c>
      <c r="C12" s="209"/>
      <c r="D12" s="210"/>
      <c r="E12" s="150"/>
      <c r="F12" s="150"/>
    </row>
    <row r="13" spans="1:7" ht="38.25">
      <c r="A13" s="151" t="s">
        <v>536</v>
      </c>
      <c r="B13" s="160" t="s">
        <v>537</v>
      </c>
      <c r="C13" s="209"/>
      <c r="D13" s="210"/>
      <c r="E13" s="150"/>
      <c r="F13" s="150"/>
    </row>
    <row r="14" spans="1:7" ht="25.5">
      <c r="A14" s="151" t="s">
        <v>538</v>
      </c>
      <c r="B14" s="160" t="s">
        <v>539</v>
      </c>
      <c r="C14" s="209"/>
      <c r="D14" s="210"/>
      <c r="E14" s="150"/>
      <c r="F14" s="150"/>
    </row>
    <row r="15" spans="1:7" ht="25.5">
      <c r="A15" s="151" t="s">
        <v>540</v>
      </c>
      <c r="B15" s="160" t="s">
        <v>541</v>
      </c>
      <c r="C15" s="209"/>
      <c r="D15" s="210"/>
      <c r="E15" s="150"/>
      <c r="F15" s="150"/>
    </row>
    <row r="16" spans="1:7" ht="63.75">
      <c r="A16" s="151" t="s">
        <v>542</v>
      </c>
      <c r="B16" s="160" t="s">
        <v>543</v>
      </c>
      <c r="C16" s="209"/>
      <c r="D16" s="210"/>
      <c r="E16" s="150"/>
      <c r="F16" s="150"/>
    </row>
    <row r="17" spans="1:6" ht="18.75">
      <c r="A17" s="148"/>
      <c r="B17" s="157" t="s">
        <v>510</v>
      </c>
      <c r="C17" s="149"/>
      <c r="D17" s="149"/>
      <c r="E17" s="215"/>
      <c r="F17" s="215"/>
    </row>
    <row r="18" spans="1:6" ht="51">
      <c r="A18" s="151" t="s">
        <v>511</v>
      </c>
      <c r="B18" s="160" t="s">
        <v>512</v>
      </c>
      <c r="C18" s="209"/>
      <c r="D18" s="210"/>
      <c r="E18" s="150"/>
      <c r="F18" s="150"/>
    </row>
    <row r="19" spans="1:6" ht="38.25">
      <c r="A19" s="151" t="s">
        <v>513</v>
      </c>
      <c r="B19" s="160" t="s">
        <v>514</v>
      </c>
      <c r="C19" s="209"/>
      <c r="D19" s="210"/>
      <c r="E19" s="150"/>
      <c r="F19" s="150"/>
    </row>
    <row r="20" spans="1:6" ht="178.5">
      <c r="A20" s="151" t="s">
        <v>515</v>
      </c>
      <c r="B20" s="160" t="s">
        <v>516</v>
      </c>
      <c r="C20" s="209"/>
      <c r="D20" s="210"/>
      <c r="E20" s="152" t="s">
        <v>517</v>
      </c>
      <c r="F20" s="150"/>
    </row>
    <row r="21" spans="1:6" ht="18.75">
      <c r="A21" s="148"/>
      <c r="B21" s="157" t="s">
        <v>544</v>
      </c>
      <c r="C21" s="149"/>
      <c r="D21" s="149"/>
      <c r="E21" s="215"/>
      <c r="F21" s="215"/>
    </row>
    <row r="22" spans="1:6" ht="38.25">
      <c r="A22" s="151" t="s">
        <v>545</v>
      </c>
      <c r="B22" s="160" t="s">
        <v>546</v>
      </c>
      <c r="C22" s="209"/>
      <c r="D22" s="210"/>
      <c r="E22" s="150"/>
      <c r="F22" s="150"/>
    </row>
    <row r="23" spans="1:6" ht="51">
      <c r="A23" s="151" t="s">
        <v>547</v>
      </c>
      <c r="B23" s="160" t="s">
        <v>548</v>
      </c>
      <c r="C23" s="209"/>
      <c r="D23" s="210"/>
      <c r="E23" s="150"/>
      <c r="F23" s="150"/>
    </row>
    <row r="24" spans="1:6" ht="89.25">
      <c r="A24" s="151" t="s">
        <v>549</v>
      </c>
      <c r="B24" s="160" t="s">
        <v>550</v>
      </c>
      <c r="C24" s="209"/>
      <c r="D24" s="210"/>
      <c r="E24" s="150"/>
      <c r="F24" s="150"/>
    </row>
    <row r="25" spans="1:6" ht="51">
      <c r="A25" s="151" t="s">
        <v>551</v>
      </c>
      <c r="B25" s="160" t="s">
        <v>552</v>
      </c>
      <c r="C25" s="209"/>
      <c r="D25" s="210"/>
      <c r="E25" s="150"/>
      <c r="F25" s="150"/>
    </row>
    <row r="26" spans="1:6" ht="25.5">
      <c r="A26" s="151" t="s">
        <v>553</v>
      </c>
      <c r="B26" s="160" t="s">
        <v>554</v>
      </c>
      <c r="C26" s="209"/>
      <c r="D26" s="210"/>
      <c r="E26" s="150"/>
      <c r="F26" s="150"/>
    </row>
    <row r="27" spans="1:6" ht="18.75">
      <c r="A27" s="148"/>
      <c r="B27" s="157" t="s">
        <v>518</v>
      </c>
      <c r="C27" s="149"/>
      <c r="D27" s="149"/>
      <c r="E27" s="215"/>
      <c r="F27" s="215"/>
    </row>
    <row r="28" spans="1:6" ht="114.75">
      <c r="A28" s="151" t="s">
        <v>555</v>
      </c>
      <c r="B28" s="160" t="s">
        <v>556</v>
      </c>
      <c r="C28" s="209"/>
      <c r="D28" s="210"/>
      <c r="E28" s="150"/>
      <c r="F28" s="150"/>
    </row>
    <row r="29" spans="1:6" ht="38.25">
      <c r="A29" s="151" t="s">
        <v>557</v>
      </c>
      <c r="B29" s="160" t="s">
        <v>558</v>
      </c>
      <c r="C29" s="209"/>
      <c r="D29" s="210"/>
      <c r="E29" s="150"/>
      <c r="F29" s="150"/>
    </row>
    <row r="30" spans="1:6" ht="25.5">
      <c r="A30" s="151" t="s">
        <v>559</v>
      </c>
      <c r="B30" s="160" t="s">
        <v>560</v>
      </c>
      <c r="C30" s="209"/>
      <c r="D30" s="210"/>
      <c r="E30" s="150"/>
      <c r="F30" s="150"/>
    </row>
    <row r="31" spans="1:6" ht="38.25">
      <c r="A31" s="151" t="s">
        <v>561</v>
      </c>
      <c r="B31" s="160" t="s">
        <v>562</v>
      </c>
      <c r="C31" s="209"/>
      <c r="D31" s="210"/>
      <c r="E31" s="150"/>
      <c r="F31" s="150"/>
    </row>
    <row r="32" spans="1:6" ht="38.25">
      <c r="A32" s="151" t="s">
        <v>563</v>
      </c>
      <c r="B32" s="160" t="s">
        <v>564</v>
      </c>
      <c r="C32" s="209"/>
      <c r="D32" s="210"/>
      <c r="E32" s="150"/>
      <c r="F32" s="150"/>
    </row>
    <row r="33" spans="1:6" ht="25.5">
      <c r="A33" s="151" t="s">
        <v>565</v>
      </c>
      <c r="B33" s="160" t="s">
        <v>566</v>
      </c>
      <c r="C33" s="209"/>
      <c r="D33" s="210"/>
      <c r="E33" s="150"/>
      <c r="F33" s="150"/>
    </row>
    <row r="34" spans="1:6" ht="51">
      <c r="A34" s="151" t="s">
        <v>567</v>
      </c>
      <c r="B34" s="160" t="s">
        <v>568</v>
      </c>
      <c r="C34" s="209"/>
      <c r="D34" s="210"/>
      <c r="E34" s="150"/>
      <c r="F34" s="150"/>
    </row>
    <row r="35" spans="1:6" ht="51">
      <c r="A35" s="151" t="s">
        <v>569</v>
      </c>
      <c r="B35" s="160" t="s">
        <v>570</v>
      </c>
      <c r="C35" s="209"/>
      <c r="D35" s="210"/>
      <c r="E35" s="150"/>
      <c r="F35" s="150"/>
    </row>
    <row r="36" spans="1:6" ht="38.25">
      <c r="A36" s="151" t="s">
        <v>571</v>
      </c>
      <c r="B36" s="160" t="s">
        <v>572</v>
      </c>
      <c r="C36" s="209"/>
      <c r="D36" s="210"/>
      <c r="E36" s="150"/>
      <c r="F36" s="150"/>
    </row>
    <row r="37" spans="1:6" ht="38.25">
      <c r="A37" s="151" t="s">
        <v>573</v>
      </c>
      <c r="B37" s="160" t="s">
        <v>574</v>
      </c>
      <c r="C37" s="209"/>
      <c r="D37" s="210"/>
      <c r="E37" s="150"/>
      <c r="F37" s="150"/>
    </row>
    <row r="38" spans="1:6" ht="38.25">
      <c r="A38" s="151" t="s">
        <v>575</v>
      </c>
      <c r="B38" s="160" t="s">
        <v>576</v>
      </c>
      <c r="C38" s="209"/>
      <c r="D38" s="210"/>
      <c r="E38" s="150"/>
      <c r="F38" s="150"/>
    </row>
    <row r="39" spans="1:6" ht="18.75">
      <c r="A39" s="148"/>
      <c r="B39" s="157" t="s">
        <v>360</v>
      </c>
      <c r="C39" s="149"/>
      <c r="D39" s="149"/>
      <c r="E39" s="215"/>
      <c r="F39" s="215"/>
    </row>
    <row r="40" spans="1:6" ht="38.25">
      <c r="A40" s="151" t="s">
        <v>361</v>
      </c>
      <c r="B40" s="160" t="s">
        <v>362</v>
      </c>
      <c r="C40" s="209"/>
      <c r="D40" s="210"/>
      <c r="E40" s="150"/>
      <c r="F40" s="150"/>
    </row>
    <row r="41" spans="1:6" ht="25.5">
      <c r="A41" s="151" t="s">
        <v>363</v>
      </c>
      <c r="B41" s="160" t="s">
        <v>364</v>
      </c>
      <c r="C41" s="209"/>
      <c r="D41" s="210"/>
      <c r="E41" s="150"/>
      <c r="F41" s="150"/>
    </row>
    <row r="42" spans="1:6" ht="38.25">
      <c r="A42" s="151" t="s">
        <v>365</v>
      </c>
      <c r="B42" s="160" t="s">
        <v>366</v>
      </c>
      <c r="C42" s="209"/>
      <c r="D42" s="210"/>
      <c r="E42" s="150"/>
      <c r="F42" s="150"/>
    </row>
    <row r="43" spans="1:6" ht="38.25">
      <c r="A43" s="151" t="s">
        <v>367</v>
      </c>
      <c r="B43" s="160" t="s">
        <v>368</v>
      </c>
      <c r="C43" s="209"/>
      <c r="D43" s="210"/>
      <c r="E43" s="150"/>
      <c r="F43" s="150"/>
    </row>
    <row r="44" spans="1:6" ht="18.75">
      <c r="A44" s="148"/>
      <c r="B44" s="157" t="s">
        <v>369</v>
      </c>
      <c r="C44" s="149"/>
      <c r="D44" s="149"/>
      <c r="E44" s="215"/>
      <c r="F44" s="215"/>
    </row>
    <row r="45" spans="1:6" ht="38.25">
      <c r="A45" s="151" t="s">
        <v>370</v>
      </c>
      <c r="B45" s="160" t="s">
        <v>371</v>
      </c>
      <c r="C45" s="209"/>
      <c r="D45" s="210"/>
      <c r="E45" s="150"/>
      <c r="F45" s="150"/>
    </row>
    <row r="46" spans="1:6" ht="38.25">
      <c r="A46" s="151" t="s">
        <v>372</v>
      </c>
      <c r="B46" s="160" t="s">
        <v>373</v>
      </c>
      <c r="C46" s="209"/>
      <c r="D46" s="210"/>
      <c r="E46" s="150"/>
      <c r="F46" s="150"/>
    </row>
    <row r="47" spans="1:6" ht="18.75">
      <c r="A47" s="148"/>
      <c r="B47" s="157" t="s">
        <v>374</v>
      </c>
      <c r="C47" s="149"/>
      <c r="D47" s="149"/>
      <c r="E47" s="215"/>
      <c r="F47" s="215"/>
    </row>
    <row r="48" spans="1:6" ht="51">
      <c r="A48" s="151" t="s">
        <v>375</v>
      </c>
      <c r="B48" s="160" t="s">
        <v>376</v>
      </c>
      <c r="C48" s="209"/>
      <c r="D48" s="210"/>
      <c r="E48" s="150"/>
      <c r="F48" s="150"/>
    </row>
    <row r="49" spans="1:6" ht="18">
      <c r="A49" s="211"/>
      <c r="B49" s="212" t="s">
        <v>377</v>
      </c>
      <c r="C49" s="211"/>
      <c r="D49" s="211"/>
      <c r="E49" s="211"/>
      <c r="F49" s="211"/>
    </row>
    <row r="50" spans="1:6">
      <c r="A50" s="151"/>
      <c r="B50" s="160"/>
    </row>
    <row r="51" spans="1:6" ht="15">
      <c r="A51" s="213"/>
      <c r="B51" s="214" t="s">
        <v>378</v>
      </c>
      <c r="C51" s="213"/>
      <c r="D51" s="213"/>
      <c r="E51" s="213"/>
      <c r="F51" s="213"/>
    </row>
  </sheetData>
  <mergeCells count="1">
    <mergeCell ref="E2:F2"/>
  </mergeCells>
  <conditionalFormatting sqref="C6">
    <cfRule type="cellIs" dxfId="929" priority="1608" operator="equal">
      <formula>"No"</formula>
    </cfRule>
    <cfRule type="cellIs" dxfId="928" priority="1609" operator="equal">
      <formula>"NA"</formula>
    </cfRule>
    <cfRule type="cellIs" dxfId="927" priority="1610" operator="equal">
      <formula>"Yes"</formula>
    </cfRule>
  </conditionalFormatting>
  <conditionalFormatting sqref="C8">
    <cfRule type="cellIs" dxfId="926" priority="1562" operator="equal">
      <formula>"No"</formula>
    </cfRule>
    <cfRule type="cellIs" dxfId="925" priority="1563" operator="equal">
      <formula>"NA"</formula>
    </cfRule>
    <cfRule type="cellIs" dxfId="924" priority="1564" operator="equal">
      <formula>"Yes"</formula>
    </cfRule>
  </conditionalFormatting>
  <conditionalFormatting sqref="C9">
    <cfRule type="cellIs" dxfId="923" priority="1516" operator="equal">
      <formula>"No"</formula>
    </cfRule>
    <cfRule type="cellIs" dxfId="922" priority="1517" operator="equal">
      <formula>"NA"</formula>
    </cfRule>
    <cfRule type="cellIs" dxfId="921" priority="1518" operator="equal">
      <formula>"Yes"</formula>
    </cfRule>
  </conditionalFormatting>
  <conditionalFormatting sqref="C11">
    <cfRule type="cellIs" dxfId="920" priority="1470" operator="equal">
      <formula>"No"</formula>
    </cfRule>
    <cfRule type="cellIs" dxfId="919" priority="1471" operator="equal">
      <formula>"NA"</formula>
    </cfRule>
    <cfRule type="cellIs" dxfId="918" priority="1472" operator="equal">
      <formula>"Yes"</formula>
    </cfRule>
  </conditionalFormatting>
  <conditionalFormatting sqref="C12">
    <cfRule type="cellIs" dxfId="917" priority="1424" operator="equal">
      <formula>"No"</formula>
    </cfRule>
    <cfRule type="cellIs" dxfId="916" priority="1425" operator="equal">
      <formula>"NA"</formula>
    </cfRule>
    <cfRule type="cellIs" dxfId="915" priority="1426" operator="equal">
      <formula>"Yes"</formula>
    </cfRule>
  </conditionalFormatting>
  <conditionalFormatting sqref="C13">
    <cfRule type="cellIs" dxfId="914" priority="1378" operator="equal">
      <formula>"No"</formula>
    </cfRule>
    <cfRule type="cellIs" dxfId="913" priority="1379" operator="equal">
      <formula>"NA"</formula>
    </cfRule>
    <cfRule type="cellIs" dxfId="912" priority="1380" operator="equal">
      <formula>"Yes"</formula>
    </cfRule>
  </conditionalFormatting>
  <conditionalFormatting sqref="C14">
    <cfRule type="cellIs" dxfId="911" priority="1332" operator="equal">
      <formula>"No"</formula>
    </cfRule>
    <cfRule type="cellIs" dxfId="910" priority="1333" operator="equal">
      <formula>"NA"</formula>
    </cfRule>
    <cfRule type="cellIs" dxfId="909" priority="1334" operator="equal">
      <formula>"Yes"</formula>
    </cfRule>
  </conditionalFormatting>
  <conditionalFormatting sqref="C15">
    <cfRule type="cellIs" dxfId="908" priority="1286" operator="equal">
      <formula>"No"</formula>
    </cfRule>
    <cfRule type="cellIs" dxfId="907" priority="1287" operator="equal">
      <formula>"NA"</formula>
    </cfRule>
    <cfRule type="cellIs" dxfId="906" priority="1288" operator="equal">
      <formula>"Yes"</formula>
    </cfRule>
  </conditionalFormatting>
  <conditionalFormatting sqref="C16">
    <cfRule type="cellIs" dxfId="905" priority="1240" operator="equal">
      <formula>"No"</formula>
    </cfRule>
    <cfRule type="cellIs" dxfId="904" priority="1241" operator="equal">
      <formula>"NA"</formula>
    </cfRule>
    <cfRule type="cellIs" dxfId="903" priority="1242" operator="equal">
      <formula>"Yes"</formula>
    </cfRule>
  </conditionalFormatting>
  <conditionalFormatting sqref="C18">
    <cfRule type="cellIs" dxfId="902" priority="1194" operator="equal">
      <formula>"No"</formula>
    </cfRule>
    <cfRule type="cellIs" dxfId="901" priority="1195" operator="equal">
      <formula>"NA"</formula>
    </cfRule>
    <cfRule type="cellIs" dxfId="900" priority="1196" operator="equal">
      <formula>"Yes"</formula>
    </cfRule>
  </conditionalFormatting>
  <conditionalFormatting sqref="C19">
    <cfRule type="cellIs" dxfId="899" priority="1148" operator="equal">
      <formula>"No"</formula>
    </cfRule>
    <cfRule type="cellIs" dxfId="898" priority="1149" operator="equal">
      <formula>"NA"</formula>
    </cfRule>
    <cfRule type="cellIs" dxfId="897" priority="1150" operator="equal">
      <formula>"Yes"</formula>
    </cfRule>
  </conditionalFormatting>
  <conditionalFormatting sqref="C20">
    <cfRule type="cellIs" dxfId="896" priority="1102" operator="equal">
      <formula>"No"</formula>
    </cfRule>
    <cfRule type="cellIs" dxfId="895" priority="1103" operator="equal">
      <formula>"NA"</formula>
    </cfRule>
    <cfRule type="cellIs" dxfId="894" priority="1104" operator="equal">
      <formula>"Yes"</formula>
    </cfRule>
  </conditionalFormatting>
  <conditionalFormatting sqref="C22">
    <cfRule type="cellIs" dxfId="893" priority="1056" operator="equal">
      <formula>"No"</formula>
    </cfRule>
    <cfRule type="cellIs" dxfId="892" priority="1057" operator="equal">
      <formula>"NA"</formula>
    </cfRule>
    <cfRule type="cellIs" dxfId="891" priority="1058" operator="equal">
      <formula>"Yes"</formula>
    </cfRule>
  </conditionalFormatting>
  <conditionalFormatting sqref="C23">
    <cfRule type="cellIs" dxfId="890" priority="1010" operator="equal">
      <formula>"No"</formula>
    </cfRule>
    <cfRule type="cellIs" dxfId="889" priority="1011" operator="equal">
      <formula>"NA"</formula>
    </cfRule>
    <cfRule type="cellIs" dxfId="888" priority="1012" operator="equal">
      <formula>"Yes"</formula>
    </cfRule>
  </conditionalFormatting>
  <conditionalFormatting sqref="C24">
    <cfRule type="cellIs" dxfId="887" priority="964" operator="equal">
      <formula>"No"</formula>
    </cfRule>
    <cfRule type="cellIs" dxfId="886" priority="965" operator="equal">
      <formula>"NA"</formula>
    </cfRule>
    <cfRule type="cellIs" dxfId="885" priority="966" operator="equal">
      <formula>"Yes"</formula>
    </cfRule>
  </conditionalFormatting>
  <conditionalFormatting sqref="C25">
    <cfRule type="cellIs" dxfId="884" priority="918" operator="equal">
      <formula>"No"</formula>
    </cfRule>
    <cfRule type="cellIs" dxfId="883" priority="919" operator="equal">
      <formula>"NA"</formula>
    </cfRule>
    <cfRule type="cellIs" dxfId="882" priority="920" operator="equal">
      <formula>"Yes"</formula>
    </cfRule>
  </conditionalFormatting>
  <conditionalFormatting sqref="C26">
    <cfRule type="cellIs" dxfId="881" priority="872" operator="equal">
      <formula>"No"</formula>
    </cfRule>
    <cfRule type="cellIs" dxfId="880" priority="873" operator="equal">
      <formula>"NA"</formula>
    </cfRule>
    <cfRule type="cellIs" dxfId="879" priority="874" operator="equal">
      <formula>"Yes"</formula>
    </cfRule>
  </conditionalFormatting>
  <conditionalFormatting sqref="C28">
    <cfRule type="cellIs" dxfId="878" priority="826" operator="equal">
      <formula>"No"</formula>
    </cfRule>
    <cfRule type="cellIs" dxfId="877" priority="827" operator="equal">
      <formula>"NA"</formula>
    </cfRule>
    <cfRule type="cellIs" dxfId="876" priority="828" operator="equal">
      <formula>"Yes"</formula>
    </cfRule>
  </conditionalFormatting>
  <conditionalFormatting sqref="C29">
    <cfRule type="cellIs" dxfId="875" priority="780" operator="equal">
      <formula>"No"</formula>
    </cfRule>
    <cfRule type="cellIs" dxfId="874" priority="781" operator="equal">
      <formula>"NA"</formula>
    </cfRule>
    <cfRule type="cellIs" dxfId="873" priority="782" operator="equal">
      <formula>"Yes"</formula>
    </cfRule>
  </conditionalFormatting>
  <conditionalFormatting sqref="C30">
    <cfRule type="cellIs" dxfId="872" priority="734" operator="equal">
      <formula>"No"</formula>
    </cfRule>
    <cfRule type="cellIs" dxfId="871" priority="735" operator="equal">
      <formula>"NA"</formula>
    </cfRule>
    <cfRule type="cellIs" dxfId="870" priority="736" operator="equal">
      <formula>"Yes"</formula>
    </cfRule>
  </conditionalFormatting>
  <conditionalFormatting sqref="C31">
    <cfRule type="cellIs" dxfId="869" priority="688" operator="equal">
      <formula>"No"</formula>
    </cfRule>
    <cfRule type="cellIs" dxfId="868" priority="689" operator="equal">
      <formula>"NA"</formula>
    </cfRule>
    <cfRule type="cellIs" dxfId="867" priority="690" operator="equal">
      <formula>"Yes"</formula>
    </cfRule>
  </conditionalFormatting>
  <conditionalFormatting sqref="C32">
    <cfRule type="cellIs" dxfId="866" priority="642" operator="equal">
      <formula>"No"</formula>
    </cfRule>
    <cfRule type="cellIs" dxfId="865" priority="643" operator="equal">
      <formula>"NA"</formula>
    </cfRule>
    <cfRule type="cellIs" dxfId="864" priority="644" operator="equal">
      <formula>"Yes"</formula>
    </cfRule>
  </conditionalFormatting>
  <conditionalFormatting sqref="C33">
    <cfRule type="cellIs" dxfId="863" priority="596" operator="equal">
      <formula>"No"</formula>
    </cfRule>
    <cfRule type="cellIs" dxfId="862" priority="597" operator="equal">
      <formula>"NA"</formula>
    </cfRule>
    <cfRule type="cellIs" dxfId="861" priority="598" operator="equal">
      <formula>"Yes"</formula>
    </cfRule>
  </conditionalFormatting>
  <conditionalFormatting sqref="C34">
    <cfRule type="cellIs" dxfId="860" priority="550" operator="equal">
      <formula>"No"</formula>
    </cfRule>
    <cfRule type="cellIs" dxfId="859" priority="551" operator="equal">
      <formula>"NA"</formula>
    </cfRule>
    <cfRule type="cellIs" dxfId="858" priority="552" operator="equal">
      <formula>"Yes"</formula>
    </cfRule>
  </conditionalFormatting>
  <conditionalFormatting sqref="C35">
    <cfRule type="cellIs" dxfId="857" priority="504" operator="equal">
      <formula>"No"</formula>
    </cfRule>
    <cfRule type="cellIs" dxfId="856" priority="505" operator="equal">
      <formula>"NA"</formula>
    </cfRule>
    <cfRule type="cellIs" dxfId="855" priority="506" operator="equal">
      <formula>"Yes"</formula>
    </cfRule>
  </conditionalFormatting>
  <conditionalFormatting sqref="C36">
    <cfRule type="cellIs" dxfId="854" priority="458" operator="equal">
      <formula>"No"</formula>
    </cfRule>
    <cfRule type="cellIs" dxfId="853" priority="459" operator="equal">
      <formula>"NA"</formula>
    </cfRule>
    <cfRule type="cellIs" dxfId="852" priority="460" operator="equal">
      <formula>"Yes"</formula>
    </cfRule>
  </conditionalFormatting>
  <conditionalFormatting sqref="C37">
    <cfRule type="cellIs" dxfId="851" priority="412" operator="equal">
      <formula>"No"</formula>
    </cfRule>
    <cfRule type="cellIs" dxfId="850" priority="413" operator="equal">
      <formula>"NA"</formula>
    </cfRule>
    <cfRule type="cellIs" dxfId="849" priority="414" operator="equal">
      <formula>"Yes"</formula>
    </cfRule>
  </conditionalFormatting>
  <conditionalFormatting sqref="C38">
    <cfRule type="cellIs" dxfId="848" priority="366" operator="equal">
      <formula>"No"</formula>
    </cfRule>
    <cfRule type="cellIs" dxfId="847" priority="367" operator="equal">
      <formula>"NA"</formula>
    </cfRule>
    <cfRule type="cellIs" dxfId="846" priority="368" operator="equal">
      <formula>"Yes"</formula>
    </cfRule>
  </conditionalFormatting>
  <conditionalFormatting sqref="C40">
    <cfRule type="cellIs" dxfId="845" priority="320" operator="equal">
      <formula>"No"</formula>
    </cfRule>
    <cfRule type="cellIs" dxfId="844" priority="321" operator="equal">
      <formula>"NA"</formula>
    </cfRule>
    <cfRule type="cellIs" dxfId="843" priority="322" operator="equal">
      <formula>"Yes"</formula>
    </cfRule>
  </conditionalFormatting>
  <conditionalFormatting sqref="C41">
    <cfRule type="cellIs" dxfId="842" priority="274" operator="equal">
      <formula>"No"</formula>
    </cfRule>
    <cfRule type="cellIs" dxfId="841" priority="275" operator="equal">
      <formula>"NA"</formula>
    </cfRule>
    <cfRule type="cellIs" dxfId="840" priority="276" operator="equal">
      <formula>"Yes"</formula>
    </cfRule>
  </conditionalFormatting>
  <conditionalFormatting sqref="C42">
    <cfRule type="cellIs" dxfId="839" priority="228" operator="equal">
      <formula>"No"</formula>
    </cfRule>
    <cfRule type="cellIs" dxfId="838" priority="229" operator="equal">
      <formula>"NA"</formula>
    </cfRule>
    <cfRule type="cellIs" dxfId="837" priority="230" operator="equal">
      <formula>"Yes"</formula>
    </cfRule>
  </conditionalFormatting>
  <conditionalFormatting sqref="C43">
    <cfRule type="cellIs" dxfId="836" priority="182" operator="equal">
      <formula>"No"</formula>
    </cfRule>
    <cfRule type="cellIs" dxfId="835" priority="183" operator="equal">
      <formula>"NA"</formula>
    </cfRule>
    <cfRule type="cellIs" dxfId="834" priority="184" operator="equal">
      <formula>"Yes"</formula>
    </cfRule>
  </conditionalFormatting>
  <conditionalFormatting sqref="C45">
    <cfRule type="cellIs" dxfId="833" priority="136" operator="equal">
      <formula>"No"</formula>
    </cfRule>
    <cfRule type="cellIs" dxfId="832" priority="137" operator="equal">
      <formula>"NA"</formula>
    </cfRule>
    <cfRule type="cellIs" dxfId="831" priority="138" operator="equal">
      <formula>"Yes"</formula>
    </cfRule>
  </conditionalFormatting>
  <conditionalFormatting sqref="C46">
    <cfRule type="cellIs" dxfId="830" priority="90" operator="equal">
      <formula>"No"</formula>
    </cfRule>
    <cfRule type="cellIs" dxfId="829" priority="91" operator="equal">
      <formula>"NA"</formula>
    </cfRule>
    <cfRule type="cellIs" dxfId="828" priority="92" operator="equal">
      <formula>"Yes"</formula>
    </cfRule>
  </conditionalFormatting>
  <conditionalFormatting sqref="C48">
    <cfRule type="cellIs" dxfId="827" priority="44" operator="equal">
      <formula>"No"</formula>
    </cfRule>
    <cfRule type="cellIs" dxfId="826" priority="45" operator="equal">
      <formula>"NA"</formula>
    </cfRule>
    <cfRule type="cellIs" dxfId="825"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578</v>
      </c>
      <c r="B6" s="160" t="s">
        <v>579</v>
      </c>
      <c r="C6" s="209"/>
      <c r="D6" s="210"/>
      <c r="E6" s="150"/>
      <c r="F6" s="150"/>
    </row>
    <row r="7" spans="1:7" ht="18.75">
      <c r="A7" s="148"/>
      <c r="B7" s="157" t="s">
        <v>580</v>
      </c>
      <c r="C7" s="149"/>
      <c r="D7" s="149"/>
      <c r="E7" s="215"/>
      <c r="F7" s="215"/>
    </row>
    <row r="8" spans="1:7" ht="51">
      <c r="A8" s="151" t="s">
        <v>581</v>
      </c>
      <c r="B8" s="160" t="s">
        <v>582</v>
      </c>
      <c r="C8" s="209"/>
      <c r="D8" s="210"/>
      <c r="E8" s="150"/>
      <c r="F8" s="150"/>
    </row>
    <row r="9" spans="1:7" ht="25.5">
      <c r="A9" s="151" t="s">
        <v>583</v>
      </c>
      <c r="B9" s="160" t="s">
        <v>584</v>
      </c>
      <c r="C9" s="209"/>
      <c r="D9" s="210"/>
      <c r="E9" s="150"/>
      <c r="F9" s="150"/>
    </row>
    <row r="10" spans="1:7" ht="38.25">
      <c r="A10" s="151" t="s">
        <v>585</v>
      </c>
      <c r="B10" s="160" t="s">
        <v>586</v>
      </c>
      <c r="C10" s="209"/>
      <c r="D10" s="210"/>
      <c r="E10" s="150"/>
      <c r="F10" s="150"/>
    </row>
    <row r="11" spans="1:7" ht="18.75">
      <c r="A11" s="148"/>
      <c r="B11" s="157" t="s">
        <v>587</v>
      </c>
      <c r="C11" s="149"/>
      <c r="D11" s="149"/>
      <c r="E11" s="215"/>
      <c r="F11" s="215"/>
    </row>
    <row r="12" spans="1:7" ht="38.25">
      <c r="A12" s="151" t="s">
        <v>588</v>
      </c>
      <c r="B12" s="160" t="s">
        <v>589</v>
      </c>
      <c r="C12" s="209"/>
      <c r="D12" s="210"/>
      <c r="E12" s="150"/>
      <c r="F12" s="150"/>
    </row>
    <row r="13" spans="1:7" ht="51">
      <c r="A13" s="151" t="s">
        <v>590</v>
      </c>
      <c r="B13" s="160" t="s">
        <v>591</v>
      </c>
      <c r="C13" s="209"/>
      <c r="D13" s="210"/>
      <c r="E13" s="150"/>
      <c r="F13" s="150"/>
    </row>
    <row r="14" spans="1:7" ht="18.75">
      <c r="A14" s="148"/>
      <c r="B14" s="157" t="s">
        <v>592</v>
      </c>
      <c r="C14" s="149"/>
      <c r="D14" s="149"/>
      <c r="E14" s="215"/>
      <c r="F14" s="215"/>
    </row>
    <row r="15" spans="1:7" ht="38.25">
      <c r="A15" s="151" t="s">
        <v>593</v>
      </c>
      <c r="B15" s="160" t="s">
        <v>594</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824" priority="642" operator="equal">
      <formula>"No"</formula>
    </cfRule>
    <cfRule type="cellIs" dxfId="823" priority="643" operator="equal">
      <formula>"NA"</formula>
    </cfRule>
    <cfRule type="cellIs" dxfId="822" priority="644" operator="equal">
      <formula>"Yes"</formula>
    </cfRule>
  </conditionalFormatting>
  <conditionalFormatting sqref="C8">
    <cfRule type="cellIs" dxfId="821" priority="596" operator="equal">
      <formula>"No"</formula>
    </cfRule>
    <cfRule type="cellIs" dxfId="820" priority="597" operator="equal">
      <formula>"NA"</formula>
    </cfRule>
    <cfRule type="cellIs" dxfId="819" priority="598" operator="equal">
      <formula>"Yes"</formula>
    </cfRule>
  </conditionalFormatting>
  <conditionalFormatting sqref="C9">
    <cfRule type="cellIs" dxfId="818" priority="550" operator="equal">
      <formula>"No"</formula>
    </cfRule>
    <cfRule type="cellIs" dxfId="817" priority="551" operator="equal">
      <formula>"NA"</formula>
    </cfRule>
    <cfRule type="cellIs" dxfId="816" priority="552" operator="equal">
      <formula>"Yes"</formula>
    </cfRule>
  </conditionalFormatting>
  <conditionalFormatting sqref="C10">
    <cfRule type="cellIs" dxfId="815" priority="504" operator="equal">
      <formula>"No"</formula>
    </cfRule>
    <cfRule type="cellIs" dxfId="814" priority="505" operator="equal">
      <formula>"NA"</formula>
    </cfRule>
    <cfRule type="cellIs" dxfId="813" priority="506" operator="equal">
      <formula>"Yes"</formula>
    </cfRule>
  </conditionalFormatting>
  <conditionalFormatting sqref="C12">
    <cfRule type="cellIs" dxfId="812" priority="458" operator="equal">
      <formula>"No"</formula>
    </cfRule>
    <cfRule type="cellIs" dxfId="811" priority="459" operator="equal">
      <formula>"NA"</formula>
    </cfRule>
    <cfRule type="cellIs" dxfId="810" priority="460" operator="equal">
      <formula>"Yes"</formula>
    </cfRule>
  </conditionalFormatting>
  <conditionalFormatting sqref="C13">
    <cfRule type="cellIs" dxfId="809" priority="412" operator="equal">
      <formula>"No"</formula>
    </cfRule>
    <cfRule type="cellIs" dxfId="808" priority="413" operator="equal">
      <formula>"NA"</formula>
    </cfRule>
    <cfRule type="cellIs" dxfId="807" priority="414" operator="equal">
      <formula>"Yes"</formula>
    </cfRule>
  </conditionalFormatting>
  <conditionalFormatting sqref="C15">
    <cfRule type="cellIs" dxfId="806" priority="366" operator="equal">
      <formula>"No"</formula>
    </cfRule>
    <cfRule type="cellIs" dxfId="805" priority="367" operator="equal">
      <formula>"NA"</formula>
    </cfRule>
    <cfRule type="cellIs" dxfId="804" priority="368" operator="equal">
      <formula>"Yes"</formula>
    </cfRule>
  </conditionalFormatting>
  <conditionalFormatting sqref="C17">
    <cfRule type="cellIs" dxfId="803" priority="320" operator="equal">
      <formula>"No"</formula>
    </cfRule>
    <cfRule type="cellIs" dxfId="802" priority="321" operator="equal">
      <formula>"NA"</formula>
    </cfRule>
    <cfRule type="cellIs" dxfId="801" priority="322" operator="equal">
      <formula>"Yes"</formula>
    </cfRule>
  </conditionalFormatting>
  <conditionalFormatting sqref="C18">
    <cfRule type="cellIs" dxfId="800" priority="274" operator="equal">
      <formula>"No"</formula>
    </cfRule>
    <cfRule type="cellIs" dxfId="799" priority="275" operator="equal">
      <formula>"NA"</formula>
    </cfRule>
    <cfRule type="cellIs" dxfId="798" priority="276" operator="equal">
      <formula>"Yes"</formula>
    </cfRule>
  </conditionalFormatting>
  <conditionalFormatting sqref="C19">
    <cfRule type="cellIs" dxfId="797" priority="228" operator="equal">
      <formula>"No"</formula>
    </cfRule>
    <cfRule type="cellIs" dxfId="796" priority="229" operator="equal">
      <formula>"NA"</formula>
    </cfRule>
    <cfRule type="cellIs" dxfId="795" priority="230" operator="equal">
      <formula>"Yes"</formula>
    </cfRule>
  </conditionalFormatting>
  <conditionalFormatting sqref="C20">
    <cfRule type="cellIs" dxfId="794" priority="182" operator="equal">
      <formula>"No"</formula>
    </cfRule>
    <cfRule type="cellIs" dxfId="793" priority="183" operator="equal">
      <formula>"NA"</formula>
    </cfRule>
    <cfRule type="cellIs" dxfId="792" priority="184" operator="equal">
      <formula>"Yes"</formula>
    </cfRule>
  </conditionalFormatting>
  <conditionalFormatting sqref="C22">
    <cfRule type="cellIs" dxfId="791" priority="136" operator="equal">
      <formula>"No"</formula>
    </cfRule>
    <cfRule type="cellIs" dxfId="790" priority="137" operator="equal">
      <formula>"NA"</formula>
    </cfRule>
    <cfRule type="cellIs" dxfId="789" priority="138" operator="equal">
      <formula>"Yes"</formula>
    </cfRule>
  </conditionalFormatting>
  <conditionalFormatting sqref="C23">
    <cfRule type="cellIs" dxfId="788" priority="90" operator="equal">
      <formula>"No"</formula>
    </cfRule>
    <cfRule type="cellIs" dxfId="787" priority="91" operator="equal">
      <formula>"NA"</formula>
    </cfRule>
    <cfRule type="cellIs" dxfId="786" priority="92" operator="equal">
      <formula>"Yes"</formula>
    </cfRule>
  </conditionalFormatting>
  <conditionalFormatting sqref="C25">
    <cfRule type="cellIs" dxfId="785" priority="44" operator="equal">
      <formula>"No"</formula>
    </cfRule>
    <cfRule type="cellIs" dxfId="784" priority="45" operator="equal">
      <formula>"NA"</formula>
    </cfRule>
    <cfRule type="cellIs" dxfId="783"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595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25.5">
      <c r="A6" s="151" t="s">
        <v>596</v>
      </c>
      <c r="B6" s="160" t="s">
        <v>597</v>
      </c>
      <c r="C6" s="209"/>
      <c r="D6" s="210"/>
      <c r="E6" s="150"/>
      <c r="F6" s="150"/>
    </row>
    <row r="7" spans="1:7" ht="38.25">
      <c r="A7" s="151" t="s">
        <v>598</v>
      </c>
      <c r="B7" s="160" t="s">
        <v>599</v>
      </c>
      <c r="C7" s="209"/>
      <c r="D7" s="210"/>
      <c r="E7" s="150"/>
      <c r="F7" s="150"/>
    </row>
    <row r="8" spans="1:7" ht="38.25">
      <c r="A8" s="151" t="s">
        <v>600</v>
      </c>
      <c r="B8" s="160" t="s">
        <v>601</v>
      </c>
      <c r="C8" s="209"/>
      <c r="D8" s="210"/>
      <c r="E8" s="150"/>
      <c r="F8" s="150"/>
    </row>
    <row r="9" spans="1:7" ht="38.25">
      <c r="A9" s="151" t="s">
        <v>602</v>
      </c>
      <c r="B9" s="160" t="s">
        <v>603</v>
      </c>
      <c r="C9" s="209"/>
      <c r="D9" s="210"/>
      <c r="E9" s="150"/>
      <c r="F9" s="150"/>
    </row>
    <row r="10" spans="1:7" ht="76.5">
      <c r="A10" s="151" t="s">
        <v>604</v>
      </c>
      <c r="B10" s="160" t="s">
        <v>605</v>
      </c>
      <c r="C10" s="209"/>
      <c r="D10" s="210"/>
      <c r="E10" s="150"/>
      <c r="F10" s="150"/>
    </row>
    <row r="11" spans="1:7" ht="25.5">
      <c r="A11" s="151" t="s">
        <v>606</v>
      </c>
      <c r="B11" s="160" t="s">
        <v>607</v>
      </c>
      <c r="C11" s="209"/>
      <c r="D11" s="210"/>
      <c r="E11" s="150"/>
      <c r="F11" s="150"/>
    </row>
    <row r="12" spans="1:7" ht="38.25">
      <c r="A12" s="151" t="s">
        <v>608</v>
      </c>
      <c r="B12" s="160" t="s">
        <v>609</v>
      </c>
      <c r="C12" s="209"/>
      <c r="D12" s="210"/>
      <c r="E12" s="150"/>
      <c r="F12" s="150"/>
    </row>
    <row r="13" spans="1:7" ht="18.75">
      <c r="A13" s="148"/>
      <c r="B13" s="157" t="s">
        <v>610</v>
      </c>
      <c r="C13" s="149"/>
      <c r="D13" s="149"/>
      <c r="E13" s="215"/>
      <c r="F13" s="215"/>
    </row>
    <row r="14" spans="1:7" ht="25.5">
      <c r="A14" s="151" t="s">
        <v>611</v>
      </c>
      <c r="B14" s="160" t="s">
        <v>612</v>
      </c>
      <c r="C14" s="209"/>
      <c r="D14" s="210"/>
      <c r="E14" s="150"/>
      <c r="F14" s="150"/>
    </row>
    <row r="15" spans="1:7" ht="25.5">
      <c r="A15" s="151" t="s">
        <v>613</v>
      </c>
      <c r="B15" s="160" t="s">
        <v>614</v>
      </c>
      <c r="C15" s="209"/>
      <c r="D15" s="210"/>
      <c r="E15" s="150"/>
      <c r="F15" s="150"/>
    </row>
    <row r="16" spans="1:7" ht="25.5">
      <c r="A16" s="151" t="s">
        <v>615</v>
      </c>
      <c r="B16" s="160" t="s">
        <v>616</v>
      </c>
      <c r="C16" s="209"/>
      <c r="D16" s="210"/>
      <c r="E16" s="150"/>
      <c r="F16" s="150"/>
    </row>
    <row r="17" spans="1:6" ht="25.5">
      <c r="A17" s="151" t="s">
        <v>617</v>
      </c>
      <c r="B17" s="160" t="s">
        <v>618</v>
      </c>
      <c r="C17" s="209"/>
      <c r="D17" s="210"/>
      <c r="E17" s="150"/>
      <c r="F17" s="150"/>
    </row>
    <row r="18" spans="1:6" ht="25.5">
      <c r="A18" s="151" t="s">
        <v>619</v>
      </c>
      <c r="B18" s="160" t="s">
        <v>620</v>
      </c>
      <c r="C18" s="209"/>
      <c r="D18" s="210"/>
      <c r="E18" s="150"/>
      <c r="F18" s="150"/>
    </row>
    <row r="19" spans="1:6" ht="25.5">
      <c r="A19" s="151" t="s">
        <v>621</v>
      </c>
      <c r="B19" s="160" t="s">
        <v>622</v>
      </c>
      <c r="C19" s="209"/>
      <c r="D19" s="210"/>
      <c r="E19" s="150"/>
      <c r="F19" s="150"/>
    </row>
    <row r="20" spans="1:6" ht="18.75">
      <c r="A20" s="148"/>
      <c r="B20" s="157" t="s">
        <v>623</v>
      </c>
      <c r="C20" s="149"/>
      <c r="D20" s="149"/>
      <c r="E20" s="215"/>
      <c r="F20" s="215"/>
    </row>
    <row r="21" spans="1:6" ht="25.5">
      <c r="A21" s="151" t="s">
        <v>624</v>
      </c>
      <c r="B21" s="160" t="s">
        <v>625</v>
      </c>
      <c r="C21" s="209"/>
      <c r="D21" s="210"/>
      <c r="E21" s="150"/>
      <c r="F21" s="150"/>
    </row>
    <row r="22" spans="1:6" ht="76.5">
      <c r="A22" s="151" t="s">
        <v>626</v>
      </c>
      <c r="B22" s="160" t="s">
        <v>627</v>
      </c>
      <c r="C22" s="209"/>
      <c r="D22" s="210"/>
      <c r="E22" s="152" t="s">
        <v>628</v>
      </c>
      <c r="F22" s="150"/>
    </row>
    <row r="23" spans="1:6" ht="63.75">
      <c r="A23" s="151" t="s">
        <v>629</v>
      </c>
      <c r="B23" s="160" t="s">
        <v>630</v>
      </c>
      <c r="C23" s="209"/>
      <c r="D23" s="210"/>
      <c r="E23" s="150"/>
      <c r="F23" s="150"/>
    </row>
    <row r="24" spans="1:6" ht="25.5">
      <c r="A24" s="151" t="s">
        <v>631</v>
      </c>
      <c r="B24" s="160" t="s">
        <v>632</v>
      </c>
      <c r="C24" s="209"/>
      <c r="D24" s="210"/>
      <c r="E24" s="150"/>
      <c r="F24" s="150"/>
    </row>
    <row r="25" spans="1:6" ht="25.5">
      <c r="A25" s="151" t="s">
        <v>633</v>
      </c>
      <c r="B25" s="160" t="s">
        <v>634</v>
      </c>
      <c r="C25" s="209"/>
      <c r="D25" s="210"/>
      <c r="E25" s="150"/>
      <c r="F25" s="150"/>
    </row>
    <row r="26" spans="1:6" ht="25.5">
      <c r="A26" s="151" t="s">
        <v>635</v>
      </c>
      <c r="B26" s="160" t="s">
        <v>636</v>
      </c>
      <c r="C26" s="209"/>
      <c r="D26" s="210"/>
      <c r="E26" s="150"/>
      <c r="F26" s="150"/>
    </row>
    <row r="27" spans="1:6" ht="38.25">
      <c r="A27" s="151" t="s">
        <v>637</v>
      </c>
      <c r="B27" s="160" t="s">
        <v>638</v>
      </c>
      <c r="C27" s="209"/>
      <c r="D27" s="210"/>
      <c r="E27" s="150"/>
      <c r="F27" s="150"/>
    </row>
    <row r="28" spans="1:6" ht="38.25">
      <c r="A28" s="151" t="s">
        <v>639</v>
      </c>
      <c r="B28" s="160" t="s">
        <v>640</v>
      </c>
      <c r="C28" s="209"/>
      <c r="D28" s="210"/>
      <c r="E28" s="150"/>
      <c r="F28" s="150"/>
    </row>
    <row r="29" spans="1:6" ht="25.5">
      <c r="A29" s="151" t="s">
        <v>641</v>
      </c>
      <c r="B29" s="160" t="s">
        <v>642</v>
      </c>
      <c r="C29" s="209"/>
      <c r="D29" s="210"/>
      <c r="E29" s="150"/>
      <c r="F29" s="150"/>
    </row>
    <row r="30" spans="1:6" ht="18.75">
      <c r="A30" s="148"/>
      <c r="B30" s="157" t="s">
        <v>643</v>
      </c>
      <c r="C30" s="149"/>
      <c r="D30" s="149"/>
      <c r="E30" s="215"/>
      <c r="F30" s="215"/>
    </row>
    <row r="31" spans="1:6" ht="38.25">
      <c r="A31" s="151" t="s">
        <v>644</v>
      </c>
      <c r="B31" s="160" t="s">
        <v>645</v>
      </c>
      <c r="C31" s="209"/>
      <c r="D31" s="210"/>
      <c r="E31" s="150"/>
      <c r="F31" s="150"/>
    </row>
    <row r="32" spans="1:6" ht="38.25">
      <c r="A32" s="151" t="s">
        <v>646</v>
      </c>
      <c r="B32" s="160" t="s">
        <v>647</v>
      </c>
      <c r="C32" s="209"/>
      <c r="D32" s="210"/>
      <c r="E32" s="150"/>
      <c r="F32" s="150"/>
    </row>
    <row r="33" spans="1:6" ht="25.5">
      <c r="A33" s="151" t="s">
        <v>648</v>
      </c>
      <c r="B33" s="160" t="s">
        <v>649</v>
      </c>
      <c r="C33" s="209"/>
      <c r="D33" s="210"/>
      <c r="E33" s="150"/>
      <c r="F33" s="150"/>
    </row>
    <row r="34" spans="1:6" ht="18.75">
      <c r="A34" s="148"/>
      <c r="B34" s="157" t="s">
        <v>360</v>
      </c>
      <c r="C34" s="149"/>
      <c r="D34" s="149"/>
      <c r="E34" s="215"/>
      <c r="F34" s="215"/>
    </row>
    <row r="35" spans="1:6" ht="38.25">
      <c r="A35" s="151" t="s">
        <v>361</v>
      </c>
      <c r="B35" s="160" t="s">
        <v>362</v>
      </c>
      <c r="C35" s="209"/>
      <c r="D35" s="210"/>
      <c r="E35" s="150"/>
      <c r="F35" s="150"/>
    </row>
    <row r="36" spans="1:6" ht="25.5">
      <c r="A36" s="151" t="s">
        <v>363</v>
      </c>
      <c r="B36" s="160" t="s">
        <v>364</v>
      </c>
      <c r="C36" s="209"/>
      <c r="D36" s="210"/>
      <c r="E36" s="150"/>
      <c r="F36" s="150"/>
    </row>
    <row r="37" spans="1:6" ht="38.25">
      <c r="A37" s="151" t="s">
        <v>365</v>
      </c>
      <c r="B37" s="160" t="s">
        <v>366</v>
      </c>
      <c r="C37" s="209"/>
      <c r="D37" s="210"/>
      <c r="E37" s="150"/>
      <c r="F37" s="150"/>
    </row>
    <row r="38" spans="1:6" ht="38.25">
      <c r="A38" s="151" t="s">
        <v>367</v>
      </c>
      <c r="B38" s="160" t="s">
        <v>368</v>
      </c>
      <c r="C38" s="209"/>
      <c r="D38" s="210"/>
      <c r="E38" s="150"/>
      <c r="F38" s="150"/>
    </row>
    <row r="39" spans="1:6" ht="18.75">
      <c r="A39" s="148"/>
      <c r="B39" s="157" t="s">
        <v>369</v>
      </c>
      <c r="C39" s="149"/>
      <c r="D39" s="149"/>
      <c r="E39" s="215"/>
      <c r="F39" s="215"/>
    </row>
    <row r="40" spans="1:6" ht="38.25">
      <c r="A40" s="151" t="s">
        <v>370</v>
      </c>
      <c r="B40" s="160" t="s">
        <v>371</v>
      </c>
      <c r="C40" s="209"/>
      <c r="D40" s="210"/>
      <c r="E40" s="150"/>
      <c r="F40" s="150"/>
    </row>
    <row r="41" spans="1:6" ht="38.25">
      <c r="A41" s="151" t="s">
        <v>372</v>
      </c>
      <c r="B41" s="160" t="s">
        <v>373</v>
      </c>
      <c r="C41" s="209"/>
      <c r="D41" s="210"/>
      <c r="E41" s="150"/>
      <c r="F41" s="150"/>
    </row>
    <row r="42" spans="1:6" ht="18.75">
      <c r="A42" s="148"/>
      <c r="B42" s="157" t="s">
        <v>374</v>
      </c>
      <c r="C42" s="149"/>
      <c r="D42" s="149"/>
      <c r="E42" s="215"/>
      <c r="F42" s="215"/>
    </row>
    <row r="43" spans="1:6" ht="51">
      <c r="A43" s="151" t="s">
        <v>375</v>
      </c>
      <c r="B43" s="160" t="s">
        <v>376</v>
      </c>
      <c r="C43" s="209"/>
      <c r="D43" s="210"/>
      <c r="E43" s="150"/>
      <c r="F43" s="150"/>
    </row>
    <row r="44" spans="1:6" ht="18">
      <c r="A44" s="211"/>
      <c r="B44" s="212" t="s">
        <v>377</v>
      </c>
      <c r="C44" s="211"/>
      <c r="D44" s="211"/>
      <c r="E44" s="211"/>
      <c r="F44" s="211"/>
    </row>
    <row r="45" spans="1:6">
      <c r="A45" s="151"/>
      <c r="B45" s="160"/>
    </row>
    <row r="46" spans="1:6" ht="15">
      <c r="A46" s="213"/>
      <c r="B46" s="214" t="s">
        <v>378</v>
      </c>
      <c r="C46" s="213"/>
      <c r="D46" s="213"/>
      <c r="E46" s="213"/>
      <c r="F46" s="213"/>
    </row>
  </sheetData>
  <mergeCells count="1">
    <mergeCell ref="E2:F2"/>
  </mergeCells>
  <conditionalFormatting sqref="C6">
    <cfRule type="cellIs" dxfId="782" priority="1470" operator="equal">
      <formula>"No"</formula>
    </cfRule>
    <cfRule type="cellIs" dxfId="781" priority="1471" operator="equal">
      <formula>"NA"</formula>
    </cfRule>
    <cfRule type="cellIs" dxfId="780" priority="1472" operator="equal">
      <formula>"Yes"</formula>
    </cfRule>
  </conditionalFormatting>
  <conditionalFormatting sqref="C7">
    <cfRule type="cellIs" dxfId="779" priority="1424" operator="equal">
      <formula>"No"</formula>
    </cfRule>
    <cfRule type="cellIs" dxfId="778" priority="1425" operator="equal">
      <formula>"NA"</formula>
    </cfRule>
    <cfRule type="cellIs" dxfId="777" priority="1426" operator="equal">
      <formula>"Yes"</formula>
    </cfRule>
  </conditionalFormatting>
  <conditionalFormatting sqref="C8">
    <cfRule type="cellIs" dxfId="776" priority="1378" operator="equal">
      <formula>"No"</formula>
    </cfRule>
    <cfRule type="cellIs" dxfId="775" priority="1379" operator="equal">
      <formula>"NA"</formula>
    </cfRule>
    <cfRule type="cellIs" dxfId="774" priority="1380" operator="equal">
      <formula>"Yes"</formula>
    </cfRule>
  </conditionalFormatting>
  <conditionalFormatting sqref="C9">
    <cfRule type="cellIs" dxfId="773" priority="1332" operator="equal">
      <formula>"No"</formula>
    </cfRule>
    <cfRule type="cellIs" dxfId="772" priority="1333" operator="equal">
      <formula>"NA"</formula>
    </cfRule>
    <cfRule type="cellIs" dxfId="771" priority="1334" operator="equal">
      <formula>"Yes"</formula>
    </cfRule>
  </conditionalFormatting>
  <conditionalFormatting sqref="C10">
    <cfRule type="cellIs" dxfId="770" priority="1286" operator="equal">
      <formula>"No"</formula>
    </cfRule>
    <cfRule type="cellIs" dxfId="769" priority="1287" operator="equal">
      <formula>"NA"</formula>
    </cfRule>
    <cfRule type="cellIs" dxfId="768" priority="1288" operator="equal">
      <formula>"Yes"</formula>
    </cfRule>
  </conditionalFormatting>
  <conditionalFormatting sqref="C11">
    <cfRule type="cellIs" dxfId="767" priority="1240" operator="equal">
      <formula>"No"</formula>
    </cfRule>
    <cfRule type="cellIs" dxfId="766" priority="1241" operator="equal">
      <formula>"NA"</formula>
    </cfRule>
    <cfRule type="cellIs" dxfId="765" priority="1242" operator="equal">
      <formula>"Yes"</formula>
    </cfRule>
  </conditionalFormatting>
  <conditionalFormatting sqref="C12">
    <cfRule type="cellIs" dxfId="764" priority="1194" operator="equal">
      <formula>"No"</formula>
    </cfRule>
    <cfRule type="cellIs" dxfId="763" priority="1195" operator="equal">
      <formula>"NA"</formula>
    </cfRule>
    <cfRule type="cellIs" dxfId="762" priority="1196" operator="equal">
      <formula>"Yes"</formula>
    </cfRule>
  </conditionalFormatting>
  <conditionalFormatting sqref="C14">
    <cfRule type="cellIs" dxfId="761" priority="1148" operator="equal">
      <formula>"No"</formula>
    </cfRule>
    <cfRule type="cellIs" dxfId="760" priority="1149" operator="equal">
      <formula>"NA"</formula>
    </cfRule>
    <cfRule type="cellIs" dxfId="759" priority="1150" operator="equal">
      <formula>"Yes"</formula>
    </cfRule>
  </conditionalFormatting>
  <conditionalFormatting sqref="C15">
    <cfRule type="cellIs" dxfId="758" priority="1102" operator="equal">
      <formula>"No"</formula>
    </cfRule>
    <cfRule type="cellIs" dxfId="757" priority="1103" operator="equal">
      <formula>"NA"</formula>
    </cfRule>
    <cfRule type="cellIs" dxfId="756" priority="1104" operator="equal">
      <formula>"Yes"</formula>
    </cfRule>
  </conditionalFormatting>
  <conditionalFormatting sqref="C16">
    <cfRule type="cellIs" dxfId="755" priority="1056" operator="equal">
      <formula>"No"</formula>
    </cfRule>
    <cfRule type="cellIs" dxfId="754" priority="1057" operator="equal">
      <formula>"NA"</formula>
    </cfRule>
    <cfRule type="cellIs" dxfId="753" priority="1058" operator="equal">
      <formula>"Yes"</formula>
    </cfRule>
  </conditionalFormatting>
  <conditionalFormatting sqref="C17">
    <cfRule type="cellIs" dxfId="752" priority="1010" operator="equal">
      <formula>"No"</formula>
    </cfRule>
    <cfRule type="cellIs" dxfId="751" priority="1011" operator="equal">
      <formula>"NA"</formula>
    </cfRule>
    <cfRule type="cellIs" dxfId="750" priority="1012" operator="equal">
      <formula>"Yes"</formula>
    </cfRule>
  </conditionalFormatting>
  <conditionalFormatting sqref="C18">
    <cfRule type="cellIs" dxfId="749" priority="964" operator="equal">
      <formula>"No"</formula>
    </cfRule>
    <cfRule type="cellIs" dxfId="748" priority="965" operator="equal">
      <formula>"NA"</formula>
    </cfRule>
    <cfRule type="cellIs" dxfId="747" priority="966" operator="equal">
      <formula>"Yes"</formula>
    </cfRule>
  </conditionalFormatting>
  <conditionalFormatting sqref="C19">
    <cfRule type="cellIs" dxfId="746" priority="918" operator="equal">
      <formula>"No"</formula>
    </cfRule>
    <cfRule type="cellIs" dxfId="745" priority="919" operator="equal">
      <formula>"NA"</formula>
    </cfRule>
    <cfRule type="cellIs" dxfId="744" priority="920" operator="equal">
      <formula>"Yes"</formula>
    </cfRule>
  </conditionalFormatting>
  <conditionalFormatting sqref="C21">
    <cfRule type="cellIs" dxfId="743" priority="872" operator="equal">
      <formula>"No"</formula>
    </cfRule>
    <cfRule type="cellIs" dxfId="742" priority="873" operator="equal">
      <formula>"NA"</formula>
    </cfRule>
    <cfRule type="cellIs" dxfId="741" priority="874" operator="equal">
      <formula>"Yes"</formula>
    </cfRule>
  </conditionalFormatting>
  <conditionalFormatting sqref="C22">
    <cfRule type="cellIs" dxfId="740" priority="826" operator="equal">
      <formula>"No"</formula>
    </cfRule>
    <cfRule type="cellIs" dxfId="739" priority="827" operator="equal">
      <formula>"NA"</formula>
    </cfRule>
    <cfRule type="cellIs" dxfId="738" priority="828" operator="equal">
      <formula>"Yes"</formula>
    </cfRule>
  </conditionalFormatting>
  <conditionalFormatting sqref="C23">
    <cfRule type="cellIs" dxfId="737" priority="780" operator="equal">
      <formula>"No"</formula>
    </cfRule>
    <cfRule type="cellIs" dxfId="736" priority="781" operator="equal">
      <formula>"NA"</formula>
    </cfRule>
    <cfRule type="cellIs" dxfId="735" priority="782" operator="equal">
      <formula>"Yes"</formula>
    </cfRule>
  </conditionalFormatting>
  <conditionalFormatting sqref="C24">
    <cfRule type="cellIs" dxfId="734" priority="734" operator="equal">
      <formula>"No"</formula>
    </cfRule>
    <cfRule type="cellIs" dxfId="733" priority="735" operator="equal">
      <formula>"NA"</formula>
    </cfRule>
    <cfRule type="cellIs" dxfId="732" priority="736" operator="equal">
      <formula>"Yes"</formula>
    </cfRule>
  </conditionalFormatting>
  <conditionalFormatting sqref="C25">
    <cfRule type="cellIs" dxfId="731" priority="688" operator="equal">
      <formula>"No"</formula>
    </cfRule>
    <cfRule type="cellIs" dxfId="730" priority="689" operator="equal">
      <formula>"NA"</formula>
    </cfRule>
    <cfRule type="cellIs" dxfId="729" priority="690" operator="equal">
      <formula>"Yes"</formula>
    </cfRule>
  </conditionalFormatting>
  <conditionalFormatting sqref="C26">
    <cfRule type="cellIs" dxfId="728" priority="642" operator="equal">
      <formula>"No"</formula>
    </cfRule>
    <cfRule type="cellIs" dxfId="727" priority="643" operator="equal">
      <formula>"NA"</formula>
    </cfRule>
    <cfRule type="cellIs" dxfId="726" priority="644" operator="equal">
      <formula>"Yes"</formula>
    </cfRule>
  </conditionalFormatting>
  <conditionalFormatting sqref="C27">
    <cfRule type="cellIs" dxfId="725" priority="596" operator="equal">
      <formula>"No"</formula>
    </cfRule>
    <cfRule type="cellIs" dxfId="724" priority="597" operator="equal">
      <formula>"NA"</formula>
    </cfRule>
    <cfRule type="cellIs" dxfId="723" priority="598" operator="equal">
      <formula>"Yes"</formula>
    </cfRule>
  </conditionalFormatting>
  <conditionalFormatting sqref="C28">
    <cfRule type="cellIs" dxfId="722" priority="550" operator="equal">
      <formula>"No"</formula>
    </cfRule>
    <cfRule type="cellIs" dxfId="721" priority="551" operator="equal">
      <formula>"NA"</formula>
    </cfRule>
    <cfRule type="cellIs" dxfId="720" priority="552" operator="equal">
      <formula>"Yes"</formula>
    </cfRule>
  </conditionalFormatting>
  <conditionalFormatting sqref="C29">
    <cfRule type="cellIs" dxfId="719" priority="504" operator="equal">
      <formula>"No"</formula>
    </cfRule>
    <cfRule type="cellIs" dxfId="718" priority="505" operator="equal">
      <formula>"NA"</formula>
    </cfRule>
    <cfRule type="cellIs" dxfId="717" priority="506" operator="equal">
      <formula>"Yes"</formula>
    </cfRule>
  </conditionalFormatting>
  <conditionalFormatting sqref="C31">
    <cfRule type="cellIs" dxfId="716" priority="458" operator="equal">
      <formula>"No"</formula>
    </cfRule>
    <cfRule type="cellIs" dxfId="715" priority="459" operator="equal">
      <formula>"NA"</formula>
    </cfRule>
    <cfRule type="cellIs" dxfId="714" priority="460" operator="equal">
      <formula>"Yes"</formula>
    </cfRule>
  </conditionalFormatting>
  <conditionalFormatting sqref="C32">
    <cfRule type="cellIs" dxfId="713" priority="412" operator="equal">
      <formula>"No"</formula>
    </cfRule>
    <cfRule type="cellIs" dxfId="712" priority="413" operator="equal">
      <formula>"NA"</formula>
    </cfRule>
    <cfRule type="cellIs" dxfId="711" priority="414" operator="equal">
      <formula>"Yes"</formula>
    </cfRule>
  </conditionalFormatting>
  <conditionalFormatting sqref="C33">
    <cfRule type="cellIs" dxfId="710" priority="366" operator="equal">
      <formula>"No"</formula>
    </cfRule>
    <cfRule type="cellIs" dxfId="709" priority="367" operator="equal">
      <formula>"NA"</formula>
    </cfRule>
    <cfRule type="cellIs" dxfId="708" priority="368" operator="equal">
      <formula>"Yes"</formula>
    </cfRule>
  </conditionalFormatting>
  <conditionalFormatting sqref="C35">
    <cfRule type="cellIs" dxfId="707" priority="320" operator="equal">
      <formula>"No"</formula>
    </cfRule>
    <cfRule type="cellIs" dxfId="706" priority="321" operator="equal">
      <formula>"NA"</formula>
    </cfRule>
    <cfRule type="cellIs" dxfId="705" priority="322" operator="equal">
      <formula>"Yes"</formula>
    </cfRule>
  </conditionalFormatting>
  <conditionalFormatting sqref="C36">
    <cfRule type="cellIs" dxfId="704" priority="274" operator="equal">
      <formula>"No"</formula>
    </cfRule>
    <cfRule type="cellIs" dxfId="703" priority="275" operator="equal">
      <formula>"NA"</formula>
    </cfRule>
    <cfRule type="cellIs" dxfId="702" priority="276" operator="equal">
      <formula>"Yes"</formula>
    </cfRule>
  </conditionalFormatting>
  <conditionalFormatting sqref="C37">
    <cfRule type="cellIs" dxfId="701" priority="228" operator="equal">
      <formula>"No"</formula>
    </cfRule>
    <cfRule type="cellIs" dxfId="700" priority="229" operator="equal">
      <formula>"NA"</formula>
    </cfRule>
    <cfRule type="cellIs" dxfId="699" priority="230" operator="equal">
      <formula>"Yes"</formula>
    </cfRule>
  </conditionalFormatting>
  <conditionalFormatting sqref="C38">
    <cfRule type="cellIs" dxfId="698" priority="182" operator="equal">
      <formula>"No"</formula>
    </cfRule>
    <cfRule type="cellIs" dxfId="697" priority="183" operator="equal">
      <formula>"NA"</formula>
    </cfRule>
    <cfRule type="cellIs" dxfId="696" priority="184" operator="equal">
      <formula>"Yes"</formula>
    </cfRule>
  </conditionalFormatting>
  <conditionalFormatting sqref="C40">
    <cfRule type="cellIs" dxfId="695" priority="136" operator="equal">
      <formula>"No"</formula>
    </cfRule>
    <cfRule type="cellIs" dxfId="694" priority="137" operator="equal">
      <formula>"NA"</formula>
    </cfRule>
    <cfRule type="cellIs" dxfId="693" priority="138" operator="equal">
      <formula>"Yes"</formula>
    </cfRule>
  </conditionalFormatting>
  <conditionalFormatting sqref="C41">
    <cfRule type="cellIs" dxfId="692" priority="90" operator="equal">
      <formula>"No"</formula>
    </cfRule>
    <cfRule type="cellIs" dxfId="691" priority="91" operator="equal">
      <formula>"NA"</formula>
    </cfRule>
    <cfRule type="cellIs" dxfId="690" priority="92" operator="equal">
      <formula>"Yes"</formula>
    </cfRule>
  </conditionalFormatting>
  <conditionalFormatting sqref="C43">
    <cfRule type="cellIs" dxfId="689" priority="44" operator="equal">
      <formula>"No"</formula>
    </cfRule>
    <cfRule type="cellIs" dxfId="688" priority="45" operator="equal">
      <formula>"NA"</formula>
    </cfRule>
    <cfRule type="cellIs" dxfId="687"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650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360</v>
      </c>
      <c r="C7" s="149"/>
      <c r="D7" s="149"/>
      <c r="E7" s="215"/>
      <c r="F7" s="215"/>
    </row>
    <row r="8" spans="1:7" ht="38.25">
      <c r="A8" s="151" t="s">
        <v>361</v>
      </c>
      <c r="B8" s="160" t="s">
        <v>362</v>
      </c>
      <c r="C8" s="209"/>
      <c r="D8" s="210"/>
      <c r="E8" s="150"/>
      <c r="F8" s="150"/>
    </row>
    <row r="9" spans="1:7" ht="25.5">
      <c r="A9" s="151" t="s">
        <v>363</v>
      </c>
      <c r="B9" s="160" t="s">
        <v>364</v>
      </c>
      <c r="C9" s="209"/>
      <c r="D9" s="210"/>
      <c r="E9" s="150"/>
      <c r="F9" s="150"/>
    </row>
    <row r="10" spans="1:7" ht="38.25">
      <c r="A10" s="151" t="s">
        <v>365</v>
      </c>
      <c r="B10" s="160" t="s">
        <v>366</v>
      </c>
      <c r="C10" s="209"/>
      <c r="D10" s="210"/>
      <c r="E10" s="150"/>
      <c r="F10" s="150"/>
    </row>
    <row r="11" spans="1:7" ht="38.25">
      <c r="A11" s="151" t="s">
        <v>367</v>
      </c>
      <c r="B11" s="160" t="s">
        <v>368</v>
      </c>
      <c r="C11" s="209"/>
      <c r="D11" s="210"/>
      <c r="E11" s="150"/>
      <c r="F11" s="150"/>
    </row>
    <row r="12" spans="1:7" ht="18.75">
      <c r="A12" s="148"/>
      <c r="B12" s="157" t="s">
        <v>369</v>
      </c>
      <c r="C12" s="149"/>
      <c r="D12" s="149"/>
      <c r="E12" s="215"/>
      <c r="F12" s="215"/>
    </row>
    <row r="13" spans="1:7" ht="38.25">
      <c r="A13" s="151" t="s">
        <v>370</v>
      </c>
      <c r="B13" s="160" t="s">
        <v>371</v>
      </c>
      <c r="C13" s="209"/>
      <c r="D13" s="210"/>
      <c r="E13" s="150"/>
      <c r="F13" s="150"/>
    </row>
    <row r="14" spans="1:7" ht="38.25">
      <c r="A14" s="151" t="s">
        <v>372</v>
      </c>
      <c r="B14" s="160" t="s">
        <v>373</v>
      </c>
      <c r="C14" s="209"/>
      <c r="D14" s="210"/>
      <c r="E14" s="150"/>
      <c r="F14" s="150"/>
    </row>
    <row r="15" spans="1:7" ht="18.75">
      <c r="A15" s="148"/>
      <c r="B15" s="157" t="s">
        <v>374</v>
      </c>
      <c r="C15" s="149"/>
      <c r="D15" s="149"/>
      <c r="E15" s="215"/>
      <c r="F15" s="215"/>
    </row>
    <row r="16" spans="1:7" ht="51">
      <c r="A16" s="151" t="s">
        <v>375</v>
      </c>
      <c r="B16" s="160" t="s">
        <v>376</v>
      </c>
      <c r="C16" s="209"/>
      <c r="D16" s="210"/>
      <c r="E16" s="150"/>
      <c r="F16" s="150"/>
    </row>
    <row r="17" spans="1:6" ht="18">
      <c r="A17" s="211"/>
      <c r="B17" s="212" t="s">
        <v>377</v>
      </c>
      <c r="C17" s="211"/>
      <c r="D17" s="211"/>
      <c r="E17" s="211"/>
      <c r="F17" s="211"/>
    </row>
    <row r="18" spans="1:6">
      <c r="A18" s="151"/>
      <c r="B18" s="160"/>
    </row>
    <row r="19" spans="1:6" ht="15">
      <c r="A19" s="213"/>
      <c r="B19" s="214" t="s">
        <v>378</v>
      </c>
      <c r="C19" s="213"/>
      <c r="D19" s="213"/>
      <c r="E19" s="213"/>
      <c r="F19" s="213"/>
    </row>
  </sheetData>
  <mergeCells count="1">
    <mergeCell ref="E2:F2"/>
  </mergeCells>
  <conditionalFormatting sqref="C6">
    <cfRule type="cellIs" dxfId="686" priority="366" operator="equal">
      <formula>"No"</formula>
    </cfRule>
    <cfRule type="cellIs" dxfId="685" priority="367" operator="equal">
      <formula>"NA"</formula>
    </cfRule>
    <cfRule type="cellIs" dxfId="684" priority="368" operator="equal">
      <formula>"Yes"</formula>
    </cfRule>
  </conditionalFormatting>
  <conditionalFormatting sqref="C8">
    <cfRule type="cellIs" dxfId="683" priority="320" operator="equal">
      <formula>"No"</formula>
    </cfRule>
    <cfRule type="cellIs" dxfId="682" priority="321" operator="equal">
      <formula>"NA"</formula>
    </cfRule>
    <cfRule type="cellIs" dxfId="681" priority="322" operator="equal">
      <formula>"Yes"</formula>
    </cfRule>
  </conditionalFormatting>
  <conditionalFormatting sqref="C9">
    <cfRule type="cellIs" dxfId="680" priority="274" operator="equal">
      <formula>"No"</formula>
    </cfRule>
    <cfRule type="cellIs" dxfId="679" priority="275" operator="equal">
      <formula>"NA"</formula>
    </cfRule>
    <cfRule type="cellIs" dxfId="678" priority="276" operator="equal">
      <formula>"Yes"</formula>
    </cfRule>
  </conditionalFormatting>
  <conditionalFormatting sqref="C10">
    <cfRule type="cellIs" dxfId="677" priority="228" operator="equal">
      <formula>"No"</formula>
    </cfRule>
    <cfRule type="cellIs" dxfId="676" priority="229" operator="equal">
      <formula>"NA"</formula>
    </cfRule>
    <cfRule type="cellIs" dxfId="675" priority="230" operator="equal">
      <formula>"Yes"</formula>
    </cfRule>
  </conditionalFormatting>
  <conditionalFormatting sqref="C11">
    <cfRule type="cellIs" dxfId="674" priority="182" operator="equal">
      <formula>"No"</formula>
    </cfRule>
    <cfRule type="cellIs" dxfId="673" priority="183" operator="equal">
      <formula>"NA"</formula>
    </cfRule>
    <cfRule type="cellIs" dxfId="672" priority="184" operator="equal">
      <formula>"Yes"</formula>
    </cfRule>
  </conditionalFormatting>
  <conditionalFormatting sqref="C13">
    <cfRule type="cellIs" dxfId="671" priority="136" operator="equal">
      <formula>"No"</formula>
    </cfRule>
    <cfRule type="cellIs" dxfId="670" priority="137" operator="equal">
      <formula>"NA"</formula>
    </cfRule>
    <cfRule type="cellIs" dxfId="669" priority="138" operator="equal">
      <formula>"Yes"</formula>
    </cfRule>
  </conditionalFormatting>
  <conditionalFormatting sqref="C14">
    <cfRule type="cellIs" dxfId="668" priority="90" operator="equal">
      <formula>"No"</formula>
    </cfRule>
    <cfRule type="cellIs" dxfId="667" priority="91" operator="equal">
      <formula>"NA"</formula>
    </cfRule>
    <cfRule type="cellIs" dxfId="666" priority="92" operator="equal">
      <formula>"Yes"</formula>
    </cfRule>
  </conditionalFormatting>
  <conditionalFormatting sqref="C16">
    <cfRule type="cellIs" dxfId="665" priority="44" operator="equal">
      <formula>"No"</formula>
    </cfRule>
    <cfRule type="cellIs" dxfId="664" priority="45" operator="equal">
      <formula>"NA"</formula>
    </cfRule>
    <cfRule type="cellIs" dxfId="663"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654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655</v>
      </c>
      <c r="C7" s="149"/>
      <c r="D7" s="149"/>
      <c r="E7" s="215"/>
      <c r="F7" s="215"/>
    </row>
    <row r="8" spans="1:7" ht="25.5">
      <c r="A8" s="151" t="s">
        <v>656</v>
      </c>
      <c r="B8" s="160" t="s">
        <v>657</v>
      </c>
      <c r="C8" s="209"/>
      <c r="D8" s="210"/>
      <c r="E8" s="150"/>
      <c r="F8" s="150"/>
    </row>
    <row r="9" spans="1:7" ht="38.25">
      <c r="A9" s="151" t="s">
        <v>658</v>
      </c>
      <c r="B9" s="160" t="s">
        <v>659</v>
      </c>
      <c r="C9" s="209"/>
      <c r="D9" s="210"/>
      <c r="E9" s="150"/>
      <c r="F9" s="150"/>
    </row>
    <row r="10" spans="1:7" ht="38.25">
      <c r="A10" s="151" t="s">
        <v>660</v>
      </c>
      <c r="B10" s="160" t="s">
        <v>661</v>
      </c>
      <c r="C10" s="209"/>
      <c r="D10" s="210"/>
      <c r="E10" s="150"/>
      <c r="F10" s="150"/>
    </row>
    <row r="11" spans="1:7" ht="38.25">
      <c r="A11" s="151" t="s">
        <v>662</v>
      </c>
      <c r="B11" s="160" t="s">
        <v>663</v>
      </c>
      <c r="C11" s="209"/>
      <c r="D11" s="210"/>
      <c r="E11" s="150"/>
      <c r="F11" s="150"/>
    </row>
    <row r="12" spans="1:7" ht="38.25">
      <c r="A12" s="151" t="s">
        <v>664</v>
      </c>
      <c r="B12" s="160" t="s">
        <v>665</v>
      </c>
      <c r="C12" s="209"/>
      <c r="D12" s="210"/>
      <c r="E12" s="150"/>
      <c r="F12" s="150"/>
    </row>
    <row r="13" spans="1:7" ht="18.75">
      <c r="A13" s="148"/>
      <c r="B13" s="157" t="s">
        <v>666</v>
      </c>
      <c r="C13" s="149"/>
      <c r="D13" s="149"/>
      <c r="E13" s="215"/>
      <c r="F13" s="215"/>
    </row>
    <row r="14" spans="1:7" ht="25.5">
      <c r="A14" s="151" t="s">
        <v>667</v>
      </c>
      <c r="B14" s="160" t="s">
        <v>668</v>
      </c>
      <c r="C14" s="209"/>
      <c r="D14" s="210"/>
      <c r="E14" s="150"/>
      <c r="F14" s="150"/>
    </row>
    <row r="15" spans="1:7" ht="25.5">
      <c r="A15" s="151" t="s">
        <v>669</v>
      </c>
      <c r="B15" s="160" t="s">
        <v>670</v>
      </c>
      <c r="C15" s="209"/>
      <c r="D15" s="210"/>
      <c r="E15" s="150"/>
      <c r="F15" s="150"/>
    </row>
    <row r="16" spans="1:7" ht="38.25">
      <c r="A16" s="151" t="s">
        <v>671</v>
      </c>
      <c r="B16" s="160" t="s">
        <v>672</v>
      </c>
      <c r="C16" s="209"/>
      <c r="D16" s="210"/>
      <c r="E16" s="150"/>
      <c r="F16" s="150"/>
    </row>
    <row r="17" spans="1:6" ht="51">
      <c r="A17" s="151" t="s">
        <v>673</v>
      </c>
      <c r="B17" s="160" t="s">
        <v>674</v>
      </c>
      <c r="C17" s="209"/>
      <c r="D17" s="210"/>
      <c r="E17" s="150"/>
      <c r="F17" s="150"/>
    </row>
    <row r="18" spans="1:6" ht="18.75">
      <c r="A18" s="148"/>
      <c r="B18" s="157" t="s">
        <v>675</v>
      </c>
      <c r="C18" s="149"/>
      <c r="D18" s="149"/>
      <c r="E18" s="215"/>
      <c r="F18" s="215"/>
    </row>
    <row r="19" spans="1:6" ht="38.25">
      <c r="A19" s="151" t="s">
        <v>676</v>
      </c>
      <c r="B19" s="160" t="s">
        <v>677</v>
      </c>
      <c r="C19" s="209"/>
      <c r="D19" s="210"/>
      <c r="E19" s="150"/>
      <c r="F19" s="150"/>
    </row>
    <row r="20" spans="1:6" ht="25.5">
      <c r="A20" s="151" t="s">
        <v>678</v>
      </c>
      <c r="B20" s="160" t="s">
        <v>679</v>
      </c>
      <c r="C20" s="209"/>
      <c r="D20" s="210"/>
      <c r="E20" s="150"/>
      <c r="F20" s="150"/>
    </row>
    <row r="21" spans="1:6" ht="38.25">
      <c r="A21" s="151" t="s">
        <v>680</v>
      </c>
      <c r="B21" s="160" t="s">
        <v>681</v>
      </c>
      <c r="C21" s="209"/>
      <c r="D21" s="210"/>
      <c r="E21" s="150"/>
      <c r="F21" s="150"/>
    </row>
    <row r="22" spans="1:6" ht="38.25">
      <c r="A22" s="151" t="s">
        <v>682</v>
      </c>
      <c r="B22" s="160" t="s">
        <v>683</v>
      </c>
      <c r="C22" s="209"/>
      <c r="D22" s="210"/>
      <c r="E22" s="150"/>
      <c r="F22" s="150"/>
    </row>
    <row r="23" spans="1:6" ht="38.25">
      <c r="A23" s="151" t="s">
        <v>684</v>
      </c>
      <c r="B23" s="160" t="s">
        <v>685</v>
      </c>
      <c r="C23" s="209"/>
      <c r="D23" s="210"/>
      <c r="E23" s="150"/>
      <c r="F23" s="150"/>
    </row>
    <row r="24" spans="1:6" ht="38.25">
      <c r="A24" s="151" t="s">
        <v>686</v>
      </c>
      <c r="B24" s="160" t="s">
        <v>687</v>
      </c>
      <c r="C24" s="209"/>
      <c r="D24" s="210"/>
      <c r="E24" s="150"/>
      <c r="F24" s="150"/>
    </row>
    <row r="25" spans="1:6" ht="25.5">
      <c r="A25" s="151" t="s">
        <v>688</v>
      </c>
      <c r="B25" s="160" t="s">
        <v>689</v>
      </c>
      <c r="C25" s="209"/>
      <c r="D25" s="210"/>
      <c r="E25" s="150"/>
      <c r="F25" s="150"/>
    </row>
    <row r="26" spans="1:6" ht="18.75">
      <c r="A26" s="148"/>
      <c r="B26" s="157" t="s">
        <v>690</v>
      </c>
      <c r="C26" s="149"/>
      <c r="D26" s="149"/>
      <c r="E26" s="215"/>
      <c r="F26" s="215"/>
    </row>
    <row r="27" spans="1:6" ht="25.5">
      <c r="A27" s="151" t="s">
        <v>691</v>
      </c>
      <c r="B27" s="160" t="s">
        <v>692</v>
      </c>
      <c r="C27" s="209"/>
      <c r="D27" s="210"/>
      <c r="E27" s="150"/>
      <c r="F27" s="150"/>
    </row>
    <row r="28" spans="1:6" ht="51">
      <c r="A28" s="151" t="s">
        <v>693</v>
      </c>
      <c r="B28" s="160" t="s">
        <v>694</v>
      </c>
      <c r="C28" s="209"/>
      <c r="D28" s="210"/>
      <c r="E28" s="150"/>
      <c r="F28" s="150"/>
    </row>
    <row r="29" spans="1:6" ht="25.5">
      <c r="A29" s="151" t="s">
        <v>695</v>
      </c>
      <c r="B29" s="160" t="s">
        <v>696</v>
      </c>
      <c r="C29" s="209"/>
      <c r="D29" s="210"/>
      <c r="E29" s="150"/>
      <c r="F29" s="150"/>
    </row>
    <row r="30" spans="1:6" ht="25.5">
      <c r="A30" s="151" t="s">
        <v>697</v>
      </c>
      <c r="B30" s="160" t="s">
        <v>698</v>
      </c>
      <c r="C30" s="209"/>
      <c r="D30" s="210"/>
      <c r="E30" s="150"/>
      <c r="F30" s="150"/>
    </row>
    <row r="31" spans="1:6" ht="25.5">
      <c r="A31" s="151" t="s">
        <v>699</v>
      </c>
      <c r="B31" s="160" t="s">
        <v>700</v>
      </c>
      <c r="C31" s="209"/>
      <c r="D31" s="210"/>
      <c r="E31" s="150"/>
      <c r="F31" s="150"/>
    </row>
    <row r="32" spans="1:6" ht="38.25">
      <c r="A32" s="151" t="s">
        <v>701</v>
      </c>
      <c r="B32" s="160" t="s">
        <v>702</v>
      </c>
      <c r="C32" s="209"/>
      <c r="D32" s="210"/>
      <c r="E32" s="150"/>
      <c r="F32" s="150"/>
    </row>
    <row r="33" spans="1:6" ht="18.75">
      <c r="A33" s="148"/>
      <c r="B33" s="157" t="s">
        <v>703</v>
      </c>
      <c r="C33" s="149"/>
      <c r="D33" s="149"/>
      <c r="E33" s="215"/>
      <c r="F33" s="215"/>
    </row>
    <row r="34" spans="1:6" ht="63.75">
      <c r="A34" s="151" t="s">
        <v>704</v>
      </c>
      <c r="B34" s="160" t="s">
        <v>705</v>
      </c>
      <c r="C34" s="209"/>
      <c r="D34" s="210"/>
      <c r="E34" s="150"/>
      <c r="F34" s="150"/>
    </row>
    <row r="35" spans="1:6" ht="18.75">
      <c r="A35" s="148"/>
      <c r="B35" s="157" t="s">
        <v>706</v>
      </c>
      <c r="C35" s="149"/>
      <c r="D35" s="149"/>
      <c r="E35" s="215"/>
      <c r="F35" s="215"/>
    </row>
    <row r="36" spans="1:6" ht="76.5">
      <c r="A36" s="151" t="s">
        <v>707</v>
      </c>
      <c r="B36" s="160" t="s">
        <v>708</v>
      </c>
      <c r="C36" s="209"/>
      <c r="D36" s="210"/>
      <c r="E36" s="150"/>
      <c r="F36" s="150"/>
    </row>
    <row r="37" spans="1:6" ht="25.5">
      <c r="A37" s="151" t="s">
        <v>709</v>
      </c>
      <c r="B37" s="160" t="s">
        <v>710</v>
      </c>
      <c r="C37" s="209"/>
      <c r="D37" s="210"/>
      <c r="E37" s="150"/>
      <c r="F37" s="150"/>
    </row>
    <row r="38" spans="1:6" ht="18.75">
      <c r="A38" s="148"/>
      <c r="B38" s="157" t="s">
        <v>360</v>
      </c>
      <c r="C38" s="149"/>
      <c r="D38" s="149"/>
      <c r="E38" s="215"/>
      <c r="F38" s="215"/>
    </row>
    <row r="39" spans="1:6" ht="38.25">
      <c r="A39" s="151" t="s">
        <v>361</v>
      </c>
      <c r="B39" s="160" t="s">
        <v>362</v>
      </c>
      <c r="C39" s="209"/>
      <c r="D39" s="210"/>
      <c r="E39" s="150"/>
      <c r="F39" s="150"/>
    </row>
    <row r="40" spans="1:6" ht="25.5">
      <c r="A40" s="151" t="s">
        <v>363</v>
      </c>
      <c r="B40" s="160" t="s">
        <v>364</v>
      </c>
      <c r="C40" s="209"/>
      <c r="D40" s="210"/>
      <c r="E40" s="150"/>
      <c r="F40" s="150"/>
    </row>
    <row r="41" spans="1:6" ht="38.25">
      <c r="A41" s="151" t="s">
        <v>365</v>
      </c>
      <c r="B41" s="160" t="s">
        <v>366</v>
      </c>
      <c r="C41" s="209"/>
      <c r="D41" s="210"/>
      <c r="E41" s="150"/>
      <c r="F41" s="150"/>
    </row>
    <row r="42" spans="1:6" ht="38.25">
      <c r="A42" s="151" t="s">
        <v>367</v>
      </c>
      <c r="B42" s="160" t="s">
        <v>368</v>
      </c>
      <c r="C42" s="209"/>
      <c r="D42" s="210"/>
      <c r="E42" s="150"/>
      <c r="F42" s="150"/>
    </row>
    <row r="43" spans="1:6" ht="18.75">
      <c r="A43" s="148"/>
      <c r="B43" s="157" t="s">
        <v>369</v>
      </c>
      <c r="C43" s="149"/>
      <c r="D43" s="149"/>
      <c r="E43" s="215"/>
      <c r="F43" s="215"/>
    </row>
    <row r="44" spans="1:6" ht="38.25">
      <c r="A44" s="151" t="s">
        <v>370</v>
      </c>
      <c r="B44" s="160" t="s">
        <v>371</v>
      </c>
      <c r="C44" s="209"/>
      <c r="D44" s="210"/>
      <c r="E44" s="150"/>
      <c r="F44" s="150"/>
    </row>
    <row r="45" spans="1:6" ht="38.25">
      <c r="A45" s="151" t="s">
        <v>372</v>
      </c>
      <c r="B45" s="160" t="s">
        <v>373</v>
      </c>
      <c r="C45" s="209"/>
      <c r="D45" s="210"/>
      <c r="E45" s="150"/>
      <c r="F45" s="150"/>
    </row>
    <row r="46" spans="1:6" ht="18.75">
      <c r="A46" s="148"/>
      <c r="B46" s="157" t="s">
        <v>374</v>
      </c>
      <c r="C46" s="149"/>
      <c r="D46" s="149"/>
      <c r="E46" s="215"/>
      <c r="F46" s="215"/>
    </row>
    <row r="47" spans="1:6" ht="51">
      <c r="A47" s="151" t="s">
        <v>375</v>
      </c>
      <c r="B47" s="160" t="s">
        <v>376</v>
      </c>
      <c r="C47" s="209"/>
      <c r="D47" s="210"/>
      <c r="E47" s="150"/>
      <c r="F47" s="150"/>
    </row>
    <row r="48" spans="1:6" ht="18">
      <c r="A48" s="211"/>
      <c r="B48" s="212" t="s">
        <v>377</v>
      </c>
      <c r="C48" s="211"/>
      <c r="D48" s="211"/>
      <c r="E48" s="211"/>
      <c r="F48" s="211"/>
    </row>
    <row r="49" spans="1:6">
      <c r="A49" s="151"/>
      <c r="B49" s="160"/>
    </row>
    <row r="50" spans="1:6" ht="15">
      <c r="A50" s="213"/>
      <c r="B50" s="214" t="s">
        <v>378</v>
      </c>
      <c r="C50" s="213"/>
      <c r="D50" s="213"/>
      <c r="E50" s="213"/>
      <c r="F50" s="213"/>
    </row>
  </sheetData>
  <mergeCells count="1">
    <mergeCell ref="E2:F2"/>
  </mergeCells>
  <conditionalFormatting sqref="C6">
    <cfRule type="cellIs" dxfId="662" priority="1516" operator="equal">
      <formula>"No"</formula>
    </cfRule>
    <cfRule type="cellIs" dxfId="661" priority="1517" operator="equal">
      <formula>"NA"</formula>
    </cfRule>
    <cfRule type="cellIs" dxfId="660" priority="1518" operator="equal">
      <formula>"Yes"</formula>
    </cfRule>
  </conditionalFormatting>
  <conditionalFormatting sqref="C8">
    <cfRule type="cellIs" dxfId="659" priority="1470" operator="equal">
      <formula>"No"</formula>
    </cfRule>
    <cfRule type="cellIs" dxfId="658" priority="1471" operator="equal">
      <formula>"NA"</formula>
    </cfRule>
    <cfRule type="cellIs" dxfId="657" priority="1472" operator="equal">
      <formula>"Yes"</formula>
    </cfRule>
  </conditionalFormatting>
  <conditionalFormatting sqref="C9">
    <cfRule type="cellIs" dxfId="656" priority="1424" operator="equal">
      <formula>"No"</formula>
    </cfRule>
    <cfRule type="cellIs" dxfId="655" priority="1425" operator="equal">
      <formula>"NA"</formula>
    </cfRule>
    <cfRule type="cellIs" dxfId="654" priority="1426" operator="equal">
      <formula>"Yes"</formula>
    </cfRule>
  </conditionalFormatting>
  <conditionalFormatting sqref="C10">
    <cfRule type="cellIs" dxfId="653" priority="1378" operator="equal">
      <formula>"No"</formula>
    </cfRule>
    <cfRule type="cellIs" dxfId="652" priority="1379" operator="equal">
      <formula>"NA"</formula>
    </cfRule>
    <cfRule type="cellIs" dxfId="651" priority="1380" operator="equal">
      <formula>"Yes"</formula>
    </cfRule>
  </conditionalFormatting>
  <conditionalFormatting sqref="C11">
    <cfRule type="cellIs" dxfId="650" priority="1332" operator="equal">
      <formula>"No"</formula>
    </cfRule>
    <cfRule type="cellIs" dxfId="649" priority="1333" operator="equal">
      <formula>"NA"</formula>
    </cfRule>
    <cfRule type="cellIs" dxfId="648" priority="1334" operator="equal">
      <formula>"Yes"</formula>
    </cfRule>
  </conditionalFormatting>
  <conditionalFormatting sqref="C12">
    <cfRule type="cellIs" dxfId="647" priority="1286" operator="equal">
      <formula>"No"</formula>
    </cfRule>
    <cfRule type="cellIs" dxfId="646" priority="1287" operator="equal">
      <formula>"NA"</formula>
    </cfRule>
    <cfRule type="cellIs" dxfId="645" priority="1288" operator="equal">
      <formula>"Yes"</formula>
    </cfRule>
  </conditionalFormatting>
  <conditionalFormatting sqref="C14">
    <cfRule type="cellIs" dxfId="644" priority="1240" operator="equal">
      <formula>"No"</formula>
    </cfRule>
    <cfRule type="cellIs" dxfId="643" priority="1241" operator="equal">
      <formula>"NA"</formula>
    </cfRule>
    <cfRule type="cellIs" dxfId="642" priority="1242" operator="equal">
      <formula>"Yes"</formula>
    </cfRule>
  </conditionalFormatting>
  <conditionalFormatting sqref="C15">
    <cfRule type="cellIs" dxfId="641" priority="1194" operator="equal">
      <formula>"No"</formula>
    </cfRule>
    <cfRule type="cellIs" dxfId="640" priority="1195" operator="equal">
      <formula>"NA"</formula>
    </cfRule>
    <cfRule type="cellIs" dxfId="639" priority="1196" operator="equal">
      <formula>"Yes"</formula>
    </cfRule>
  </conditionalFormatting>
  <conditionalFormatting sqref="C16">
    <cfRule type="cellIs" dxfId="638" priority="1148" operator="equal">
      <formula>"No"</formula>
    </cfRule>
    <cfRule type="cellIs" dxfId="637" priority="1149" operator="equal">
      <formula>"NA"</formula>
    </cfRule>
    <cfRule type="cellIs" dxfId="636" priority="1150" operator="equal">
      <formula>"Yes"</formula>
    </cfRule>
  </conditionalFormatting>
  <conditionalFormatting sqref="C17">
    <cfRule type="cellIs" dxfId="635" priority="1102" operator="equal">
      <formula>"No"</formula>
    </cfRule>
    <cfRule type="cellIs" dxfId="634" priority="1103" operator="equal">
      <formula>"NA"</formula>
    </cfRule>
    <cfRule type="cellIs" dxfId="633" priority="1104" operator="equal">
      <formula>"Yes"</formula>
    </cfRule>
  </conditionalFormatting>
  <conditionalFormatting sqref="C19">
    <cfRule type="cellIs" dxfId="632" priority="1056" operator="equal">
      <formula>"No"</formula>
    </cfRule>
    <cfRule type="cellIs" dxfId="631" priority="1057" operator="equal">
      <formula>"NA"</formula>
    </cfRule>
    <cfRule type="cellIs" dxfId="630" priority="1058" operator="equal">
      <formula>"Yes"</formula>
    </cfRule>
  </conditionalFormatting>
  <conditionalFormatting sqref="C20">
    <cfRule type="cellIs" dxfId="629" priority="1010" operator="equal">
      <formula>"No"</formula>
    </cfRule>
    <cfRule type="cellIs" dxfId="628" priority="1011" operator="equal">
      <formula>"NA"</formula>
    </cfRule>
    <cfRule type="cellIs" dxfId="627" priority="1012" operator="equal">
      <formula>"Yes"</formula>
    </cfRule>
  </conditionalFormatting>
  <conditionalFormatting sqref="C21">
    <cfRule type="cellIs" dxfId="626" priority="964" operator="equal">
      <formula>"No"</formula>
    </cfRule>
    <cfRule type="cellIs" dxfId="625" priority="965" operator="equal">
      <formula>"NA"</formula>
    </cfRule>
    <cfRule type="cellIs" dxfId="624" priority="966" operator="equal">
      <formula>"Yes"</formula>
    </cfRule>
  </conditionalFormatting>
  <conditionalFormatting sqref="C22">
    <cfRule type="cellIs" dxfId="623" priority="918" operator="equal">
      <formula>"No"</formula>
    </cfRule>
    <cfRule type="cellIs" dxfId="622" priority="919" operator="equal">
      <formula>"NA"</formula>
    </cfRule>
    <cfRule type="cellIs" dxfId="621" priority="920" operator="equal">
      <formula>"Yes"</formula>
    </cfRule>
  </conditionalFormatting>
  <conditionalFormatting sqref="C23">
    <cfRule type="cellIs" dxfId="620" priority="872" operator="equal">
      <formula>"No"</formula>
    </cfRule>
    <cfRule type="cellIs" dxfId="619" priority="873" operator="equal">
      <formula>"NA"</formula>
    </cfRule>
    <cfRule type="cellIs" dxfId="618" priority="874" operator="equal">
      <formula>"Yes"</formula>
    </cfRule>
  </conditionalFormatting>
  <conditionalFormatting sqref="C24">
    <cfRule type="cellIs" dxfId="617" priority="826" operator="equal">
      <formula>"No"</formula>
    </cfRule>
    <cfRule type="cellIs" dxfId="616" priority="827" operator="equal">
      <formula>"NA"</formula>
    </cfRule>
    <cfRule type="cellIs" dxfId="615" priority="828" operator="equal">
      <formula>"Yes"</formula>
    </cfRule>
  </conditionalFormatting>
  <conditionalFormatting sqref="C25">
    <cfRule type="cellIs" dxfId="614" priority="780" operator="equal">
      <formula>"No"</formula>
    </cfRule>
    <cfRule type="cellIs" dxfId="613" priority="781" operator="equal">
      <formula>"NA"</formula>
    </cfRule>
    <cfRule type="cellIs" dxfId="612" priority="782" operator="equal">
      <formula>"Yes"</formula>
    </cfRule>
  </conditionalFormatting>
  <conditionalFormatting sqref="C27">
    <cfRule type="cellIs" dxfId="611" priority="734" operator="equal">
      <formula>"No"</formula>
    </cfRule>
    <cfRule type="cellIs" dxfId="610" priority="735" operator="equal">
      <formula>"NA"</formula>
    </cfRule>
    <cfRule type="cellIs" dxfId="609" priority="736" operator="equal">
      <formula>"Yes"</formula>
    </cfRule>
  </conditionalFormatting>
  <conditionalFormatting sqref="C28">
    <cfRule type="cellIs" dxfId="608" priority="688" operator="equal">
      <formula>"No"</formula>
    </cfRule>
    <cfRule type="cellIs" dxfId="607" priority="689" operator="equal">
      <formula>"NA"</formula>
    </cfRule>
    <cfRule type="cellIs" dxfId="606" priority="690" operator="equal">
      <formula>"Yes"</formula>
    </cfRule>
  </conditionalFormatting>
  <conditionalFormatting sqref="C29">
    <cfRule type="cellIs" dxfId="605" priority="642" operator="equal">
      <formula>"No"</formula>
    </cfRule>
    <cfRule type="cellIs" dxfId="604" priority="643" operator="equal">
      <formula>"NA"</formula>
    </cfRule>
    <cfRule type="cellIs" dxfId="603" priority="644" operator="equal">
      <formula>"Yes"</formula>
    </cfRule>
  </conditionalFormatting>
  <conditionalFormatting sqref="C30">
    <cfRule type="cellIs" dxfId="602" priority="596" operator="equal">
      <formula>"No"</formula>
    </cfRule>
    <cfRule type="cellIs" dxfId="601" priority="597" operator="equal">
      <formula>"NA"</formula>
    </cfRule>
    <cfRule type="cellIs" dxfId="600" priority="598" operator="equal">
      <formula>"Yes"</formula>
    </cfRule>
  </conditionalFormatting>
  <conditionalFormatting sqref="C31">
    <cfRule type="cellIs" dxfId="599" priority="550" operator="equal">
      <formula>"No"</formula>
    </cfRule>
    <cfRule type="cellIs" dxfId="598" priority="551" operator="equal">
      <formula>"NA"</formula>
    </cfRule>
    <cfRule type="cellIs" dxfId="597" priority="552" operator="equal">
      <formula>"Yes"</formula>
    </cfRule>
  </conditionalFormatting>
  <conditionalFormatting sqref="C32">
    <cfRule type="cellIs" dxfId="596" priority="504" operator="equal">
      <formula>"No"</formula>
    </cfRule>
    <cfRule type="cellIs" dxfId="595" priority="505" operator="equal">
      <formula>"NA"</formula>
    </cfRule>
    <cfRule type="cellIs" dxfId="594" priority="506" operator="equal">
      <formula>"Yes"</formula>
    </cfRule>
  </conditionalFormatting>
  <conditionalFormatting sqref="C34">
    <cfRule type="cellIs" dxfId="593" priority="458" operator="equal">
      <formula>"No"</formula>
    </cfRule>
    <cfRule type="cellIs" dxfId="592" priority="459" operator="equal">
      <formula>"NA"</formula>
    </cfRule>
    <cfRule type="cellIs" dxfId="591" priority="460" operator="equal">
      <formula>"Yes"</formula>
    </cfRule>
  </conditionalFormatting>
  <conditionalFormatting sqref="C36">
    <cfRule type="cellIs" dxfId="590" priority="412" operator="equal">
      <formula>"No"</formula>
    </cfRule>
    <cfRule type="cellIs" dxfId="589" priority="413" operator="equal">
      <formula>"NA"</formula>
    </cfRule>
    <cfRule type="cellIs" dxfId="588" priority="414" operator="equal">
      <formula>"Yes"</formula>
    </cfRule>
  </conditionalFormatting>
  <conditionalFormatting sqref="C37">
    <cfRule type="cellIs" dxfId="587" priority="366" operator="equal">
      <formula>"No"</formula>
    </cfRule>
    <cfRule type="cellIs" dxfId="586" priority="367" operator="equal">
      <formula>"NA"</formula>
    </cfRule>
    <cfRule type="cellIs" dxfId="585" priority="368" operator="equal">
      <formula>"Yes"</formula>
    </cfRule>
  </conditionalFormatting>
  <conditionalFormatting sqref="C39">
    <cfRule type="cellIs" dxfId="584" priority="320" operator="equal">
      <formula>"No"</formula>
    </cfRule>
    <cfRule type="cellIs" dxfId="583" priority="321" operator="equal">
      <formula>"NA"</formula>
    </cfRule>
    <cfRule type="cellIs" dxfId="582" priority="322" operator="equal">
      <formula>"Yes"</formula>
    </cfRule>
  </conditionalFormatting>
  <conditionalFormatting sqref="C40">
    <cfRule type="cellIs" dxfId="581" priority="274" operator="equal">
      <formula>"No"</formula>
    </cfRule>
    <cfRule type="cellIs" dxfId="580" priority="275" operator="equal">
      <formula>"NA"</formula>
    </cfRule>
    <cfRule type="cellIs" dxfId="579" priority="276" operator="equal">
      <formula>"Yes"</formula>
    </cfRule>
  </conditionalFormatting>
  <conditionalFormatting sqref="C41">
    <cfRule type="cellIs" dxfId="578" priority="228" operator="equal">
      <formula>"No"</formula>
    </cfRule>
    <cfRule type="cellIs" dxfId="577" priority="229" operator="equal">
      <formula>"NA"</formula>
    </cfRule>
    <cfRule type="cellIs" dxfId="576" priority="230" operator="equal">
      <formula>"Yes"</formula>
    </cfRule>
  </conditionalFormatting>
  <conditionalFormatting sqref="C42">
    <cfRule type="cellIs" dxfId="575" priority="182" operator="equal">
      <formula>"No"</formula>
    </cfRule>
    <cfRule type="cellIs" dxfId="574" priority="183" operator="equal">
      <formula>"NA"</formula>
    </cfRule>
    <cfRule type="cellIs" dxfId="573" priority="184" operator="equal">
      <formula>"Yes"</formula>
    </cfRule>
  </conditionalFormatting>
  <conditionalFormatting sqref="C44">
    <cfRule type="cellIs" dxfId="572" priority="136" operator="equal">
      <formula>"No"</formula>
    </cfRule>
    <cfRule type="cellIs" dxfId="571" priority="137" operator="equal">
      <formula>"NA"</formula>
    </cfRule>
    <cfRule type="cellIs" dxfId="570" priority="138" operator="equal">
      <formula>"Yes"</formula>
    </cfRule>
  </conditionalFormatting>
  <conditionalFormatting sqref="C45">
    <cfRule type="cellIs" dxfId="569" priority="90" operator="equal">
      <formula>"No"</formula>
    </cfRule>
    <cfRule type="cellIs" dxfId="568" priority="91" operator="equal">
      <formula>"NA"</formula>
    </cfRule>
    <cfRule type="cellIs" dxfId="567" priority="92" operator="equal">
      <formula>"Yes"</formula>
    </cfRule>
  </conditionalFormatting>
  <conditionalFormatting sqref="C47">
    <cfRule type="cellIs" dxfId="566" priority="44" operator="equal">
      <formula>"No"</formula>
    </cfRule>
    <cfRule type="cellIs" dxfId="565" priority="45" operator="equal">
      <formula>"NA"</formula>
    </cfRule>
    <cfRule type="cellIs" dxfId="564"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855468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711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712</v>
      </c>
      <c r="C7" s="149"/>
      <c r="D7" s="149"/>
      <c r="E7" s="215"/>
      <c r="F7" s="215"/>
    </row>
    <row r="8" spans="1:7" ht="38.25">
      <c r="A8" s="151" t="s">
        <v>713</v>
      </c>
      <c r="B8" s="160" t="s">
        <v>714</v>
      </c>
      <c r="C8" s="209"/>
      <c r="D8" s="210"/>
      <c r="E8" s="150"/>
      <c r="F8" s="150"/>
    </row>
    <row r="9" spans="1:7" ht="25.5">
      <c r="A9" s="151" t="s">
        <v>715</v>
      </c>
      <c r="B9" s="160" t="s">
        <v>716</v>
      </c>
      <c r="C9" s="209"/>
      <c r="D9" s="210"/>
      <c r="E9" s="150"/>
      <c r="F9" s="150"/>
    </row>
    <row r="10" spans="1:7" ht="38.25">
      <c r="A10" s="151" t="s">
        <v>717</v>
      </c>
      <c r="B10" s="160" t="s">
        <v>718</v>
      </c>
      <c r="C10" s="209"/>
      <c r="D10" s="210"/>
      <c r="E10" s="150"/>
      <c r="F10" s="150"/>
    </row>
    <row r="11" spans="1:7" ht="25.5">
      <c r="A11" s="151" t="s">
        <v>719</v>
      </c>
      <c r="B11" s="160" t="s">
        <v>720</v>
      </c>
      <c r="C11" s="209"/>
      <c r="D11" s="210"/>
      <c r="E11" s="150"/>
      <c r="F11" s="150"/>
    </row>
    <row r="12" spans="1:7" ht="51">
      <c r="A12" s="151" t="s">
        <v>721</v>
      </c>
      <c r="B12" s="160" t="s">
        <v>722</v>
      </c>
      <c r="C12" s="209"/>
      <c r="D12" s="210"/>
      <c r="E12" s="150"/>
      <c r="F12" s="150"/>
    </row>
    <row r="13" spans="1:7" ht="25.5">
      <c r="A13" s="151" t="s">
        <v>723</v>
      </c>
      <c r="B13" s="160" t="s">
        <v>724</v>
      </c>
      <c r="C13" s="209"/>
      <c r="D13" s="210"/>
      <c r="E13" s="150"/>
      <c r="F13" s="150"/>
    </row>
    <row r="14" spans="1:7" ht="25.5">
      <c r="A14" s="151" t="s">
        <v>725</v>
      </c>
      <c r="B14" s="160" t="s">
        <v>726</v>
      </c>
      <c r="C14" s="209"/>
      <c r="D14" s="210"/>
      <c r="E14" s="150"/>
      <c r="F14" s="150"/>
    </row>
    <row r="15" spans="1:7" ht="38.25">
      <c r="A15" s="151" t="s">
        <v>727</v>
      </c>
      <c r="B15" s="160" t="s">
        <v>728</v>
      </c>
      <c r="C15" s="209"/>
      <c r="D15" s="210"/>
      <c r="E15" s="150"/>
      <c r="F15" s="150"/>
    </row>
    <row r="16" spans="1:7" ht="25.5">
      <c r="A16" s="151" t="s">
        <v>729</v>
      </c>
      <c r="B16" s="160" t="s">
        <v>710</v>
      </c>
      <c r="C16" s="209"/>
      <c r="D16" s="210"/>
      <c r="E16" s="150"/>
      <c r="F16" s="150"/>
    </row>
    <row r="17" spans="1:6" ht="38.25">
      <c r="A17" s="151" t="s">
        <v>730</v>
      </c>
      <c r="B17" s="160" t="s">
        <v>731</v>
      </c>
      <c r="C17" s="209"/>
      <c r="D17" s="210"/>
      <c r="E17" s="150"/>
      <c r="F17" s="150"/>
    </row>
    <row r="18" spans="1:6" ht="38.25">
      <c r="A18" s="151" t="s">
        <v>732</v>
      </c>
      <c r="B18" s="160" t="s">
        <v>733</v>
      </c>
      <c r="C18" s="209"/>
      <c r="D18" s="210"/>
      <c r="E18" s="150"/>
      <c r="F18" s="150"/>
    </row>
    <row r="19" spans="1:6" ht="25.5">
      <c r="A19" s="151" t="s">
        <v>734</v>
      </c>
      <c r="B19" s="160" t="s">
        <v>735</v>
      </c>
      <c r="C19" s="209"/>
      <c r="D19" s="210"/>
      <c r="E19" s="150"/>
      <c r="F19" s="150"/>
    </row>
    <row r="20" spans="1:6" ht="25.5">
      <c r="A20" s="151" t="s">
        <v>736</v>
      </c>
      <c r="B20" s="160" t="s">
        <v>737</v>
      </c>
      <c r="C20" s="209"/>
      <c r="D20" s="210"/>
      <c r="E20" s="150"/>
      <c r="F20" s="150"/>
    </row>
    <row r="21" spans="1:6" ht="38.25">
      <c r="A21" s="151" t="s">
        <v>738</v>
      </c>
      <c r="B21" s="160" t="s">
        <v>739</v>
      </c>
      <c r="C21" s="209"/>
      <c r="D21" s="210"/>
      <c r="E21" s="150"/>
      <c r="F21" s="150"/>
    </row>
    <row r="22" spans="1:6" ht="38.25">
      <c r="A22" s="151" t="s">
        <v>740</v>
      </c>
      <c r="B22" s="160" t="s">
        <v>741</v>
      </c>
      <c r="C22" s="209"/>
      <c r="D22" s="210"/>
      <c r="E22" s="150"/>
      <c r="F22" s="150"/>
    </row>
    <row r="23" spans="1:6" ht="18.75">
      <c r="A23" s="148"/>
      <c r="B23" s="157" t="s">
        <v>360</v>
      </c>
      <c r="C23" s="149"/>
      <c r="D23" s="149"/>
      <c r="E23" s="215"/>
      <c r="F23" s="215"/>
    </row>
    <row r="24" spans="1:6" ht="38.25">
      <c r="A24" s="151" t="s">
        <v>361</v>
      </c>
      <c r="B24" s="160" t="s">
        <v>362</v>
      </c>
      <c r="C24" s="209"/>
      <c r="D24" s="210"/>
      <c r="E24" s="150"/>
      <c r="F24" s="150"/>
    </row>
    <row r="25" spans="1:6" ht="25.5">
      <c r="A25" s="151" t="s">
        <v>363</v>
      </c>
      <c r="B25" s="160" t="s">
        <v>364</v>
      </c>
      <c r="C25" s="209"/>
      <c r="D25" s="210"/>
      <c r="E25" s="150"/>
      <c r="F25" s="150"/>
    </row>
    <row r="26" spans="1:6" ht="38.25">
      <c r="A26" s="151" t="s">
        <v>365</v>
      </c>
      <c r="B26" s="160" t="s">
        <v>366</v>
      </c>
      <c r="C26" s="209"/>
      <c r="D26" s="210"/>
      <c r="E26" s="150"/>
      <c r="F26" s="150"/>
    </row>
    <row r="27" spans="1:6" ht="38.25">
      <c r="A27" s="151" t="s">
        <v>367</v>
      </c>
      <c r="B27" s="160" t="s">
        <v>368</v>
      </c>
      <c r="C27" s="209"/>
      <c r="D27" s="210"/>
      <c r="E27" s="150"/>
      <c r="F27" s="150"/>
    </row>
    <row r="28" spans="1:6" ht="18.75">
      <c r="A28" s="148"/>
      <c r="B28" s="157" t="s">
        <v>369</v>
      </c>
      <c r="C28" s="149"/>
      <c r="D28" s="149"/>
      <c r="E28" s="215"/>
      <c r="F28" s="215"/>
    </row>
    <row r="29" spans="1:6" ht="38.25">
      <c r="A29" s="151" t="s">
        <v>370</v>
      </c>
      <c r="B29" s="160" t="s">
        <v>371</v>
      </c>
      <c r="C29" s="209"/>
      <c r="D29" s="210"/>
      <c r="E29" s="150"/>
      <c r="F29" s="150"/>
    </row>
    <row r="30" spans="1:6" ht="38.25">
      <c r="A30" s="151" t="s">
        <v>372</v>
      </c>
      <c r="B30" s="160" t="s">
        <v>373</v>
      </c>
      <c r="C30" s="209"/>
      <c r="D30" s="210"/>
      <c r="E30" s="150"/>
      <c r="F30" s="150"/>
    </row>
    <row r="31" spans="1:6" ht="18.75">
      <c r="A31" s="148"/>
      <c r="B31" s="157" t="s">
        <v>374</v>
      </c>
      <c r="C31" s="149"/>
      <c r="D31" s="149"/>
      <c r="E31" s="215"/>
      <c r="F31" s="215"/>
    </row>
    <row r="32" spans="1:6" ht="51">
      <c r="A32" s="151" t="s">
        <v>375</v>
      </c>
      <c r="B32" s="160" t="s">
        <v>376</v>
      </c>
      <c r="C32" s="209"/>
      <c r="D32" s="210"/>
      <c r="E32" s="150"/>
      <c r="F32" s="150"/>
    </row>
    <row r="33" spans="1:6" ht="18">
      <c r="A33" s="211"/>
      <c r="B33" s="212" t="s">
        <v>377</v>
      </c>
      <c r="C33" s="211"/>
      <c r="D33" s="211"/>
      <c r="E33" s="211"/>
      <c r="F33" s="211"/>
    </row>
    <row r="34" spans="1:6">
      <c r="A34" s="151"/>
      <c r="B34" s="160"/>
    </row>
    <row r="35" spans="1:6" ht="15">
      <c r="A35" s="213"/>
      <c r="B35" s="214" t="s">
        <v>378</v>
      </c>
      <c r="C35" s="213"/>
      <c r="D35" s="213"/>
      <c r="E35" s="213"/>
      <c r="F35" s="213"/>
    </row>
  </sheetData>
  <mergeCells count="1">
    <mergeCell ref="E2:F2"/>
  </mergeCells>
  <conditionalFormatting sqref="C6">
    <cfRule type="cellIs" dxfId="563" priority="1056" operator="equal">
      <formula>"No"</formula>
    </cfRule>
    <cfRule type="cellIs" dxfId="562" priority="1057" operator="equal">
      <formula>"NA"</formula>
    </cfRule>
    <cfRule type="cellIs" dxfId="561" priority="1058" operator="equal">
      <formula>"Yes"</formula>
    </cfRule>
  </conditionalFormatting>
  <conditionalFormatting sqref="C8">
    <cfRule type="cellIs" dxfId="560" priority="1010" operator="equal">
      <formula>"No"</formula>
    </cfRule>
    <cfRule type="cellIs" dxfId="559" priority="1011" operator="equal">
      <formula>"NA"</formula>
    </cfRule>
    <cfRule type="cellIs" dxfId="558" priority="1012" operator="equal">
      <formula>"Yes"</formula>
    </cfRule>
  </conditionalFormatting>
  <conditionalFormatting sqref="C9">
    <cfRule type="cellIs" dxfId="557" priority="964" operator="equal">
      <formula>"No"</formula>
    </cfRule>
    <cfRule type="cellIs" dxfId="556" priority="965" operator="equal">
      <formula>"NA"</formula>
    </cfRule>
    <cfRule type="cellIs" dxfId="555" priority="966" operator="equal">
      <formula>"Yes"</formula>
    </cfRule>
  </conditionalFormatting>
  <conditionalFormatting sqref="C10">
    <cfRule type="cellIs" dxfId="554" priority="918" operator="equal">
      <formula>"No"</formula>
    </cfRule>
    <cfRule type="cellIs" dxfId="553" priority="919" operator="equal">
      <formula>"NA"</formula>
    </cfRule>
    <cfRule type="cellIs" dxfId="552" priority="920" operator="equal">
      <formula>"Yes"</formula>
    </cfRule>
  </conditionalFormatting>
  <conditionalFormatting sqref="C11">
    <cfRule type="cellIs" dxfId="551" priority="872" operator="equal">
      <formula>"No"</formula>
    </cfRule>
    <cfRule type="cellIs" dxfId="550" priority="873" operator="equal">
      <formula>"NA"</formula>
    </cfRule>
    <cfRule type="cellIs" dxfId="549" priority="874" operator="equal">
      <formula>"Yes"</formula>
    </cfRule>
  </conditionalFormatting>
  <conditionalFormatting sqref="C12">
    <cfRule type="cellIs" dxfId="548" priority="826" operator="equal">
      <formula>"No"</formula>
    </cfRule>
    <cfRule type="cellIs" dxfId="547" priority="827" operator="equal">
      <formula>"NA"</formula>
    </cfRule>
    <cfRule type="cellIs" dxfId="546" priority="828" operator="equal">
      <formula>"Yes"</formula>
    </cfRule>
  </conditionalFormatting>
  <conditionalFormatting sqref="C13">
    <cfRule type="cellIs" dxfId="545" priority="780" operator="equal">
      <formula>"No"</formula>
    </cfRule>
    <cfRule type="cellIs" dxfId="544" priority="781" operator="equal">
      <formula>"NA"</formula>
    </cfRule>
    <cfRule type="cellIs" dxfId="543" priority="782" operator="equal">
      <formula>"Yes"</formula>
    </cfRule>
  </conditionalFormatting>
  <conditionalFormatting sqref="C14">
    <cfRule type="cellIs" dxfId="542" priority="734" operator="equal">
      <formula>"No"</formula>
    </cfRule>
    <cfRule type="cellIs" dxfId="541" priority="735" operator="equal">
      <formula>"NA"</formula>
    </cfRule>
    <cfRule type="cellIs" dxfId="540" priority="736" operator="equal">
      <formula>"Yes"</formula>
    </cfRule>
  </conditionalFormatting>
  <conditionalFormatting sqref="C15">
    <cfRule type="cellIs" dxfId="539" priority="688" operator="equal">
      <formula>"No"</formula>
    </cfRule>
    <cfRule type="cellIs" dxfId="538" priority="689" operator="equal">
      <formula>"NA"</formula>
    </cfRule>
    <cfRule type="cellIs" dxfId="537" priority="690" operator="equal">
      <formula>"Yes"</formula>
    </cfRule>
  </conditionalFormatting>
  <conditionalFormatting sqref="C16">
    <cfRule type="cellIs" dxfId="536" priority="642" operator="equal">
      <formula>"No"</formula>
    </cfRule>
    <cfRule type="cellIs" dxfId="535" priority="643" operator="equal">
      <formula>"NA"</formula>
    </cfRule>
    <cfRule type="cellIs" dxfId="534" priority="644" operator="equal">
      <formula>"Yes"</formula>
    </cfRule>
  </conditionalFormatting>
  <conditionalFormatting sqref="C17">
    <cfRule type="cellIs" dxfId="533" priority="596" operator="equal">
      <formula>"No"</formula>
    </cfRule>
    <cfRule type="cellIs" dxfId="532" priority="597" operator="equal">
      <formula>"NA"</formula>
    </cfRule>
    <cfRule type="cellIs" dxfId="531" priority="598" operator="equal">
      <formula>"Yes"</formula>
    </cfRule>
  </conditionalFormatting>
  <conditionalFormatting sqref="C18">
    <cfRule type="cellIs" dxfId="530" priority="550" operator="equal">
      <formula>"No"</formula>
    </cfRule>
    <cfRule type="cellIs" dxfId="529" priority="551" operator="equal">
      <formula>"NA"</formula>
    </cfRule>
    <cfRule type="cellIs" dxfId="528" priority="552" operator="equal">
      <formula>"Yes"</formula>
    </cfRule>
  </conditionalFormatting>
  <conditionalFormatting sqref="C19">
    <cfRule type="cellIs" dxfId="527" priority="504" operator="equal">
      <formula>"No"</formula>
    </cfRule>
    <cfRule type="cellIs" dxfId="526" priority="505" operator="equal">
      <formula>"NA"</formula>
    </cfRule>
    <cfRule type="cellIs" dxfId="525" priority="506" operator="equal">
      <formula>"Yes"</formula>
    </cfRule>
  </conditionalFormatting>
  <conditionalFormatting sqref="C20">
    <cfRule type="cellIs" dxfId="524" priority="458" operator="equal">
      <formula>"No"</formula>
    </cfRule>
    <cfRule type="cellIs" dxfId="523" priority="459" operator="equal">
      <formula>"NA"</formula>
    </cfRule>
    <cfRule type="cellIs" dxfId="522" priority="460" operator="equal">
      <formula>"Yes"</formula>
    </cfRule>
  </conditionalFormatting>
  <conditionalFormatting sqref="C21">
    <cfRule type="cellIs" dxfId="521" priority="412" operator="equal">
      <formula>"No"</formula>
    </cfRule>
    <cfRule type="cellIs" dxfId="520" priority="413" operator="equal">
      <formula>"NA"</formula>
    </cfRule>
    <cfRule type="cellIs" dxfId="519" priority="414" operator="equal">
      <formula>"Yes"</formula>
    </cfRule>
  </conditionalFormatting>
  <conditionalFormatting sqref="C22">
    <cfRule type="cellIs" dxfId="518" priority="366" operator="equal">
      <formula>"No"</formula>
    </cfRule>
    <cfRule type="cellIs" dxfId="517" priority="367" operator="equal">
      <formula>"NA"</formula>
    </cfRule>
    <cfRule type="cellIs" dxfId="516" priority="368" operator="equal">
      <formula>"Yes"</formula>
    </cfRule>
  </conditionalFormatting>
  <conditionalFormatting sqref="C24">
    <cfRule type="cellIs" dxfId="515" priority="320" operator="equal">
      <formula>"No"</formula>
    </cfRule>
    <cfRule type="cellIs" dxfId="514" priority="321" operator="equal">
      <formula>"NA"</formula>
    </cfRule>
    <cfRule type="cellIs" dxfId="513" priority="322" operator="equal">
      <formula>"Yes"</formula>
    </cfRule>
  </conditionalFormatting>
  <conditionalFormatting sqref="C25">
    <cfRule type="cellIs" dxfId="512" priority="274" operator="equal">
      <formula>"No"</formula>
    </cfRule>
    <cfRule type="cellIs" dxfId="511" priority="275" operator="equal">
      <formula>"NA"</formula>
    </cfRule>
    <cfRule type="cellIs" dxfId="510" priority="276" operator="equal">
      <formula>"Yes"</formula>
    </cfRule>
  </conditionalFormatting>
  <conditionalFormatting sqref="C26">
    <cfRule type="cellIs" dxfId="509" priority="228" operator="equal">
      <formula>"No"</formula>
    </cfRule>
    <cfRule type="cellIs" dxfId="508" priority="229" operator="equal">
      <formula>"NA"</formula>
    </cfRule>
    <cfRule type="cellIs" dxfId="507" priority="230" operator="equal">
      <formula>"Yes"</formula>
    </cfRule>
  </conditionalFormatting>
  <conditionalFormatting sqref="C27">
    <cfRule type="cellIs" dxfId="506" priority="182" operator="equal">
      <formula>"No"</formula>
    </cfRule>
    <cfRule type="cellIs" dxfId="505" priority="183" operator="equal">
      <formula>"NA"</formula>
    </cfRule>
    <cfRule type="cellIs" dxfId="504" priority="184" operator="equal">
      <formula>"Yes"</formula>
    </cfRule>
  </conditionalFormatting>
  <conditionalFormatting sqref="C29">
    <cfRule type="cellIs" dxfId="503" priority="136" operator="equal">
      <formula>"No"</formula>
    </cfRule>
    <cfRule type="cellIs" dxfId="502" priority="137" operator="equal">
      <formula>"NA"</formula>
    </cfRule>
    <cfRule type="cellIs" dxfId="501" priority="138" operator="equal">
      <formula>"Yes"</formula>
    </cfRule>
  </conditionalFormatting>
  <conditionalFormatting sqref="C30">
    <cfRule type="cellIs" dxfId="500" priority="90" operator="equal">
      <formula>"No"</formula>
    </cfRule>
    <cfRule type="cellIs" dxfId="499" priority="91" operator="equal">
      <formula>"NA"</formula>
    </cfRule>
    <cfRule type="cellIs" dxfId="498" priority="92" operator="equal">
      <formula>"Yes"</formula>
    </cfRule>
  </conditionalFormatting>
  <conditionalFormatting sqref="C32">
    <cfRule type="cellIs" dxfId="497" priority="44" operator="equal">
      <formula>"No"</formula>
    </cfRule>
    <cfRule type="cellIs" dxfId="496" priority="45" operator="equal">
      <formula>"NA"</formula>
    </cfRule>
    <cfRule type="cellIs" dxfId="495" priority="46" operator="equal">
      <formula>"Yes"</formula>
    </cfRule>
  </conditionalFormatting>
  <dataValidations count="1">
    <dataValidation type="list" allowBlank="1" showInputMessage="1" showErrorMessage="1" sqref="C6 C8:C22 C24:C27 C29:C30 C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G3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742</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743</v>
      </c>
      <c r="B6" s="160" t="s">
        <v>744</v>
      </c>
      <c r="C6" s="209"/>
      <c r="D6" s="210"/>
      <c r="E6" s="150"/>
      <c r="F6" s="150"/>
    </row>
    <row r="7" spans="1:7" ht="38.25">
      <c r="A7" s="151" t="s">
        <v>745</v>
      </c>
      <c r="B7" s="160" t="s">
        <v>746</v>
      </c>
      <c r="C7" s="209"/>
      <c r="D7" s="210"/>
      <c r="E7" s="150"/>
      <c r="F7" s="150"/>
    </row>
    <row r="8" spans="1:7" ht="18.75">
      <c r="A8" s="148"/>
      <c r="B8" s="157" t="s">
        <v>712</v>
      </c>
      <c r="C8" s="149"/>
      <c r="D8" s="149"/>
      <c r="E8" s="215"/>
      <c r="F8" s="215"/>
    </row>
    <row r="9" spans="1:7" ht="25.5">
      <c r="A9" s="151" t="s">
        <v>747</v>
      </c>
      <c r="B9" s="160" t="s">
        <v>748</v>
      </c>
      <c r="C9" s="209"/>
      <c r="D9" s="210"/>
      <c r="E9" s="150"/>
      <c r="F9" s="150"/>
    </row>
    <row r="10" spans="1:7" ht="25.5">
      <c r="A10" s="151" t="s">
        <v>749</v>
      </c>
      <c r="B10" s="160" t="s">
        <v>750</v>
      </c>
      <c r="C10" s="209"/>
      <c r="D10" s="210"/>
      <c r="E10" s="150"/>
      <c r="F10" s="150"/>
    </row>
    <row r="11" spans="1:7" ht="38.25">
      <c r="A11" s="151" t="s">
        <v>751</v>
      </c>
      <c r="B11" s="160" t="s">
        <v>752</v>
      </c>
      <c r="C11" s="209"/>
      <c r="D11" s="210"/>
      <c r="E11" s="150"/>
      <c r="F11" s="150"/>
    </row>
    <row r="12" spans="1:7" ht="63.75">
      <c r="A12" s="151" t="s">
        <v>753</v>
      </c>
      <c r="B12" s="160" t="s">
        <v>754</v>
      </c>
      <c r="C12" s="209"/>
      <c r="D12" s="210"/>
      <c r="E12" s="150"/>
      <c r="F12" s="150"/>
    </row>
    <row r="13" spans="1:7" ht="63.75">
      <c r="A13" s="151" t="s">
        <v>755</v>
      </c>
      <c r="B13" s="160" t="s">
        <v>756</v>
      </c>
      <c r="C13" s="209"/>
      <c r="D13" s="210"/>
      <c r="E13" s="150"/>
      <c r="F13" s="150"/>
    </row>
    <row r="14" spans="1:7" ht="25.5">
      <c r="A14" s="151" t="s">
        <v>757</v>
      </c>
      <c r="B14" s="160" t="s">
        <v>758</v>
      </c>
      <c r="C14" s="209"/>
      <c r="D14" s="210"/>
      <c r="E14" s="150"/>
      <c r="F14" s="150"/>
    </row>
    <row r="15" spans="1:7" ht="25.5">
      <c r="A15" s="151" t="s">
        <v>759</v>
      </c>
      <c r="B15" s="160" t="s">
        <v>760</v>
      </c>
      <c r="C15" s="209"/>
      <c r="D15" s="210"/>
      <c r="E15" s="150"/>
      <c r="F15" s="150"/>
    </row>
    <row r="16" spans="1:7" ht="25.5">
      <c r="A16" s="151" t="s">
        <v>761</v>
      </c>
      <c r="B16" s="160" t="s">
        <v>762</v>
      </c>
      <c r="C16" s="209"/>
      <c r="D16" s="210"/>
      <c r="E16" s="150"/>
      <c r="F16" s="150"/>
    </row>
    <row r="17" spans="1:6" ht="51">
      <c r="A17" s="151" t="s">
        <v>763</v>
      </c>
      <c r="B17" s="160" t="s">
        <v>764</v>
      </c>
      <c r="C17" s="209"/>
      <c r="D17" s="210"/>
      <c r="E17" s="150"/>
      <c r="F17" s="150"/>
    </row>
    <row r="18" spans="1:6" ht="38.25">
      <c r="A18" s="151" t="s">
        <v>765</v>
      </c>
      <c r="B18" s="160" t="s">
        <v>766</v>
      </c>
      <c r="C18" s="209"/>
      <c r="D18" s="210"/>
      <c r="E18" s="150"/>
      <c r="F18" s="150"/>
    </row>
    <row r="19" spans="1:6" ht="51">
      <c r="A19" s="151" t="s">
        <v>767</v>
      </c>
      <c r="B19" s="160" t="s">
        <v>768</v>
      </c>
      <c r="C19" s="209"/>
      <c r="D19" s="210"/>
      <c r="E19" s="150"/>
      <c r="F19" s="150"/>
    </row>
    <row r="20" spans="1:6" ht="38.25">
      <c r="A20" s="151" t="s">
        <v>769</v>
      </c>
      <c r="B20" s="160" t="s">
        <v>770</v>
      </c>
      <c r="C20" s="209"/>
      <c r="D20" s="210"/>
      <c r="E20" s="150"/>
      <c r="F20" s="150"/>
    </row>
    <row r="21" spans="1:6" ht="25.5">
      <c r="A21" s="151" t="s">
        <v>771</v>
      </c>
      <c r="B21" s="160" t="s">
        <v>772</v>
      </c>
      <c r="C21" s="209"/>
      <c r="D21" s="210"/>
      <c r="E21" s="150"/>
      <c r="F21" s="150"/>
    </row>
    <row r="22" spans="1:6" ht="38.25">
      <c r="A22" s="151" t="s">
        <v>773</v>
      </c>
      <c r="B22" s="160" t="s">
        <v>774</v>
      </c>
      <c r="C22" s="209"/>
      <c r="D22" s="210"/>
      <c r="E22" s="150"/>
      <c r="F22" s="150"/>
    </row>
    <row r="23" spans="1:6" ht="25.5">
      <c r="A23" s="151" t="s">
        <v>775</v>
      </c>
      <c r="B23" s="160" t="s">
        <v>776</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ht="15">
      <c r="A35" s="153"/>
      <c r="B35" s="154"/>
      <c r="C35" s="155"/>
      <c r="D35" s="155"/>
      <c r="E35" s="155"/>
      <c r="F35" s="156"/>
    </row>
    <row r="36" spans="1:6" ht="15">
      <c r="A36" s="216"/>
      <c r="B36" s="217" t="s">
        <v>378</v>
      </c>
      <c r="C36" s="216"/>
      <c r="D36" s="216"/>
      <c r="E36" s="216"/>
      <c r="F36" s="216"/>
    </row>
  </sheetData>
  <mergeCells count="1">
    <mergeCell ref="E2:F2"/>
  </mergeCells>
  <conditionalFormatting sqref="C6">
    <cfRule type="cellIs" dxfId="494" priority="1102" operator="equal">
      <formula>"No"</formula>
    </cfRule>
    <cfRule type="cellIs" dxfId="493" priority="1103" operator="equal">
      <formula>"NA"</formula>
    </cfRule>
    <cfRule type="cellIs" dxfId="492" priority="1104" operator="equal">
      <formula>"Yes"</formula>
    </cfRule>
  </conditionalFormatting>
  <conditionalFormatting sqref="C7">
    <cfRule type="cellIs" dxfId="491" priority="1056" operator="equal">
      <formula>"No"</formula>
    </cfRule>
    <cfRule type="cellIs" dxfId="490" priority="1057" operator="equal">
      <formula>"NA"</formula>
    </cfRule>
    <cfRule type="cellIs" dxfId="489" priority="1058" operator="equal">
      <formula>"Yes"</formula>
    </cfRule>
  </conditionalFormatting>
  <conditionalFormatting sqref="C9">
    <cfRule type="cellIs" dxfId="488" priority="1010" operator="equal">
      <formula>"No"</formula>
    </cfRule>
    <cfRule type="cellIs" dxfId="487" priority="1011" operator="equal">
      <formula>"NA"</formula>
    </cfRule>
    <cfRule type="cellIs" dxfId="486" priority="1012" operator="equal">
      <formula>"Yes"</formula>
    </cfRule>
  </conditionalFormatting>
  <conditionalFormatting sqref="C10">
    <cfRule type="cellIs" dxfId="485" priority="964" operator="equal">
      <formula>"No"</formula>
    </cfRule>
    <cfRule type="cellIs" dxfId="484" priority="965" operator="equal">
      <formula>"NA"</formula>
    </cfRule>
    <cfRule type="cellIs" dxfId="483" priority="966" operator="equal">
      <formula>"Yes"</formula>
    </cfRule>
  </conditionalFormatting>
  <conditionalFormatting sqref="C11">
    <cfRule type="cellIs" dxfId="482" priority="918" operator="equal">
      <formula>"No"</formula>
    </cfRule>
    <cfRule type="cellIs" dxfId="481" priority="919" operator="equal">
      <formula>"NA"</formula>
    </cfRule>
    <cfRule type="cellIs" dxfId="480" priority="920" operator="equal">
      <formula>"Yes"</formula>
    </cfRule>
  </conditionalFormatting>
  <conditionalFormatting sqref="C12">
    <cfRule type="cellIs" dxfId="479" priority="872" operator="equal">
      <formula>"No"</formula>
    </cfRule>
    <cfRule type="cellIs" dxfId="478" priority="873" operator="equal">
      <formula>"NA"</formula>
    </cfRule>
    <cfRule type="cellIs" dxfId="477" priority="874" operator="equal">
      <formula>"Yes"</formula>
    </cfRule>
  </conditionalFormatting>
  <conditionalFormatting sqref="C13">
    <cfRule type="cellIs" dxfId="476" priority="826" operator="equal">
      <formula>"No"</formula>
    </cfRule>
    <cfRule type="cellIs" dxfId="475" priority="827" operator="equal">
      <formula>"NA"</formula>
    </cfRule>
    <cfRule type="cellIs" dxfId="474" priority="828" operator="equal">
      <formula>"Yes"</formula>
    </cfRule>
  </conditionalFormatting>
  <conditionalFormatting sqref="C14">
    <cfRule type="cellIs" dxfId="473" priority="780" operator="equal">
      <formula>"No"</formula>
    </cfRule>
    <cfRule type="cellIs" dxfId="472" priority="781" operator="equal">
      <formula>"NA"</formula>
    </cfRule>
    <cfRule type="cellIs" dxfId="471" priority="782" operator="equal">
      <formula>"Yes"</formula>
    </cfRule>
  </conditionalFormatting>
  <conditionalFormatting sqref="C15">
    <cfRule type="cellIs" dxfId="470" priority="734" operator="equal">
      <formula>"No"</formula>
    </cfRule>
    <cfRule type="cellIs" dxfId="469" priority="735" operator="equal">
      <formula>"NA"</formula>
    </cfRule>
    <cfRule type="cellIs" dxfId="468" priority="736" operator="equal">
      <formula>"Yes"</formula>
    </cfRule>
  </conditionalFormatting>
  <conditionalFormatting sqref="C16">
    <cfRule type="cellIs" dxfId="467" priority="688" operator="equal">
      <formula>"No"</formula>
    </cfRule>
    <cfRule type="cellIs" dxfId="466" priority="689" operator="equal">
      <formula>"NA"</formula>
    </cfRule>
    <cfRule type="cellIs" dxfId="465" priority="690" operator="equal">
      <formula>"Yes"</formula>
    </cfRule>
  </conditionalFormatting>
  <conditionalFormatting sqref="C17">
    <cfRule type="cellIs" dxfId="464" priority="642" operator="equal">
      <formula>"No"</formula>
    </cfRule>
    <cfRule type="cellIs" dxfId="463" priority="643" operator="equal">
      <formula>"NA"</formula>
    </cfRule>
    <cfRule type="cellIs" dxfId="462" priority="644" operator="equal">
      <formula>"Yes"</formula>
    </cfRule>
  </conditionalFormatting>
  <conditionalFormatting sqref="C18">
    <cfRule type="cellIs" dxfId="461" priority="596" operator="equal">
      <formula>"No"</formula>
    </cfRule>
    <cfRule type="cellIs" dxfId="460" priority="597" operator="equal">
      <formula>"NA"</formula>
    </cfRule>
    <cfRule type="cellIs" dxfId="459" priority="598" operator="equal">
      <formula>"Yes"</formula>
    </cfRule>
  </conditionalFormatting>
  <conditionalFormatting sqref="C19">
    <cfRule type="cellIs" dxfId="458" priority="550" operator="equal">
      <formula>"No"</formula>
    </cfRule>
    <cfRule type="cellIs" dxfId="457" priority="551" operator="equal">
      <formula>"NA"</formula>
    </cfRule>
    <cfRule type="cellIs" dxfId="456" priority="552" operator="equal">
      <formula>"Yes"</formula>
    </cfRule>
  </conditionalFormatting>
  <conditionalFormatting sqref="C20">
    <cfRule type="cellIs" dxfId="455" priority="504" operator="equal">
      <formula>"No"</formula>
    </cfRule>
    <cfRule type="cellIs" dxfId="454" priority="505" operator="equal">
      <formula>"NA"</formula>
    </cfRule>
    <cfRule type="cellIs" dxfId="453" priority="506" operator="equal">
      <formula>"Yes"</formula>
    </cfRule>
  </conditionalFormatting>
  <conditionalFormatting sqref="C21">
    <cfRule type="cellIs" dxfId="452" priority="458" operator="equal">
      <formula>"No"</formula>
    </cfRule>
    <cfRule type="cellIs" dxfId="451" priority="459" operator="equal">
      <formula>"NA"</formula>
    </cfRule>
    <cfRule type="cellIs" dxfId="450" priority="460" operator="equal">
      <formula>"Yes"</formula>
    </cfRule>
  </conditionalFormatting>
  <conditionalFormatting sqref="C22">
    <cfRule type="cellIs" dxfId="449" priority="412" operator="equal">
      <formula>"No"</formula>
    </cfRule>
    <cfRule type="cellIs" dxfId="448" priority="413" operator="equal">
      <formula>"NA"</formula>
    </cfRule>
    <cfRule type="cellIs" dxfId="447" priority="414" operator="equal">
      <formula>"Yes"</formula>
    </cfRule>
  </conditionalFormatting>
  <conditionalFormatting sqref="C23">
    <cfRule type="cellIs" dxfId="446" priority="366" operator="equal">
      <formula>"No"</formula>
    </cfRule>
    <cfRule type="cellIs" dxfId="445" priority="367" operator="equal">
      <formula>"NA"</formula>
    </cfRule>
    <cfRule type="cellIs" dxfId="444" priority="368" operator="equal">
      <formula>"Yes"</formula>
    </cfRule>
  </conditionalFormatting>
  <conditionalFormatting sqref="C25">
    <cfRule type="cellIs" dxfId="443" priority="320" operator="equal">
      <formula>"No"</formula>
    </cfRule>
    <cfRule type="cellIs" dxfId="442" priority="321" operator="equal">
      <formula>"NA"</formula>
    </cfRule>
    <cfRule type="cellIs" dxfId="441" priority="322" operator="equal">
      <formula>"Yes"</formula>
    </cfRule>
  </conditionalFormatting>
  <conditionalFormatting sqref="C26">
    <cfRule type="cellIs" dxfId="440" priority="274" operator="equal">
      <formula>"No"</formula>
    </cfRule>
    <cfRule type="cellIs" dxfId="439" priority="275" operator="equal">
      <formula>"NA"</formula>
    </cfRule>
    <cfRule type="cellIs" dxfId="438" priority="276" operator="equal">
      <formula>"Yes"</formula>
    </cfRule>
  </conditionalFormatting>
  <conditionalFormatting sqref="C27">
    <cfRule type="cellIs" dxfId="437" priority="228" operator="equal">
      <formula>"No"</formula>
    </cfRule>
    <cfRule type="cellIs" dxfId="436" priority="229" operator="equal">
      <formula>"NA"</formula>
    </cfRule>
    <cfRule type="cellIs" dxfId="435" priority="230" operator="equal">
      <formula>"Yes"</formula>
    </cfRule>
  </conditionalFormatting>
  <conditionalFormatting sqref="C28">
    <cfRule type="cellIs" dxfId="434" priority="182" operator="equal">
      <formula>"No"</formula>
    </cfRule>
    <cfRule type="cellIs" dxfId="433" priority="183" operator="equal">
      <formula>"NA"</formula>
    </cfRule>
    <cfRule type="cellIs" dxfId="432" priority="184" operator="equal">
      <formula>"Yes"</formula>
    </cfRule>
  </conditionalFormatting>
  <conditionalFormatting sqref="C30">
    <cfRule type="cellIs" dxfId="431" priority="136" operator="equal">
      <formula>"No"</formula>
    </cfRule>
    <cfRule type="cellIs" dxfId="430" priority="137" operator="equal">
      <formula>"NA"</formula>
    </cfRule>
    <cfRule type="cellIs" dxfId="429" priority="138" operator="equal">
      <formula>"Yes"</formula>
    </cfRule>
  </conditionalFormatting>
  <conditionalFormatting sqref="C31">
    <cfRule type="cellIs" dxfId="428" priority="90" operator="equal">
      <formula>"No"</formula>
    </cfRule>
    <cfRule type="cellIs" dxfId="427" priority="91" operator="equal">
      <formula>"NA"</formula>
    </cfRule>
    <cfRule type="cellIs" dxfId="426" priority="92" operator="equal">
      <formula>"Yes"</formula>
    </cfRule>
  </conditionalFormatting>
  <conditionalFormatting sqref="C33">
    <cfRule type="cellIs" dxfId="425" priority="44" operator="equal">
      <formula>"No"</formula>
    </cfRule>
    <cfRule type="cellIs" dxfId="424" priority="45" operator="equal">
      <formula>"NA"</formula>
    </cfRule>
    <cfRule type="cellIs" dxfId="423" priority="46" operator="equal">
      <formula>"Yes"</formula>
    </cfRule>
  </conditionalFormatting>
  <dataValidations count="1">
    <dataValidation type="list" allowBlank="1" showInputMessage="1" showErrorMessage="1" sqref="C6:C7 C9:C23 C25:C28 C30:C31 C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22"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777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38.25">
      <c r="A8" s="151" t="s">
        <v>784</v>
      </c>
      <c r="B8" s="160" t="s">
        <v>785</v>
      </c>
      <c r="C8" s="209"/>
      <c r="D8" s="210"/>
      <c r="E8" s="150"/>
      <c r="F8" s="150"/>
    </row>
    <row r="9" spans="1:7" ht="38.25">
      <c r="A9" s="151" t="s">
        <v>786</v>
      </c>
      <c r="B9" s="160" t="s">
        <v>787</v>
      </c>
      <c r="C9" s="209"/>
      <c r="D9" s="210"/>
      <c r="E9" s="150"/>
      <c r="F9" s="150"/>
    </row>
    <row r="10" spans="1:7" ht="25.5">
      <c r="A10" s="151" t="s">
        <v>788</v>
      </c>
      <c r="B10" s="160" t="s">
        <v>789</v>
      </c>
      <c r="C10" s="209"/>
      <c r="D10" s="210"/>
      <c r="E10" s="150"/>
      <c r="F10" s="150"/>
    </row>
    <row r="11" spans="1:7" ht="25.5">
      <c r="A11" s="151" t="s">
        <v>790</v>
      </c>
      <c r="B11" s="160" t="s">
        <v>791</v>
      </c>
      <c r="C11" s="209"/>
      <c r="D11" s="210"/>
      <c r="E11" s="150"/>
      <c r="F11" s="150"/>
    </row>
    <row r="12" spans="1:7" ht="51">
      <c r="A12" s="151" t="s">
        <v>792</v>
      </c>
      <c r="B12" s="160" t="s">
        <v>793</v>
      </c>
      <c r="C12" s="209"/>
      <c r="D12" s="210"/>
      <c r="E12" s="150"/>
      <c r="F12" s="150"/>
    </row>
    <row r="13" spans="1:7" ht="25.5">
      <c r="A13" s="151" t="s">
        <v>794</v>
      </c>
      <c r="B13" s="160" t="s">
        <v>795</v>
      </c>
      <c r="C13" s="209"/>
      <c r="D13" s="210"/>
      <c r="E13" s="150"/>
      <c r="F13" s="150"/>
    </row>
    <row r="14" spans="1:7" ht="38.25">
      <c r="A14" s="151" t="s">
        <v>796</v>
      </c>
      <c r="B14" s="160" t="s">
        <v>797</v>
      </c>
      <c r="C14" s="209"/>
      <c r="D14" s="210"/>
      <c r="E14" s="150"/>
      <c r="F14" s="150"/>
    </row>
    <row r="15" spans="1:7" ht="18.75">
      <c r="A15" s="148"/>
      <c r="B15" s="157" t="s">
        <v>798</v>
      </c>
      <c r="C15" s="149"/>
      <c r="D15" s="149"/>
      <c r="E15" s="215"/>
      <c r="F15" s="215"/>
    </row>
    <row r="16" spans="1:7" ht="63.75">
      <c r="A16" s="151" t="s">
        <v>799</v>
      </c>
      <c r="B16" s="160" t="s">
        <v>800</v>
      </c>
      <c r="C16" s="209"/>
      <c r="D16" s="210"/>
      <c r="E16" s="150"/>
      <c r="F16" s="150"/>
    </row>
    <row r="17" spans="1:6" ht="63.75">
      <c r="A17" s="151" t="s">
        <v>801</v>
      </c>
      <c r="B17" s="160" t="s">
        <v>802</v>
      </c>
      <c r="C17" s="209"/>
      <c r="D17" s="210"/>
      <c r="E17" s="150"/>
      <c r="F17" s="150"/>
    </row>
    <row r="18" spans="1:6" ht="51">
      <c r="A18" s="151" t="s">
        <v>803</v>
      </c>
      <c r="B18" s="160" t="s">
        <v>804</v>
      </c>
      <c r="C18" s="209"/>
      <c r="D18" s="210"/>
      <c r="E18" s="150"/>
      <c r="F18" s="150"/>
    </row>
    <row r="19" spans="1:6" ht="25.5">
      <c r="A19" s="151" t="s">
        <v>805</v>
      </c>
      <c r="B19" s="160" t="s">
        <v>806</v>
      </c>
      <c r="C19" s="209"/>
      <c r="D19" s="210"/>
      <c r="E19" s="150"/>
      <c r="F19" s="150"/>
    </row>
    <row r="20" spans="1:6" ht="18.75">
      <c r="A20" s="148"/>
      <c r="B20" s="157" t="s">
        <v>712</v>
      </c>
      <c r="C20" s="149"/>
      <c r="D20" s="149"/>
      <c r="E20" s="215"/>
      <c r="F20" s="215"/>
    </row>
    <row r="21" spans="1:6" ht="38.25">
      <c r="A21" s="151" t="s">
        <v>807</v>
      </c>
      <c r="B21" s="160" t="s">
        <v>808</v>
      </c>
      <c r="C21" s="209"/>
      <c r="D21" s="210"/>
      <c r="E21" s="150"/>
      <c r="F21" s="150"/>
    </row>
    <row r="22" spans="1:6" ht="38.25">
      <c r="A22" s="151" t="s">
        <v>809</v>
      </c>
      <c r="B22" s="160" t="s">
        <v>810</v>
      </c>
      <c r="C22" s="209"/>
      <c r="D22" s="210"/>
      <c r="E22" s="150"/>
      <c r="F22" s="150"/>
    </row>
    <row r="23" spans="1:6" ht="51">
      <c r="A23" s="151" t="s">
        <v>811</v>
      </c>
      <c r="B23" s="160" t="s">
        <v>812</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c r="A35" s="151"/>
      <c r="B35" s="160"/>
    </row>
    <row r="36" spans="1:6" ht="15">
      <c r="A36" s="213"/>
      <c r="B36" s="214" t="s">
        <v>378</v>
      </c>
      <c r="C36" s="213"/>
      <c r="D36" s="213"/>
      <c r="E36" s="213"/>
      <c r="F36" s="213"/>
    </row>
  </sheetData>
  <mergeCells count="1">
    <mergeCell ref="E2:F2"/>
  </mergeCells>
  <conditionalFormatting sqref="C6">
    <cfRule type="cellIs" dxfId="422" priority="1056" operator="equal">
      <formula>"No"</formula>
    </cfRule>
    <cfRule type="cellIs" dxfId="421" priority="1057" operator="equal">
      <formula>"NA"</formula>
    </cfRule>
    <cfRule type="cellIs" dxfId="420" priority="1058" operator="equal">
      <formula>"Yes"</formula>
    </cfRule>
  </conditionalFormatting>
  <conditionalFormatting sqref="C7">
    <cfRule type="cellIs" dxfId="419" priority="1010" operator="equal">
      <formula>"No"</formula>
    </cfRule>
    <cfRule type="cellIs" dxfId="418" priority="1011" operator="equal">
      <formula>"NA"</formula>
    </cfRule>
    <cfRule type="cellIs" dxfId="417" priority="1012" operator="equal">
      <formula>"Yes"</formula>
    </cfRule>
  </conditionalFormatting>
  <conditionalFormatting sqref="C8">
    <cfRule type="cellIs" dxfId="416" priority="964" operator="equal">
      <formula>"No"</formula>
    </cfRule>
    <cfRule type="cellIs" dxfId="415" priority="965" operator="equal">
      <formula>"NA"</formula>
    </cfRule>
    <cfRule type="cellIs" dxfId="414" priority="966" operator="equal">
      <formula>"Yes"</formula>
    </cfRule>
  </conditionalFormatting>
  <conditionalFormatting sqref="C9">
    <cfRule type="cellIs" dxfId="413" priority="918" operator="equal">
      <formula>"No"</formula>
    </cfRule>
    <cfRule type="cellIs" dxfId="412" priority="919" operator="equal">
      <formula>"NA"</formula>
    </cfRule>
    <cfRule type="cellIs" dxfId="411" priority="920" operator="equal">
      <formula>"Yes"</formula>
    </cfRule>
  </conditionalFormatting>
  <conditionalFormatting sqref="C10">
    <cfRule type="cellIs" dxfId="410" priority="872" operator="equal">
      <formula>"No"</formula>
    </cfRule>
    <cfRule type="cellIs" dxfId="409" priority="873" operator="equal">
      <formula>"NA"</formula>
    </cfRule>
    <cfRule type="cellIs" dxfId="408" priority="874" operator="equal">
      <formula>"Yes"</formula>
    </cfRule>
  </conditionalFormatting>
  <conditionalFormatting sqref="C11">
    <cfRule type="cellIs" dxfId="407" priority="826" operator="equal">
      <formula>"No"</formula>
    </cfRule>
    <cfRule type="cellIs" dxfId="406" priority="827" operator="equal">
      <formula>"NA"</formula>
    </cfRule>
    <cfRule type="cellIs" dxfId="405" priority="828" operator="equal">
      <formula>"Yes"</formula>
    </cfRule>
  </conditionalFormatting>
  <conditionalFormatting sqref="C12">
    <cfRule type="cellIs" dxfId="404" priority="780" operator="equal">
      <formula>"No"</formula>
    </cfRule>
    <cfRule type="cellIs" dxfId="403" priority="781" operator="equal">
      <formula>"NA"</formula>
    </cfRule>
    <cfRule type="cellIs" dxfId="402" priority="782" operator="equal">
      <formula>"Yes"</formula>
    </cfRule>
  </conditionalFormatting>
  <conditionalFormatting sqref="C13">
    <cfRule type="cellIs" dxfId="401" priority="734" operator="equal">
      <formula>"No"</formula>
    </cfRule>
    <cfRule type="cellIs" dxfId="400" priority="735" operator="equal">
      <formula>"NA"</formula>
    </cfRule>
    <cfRule type="cellIs" dxfId="399" priority="736" operator="equal">
      <formula>"Yes"</formula>
    </cfRule>
  </conditionalFormatting>
  <conditionalFormatting sqref="C14">
    <cfRule type="cellIs" dxfId="398" priority="688" operator="equal">
      <formula>"No"</formula>
    </cfRule>
    <cfRule type="cellIs" dxfId="397" priority="689" operator="equal">
      <formula>"NA"</formula>
    </cfRule>
    <cfRule type="cellIs" dxfId="396" priority="690" operator="equal">
      <formula>"Yes"</formula>
    </cfRule>
  </conditionalFormatting>
  <conditionalFormatting sqref="C16">
    <cfRule type="cellIs" dxfId="395" priority="642" operator="equal">
      <formula>"No"</formula>
    </cfRule>
    <cfRule type="cellIs" dxfId="394" priority="643" operator="equal">
      <formula>"NA"</formula>
    </cfRule>
    <cfRule type="cellIs" dxfId="393" priority="644" operator="equal">
      <formula>"Yes"</formula>
    </cfRule>
  </conditionalFormatting>
  <conditionalFormatting sqref="C17">
    <cfRule type="cellIs" dxfId="392" priority="596" operator="equal">
      <formula>"No"</formula>
    </cfRule>
    <cfRule type="cellIs" dxfId="391" priority="597" operator="equal">
      <formula>"NA"</formula>
    </cfRule>
    <cfRule type="cellIs" dxfId="390" priority="598" operator="equal">
      <formula>"Yes"</formula>
    </cfRule>
  </conditionalFormatting>
  <conditionalFormatting sqref="C18">
    <cfRule type="cellIs" dxfId="389" priority="550" operator="equal">
      <formula>"No"</formula>
    </cfRule>
    <cfRule type="cellIs" dxfId="388" priority="551" operator="equal">
      <formula>"NA"</formula>
    </cfRule>
    <cfRule type="cellIs" dxfId="387" priority="552" operator="equal">
      <formula>"Yes"</formula>
    </cfRule>
  </conditionalFormatting>
  <conditionalFormatting sqref="C19">
    <cfRule type="cellIs" dxfId="386" priority="504" operator="equal">
      <formula>"No"</formula>
    </cfRule>
    <cfRule type="cellIs" dxfId="385" priority="505" operator="equal">
      <formula>"NA"</formula>
    </cfRule>
    <cfRule type="cellIs" dxfId="384" priority="506" operator="equal">
      <formula>"Yes"</formula>
    </cfRule>
  </conditionalFormatting>
  <conditionalFormatting sqref="C21">
    <cfRule type="cellIs" dxfId="383" priority="458" operator="equal">
      <formula>"No"</formula>
    </cfRule>
    <cfRule type="cellIs" dxfId="382" priority="459" operator="equal">
      <formula>"NA"</formula>
    </cfRule>
    <cfRule type="cellIs" dxfId="381" priority="460" operator="equal">
      <formula>"Yes"</formula>
    </cfRule>
  </conditionalFormatting>
  <conditionalFormatting sqref="C22">
    <cfRule type="cellIs" dxfId="380" priority="412" operator="equal">
      <formula>"No"</formula>
    </cfRule>
    <cfRule type="cellIs" dxfId="379" priority="413" operator="equal">
      <formula>"NA"</formula>
    </cfRule>
    <cfRule type="cellIs" dxfId="378" priority="414" operator="equal">
      <formula>"Yes"</formula>
    </cfRule>
  </conditionalFormatting>
  <conditionalFormatting sqref="C23">
    <cfRule type="cellIs" dxfId="377" priority="366" operator="equal">
      <formula>"No"</formula>
    </cfRule>
    <cfRule type="cellIs" dxfId="376" priority="367" operator="equal">
      <formula>"NA"</formula>
    </cfRule>
    <cfRule type="cellIs" dxfId="375" priority="368" operator="equal">
      <formula>"Yes"</formula>
    </cfRule>
  </conditionalFormatting>
  <conditionalFormatting sqref="C25">
    <cfRule type="cellIs" dxfId="374" priority="320" operator="equal">
      <formula>"No"</formula>
    </cfRule>
    <cfRule type="cellIs" dxfId="373" priority="321" operator="equal">
      <formula>"NA"</formula>
    </cfRule>
    <cfRule type="cellIs" dxfId="372" priority="322" operator="equal">
      <formula>"Yes"</formula>
    </cfRule>
  </conditionalFormatting>
  <conditionalFormatting sqref="C26">
    <cfRule type="cellIs" dxfId="371" priority="274" operator="equal">
      <formula>"No"</formula>
    </cfRule>
    <cfRule type="cellIs" dxfId="370" priority="275" operator="equal">
      <formula>"NA"</formula>
    </cfRule>
    <cfRule type="cellIs" dxfId="369" priority="276" operator="equal">
      <formula>"Yes"</formula>
    </cfRule>
  </conditionalFormatting>
  <conditionalFormatting sqref="C27">
    <cfRule type="cellIs" dxfId="368" priority="228" operator="equal">
      <formula>"No"</formula>
    </cfRule>
    <cfRule type="cellIs" dxfId="367" priority="229" operator="equal">
      <formula>"NA"</formula>
    </cfRule>
    <cfRule type="cellIs" dxfId="366" priority="230" operator="equal">
      <formula>"Yes"</formula>
    </cfRule>
  </conditionalFormatting>
  <conditionalFormatting sqref="C28">
    <cfRule type="cellIs" dxfId="365" priority="182" operator="equal">
      <formula>"No"</formula>
    </cfRule>
    <cfRule type="cellIs" dxfId="364" priority="183" operator="equal">
      <formula>"NA"</formula>
    </cfRule>
    <cfRule type="cellIs" dxfId="363" priority="184" operator="equal">
      <formula>"Yes"</formula>
    </cfRule>
  </conditionalFormatting>
  <conditionalFormatting sqref="C30">
    <cfRule type="cellIs" dxfId="362" priority="136" operator="equal">
      <formula>"No"</formula>
    </cfRule>
    <cfRule type="cellIs" dxfId="361" priority="137" operator="equal">
      <formula>"NA"</formula>
    </cfRule>
    <cfRule type="cellIs" dxfId="360" priority="138" operator="equal">
      <formula>"Yes"</formula>
    </cfRule>
  </conditionalFormatting>
  <conditionalFormatting sqref="C31">
    <cfRule type="cellIs" dxfId="359" priority="90" operator="equal">
      <formula>"No"</formula>
    </cfRule>
    <cfRule type="cellIs" dxfId="358" priority="91" operator="equal">
      <formula>"NA"</formula>
    </cfRule>
    <cfRule type="cellIs" dxfId="357" priority="92" operator="equal">
      <formula>"Yes"</formula>
    </cfRule>
  </conditionalFormatting>
  <conditionalFormatting sqref="C33">
    <cfRule type="cellIs" dxfId="356" priority="44" operator="equal">
      <formula>"No"</formula>
    </cfRule>
    <cfRule type="cellIs" dxfId="355" priority="45" operator="equal">
      <formula>"NA"</formula>
    </cfRule>
    <cfRule type="cellIs" dxfId="354"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813</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790</v>
      </c>
      <c r="B8" s="160" t="s">
        <v>791</v>
      </c>
      <c r="C8" s="209"/>
      <c r="D8" s="210"/>
      <c r="E8" s="150"/>
      <c r="F8" s="150"/>
    </row>
    <row r="9" spans="1:7" ht="25.5">
      <c r="A9" s="151" t="s">
        <v>794</v>
      </c>
      <c r="B9" s="160" t="s">
        <v>795</v>
      </c>
      <c r="C9" s="209"/>
      <c r="D9" s="210"/>
      <c r="E9" s="150"/>
      <c r="F9" s="150"/>
    </row>
    <row r="10" spans="1:7" ht="38.25">
      <c r="A10" s="151" t="s">
        <v>796</v>
      </c>
      <c r="B10" s="160" t="s">
        <v>797</v>
      </c>
      <c r="C10" s="209"/>
      <c r="D10" s="210"/>
      <c r="E10" s="150"/>
      <c r="F10" s="150"/>
    </row>
    <row r="11" spans="1:7" ht="18.75">
      <c r="A11" s="148"/>
      <c r="B11" s="157" t="s">
        <v>798</v>
      </c>
      <c r="C11" s="149"/>
      <c r="D11" s="149"/>
      <c r="E11" s="215"/>
      <c r="F11" s="215"/>
    </row>
    <row r="12" spans="1:7" ht="63.75">
      <c r="A12" s="151" t="s">
        <v>799</v>
      </c>
      <c r="B12" s="160" t="s">
        <v>800</v>
      </c>
      <c r="C12" s="209"/>
      <c r="D12" s="210"/>
      <c r="E12" s="150"/>
      <c r="F12" s="150"/>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706</v>
      </c>
      <c r="C16" s="149"/>
      <c r="D16" s="149"/>
      <c r="E16" s="215"/>
      <c r="F16" s="215"/>
    </row>
    <row r="17" spans="1:6" ht="38.25">
      <c r="A17" s="151" t="s">
        <v>814</v>
      </c>
      <c r="B17" s="160" t="s">
        <v>815</v>
      </c>
      <c r="C17" s="209"/>
      <c r="D17" s="210"/>
      <c r="E17" s="150"/>
      <c r="F17" s="150"/>
    </row>
    <row r="18" spans="1:6" ht="76.5">
      <c r="A18" s="151" t="s">
        <v>816</v>
      </c>
      <c r="B18" s="160" t="s">
        <v>817</v>
      </c>
      <c r="C18" s="209"/>
      <c r="D18" s="210"/>
      <c r="E18" s="150"/>
      <c r="F18" s="150"/>
    </row>
    <row r="19" spans="1:6" ht="18.75">
      <c r="A19" s="148"/>
      <c r="B19" s="157" t="s">
        <v>712</v>
      </c>
      <c r="C19" s="149"/>
      <c r="D19" s="149"/>
      <c r="E19" s="215"/>
      <c r="F19" s="215"/>
    </row>
    <row r="20" spans="1:6" ht="51">
      <c r="A20" s="151" t="s">
        <v>818</v>
      </c>
      <c r="B20" s="160" t="s">
        <v>812</v>
      </c>
      <c r="C20" s="209"/>
      <c r="D20" s="210"/>
      <c r="E20" s="150"/>
      <c r="F20" s="150"/>
    </row>
    <row r="21" spans="1:6" ht="51">
      <c r="A21" s="151" t="s">
        <v>819</v>
      </c>
      <c r="B21" s="160" t="s">
        <v>820</v>
      </c>
      <c r="C21" s="209"/>
      <c r="D21" s="210"/>
      <c r="E21" s="150"/>
      <c r="F21" s="150"/>
    </row>
    <row r="22" spans="1:6" ht="51">
      <c r="A22" s="151" t="s">
        <v>821</v>
      </c>
      <c r="B22" s="160" t="s">
        <v>822</v>
      </c>
      <c r="C22" s="209"/>
      <c r="D22" s="210"/>
      <c r="E22" s="150"/>
      <c r="F22" s="150"/>
    </row>
    <row r="23" spans="1:6" ht="25.5">
      <c r="A23" s="151" t="s">
        <v>823</v>
      </c>
      <c r="B23" s="160" t="s">
        <v>824</v>
      </c>
      <c r="C23" s="209"/>
      <c r="D23" s="210"/>
      <c r="E23" s="150"/>
      <c r="F23" s="150"/>
    </row>
    <row r="24" spans="1:6" ht="51">
      <c r="A24" s="151" t="s">
        <v>825</v>
      </c>
      <c r="B24" s="160" t="s">
        <v>826</v>
      </c>
      <c r="C24" s="209"/>
      <c r="D24" s="210"/>
      <c r="E24" s="150"/>
      <c r="F24" s="150"/>
    </row>
    <row r="25" spans="1:6" ht="25.5">
      <c r="A25" s="151" t="s">
        <v>827</v>
      </c>
      <c r="B25" s="160" t="s">
        <v>828</v>
      </c>
      <c r="C25" s="209"/>
      <c r="D25" s="210"/>
      <c r="E25" s="150"/>
      <c r="F25" s="150"/>
    </row>
    <row r="26" spans="1:6" ht="18.75">
      <c r="A26" s="148"/>
      <c r="B26" s="157" t="s">
        <v>360</v>
      </c>
      <c r="C26" s="149"/>
      <c r="D26" s="149"/>
      <c r="E26" s="215"/>
      <c r="F26" s="215"/>
    </row>
    <row r="27" spans="1:6" ht="38.25">
      <c r="A27" s="151" t="s">
        <v>361</v>
      </c>
      <c r="B27" s="160" t="s">
        <v>362</v>
      </c>
      <c r="C27" s="209"/>
      <c r="D27" s="210"/>
      <c r="E27" s="150"/>
      <c r="F27" s="150"/>
    </row>
    <row r="28" spans="1:6" ht="25.5">
      <c r="A28" s="151" t="s">
        <v>363</v>
      </c>
      <c r="B28" s="160" t="s">
        <v>364</v>
      </c>
      <c r="C28" s="209"/>
      <c r="D28" s="210"/>
      <c r="E28" s="150"/>
      <c r="F28" s="150"/>
    </row>
    <row r="29" spans="1:6" ht="38.25">
      <c r="A29" s="151" t="s">
        <v>365</v>
      </c>
      <c r="B29" s="160" t="s">
        <v>366</v>
      </c>
      <c r="C29" s="209"/>
      <c r="D29" s="210"/>
      <c r="E29" s="150"/>
      <c r="F29" s="150"/>
    </row>
    <row r="30" spans="1:6" ht="38.25">
      <c r="A30" s="151" t="s">
        <v>367</v>
      </c>
      <c r="B30" s="160" t="s">
        <v>368</v>
      </c>
      <c r="C30" s="209"/>
      <c r="D30" s="210"/>
      <c r="E30" s="150"/>
      <c r="F30" s="150"/>
    </row>
    <row r="31" spans="1:6" ht="18.75">
      <c r="A31" s="148"/>
      <c r="B31" s="157" t="s">
        <v>369</v>
      </c>
      <c r="C31" s="149"/>
      <c r="D31" s="149"/>
      <c r="E31" s="215"/>
      <c r="F31" s="215"/>
    </row>
    <row r="32" spans="1:6" ht="38.25">
      <c r="A32" s="151" t="s">
        <v>370</v>
      </c>
      <c r="B32" s="160" t="s">
        <v>371</v>
      </c>
      <c r="C32" s="209"/>
      <c r="D32" s="210"/>
      <c r="E32" s="150"/>
      <c r="F32" s="150"/>
    </row>
    <row r="33" spans="1:6" ht="38.25">
      <c r="A33" s="151" t="s">
        <v>372</v>
      </c>
      <c r="B33" s="160" t="s">
        <v>373</v>
      </c>
      <c r="C33" s="209"/>
      <c r="D33" s="210"/>
      <c r="E33" s="150"/>
      <c r="F33" s="150"/>
    </row>
    <row r="34" spans="1:6" ht="18.75">
      <c r="A34" s="148"/>
      <c r="B34" s="157" t="s">
        <v>374</v>
      </c>
      <c r="C34" s="149"/>
      <c r="D34" s="149"/>
      <c r="E34" s="215"/>
      <c r="F34" s="215"/>
    </row>
    <row r="35" spans="1:6" ht="51">
      <c r="A35" s="151" t="s">
        <v>375</v>
      </c>
      <c r="B35" s="160" t="s">
        <v>376</v>
      </c>
      <c r="C35" s="209"/>
      <c r="D35" s="210"/>
      <c r="E35" s="150"/>
      <c r="F35" s="150"/>
    </row>
    <row r="36" spans="1:6" ht="18">
      <c r="A36" s="211"/>
      <c r="B36" s="212" t="s">
        <v>377</v>
      </c>
      <c r="C36" s="211"/>
      <c r="D36" s="211"/>
      <c r="E36" s="211"/>
      <c r="F36" s="211"/>
    </row>
    <row r="37" spans="1:6">
      <c r="A37" s="151"/>
      <c r="B37" s="160"/>
    </row>
    <row r="38" spans="1:6" ht="15">
      <c r="A38" s="213"/>
      <c r="B38" s="214" t="s">
        <v>378</v>
      </c>
      <c r="C38" s="213"/>
      <c r="D38" s="213"/>
      <c r="E38" s="213"/>
      <c r="F38" s="213"/>
    </row>
  </sheetData>
  <mergeCells count="1">
    <mergeCell ref="E2:F2"/>
  </mergeCells>
  <conditionalFormatting sqref="C6">
    <cfRule type="cellIs" dxfId="353" priority="1102" operator="equal">
      <formula>"No"</formula>
    </cfRule>
    <cfRule type="cellIs" dxfId="352" priority="1103" operator="equal">
      <formula>"NA"</formula>
    </cfRule>
    <cfRule type="cellIs" dxfId="351" priority="1104" operator="equal">
      <formula>"Yes"</formula>
    </cfRule>
  </conditionalFormatting>
  <conditionalFormatting sqref="C7">
    <cfRule type="cellIs" dxfId="350" priority="1056" operator="equal">
      <formula>"No"</formula>
    </cfRule>
    <cfRule type="cellIs" dxfId="349" priority="1057" operator="equal">
      <formula>"NA"</formula>
    </cfRule>
    <cfRule type="cellIs" dxfId="348" priority="1058" operator="equal">
      <formula>"Yes"</formula>
    </cfRule>
  </conditionalFormatting>
  <conditionalFormatting sqref="C8">
    <cfRule type="cellIs" dxfId="347" priority="1010" operator="equal">
      <formula>"No"</formula>
    </cfRule>
    <cfRule type="cellIs" dxfId="346" priority="1011" operator="equal">
      <formula>"NA"</formula>
    </cfRule>
    <cfRule type="cellIs" dxfId="345" priority="1012" operator="equal">
      <formula>"Yes"</formula>
    </cfRule>
  </conditionalFormatting>
  <conditionalFormatting sqref="C9">
    <cfRule type="cellIs" dxfId="344" priority="964" operator="equal">
      <formula>"No"</formula>
    </cfRule>
    <cfRule type="cellIs" dxfId="343" priority="965" operator="equal">
      <formula>"NA"</formula>
    </cfRule>
    <cfRule type="cellIs" dxfId="342" priority="966" operator="equal">
      <formula>"Yes"</formula>
    </cfRule>
  </conditionalFormatting>
  <conditionalFormatting sqref="C10">
    <cfRule type="cellIs" dxfId="341" priority="918" operator="equal">
      <formula>"No"</formula>
    </cfRule>
    <cfRule type="cellIs" dxfId="340" priority="919" operator="equal">
      <formula>"NA"</formula>
    </cfRule>
    <cfRule type="cellIs" dxfId="339" priority="920" operator="equal">
      <formula>"Yes"</formula>
    </cfRule>
  </conditionalFormatting>
  <conditionalFormatting sqref="C12">
    <cfRule type="cellIs" dxfId="338" priority="872" operator="equal">
      <formula>"No"</formula>
    </cfRule>
    <cfRule type="cellIs" dxfId="337" priority="873" operator="equal">
      <formula>"NA"</formula>
    </cfRule>
    <cfRule type="cellIs" dxfId="336" priority="874" operator="equal">
      <formula>"Yes"</formula>
    </cfRule>
  </conditionalFormatting>
  <conditionalFormatting sqref="C13">
    <cfRule type="cellIs" dxfId="335" priority="826" operator="equal">
      <formula>"No"</formula>
    </cfRule>
    <cfRule type="cellIs" dxfId="334" priority="827" operator="equal">
      <formula>"NA"</formula>
    </cfRule>
    <cfRule type="cellIs" dxfId="333" priority="828" operator="equal">
      <formula>"Yes"</formula>
    </cfRule>
  </conditionalFormatting>
  <conditionalFormatting sqref="C14">
    <cfRule type="cellIs" dxfId="332" priority="780" operator="equal">
      <formula>"No"</formula>
    </cfRule>
    <cfRule type="cellIs" dxfId="331" priority="781" operator="equal">
      <formula>"NA"</formula>
    </cfRule>
    <cfRule type="cellIs" dxfId="330" priority="782" operator="equal">
      <formula>"Yes"</formula>
    </cfRule>
  </conditionalFormatting>
  <conditionalFormatting sqref="C15">
    <cfRule type="cellIs" dxfId="329" priority="734" operator="equal">
      <formula>"No"</formula>
    </cfRule>
    <cfRule type="cellIs" dxfId="328" priority="735" operator="equal">
      <formula>"NA"</formula>
    </cfRule>
    <cfRule type="cellIs" dxfId="327" priority="736" operator="equal">
      <formula>"Yes"</formula>
    </cfRule>
  </conditionalFormatting>
  <conditionalFormatting sqref="C17">
    <cfRule type="cellIs" dxfId="326" priority="688" operator="equal">
      <formula>"No"</formula>
    </cfRule>
    <cfRule type="cellIs" dxfId="325" priority="689" operator="equal">
      <formula>"NA"</formula>
    </cfRule>
    <cfRule type="cellIs" dxfId="324" priority="690" operator="equal">
      <formula>"Yes"</formula>
    </cfRule>
  </conditionalFormatting>
  <conditionalFormatting sqref="C18">
    <cfRule type="cellIs" dxfId="323" priority="642" operator="equal">
      <formula>"No"</formula>
    </cfRule>
    <cfRule type="cellIs" dxfId="322" priority="643" operator="equal">
      <formula>"NA"</formula>
    </cfRule>
    <cfRule type="cellIs" dxfId="321" priority="644" operator="equal">
      <formula>"Yes"</formula>
    </cfRule>
  </conditionalFormatting>
  <conditionalFormatting sqref="C20">
    <cfRule type="cellIs" dxfId="320" priority="596" operator="equal">
      <formula>"No"</formula>
    </cfRule>
    <cfRule type="cellIs" dxfId="319" priority="597" operator="equal">
      <formula>"NA"</formula>
    </cfRule>
    <cfRule type="cellIs" dxfId="318" priority="598" operator="equal">
      <formula>"Yes"</formula>
    </cfRule>
  </conditionalFormatting>
  <conditionalFormatting sqref="C21">
    <cfRule type="cellIs" dxfId="317" priority="550" operator="equal">
      <formula>"No"</formula>
    </cfRule>
    <cfRule type="cellIs" dxfId="316" priority="551" operator="equal">
      <formula>"NA"</formula>
    </cfRule>
    <cfRule type="cellIs" dxfId="315" priority="552" operator="equal">
      <formula>"Yes"</formula>
    </cfRule>
  </conditionalFormatting>
  <conditionalFormatting sqref="C22">
    <cfRule type="cellIs" dxfId="314" priority="504" operator="equal">
      <formula>"No"</formula>
    </cfRule>
    <cfRule type="cellIs" dxfId="313" priority="505" operator="equal">
      <formula>"NA"</formula>
    </cfRule>
    <cfRule type="cellIs" dxfId="312" priority="506" operator="equal">
      <formula>"Yes"</formula>
    </cfRule>
  </conditionalFormatting>
  <conditionalFormatting sqref="C23">
    <cfRule type="cellIs" dxfId="311" priority="458" operator="equal">
      <formula>"No"</formula>
    </cfRule>
    <cfRule type="cellIs" dxfId="310" priority="459" operator="equal">
      <formula>"NA"</formula>
    </cfRule>
    <cfRule type="cellIs" dxfId="309" priority="460" operator="equal">
      <formula>"Yes"</formula>
    </cfRule>
  </conditionalFormatting>
  <conditionalFormatting sqref="C24">
    <cfRule type="cellIs" dxfId="308" priority="412" operator="equal">
      <formula>"No"</formula>
    </cfRule>
    <cfRule type="cellIs" dxfId="307" priority="413" operator="equal">
      <formula>"NA"</formula>
    </cfRule>
    <cfRule type="cellIs" dxfId="306" priority="414" operator="equal">
      <formula>"Yes"</formula>
    </cfRule>
  </conditionalFormatting>
  <conditionalFormatting sqref="C25">
    <cfRule type="cellIs" dxfId="305" priority="366" operator="equal">
      <formula>"No"</formula>
    </cfRule>
    <cfRule type="cellIs" dxfId="304" priority="367" operator="equal">
      <formula>"NA"</formula>
    </cfRule>
    <cfRule type="cellIs" dxfId="303" priority="368" operator="equal">
      <formula>"Yes"</formula>
    </cfRule>
  </conditionalFormatting>
  <conditionalFormatting sqref="C27">
    <cfRule type="cellIs" dxfId="302" priority="320" operator="equal">
      <formula>"No"</formula>
    </cfRule>
    <cfRule type="cellIs" dxfId="301" priority="321" operator="equal">
      <formula>"NA"</formula>
    </cfRule>
    <cfRule type="cellIs" dxfId="300" priority="322" operator="equal">
      <formula>"Yes"</formula>
    </cfRule>
  </conditionalFormatting>
  <conditionalFormatting sqref="C28">
    <cfRule type="cellIs" dxfId="299" priority="274" operator="equal">
      <formula>"No"</formula>
    </cfRule>
    <cfRule type="cellIs" dxfId="298" priority="275" operator="equal">
      <formula>"NA"</formula>
    </cfRule>
    <cfRule type="cellIs" dxfId="297" priority="276" operator="equal">
      <formula>"Yes"</formula>
    </cfRule>
  </conditionalFormatting>
  <conditionalFormatting sqref="C29">
    <cfRule type="cellIs" dxfId="296" priority="228" operator="equal">
      <formula>"No"</formula>
    </cfRule>
    <cfRule type="cellIs" dxfId="295" priority="229" operator="equal">
      <formula>"NA"</formula>
    </cfRule>
    <cfRule type="cellIs" dxfId="294" priority="230" operator="equal">
      <formula>"Yes"</formula>
    </cfRule>
  </conditionalFormatting>
  <conditionalFormatting sqref="C30">
    <cfRule type="cellIs" dxfId="293" priority="182" operator="equal">
      <formula>"No"</formula>
    </cfRule>
    <cfRule type="cellIs" dxfId="292" priority="183" operator="equal">
      <formula>"NA"</formula>
    </cfRule>
    <cfRule type="cellIs" dxfId="291" priority="184" operator="equal">
      <formula>"Yes"</formula>
    </cfRule>
  </conditionalFormatting>
  <conditionalFormatting sqref="C32">
    <cfRule type="cellIs" dxfId="290" priority="136" operator="equal">
      <formula>"No"</formula>
    </cfRule>
    <cfRule type="cellIs" dxfId="289" priority="137" operator="equal">
      <formula>"NA"</formula>
    </cfRule>
    <cfRule type="cellIs" dxfId="288" priority="138" operator="equal">
      <formula>"Yes"</formula>
    </cfRule>
  </conditionalFormatting>
  <conditionalFormatting sqref="C33">
    <cfRule type="cellIs" dxfId="287" priority="90" operator="equal">
      <formula>"No"</formula>
    </cfRule>
    <cfRule type="cellIs" dxfId="286" priority="91" operator="equal">
      <formula>"NA"</formula>
    </cfRule>
    <cfRule type="cellIs" dxfId="285" priority="92" operator="equal">
      <formula>"Yes"</formula>
    </cfRule>
  </conditionalFormatting>
  <conditionalFormatting sqref="C35">
    <cfRule type="cellIs" dxfId="284" priority="44" operator="equal">
      <formula>"No"</formula>
    </cfRule>
    <cfRule type="cellIs" dxfId="283" priority="45" operator="equal">
      <formula>"NA"</formula>
    </cfRule>
    <cfRule type="cellIs" dxfId="282"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829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788</v>
      </c>
      <c r="B8" s="160" t="s">
        <v>789</v>
      </c>
      <c r="C8" s="209"/>
      <c r="D8" s="210"/>
      <c r="E8" s="150"/>
      <c r="F8" s="150"/>
    </row>
    <row r="9" spans="1:7" ht="25.5">
      <c r="A9" s="151" t="s">
        <v>790</v>
      </c>
      <c r="B9" s="160" t="s">
        <v>791</v>
      </c>
      <c r="C9" s="209"/>
      <c r="D9" s="210"/>
      <c r="E9" s="150"/>
      <c r="F9" s="150"/>
    </row>
    <row r="10" spans="1:7" ht="25.5">
      <c r="A10" s="151" t="s">
        <v>794</v>
      </c>
      <c r="B10" s="160" t="s">
        <v>795</v>
      </c>
      <c r="C10" s="209"/>
      <c r="D10" s="210"/>
      <c r="E10" s="150"/>
      <c r="F10" s="150"/>
    </row>
    <row r="11" spans="1:7" ht="38.25">
      <c r="A11" s="151" t="s">
        <v>796</v>
      </c>
      <c r="B11" s="160" t="s">
        <v>797</v>
      </c>
      <c r="C11" s="209"/>
      <c r="D11" s="210"/>
      <c r="E11" s="150"/>
      <c r="F11" s="150"/>
    </row>
    <row r="12" spans="1:7" ht="18.75">
      <c r="A12" s="148"/>
      <c r="B12" s="157" t="s">
        <v>798</v>
      </c>
      <c r="C12" s="149"/>
      <c r="D12" s="149"/>
      <c r="E12" s="215"/>
      <c r="F12" s="215"/>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81" priority="734" operator="equal">
      <formula>"No"</formula>
    </cfRule>
    <cfRule type="cellIs" dxfId="280" priority="735" operator="equal">
      <formula>"NA"</formula>
    </cfRule>
    <cfRule type="cellIs" dxfId="279" priority="736" operator="equal">
      <formula>"Yes"</formula>
    </cfRule>
  </conditionalFormatting>
  <conditionalFormatting sqref="C7">
    <cfRule type="cellIs" dxfId="278" priority="688" operator="equal">
      <formula>"No"</formula>
    </cfRule>
    <cfRule type="cellIs" dxfId="277" priority="689" operator="equal">
      <formula>"NA"</formula>
    </cfRule>
    <cfRule type="cellIs" dxfId="276" priority="690" operator="equal">
      <formula>"Yes"</formula>
    </cfRule>
  </conditionalFormatting>
  <conditionalFormatting sqref="C8">
    <cfRule type="cellIs" dxfId="275" priority="642" operator="equal">
      <formula>"No"</formula>
    </cfRule>
    <cfRule type="cellIs" dxfId="274" priority="643" operator="equal">
      <formula>"NA"</formula>
    </cfRule>
    <cfRule type="cellIs" dxfId="273" priority="644" operator="equal">
      <formula>"Yes"</formula>
    </cfRule>
  </conditionalFormatting>
  <conditionalFormatting sqref="C9">
    <cfRule type="cellIs" dxfId="272" priority="596" operator="equal">
      <formula>"No"</formula>
    </cfRule>
    <cfRule type="cellIs" dxfId="271" priority="597" operator="equal">
      <formula>"NA"</formula>
    </cfRule>
    <cfRule type="cellIs" dxfId="270" priority="598" operator="equal">
      <formula>"Yes"</formula>
    </cfRule>
  </conditionalFormatting>
  <conditionalFormatting sqref="C10">
    <cfRule type="cellIs" dxfId="269" priority="550" operator="equal">
      <formula>"No"</formula>
    </cfRule>
    <cfRule type="cellIs" dxfId="268" priority="551" operator="equal">
      <formula>"NA"</formula>
    </cfRule>
    <cfRule type="cellIs" dxfId="267" priority="552" operator="equal">
      <formula>"Yes"</formula>
    </cfRule>
  </conditionalFormatting>
  <conditionalFormatting sqref="C11">
    <cfRule type="cellIs" dxfId="266" priority="504" operator="equal">
      <formula>"No"</formula>
    </cfRule>
    <cfRule type="cellIs" dxfId="265" priority="505" operator="equal">
      <formula>"NA"</formula>
    </cfRule>
    <cfRule type="cellIs" dxfId="264" priority="506" operator="equal">
      <formula>"Yes"</formula>
    </cfRule>
  </conditionalFormatting>
  <conditionalFormatting sqref="C13">
    <cfRule type="cellIs" dxfId="263" priority="458" operator="equal">
      <formula>"No"</formula>
    </cfRule>
    <cfRule type="cellIs" dxfId="262" priority="459" operator="equal">
      <formula>"NA"</formula>
    </cfRule>
    <cfRule type="cellIs" dxfId="261" priority="460" operator="equal">
      <formula>"Yes"</formula>
    </cfRule>
  </conditionalFormatting>
  <conditionalFormatting sqref="C14">
    <cfRule type="cellIs" dxfId="260" priority="412" operator="equal">
      <formula>"No"</formula>
    </cfRule>
    <cfRule type="cellIs" dxfId="259" priority="413" operator="equal">
      <formula>"NA"</formula>
    </cfRule>
    <cfRule type="cellIs" dxfId="258" priority="414" operator="equal">
      <formula>"Yes"</formula>
    </cfRule>
  </conditionalFormatting>
  <conditionalFormatting sqref="C15">
    <cfRule type="cellIs" dxfId="257" priority="366" operator="equal">
      <formula>"No"</formula>
    </cfRule>
    <cfRule type="cellIs" dxfId="256" priority="367" operator="equal">
      <formula>"NA"</formula>
    </cfRule>
    <cfRule type="cellIs" dxfId="255" priority="368" operator="equal">
      <formula>"Yes"</formula>
    </cfRule>
  </conditionalFormatting>
  <conditionalFormatting sqref="C17">
    <cfRule type="cellIs" dxfId="254" priority="320" operator="equal">
      <formula>"No"</formula>
    </cfRule>
    <cfRule type="cellIs" dxfId="253" priority="321" operator="equal">
      <formula>"NA"</formula>
    </cfRule>
    <cfRule type="cellIs" dxfId="252" priority="322" operator="equal">
      <formula>"Yes"</formula>
    </cfRule>
  </conditionalFormatting>
  <conditionalFormatting sqref="C18">
    <cfRule type="cellIs" dxfId="251" priority="274" operator="equal">
      <formula>"No"</formula>
    </cfRule>
    <cfRule type="cellIs" dxfId="250" priority="275" operator="equal">
      <formula>"NA"</formula>
    </cfRule>
    <cfRule type="cellIs" dxfId="249" priority="276" operator="equal">
      <formula>"Yes"</formula>
    </cfRule>
  </conditionalFormatting>
  <conditionalFormatting sqref="C19">
    <cfRule type="cellIs" dxfId="248" priority="228" operator="equal">
      <formula>"No"</formula>
    </cfRule>
    <cfRule type="cellIs" dxfId="247" priority="229" operator="equal">
      <formula>"NA"</formula>
    </cfRule>
    <cfRule type="cellIs" dxfId="246" priority="230" operator="equal">
      <formula>"Yes"</formula>
    </cfRule>
  </conditionalFormatting>
  <conditionalFormatting sqref="C20">
    <cfRule type="cellIs" dxfId="245" priority="182" operator="equal">
      <formula>"No"</formula>
    </cfRule>
    <cfRule type="cellIs" dxfId="244" priority="183" operator="equal">
      <formula>"NA"</formula>
    </cfRule>
    <cfRule type="cellIs" dxfId="243" priority="184" operator="equal">
      <formula>"Yes"</formula>
    </cfRule>
  </conditionalFormatting>
  <conditionalFormatting sqref="C22">
    <cfRule type="cellIs" dxfId="242" priority="136" operator="equal">
      <formula>"No"</formula>
    </cfRule>
    <cfRule type="cellIs" dxfId="241" priority="137" operator="equal">
      <formula>"NA"</formula>
    </cfRule>
    <cfRule type="cellIs" dxfId="240" priority="138" operator="equal">
      <formula>"Yes"</formula>
    </cfRule>
  </conditionalFormatting>
  <conditionalFormatting sqref="C23">
    <cfRule type="cellIs" dxfId="239" priority="90" operator="equal">
      <formula>"No"</formula>
    </cfRule>
    <cfRule type="cellIs" dxfId="238" priority="91" operator="equal">
      <formula>"NA"</formula>
    </cfRule>
    <cfRule type="cellIs" dxfId="237" priority="92" operator="equal">
      <formula>"Yes"</formula>
    </cfRule>
  </conditionalFormatting>
  <conditionalFormatting sqref="C25">
    <cfRule type="cellIs" dxfId="236" priority="44" operator="equal">
      <formula>"No"</formula>
    </cfRule>
    <cfRule type="cellIs" dxfId="235" priority="45" operator="equal">
      <formula>"NA"</formula>
    </cfRule>
    <cfRule type="cellIs" dxfId="23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63.75">
      <c r="A6" s="151" t="s">
        <v>831</v>
      </c>
      <c r="B6" s="160" t="s">
        <v>832</v>
      </c>
      <c r="C6" s="209"/>
      <c r="D6" s="210"/>
      <c r="E6" s="150"/>
      <c r="F6" s="150"/>
    </row>
    <row r="7" spans="1:7" ht="25.5">
      <c r="A7" s="151" t="s">
        <v>833</v>
      </c>
      <c r="B7" s="160" t="s">
        <v>834</v>
      </c>
      <c r="C7" s="209"/>
      <c r="D7" s="210"/>
      <c r="E7" s="150"/>
      <c r="F7" s="150"/>
    </row>
    <row r="8" spans="1:7" ht="25.5">
      <c r="A8" s="151" t="s">
        <v>835</v>
      </c>
      <c r="B8" s="160" t="s">
        <v>836</v>
      </c>
      <c r="C8" s="209"/>
      <c r="D8" s="210"/>
      <c r="E8" s="150"/>
      <c r="F8" s="150"/>
    </row>
    <row r="9" spans="1:7" ht="25.5">
      <c r="A9" s="151" t="s">
        <v>837</v>
      </c>
      <c r="B9" s="160" t="s">
        <v>838</v>
      </c>
      <c r="C9" s="209"/>
      <c r="D9" s="210"/>
      <c r="E9" s="150"/>
      <c r="F9" s="150"/>
    </row>
    <row r="10" spans="1:7" ht="18.75">
      <c r="A10" s="148"/>
      <c r="B10" s="157" t="s">
        <v>360</v>
      </c>
      <c r="C10" s="149"/>
      <c r="D10" s="149"/>
      <c r="E10" s="215"/>
      <c r="F10" s="215"/>
    </row>
    <row r="11" spans="1:7" ht="38.25">
      <c r="A11" s="151" t="s">
        <v>361</v>
      </c>
      <c r="B11" s="160" t="s">
        <v>362</v>
      </c>
      <c r="C11" s="209"/>
      <c r="D11" s="210"/>
      <c r="E11" s="150"/>
      <c r="F11" s="150"/>
    </row>
    <row r="12" spans="1:7" ht="25.5">
      <c r="A12" s="151" t="s">
        <v>363</v>
      </c>
      <c r="B12" s="160" t="s">
        <v>364</v>
      </c>
      <c r="C12" s="209"/>
      <c r="D12" s="210"/>
      <c r="E12" s="150"/>
      <c r="F12" s="150"/>
    </row>
    <row r="13" spans="1:7" ht="38.25">
      <c r="A13" s="151" t="s">
        <v>365</v>
      </c>
      <c r="B13" s="160" t="s">
        <v>366</v>
      </c>
      <c r="C13" s="209"/>
      <c r="D13" s="210"/>
      <c r="E13" s="150"/>
      <c r="F13" s="150"/>
    </row>
    <row r="14" spans="1:7" ht="38.25">
      <c r="A14" s="151" t="s">
        <v>367</v>
      </c>
      <c r="B14" s="160" t="s">
        <v>368</v>
      </c>
      <c r="C14" s="209"/>
      <c r="D14" s="210"/>
      <c r="E14" s="150"/>
      <c r="F14" s="150"/>
    </row>
    <row r="15" spans="1:7" ht="18.75">
      <c r="A15" s="148"/>
      <c r="B15" s="157" t="s">
        <v>369</v>
      </c>
      <c r="C15" s="149"/>
      <c r="D15" s="149"/>
      <c r="E15" s="215"/>
      <c r="F15" s="215"/>
    </row>
    <row r="16" spans="1:7" ht="38.25">
      <c r="A16" s="151" t="s">
        <v>370</v>
      </c>
      <c r="B16" s="160" t="s">
        <v>371</v>
      </c>
      <c r="C16" s="209"/>
      <c r="D16" s="210"/>
      <c r="E16" s="150"/>
      <c r="F16" s="150"/>
    </row>
    <row r="17" spans="1:6" ht="38.25">
      <c r="A17" s="151" t="s">
        <v>372</v>
      </c>
      <c r="B17" s="160" t="s">
        <v>373</v>
      </c>
      <c r="C17" s="209"/>
      <c r="D17" s="210"/>
      <c r="E17" s="150"/>
      <c r="F17" s="150"/>
    </row>
    <row r="18" spans="1:6" ht="18.75">
      <c r="A18" s="148"/>
      <c r="B18" s="157" t="s">
        <v>374</v>
      </c>
      <c r="C18" s="149"/>
      <c r="D18" s="149"/>
      <c r="E18" s="215"/>
      <c r="F18" s="215"/>
    </row>
    <row r="19" spans="1:6" ht="51">
      <c r="A19" s="151" t="s">
        <v>375</v>
      </c>
      <c r="B19" s="160" t="s">
        <v>376</v>
      </c>
      <c r="C19" s="209"/>
      <c r="D19" s="210"/>
      <c r="E19" s="150"/>
      <c r="F19" s="150"/>
    </row>
    <row r="20" spans="1:6" ht="18">
      <c r="A20" s="211"/>
      <c r="B20" s="212" t="s">
        <v>377</v>
      </c>
      <c r="C20" s="211"/>
      <c r="D20" s="211"/>
      <c r="E20" s="211"/>
      <c r="F20" s="211"/>
    </row>
    <row r="21" spans="1:6">
      <c r="A21" s="151"/>
      <c r="B21" s="160"/>
    </row>
    <row r="22" spans="1:6" ht="15">
      <c r="A22" s="213"/>
      <c r="B22" s="214" t="s">
        <v>378</v>
      </c>
      <c r="C22" s="213"/>
      <c r="D22" s="213"/>
      <c r="E22" s="213"/>
      <c r="F22" s="213"/>
    </row>
  </sheetData>
  <mergeCells count="1">
    <mergeCell ref="E2:F2"/>
  </mergeCells>
  <conditionalFormatting sqref="C6">
    <cfRule type="cellIs" dxfId="233" priority="504" operator="equal">
      <formula>"No"</formula>
    </cfRule>
    <cfRule type="cellIs" dxfId="232" priority="505" operator="equal">
      <formula>"NA"</formula>
    </cfRule>
    <cfRule type="cellIs" dxfId="231" priority="506" operator="equal">
      <formula>"Yes"</formula>
    </cfRule>
  </conditionalFormatting>
  <conditionalFormatting sqref="C7">
    <cfRule type="cellIs" dxfId="230" priority="458" operator="equal">
      <formula>"No"</formula>
    </cfRule>
    <cfRule type="cellIs" dxfId="229" priority="459" operator="equal">
      <formula>"NA"</formula>
    </cfRule>
    <cfRule type="cellIs" dxfId="228" priority="460" operator="equal">
      <formula>"Yes"</formula>
    </cfRule>
  </conditionalFormatting>
  <conditionalFormatting sqref="C8">
    <cfRule type="cellIs" dxfId="227" priority="412" operator="equal">
      <formula>"No"</formula>
    </cfRule>
    <cfRule type="cellIs" dxfId="226" priority="413" operator="equal">
      <formula>"NA"</formula>
    </cfRule>
    <cfRule type="cellIs" dxfId="225" priority="414" operator="equal">
      <formula>"Yes"</formula>
    </cfRule>
  </conditionalFormatting>
  <conditionalFormatting sqref="C9">
    <cfRule type="cellIs" dxfId="224" priority="366" operator="equal">
      <formula>"No"</formula>
    </cfRule>
    <cfRule type="cellIs" dxfId="223" priority="367" operator="equal">
      <formula>"NA"</formula>
    </cfRule>
    <cfRule type="cellIs" dxfId="222" priority="368" operator="equal">
      <formula>"Yes"</formula>
    </cfRule>
  </conditionalFormatting>
  <conditionalFormatting sqref="C11">
    <cfRule type="cellIs" dxfId="221" priority="320" operator="equal">
      <formula>"No"</formula>
    </cfRule>
    <cfRule type="cellIs" dxfId="220" priority="321" operator="equal">
      <formula>"NA"</formula>
    </cfRule>
    <cfRule type="cellIs" dxfId="219" priority="322" operator="equal">
      <formula>"Yes"</formula>
    </cfRule>
  </conditionalFormatting>
  <conditionalFormatting sqref="C12">
    <cfRule type="cellIs" dxfId="218" priority="274" operator="equal">
      <formula>"No"</formula>
    </cfRule>
    <cfRule type="cellIs" dxfId="217" priority="275" operator="equal">
      <formula>"NA"</formula>
    </cfRule>
    <cfRule type="cellIs" dxfId="216" priority="276" operator="equal">
      <formula>"Yes"</formula>
    </cfRule>
  </conditionalFormatting>
  <conditionalFormatting sqref="C13">
    <cfRule type="cellIs" dxfId="215" priority="228" operator="equal">
      <formula>"No"</formula>
    </cfRule>
    <cfRule type="cellIs" dxfId="214" priority="229" operator="equal">
      <formula>"NA"</formula>
    </cfRule>
    <cfRule type="cellIs" dxfId="213" priority="230" operator="equal">
      <formula>"Yes"</formula>
    </cfRule>
  </conditionalFormatting>
  <conditionalFormatting sqref="C14">
    <cfRule type="cellIs" dxfId="212" priority="182" operator="equal">
      <formula>"No"</formula>
    </cfRule>
    <cfRule type="cellIs" dxfId="211" priority="183" operator="equal">
      <formula>"NA"</formula>
    </cfRule>
    <cfRule type="cellIs" dxfId="210" priority="184" operator="equal">
      <formula>"Yes"</formula>
    </cfRule>
  </conditionalFormatting>
  <conditionalFormatting sqref="C16">
    <cfRule type="cellIs" dxfId="209" priority="136" operator="equal">
      <formula>"No"</formula>
    </cfRule>
    <cfRule type="cellIs" dxfId="208" priority="137" operator="equal">
      <formula>"NA"</formula>
    </cfRule>
    <cfRule type="cellIs" dxfId="207" priority="138" operator="equal">
      <formula>"Yes"</formula>
    </cfRule>
  </conditionalFormatting>
  <conditionalFormatting sqref="C17">
    <cfRule type="cellIs" dxfId="206" priority="90" operator="equal">
      <formula>"No"</formula>
    </cfRule>
    <cfRule type="cellIs" dxfId="205" priority="91" operator="equal">
      <formula>"NA"</formula>
    </cfRule>
    <cfRule type="cellIs" dxfId="204" priority="92" operator="equal">
      <formula>"Yes"</formula>
    </cfRule>
  </conditionalFormatting>
  <conditionalFormatting sqref="C19">
    <cfRule type="cellIs" dxfId="203" priority="44" operator="equal">
      <formula>"No"</formula>
    </cfRule>
    <cfRule type="cellIs" dxfId="202" priority="45" operator="equal">
      <formula>"NA"</formula>
    </cfRule>
    <cfRule type="cellIs" dxfId="20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229.5">
      <c r="A6" s="151" t="s">
        <v>840</v>
      </c>
      <c r="B6" s="160" t="s">
        <v>841</v>
      </c>
      <c r="C6" s="209"/>
      <c r="D6" s="210"/>
      <c r="E6" s="150"/>
      <c r="F6" s="150"/>
    </row>
    <row r="7" spans="1:7" ht="38.25">
      <c r="A7" s="151" t="s">
        <v>842</v>
      </c>
      <c r="B7" s="160" t="s">
        <v>843</v>
      </c>
      <c r="C7" s="209"/>
      <c r="D7" s="210"/>
      <c r="E7" s="150"/>
      <c r="F7" s="150"/>
    </row>
    <row r="8" spans="1:7" ht="25.5">
      <c r="A8" s="151" t="s">
        <v>844</v>
      </c>
      <c r="B8" s="160" t="s">
        <v>845</v>
      </c>
      <c r="C8" s="209"/>
      <c r="D8" s="210"/>
      <c r="E8" s="150"/>
      <c r="F8" s="150"/>
    </row>
    <row r="9" spans="1:7" ht="25.5">
      <c r="A9" s="151" t="s">
        <v>846</v>
      </c>
      <c r="B9" s="160" t="s">
        <v>847</v>
      </c>
      <c r="C9" s="209"/>
      <c r="D9" s="210"/>
      <c r="E9" s="150"/>
      <c r="F9" s="150"/>
    </row>
    <row r="10" spans="1:7" ht="25.5">
      <c r="A10" s="151" t="s">
        <v>848</v>
      </c>
      <c r="B10" s="160" t="s">
        <v>849</v>
      </c>
      <c r="C10" s="209"/>
      <c r="D10" s="210"/>
      <c r="E10" s="150"/>
      <c r="F10" s="150"/>
    </row>
    <row r="11" spans="1:7" ht="25.5">
      <c r="A11" s="151" t="s">
        <v>850</v>
      </c>
      <c r="B11" s="160" t="s">
        <v>851</v>
      </c>
      <c r="C11" s="209"/>
      <c r="D11" s="210"/>
      <c r="E11" s="150"/>
      <c r="F11" s="150"/>
    </row>
    <row r="12" spans="1:7" ht="25.5">
      <c r="A12" s="151" t="s">
        <v>852</v>
      </c>
      <c r="B12" s="160" t="s">
        <v>853</v>
      </c>
      <c r="C12" s="209"/>
      <c r="D12" s="210"/>
      <c r="E12" s="150"/>
      <c r="F12" s="150"/>
    </row>
    <row r="13" spans="1:7" ht="63.75">
      <c r="A13" s="151" t="s">
        <v>854</v>
      </c>
      <c r="B13" s="160" t="s">
        <v>855</v>
      </c>
      <c r="C13" s="209"/>
      <c r="D13" s="210"/>
      <c r="E13" s="150"/>
      <c r="F13" s="150"/>
    </row>
    <row r="14" spans="1:7" ht="38.25">
      <c r="A14" s="151" t="s">
        <v>856</v>
      </c>
      <c r="B14" s="160" t="s">
        <v>857</v>
      </c>
      <c r="C14" s="209"/>
      <c r="D14" s="210"/>
      <c r="E14" s="150"/>
      <c r="F14" s="150"/>
    </row>
    <row r="15" spans="1:7" ht="25.5">
      <c r="A15" s="151" t="s">
        <v>858</v>
      </c>
      <c r="B15" s="160" t="s">
        <v>859</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00" priority="780" operator="equal">
      <formula>"No"</formula>
    </cfRule>
    <cfRule type="cellIs" dxfId="199" priority="781" operator="equal">
      <formula>"NA"</formula>
    </cfRule>
    <cfRule type="cellIs" dxfId="198" priority="782" operator="equal">
      <formula>"Yes"</formula>
    </cfRule>
  </conditionalFormatting>
  <conditionalFormatting sqref="C7">
    <cfRule type="cellIs" dxfId="197" priority="734" operator="equal">
      <formula>"No"</formula>
    </cfRule>
    <cfRule type="cellIs" dxfId="196" priority="735" operator="equal">
      <formula>"NA"</formula>
    </cfRule>
    <cfRule type="cellIs" dxfId="195" priority="736" operator="equal">
      <formula>"Yes"</formula>
    </cfRule>
  </conditionalFormatting>
  <conditionalFormatting sqref="C8">
    <cfRule type="cellIs" dxfId="194" priority="688" operator="equal">
      <formula>"No"</formula>
    </cfRule>
    <cfRule type="cellIs" dxfId="193" priority="689" operator="equal">
      <formula>"NA"</formula>
    </cfRule>
    <cfRule type="cellIs" dxfId="192" priority="690" operator="equal">
      <formula>"Yes"</formula>
    </cfRule>
  </conditionalFormatting>
  <conditionalFormatting sqref="C9">
    <cfRule type="cellIs" dxfId="191" priority="642" operator="equal">
      <formula>"No"</formula>
    </cfRule>
    <cfRule type="cellIs" dxfId="190" priority="643" operator="equal">
      <formula>"NA"</formula>
    </cfRule>
    <cfRule type="cellIs" dxfId="189" priority="644" operator="equal">
      <formula>"Yes"</formula>
    </cfRule>
  </conditionalFormatting>
  <conditionalFormatting sqref="C10">
    <cfRule type="cellIs" dxfId="188" priority="596" operator="equal">
      <formula>"No"</formula>
    </cfRule>
    <cfRule type="cellIs" dxfId="187" priority="597" operator="equal">
      <formula>"NA"</formula>
    </cfRule>
    <cfRule type="cellIs" dxfId="186" priority="598" operator="equal">
      <formula>"Yes"</formula>
    </cfRule>
  </conditionalFormatting>
  <conditionalFormatting sqref="C11">
    <cfRule type="cellIs" dxfId="185" priority="550" operator="equal">
      <formula>"No"</formula>
    </cfRule>
    <cfRule type="cellIs" dxfId="184" priority="551" operator="equal">
      <formula>"NA"</formula>
    </cfRule>
    <cfRule type="cellIs" dxfId="183" priority="552" operator="equal">
      <formula>"Yes"</formula>
    </cfRule>
  </conditionalFormatting>
  <conditionalFormatting sqref="C12">
    <cfRule type="cellIs" dxfId="182" priority="504" operator="equal">
      <formula>"No"</formula>
    </cfRule>
    <cfRule type="cellIs" dxfId="181" priority="505" operator="equal">
      <formula>"NA"</formula>
    </cfRule>
    <cfRule type="cellIs" dxfId="180" priority="506" operator="equal">
      <formula>"Yes"</formula>
    </cfRule>
  </conditionalFormatting>
  <conditionalFormatting sqref="C13">
    <cfRule type="cellIs" dxfId="179" priority="458" operator="equal">
      <formula>"No"</formula>
    </cfRule>
    <cfRule type="cellIs" dxfId="178" priority="459" operator="equal">
      <formula>"NA"</formula>
    </cfRule>
    <cfRule type="cellIs" dxfId="177" priority="460" operator="equal">
      <formula>"Yes"</formula>
    </cfRule>
  </conditionalFormatting>
  <conditionalFormatting sqref="C14">
    <cfRule type="cellIs" dxfId="176" priority="412" operator="equal">
      <formula>"No"</formula>
    </cfRule>
    <cfRule type="cellIs" dxfId="175" priority="413" operator="equal">
      <formula>"NA"</formula>
    </cfRule>
    <cfRule type="cellIs" dxfId="174" priority="414" operator="equal">
      <formula>"Yes"</formula>
    </cfRule>
  </conditionalFormatting>
  <conditionalFormatting sqref="C15">
    <cfRule type="cellIs" dxfId="173" priority="366" operator="equal">
      <formula>"No"</formula>
    </cfRule>
    <cfRule type="cellIs" dxfId="172" priority="367" operator="equal">
      <formula>"NA"</formula>
    </cfRule>
    <cfRule type="cellIs" dxfId="171" priority="368" operator="equal">
      <formula>"Yes"</formula>
    </cfRule>
  </conditionalFormatting>
  <conditionalFormatting sqref="C17">
    <cfRule type="cellIs" dxfId="170" priority="320" operator="equal">
      <formula>"No"</formula>
    </cfRule>
    <cfRule type="cellIs" dxfId="169" priority="321" operator="equal">
      <formula>"NA"</formula>
    </cfRule>
    <cfRule type="cellIs" dxfId="168" priority="322" operator="equal">
      <formula>"Yes"</formula>
    </cfRule>
  </conditionalFormatting>
  <conditionalFormatting sqref="C18">
    <cfRule type="cellIs" dxfId="167" priority="274" operator="equal">
      <formula>"No"</formula>
    </cfRule>
    <cfRule type="cellIs" dxfId="166" priority="275" operator="equal">
      <formula>"NA"</formula>
    </cfRule>
    <cfRule type="cellIs" dxfId="165" priority="276" operator="equal">
      <formula>"Yes"</formula>
    </cfRule>
  </conditionalFormatting>
  <conditionalFormatting sqref="C19">
    <cfRule type="cellIs" dxfId="164" priority="228" operator="equal">
      <formula>"No"</formula>
    </cfRule>
    <cfRule type="cellIs" dxfId="163" priority="229" operator="equal">
      <formula>"NA"</formula>
    </cfRule>
    <cfRule type="cellIs" dxfId="162" priority="230" operator="equal">
      <formula>"Yes"</formula>
    </cfRule>
  </conditionalFormatting>
  <conditionalFormatting sqref="C20">
    <cfRule type="cellIs" dxfId="161" priority="182" operator="equal">
      <formula>"No"</formula>
    </cfRule>
    <cfRule type="cellIs" dxfId="160" priority="183" operator="equal">
      <formula>"NA"</formula>
    </cfRule>
    <cfRule type="cellIs" dxfId="159" priority="184" operator="equal">
      <formula>"Yes"</formula>
    </cfRule>
  </conditionalFormatting>
  <conditionalFormatting sqref="C22">
    <cfRule type="cellIs" dxfId="158" priority="136" operator="equal">
      <formula>"No"</formula>
    </cfRule>
    <cfRule type="cellIs" dxfId="157" priority="137" operator="equal">
      <formula>"NA"</formula>
    </cfRule>
    <cfRule type="cellIs" dxfId="156" priority="138" operator="equal">
      <formula>"Yes"</formula>
    </cfRule>
  </conditionalFormatting>
  <conditionalFormatting sqref="C23">
    <cfRule type="cellIs" dxfId="155" priority="90" operator="equal">
      <formula>"No"</formula>
    </cfRule>
    <cfRule type="cellIs" dxfId="154" priority="91" operator="equal">
      <formula>"NA"</formula>
    </cfRule>
    <cfRule type="cellIs" dxfId="153" priority="92" operator="equal">
      <formula>"Yes"</formula>
    </cfRule>
  </conditionalFormatting>
  <conditionalFormatting sqref="C25">
    <cfRule type="cellIs" dxfId="152" priority="44" operator="equal">
      <formula>"No"</formula>
    </cfRule>
    <cfRule type="cellIs" dxfId="151" priority="45" operator="equal">
      <formula>"NA"</formula>
    </cfRule>
    <cfRule type="cellIs" dxfId="15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4241F-B239-44F1-AB36-92C09B989A06}">
  <sheetPr codeName="Feuil40">
    <tabColor theme="7"/>
    <outlinePr summaryBelow="0" summaryRight="0"/>
    <pageSetUpPr fitToPage="1"/>
  </sheetPr>
  <dimension ref="A2:G1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7.85546875" style="144" bestFit="1" customWidth="1"/>
    <col min="4" max="4" width="33.7109375" style="144" customWidth="1"/>
    <col min="5" max="6" width="30.7109375" style="144" customWidth="1" outlineLevel="1"/>
    <col min="7" max="16384" width="9.28515625" style="144"/>
  </cols>
  <sheetData>
    <row r="2" spans="1:7" ht="54.75">
      <c r="A2" s="196" t="s">
        <v>296</v>
      </c>
      <c r="B2" s="197" t="s">
        <v>860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c r="A5" s="151" t="s">
        <v>113</v>
      </c>
      <c r="B5" s="160"/>
      <c r="C5" s="209" t="s">
        <v>113</v>
      </c>
      <c r="D5" s="210"/>
      <c r="E5" s="150"/>
      <c r="F5" s="150"/>
    </row>
    <row r="6" spans="1:7" ht="18">
      <c r="A6" s="211"/>
      <c r="B6" s="212" t="s">
        <v>377</v>
      </c>
      <c r="C6" s="211"/>
      <c r="D6" s="211"/>
      <c r="E6" s="211"/>
      <c r="F6" s="211"/>
    </row>
    <row r="7" spans="1:7" ht="38.25">
      <c r="A7" s="151" t="s">
        <v>861</v>
      </c>
      <c r="B7" s="160" t="s">
        <v>862</v>
      </c>
      <c r="C7" s="209"/>
      <c r="D7" s="210"/>
      <c r="E7" s="152" t="s">
        <v>863</v>
      </c>
      <c r="F7" s="150"/>
    </row>
    <row r="8" spans="1:7" ht="38.25">
      <c r="A8" s="151" t="s">
        <v>864</v>
      </c>
      <c r="B8" s="160" t="s">
        <v>865</v>
      </c>
      <c r="C8" s="209"/>
      <c r="D8" s="210"/>
      <c r="E8" s="152"/>
      <c r="F8" s="150"/>
    </row>
    <row r="9" spans="1:7" ht="38.25">
      <c r="A9" s="151" t="s">
        <v>866</v>
      </c>
      <c r="B9" s="160" t="s">
        <v>867</v>
      </c>
      <c r="C9" s="209"/>
      <c r="D9" s="210"/>
      <c r="E9" s="152"/>
      <c r="F9" s="150"/>
    </row>
    <row r="10" spans="1:7" ht="38.25">
      <c r="A10" s="151" t="s">
        <v>868</v>
      </c>
      <c r="B10" s="160" t="s">
        <v>869</v>
      </c>
      <c r="C10" s="209"/>
      <c r="D10" s="210"/>
      <c r="E10" s="152" t="s">
        <v>870</v>
      </c>
      <c r="F10" s="150"/>
    </row>
    <row r="11" spans="1:7" ht="51">
      <c r="A11" s="151" t="s">
        <v>871</v>
      </c>
      <c r="B11" s="160" t="s">
        <v>872</v>
      </c>
      <c r="C11" s="209"/>
      <c r="D11" s="210"/>
      <c r="E11" s="152"/>
      <c r="F11" s="150"/>
    </row>
    <row r="12" spans="1:7" ht="38.25">
      <c r="A12" s="151" t="s">
        <v>873</v>
      </c>
      <c r="B12" s="160" t="s">
        <v>874</v>
      </c>
      <c r="C12" s="209"/>
      <c r="D12" s="210"/>
      <c r="E12" s="152"/>
      <c r="F12" s="150"/>
    </row>
    <row r="13" spans="1:7" ht="38.25">
      <c r="A13" s="151" t="s">
        <v>875</v>
      </c>
      <c r="B13" s="160" t="s">
        <v>876</v>
      </c>
      <c r="C13" s="209"/>
      <c r="D13" s="210"/>
      <c r="E13" s="152"/>
      <c r="F13" s="150"/>
    </row>
    <row r="14" spans="1:7" ht="25.5">
      <c r="A14" s="151" t="s">
        <v>877</v>
      </c>
      <c r="B14" s="160" t="s">
        <v>878</v>
      </c>
      <c r="C14" s="209"/>
      <c r="D14" s="210"/>
      <c r="E14" s="152"/>
      <c r="F14" s="150"/>
    </row>
    <row r="15" spans="1:7" ht="25.5">
      <c r="A15" s="151" t="s">
        <v>879</v>
      </c>
      <c r="B15" s="160" t="s">
        <v>880</v>
      </c>
      <c r="C15" s="209"/>
      <c r="D15" s="210"/>
      <c r="E15" s="152"/>
      <c r="F15" s="150"/>
    </row>
    <row r="16" spans="1:7" ht="15">
      <c r="A16" s="213"/>
      <c r="B16" s="214" t="s">
        <v>378</v>
      </c>
      <c r="C16" s="213"/>
      <c r="D16" s="213"/>
      <c r="E16" s="213"/>
      <c r="F16" s="213"/>
    </row>
  </sheetData>
  <mergeCells count="1">
    <mergeCell ref="E2:F2"/>
  </mergeCells>
  <phoneticPr fontId="27" type="noConversion"/>
  <conditionalFormatting sqref="C5">
    <cfRule type="cellIs" dxfId="149" priority="10" operator="equal">
      <formula>"No"</formula>
    </cfRule>
    <cfRule type="cellIs" dxfId="148" priority="11" operator="equal">
      <formula>"NA"</formula>
    </cfRule>
    <cfRule type="cellIs" dxfId="147" priority="12" operator="equal">
      <formula>"Yes"</formula>
    </cfRule>
  </conditionalFormatting>
  <conditionalFormatting sqref="C15">
    <cfRule type="cellIs" dxfId="146" priority="7" operator="equal">
      <formula>"No"</formula>
    </cfRule>
    <cfRule type="cellIs" dxfId="145" priority="8" operator="equal">
      <formula>"NA"</formula>
    </cfRule>
    <cfRule type="cellIs" dxfId="144" priority="9" operator="equal">
      <formula>"Yes"</formula>
    </cfRule>
  </conditionalFormatting>
  <conditionalFormatting sqref="C7:C15">
    <cfRule type="cellIs" dxfId="143" priority="4" operator="equal">
      <formula>"No"</formula>
    </cfRule>
    <cfRule type="cellIs" dxfId="142" priority="5" operator="equal">
      <formula>"NA"</formula>
    </cfRule>
    <cfRule type="cellIs" dxfId="141" priority="6" operator="equal">
      <formula>"Yes"</formula>
    </cfRule>
  </conditionalFormatting>
  <conditionalFormatting sqref="C12">
    <cfRule type="cellIs" dxfId="140" priority="1" operator="equal">
      <formula>"No"</formula>
    </cfRule>
    <cfRule type="cellIs" dxfId="139" priority="2" operator="equal">
      <formula>"NA"</formula>
    </cfRule>
    <cfRule type="cellIs" dxfId="138" priority="3" operator="equal">
      <formula>"Yes"</formula>
    </cfRule>
  </conditionalFormatting>
  <dataValidations count="1">
    <dataValidation type="list" allowBlank="1" showInputMessage="1" showErrorMessage="1" sqref="C5 C7:C15" xr:uid="{08E20B5B-296F-4AC2-8F3C-3CD3C5479D93}">
      <formula1>Option_ReviewEvaluationScale</formula1>
    </dataValidation>
  </dataValidations>
  <pageMargins left="0.75" right="0.75" top="1" bottom="1" header="0.4921259845" footer="0.4921259845"/>
  <pageSetup paperSize="9" scale="61" fitToHeight="0" orientation="portrait" r:id="rId1"/>
  <headerFooter alignWithMargins="0"/>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5706A-BFE2-49FD-BB30-070748FF2BF8}">
  <sheetPr codeName="Feuil48">
    <tabColor theme="7"/>
    <outlinePr summaryBelow="0" summaryRight="0"/>
    <pageSetUpPr fitToPage="1"/>
  </sheetPr>
  <dimension ref="A2:G3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881</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63.75">
      <c r="A6" s="151" t="s">
        <v>883</v>
      </c>
      <c r="B6" s="160" t="s">
        <v>884</v>
      </c>
      <c r="C6" s="209"/>
      <c r="D6" s="16"/>
      <c r="E6" s="152" t="s">
        <v>885</v>
      </c>
      <c r="F6" s="150"/>
    </row>
    <row r="7" spans="1:7" ht="140.25">
      <c r="A7" s="151" t="s">
        <v>886</v>
      </c>
      <c r="B7" s="160" t="s">
        <v>887</v>
      </c>
      <c r="C7" s="209"/>
      <c r="D7" s="16"/>
      <c r="E7" s="152" t="s">
        <v>888</v>
      </c>
      <c r="F7" s="150"/>
    </row>
    <row r="8" spans="1:7" ht="89.25">
      <c r="A8" s="151" t="s">
        <v>889</v>
      </c>
      <c r="B8" s="160" t="s">
        <v>890</v>
      </c>
      <c r="C8" s="209"/>
      <c r="D8" s="16"/>
      <c r="E8" s="152" t="s">
        <v>891</v>
      </c>
      <c r="F8" s="150"/>
    </row>
    <row r="9" spans="1:7" ht="38.25">
      <c r="A9" s="151" t="s">
        <v>892</v>
      </c>
      <c r="B9" s="160" t="s">
        <v>893</v>
      </c>
      <c r="C9" s="209"/>
      <c r="D9" s="16"/>
      <c r="E9" s="150" t="s">
        <v>894</v>
      </c>
      <c r="F9" s="150"/>
    </row>
    <row r="10" spans="1:7" ht="25.5">
      <c r="A10" s="151" t="s">
        <v>895</v>
      </c>
      <c r="B10" s="160" t="s">
        <v>896</v>
      </c>
      <c r="C10" s="209"/>
      <c r="D10" s="16"/>
      <c r="E10" s="150"/>
      <c r="F10" s="150"/>
    </row>
    <row r="11" spans="1:7">
      <c r="A11" s="151" t="s">
        <v>897</v>
      </c>
      <c r="B11" s="160" t="s">
        <v>898</v>
      </c>
      <c r="C11" s="209"/>
      <c r="D11" s="16"/>
      <c r="E11" s="150" t="s">
        <v>899</v>
      </c>
      <c r="F11" s="150"/>
    </row>
    <row r="12" spans="1:7" ht="25.5">
      <c r="A12" s="151" t="s">
        <v>900</v>
      </c>
      <c r="B12" s="160" t="s">
        <v>901</v>
      </c>
      <c r="C12" s="209"/>
      <c r="D12" s="16"/>
      <c r="E12" s="150"/>
      <c r="F12" s="150"/>
    </row>
    <row r="13" spans="1:7" ht="25.5">
      <c r="A13" s="151" t="s">
        <v>902</v>
      </c>
      <c r="B13" s="160" t="s">
        <v>903</v>
      </c>
      <c r="C13" s="209"/>
      <c r="D13" s="16"/>
      <c r="E13" s="150" t="s">
        <v>904</v>
      </c>
      <c r="F13" s="150"/>
    </row>
    <row r="14" spans="1:7" ht="38.25">
      <c r="A14" s="151" t="s">
        <v>905</v>
      </c>
      <c r="B14" s="160" t="s">
        <v>906</v>
      </c>
      <c r="C14" s="209"/>
      <c r="D14" s="16"/>
      <c r="E14" s="150"/>
      <c r="F14" s="150"/>
    </row>
    <row r="15" spans="1:7" ht="51">
      <c r="A15" s="151" t="s">
        <v>907</v>
      </c>
      <c r="B15" s="160" t="s">
        <v>908</v>
      </c>
      <c r="C15" s="209"/>
      <c r="D15" s="16"/>
      <c r="E15" s="150"/>
      <c r="F15" s="150"/>
    </row>
    <row r="16" spans="1:7" ht="38.25">
      <c r="A16" s="151" t="s">
        <v>909</v>
      </c>
      <c r="B16" s="160" t="s">
        <v>910</v>
      </c>
      <c r="C16" s="209"/>
      <c r="D16" s="16"/>
      <c r="E16" s="150"/>
      <c r="F16" s="150"/>
    </row>
    <row r="17" spans="1:6">
      <c r="A17" s="151" t="s">
        <v>911</v>
      </c>
      <c r="B17" s="160" t="s">
        <v>912</v>
      </c>
      <c r="C17" s="209"/>
      <c r="D17" s="16"/>
      <c r="E17" s="150" t="s">
        <v>913</v>
      </c>
      <c r="F17" s="150"/>
    </row>
    <row r="18" spans="1:6" ht="18.75">
      <c r="A18" s="148"/>
      <c r="B18" s="157" t="s">
        <v>360</v>
      </c>
      <c r="C18" s="149"/>
      <c r="D18" s="149"/>
      <c r="E18" s="219"/>
      <c r="F18" s="219"/>
    </row>
    <row r="19" spans="1:6" ht="38.25">
      <c r="A19" s="151" t="s">
        <v>361</v>
      </c>
      <c r="B19" s="160" t="s">
        <v>362</v>
      </c>
      <c r="C19" s="209"/>
      <c r="D19" s="16"/>
      <c r="E19" s="150"/>
      <c r="F19" s="150"/>
    </row>
    <row r="20" spans="1:6" ht="25.5">
      <c r="A20" s="151" t="s">
        <v>363</v>
      </c>
      <c r="B20" s="160" t="s">
        <v>364</v>
      </c>
      <c r="C20" s="209"/>
      <c r="D20" s="16"/>
      <c r="E20" s="150"/>
      <c r="F20" s="150"/>
    </row>
    <row r="21" spans="1:6" ht="38.25">
      <c r="A21" s="151" t="s">
        <v>365</v>
      </c>
      <c r="B21" s="160" t="s">
        <v>366</v>
      </c>
      <c r="C21" s="209"/>
      <c r="D21" s="16"/>
      <c r="E21" s="150"/>
      <c r="F21" s="150"/>
    </row>
    <row r="22" spans="1:6" ht="38.25">
      <c r="A22" s="151" t="s">
        <v>367</v>
      </c>
      <c r="B22" s="160" t="s">
        <v>368</v>
      </c>
      <c r="C22" s="209"/>
      <c r="D22" s="16"/>
      <c r="E22" s="150"/>
      <c r="F22" s="150"/>
    </row>
    <row r="23" spans="1:6" ht="18.75">
      <c r="A23" s="148"/>
      <c r="B23" s="157" t="s">
        <v>369</v>
      </c>
      <c r="C23" s="149"/>
      <c r="D23" s="149"/>
      <c r="E23" s="219"/>
      <c r="F23" s="219"/>
    </row>
    <row r="24" spans="1:6" ht="38.25">
      <c r="A24" s="151" t="s">
        <v>370</v>
      </c>
      <c r="B24" s="160" t="s">
        <v>371</v>
      </c>
      <c r="C24" s="209"/>
      <c r="D24" s="16"/>
      <c r="E24" s="150"/>
      <c r="F24" s="150"/>
    </row>
    <row r="25" spans="1:6" ht="38.25">
      <c r="A25" s="151" t="s">
        <v>372</v>
      </c>
      <c r="B25" s="160" t="s">
        <v>373</v>
      </c>
      <c r="C25" s="209"/>
      <c r="D25" s="16"/>
      <c r="E25" s="150"/>
      <c r="F25" s="150"/>
    </row>
    <row r="26" spans="1:6" ht="18.75">
      <c r="A26" s="148"/>
      <c r="B26" s="157" t="s">
        <v>374</v>
      </c>
      <c r="C26" s="149"/>
      <c r="D26" s="149"/>
      <c r="E26" s="219"/>
      <c r="F26" s="219"/>
    </row>
    <row r="27" spans="1:6" ht="51">
      <c r="A27" s="151" t="s">
        <v>375</v>
      </c>
      <c r="B27" s="160" t="s">
        <v>376</v>
      </c>
      <c r="C27" s="209"/>
      <c r="D27" s="16"/>
      <c r="E27" s="150"/>
      <c r="F27" s="150"/>
    </row>
    <row r="28" spans="1:6" ht="18">
      <c r="A28" s="211"/>
      <c r="B28" s="212" t="s">
        <v>377</v>
      </c>
      <c r="C28" s="211"/>
      <c r="D28" s="211"/>
      <c r="E28" s="211"/>
      <c r="F28" s="211"/>
    </row>
    <row r="29" spans="1:6">
      <c r="A29" s="151"/>
      <c r="B29" s="160"/>
    </row>
    <row r="30" spans="1:6" ht="15">
      <c r="A30" s="213"/>
      <c r="B30" s="220" t="s">
        <v>378</v>
      </c>
      <c r="C30" s="213"/>
      <c r="D30" s="213"/>
      <c r="E30" s="213"/>
      <c r="F30" s="213"/>
    </row>
  </sheetData>
  <mergeCells count="1">
    <mergeCell ref="E2:F2"/>
  </mergeCells>
  <conditionalFormatting sqref="C6">
    <cfRule type="cellIs" dxfId="137" priority="529" operator="equal">
      <formula>"No"</formula>
    </cfRule>
    <cfRule type="cellIs" dxfId="136" priority="530" operator="equal">
      <formula>"NA"</formula>
    </cfRule>
    <cfRule type="cellIs" dxfId="135" priority="531" operator="equal">
      <formula>"Yes"</formula>
    </cfRule>
  </conditionalFormatting>
  <conditionalFormatting sqref="C7">
    <cfRule type="cellIs" dxfId="134" priority="497" operator="equal">
      <formula>"No"</formula>
    </cfRule>
    <cfRule type="cellIs" dxfId="133" priority="498" operator="equal">
      <formula>"NA"</formula>
    </cfRule>
    <cfRule type="cellIs" dxfId="132" priority="499" operator="equal">
      <formula>"Yes"</formula>
    </cfRule>
  </conditionalFormatting>
  <conditionalFormatting sqref="C8">
    <cfRule type="cellIs" dxfId="131" priority="465" operator="equal">
      <formula>"No"</formula>
    </cfRule>
    <cfRule type="cellIs" dxfId="130" priority="466" operator="equal">
      <formula>"NA"</formula>
    </cfRule>
    <cfRule type="cellIs" dxfId="129" priority="467" operator="equal">
      <formula>"Yes"</formula>
    </cfRule>
  </conditionalFormatting>
  <conditionalFormatting sqref="C9">
    <cfRule type="cellIs" dxfId="128" priority="433" operator="equal">
      <formula>"No"</formula>
    </cfRule>
    <cfRule type="cellIs" dxfId="127" priority="434" operator="equal">
      <formula>"NA"</formula>
    </cfRule>
    <cfRule type="cellIs" dxfId="126" priority="435" operator="equal">
      <formula>"Yes"</formula>
    </cfRule>
  </conditionalFormatting>
  <conditionalFormatting sqref="C10">
    <cfRule type="cellIs" dxfId="125" priority="401" operator="equal">
      <formula>"No"</formula>
    </cfRule>
    <cfRule type="cellIs" dxfId="124" priority="402" operator="equal">
      <formula>"NA"</formula>
    </cfRule>
    <cfRule type="cellIs" dxfId="123" priority="403" operator="equal">
      <formula>"Yes"</formula>
    </cfRule>
  </conditionalFormatting>
  <conditionalFormatting sqref="C11">
    <cfRule type="cellIs" dxfId="122" priority="369" operator="equal">
      <formula>"No"</formula>
    </cfRule>
    <cfRule type="cellIs" dxfId="121" priority="370" operator="equal">
      <formula>"NA"</formula>
    </cfRule>
    <cfRule type="cellIs" dxfId="120" priority="371" operator="equal">
      <formula>"Yes"</formula>
    </cfRule>
  </conditionalFormatting>
  <conditionalFormatting sqref="C12">
    <cfRule type="cellIs" dxfId="119" priority="337" operator="equal">
      <formula>"No"</formula>
    </cfRule>
    <cfRule type="cellIs" dxfId="118" priority="338" operator="equal">
      <formula>"NA"</formula>
    </cfRule>
    <cfRule type="cellIs" dxfId="117" priority="339" operator="equal">
      <formula>"Yes"</formula>
    </cfRule>
  </conditionalFormatting>
  <conditionalFormatting sqref="C13">
    <cfRule type="cellIs" dxfId="116" priority="305" operator="equal">
      <formula>"No"</formula>
    </cfRule>
    <cfRule type="cellIs" dxfId="115" priority="306" operator="equal">
      <formula>"NA"</formula>
    </cfRule>
    <cfRule type="cellIs" dxfId="114" priority="307" operator="equal">
      <formula>"Yes"</formula>
    </cfRule>
  </conditionalFormatting>
  <conditionalFormatting sqref="C14">
    <cfRule type="cellIs" dxfId="113" priority="273" operator="equal">
      <formula>"No"</formula>
    </cfRule>
    <cfRule type="cellIs" dxfId="112" priority="274" operator="equal">
      <formula>"NA"</formula>
    </cfRule>
    <cfRule type="cellIs" dxfId="111" priority="275" operator="equal">
      <formula>"Yes"</formula>
    </cfRule>
  </conditionalFormatting>
  <conditionalFormatting sqref="C15">
    <cfRule type="cellIs" dxfId="110" priority="241" operator="equal">
      <formula>"No"</formula>
    </cfRule>
    <cfRule type="cellIs" dxfId="109" priority="242" operator="equal">
      <formula>"NA"</formula>
    </cfRule>
    <cfRule type="cellIs" dxfId="108" priority="243" operator="equal">
      <formula>"Yes"</formula>
    </cfRule>
  </conditionalFormatting>
  <conditionalFormatting sqref="C16">
    <cfRule type="cellIs" dxfId="107" priority="209" operator="equal">
      <formula>"No"</formula>
    </cfRule>
    <cfRule type="cellIs" dxfId="106" priority="210" operator="equal">
      <formula>"NA"</formula>
    </cfRule>
    <cfRule type="cellIs" dxfId="105" priority="211" operator="equal">
      <formula>"Yes"</formula>
    </cfRule>
  </conditionalFormatting>
  <conditionalFormatting sqref="C17">
    <cfRule type="cellIs" dxfId="104" priority="177" operator="equal">
      <formula>"No"</formula>
    </cfRule>
    <cfRule type="cellIs" dxfId="103" priority="178" operator="equal">
      <formula>"NA"</formula>
    </cfRule>
    <cfRule type="cellIs" dxfId="102" priority="179" operator="equal">
      <formula>"Yes"</formula>
    </cfRule>
  </conditionalFormatting>
  <conditionalFormatting sqref="C19">
    <cfRule type="cellIs" dxfId="101" priority="145" operator="equal">
      <formula>"No"</formula>
    </cfRule>
    <cfRule type="cellIs" dxfId="100" priority="146" operator="equal">
      <formula>"NA"</formula>
    </cfRule>
    <cfRule type="cellIs" dxfId="99" priority="147" operator="equal">
      <formula>"Yes"</formula>
    </cfRule>
  </conditionalFormatting>
  <conditionalFormatting sqref="C20">
    <cfRule type="cellIs" dxfId="98" priority="124" operator="equal">
      <formula>"No"</formula>
    </cfRule>
    <cfRule type="cellIs" dxfId="97" priority="125" operator="equal">
      <formula>"NA"</formula>
    </cfRule>
    <cfRule type="cellIs" dxfId="96" priority="126" operator="equal">
      <formula>"Yes"</formula>
    </cfRule>
  </conditionalFormatting>
  <conditionalFormatting sqref="C21">
    <cfRule type="cellIs" dxfId="95" priority="103" operator="equal">
      <formula>"No"</formula>
    </cfRule>
    <cfRule type="cellIs" dxfId="94" priority="104" operator="equal">
      <formula>"NA"</formula>
    </cfRule>
    <cfRule type="cellIs" dxfId="93" priority="105" operator="equal">
      <formula>"Yes"</formula>
    </cfRule>
  </conditionalFormatting>
  <conditionalFormatting sqref="C22">
    <cfRule type="cellIs" dxfId="92" priority="82" operator="equal">
      <formula>"No"</formula>
    </cfRule>
    <cfRule type="cellIs" dxfId="91" priority="83" operator="equal">
      <formula>"NA"</formula>
    </cfRule>
    <cfRule type="cellIs" dxfId="90" priority="84" operator="equal">
      <formula>"Yes"</formula>
    </cfRule>
  </conditionalFormatting>
  <conditionalFormatting sqref="C24">
    <cfRule type="cellIs" dxfId="89" priority="61" operator="equal">
      <formula>"No"</formula>
    </cfRule>
    <cfRule type="cellIs" dxfId="88" priority="62" operator="equal">
      <formula>"NA"</formula>
    </cfRule>
    <cfRule type="cellIs" dxfId="87" priority="63" operator="equal">
      <formula>"Yes"</formula>
    </cfRule>
  </conditionalFormatting>
  <conditionalFormatting sqref="C25">
    <cfRule type="cellIs" dxfId="86" priority="40" operator="equal">
      <formula>"No"</formula>
    </cfRule>
    <cfRule type="cellIs" dxfId="85" priority="41" operator="equal">
      <formula>"NA"</formula>
    </cfRule>
    <cfRule type="cellIs" dxfId="84" priority="42" operator="equal">
      <formula>"Yes"</formula>
    </cfRule>
  </conditionalFormatting>
  <conditionalFormatting sqref="C27">
    <cfRule type="cellIs" dxfId="83" priority="19" operator="equal">
      <formula>"No"</formula>
    </cfRule>
    <cfRule type="cellIs" dxfId="82" priority="20" operator="equal">
      <formula>"NA"</formula>
    </cfRule>
    <cfRule type="cellIs" dxfId="81" priority="21" operator="equal">
      <formula>"Yes"</formula>
    </cfRule>
  </conditionalFormatting>
  <dataValidations count="1">
    <dataValidation type="list" allowBlank="1" showInputMessage="1" showErrorMessage="1" sqref="C6:C17 C19:C22 C24:C25 C27" xr:uid="{452A2974-DC99-46B8-84A5-292F19B65932}">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BD358-0A80-4F2E-9E7A-459351DC2CA7}">
  <sheetPr codeName="Feuil47">
    <tabColor theme="7"/>
    <outlinePr summaryBelow="0" summaryRight="0"/>
    <pageSetUpPr fitToPage="1"/>
  </sheetPr>
  <dimension ref="A2:G2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914</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25.5">
      <c r="A6" s="151" t="s">
        <v>915</v>
      </c>
      <c r="B6" s="160" t="s">
        <v>916</v>
      </c>
      <c r="C6" s="209"/>
      <c r="D6" s="16"/>
      <c r="E6" s="150" t="s">
        <v>917</v>
      </c>
      <c r="F6" s="150"/>
    </row>
    <row r="7" spans="1:7" ht="25.5">
      <c r="A7" s="151" t="s">
        <v>918</v>
      </c>
      <c r="B7" s="160" t="s">
        <v>919</v>
      </c>
      <c r="C7" s="209"/>
      <c r="D7" s="16"/>
      <c r="E7" s="150" t="s">
        <v>920</v>
      </c>
      <c r="F7" s="150"/>
    </row>
    <row r="8" spans="1:7">
      <c r="A8" s="151" t="s">
        <v>921</v>
      </c>
      <c r="B8" s="160" t="s">
        <v>922</v>
      </c>
      <c r="C8" s="209"/>
      <c r="D8" s="16"/>
      <c r="E8" s="150" t="s">
        <v>923</v>
      </c>
      <c r="F8" s="150"/>
    </row>
    <row r="9" spans="1:7">
      <c r="A9" s="151" t="s">
        <v>924</v>
      </c>
      <c r="B9" s="160" t="s">
        <v>925</v>
      </c>
      <c r="C9" s="209"/>
      <c r="D9" s="16"/>
      <c r="E9" s="150" t="s">
        <v>926</v>
      </c>
      <c r="F9" s="150"/>
    </row>
    <row r="10" spans="1:7" ht="76.5">
      <c r="A10" s="151" t="s">
        <v>927</v>
      </c>
      <c r="B10" s="160" t="s">
        <v>928</v>
      </c>
      <c r="C10" s="209"/>
      <c r="D10" s="16"/>
      <c r="E10" s="152" t="s">
        <v>929</v>
      </c>
      <c r="F10" s="150"/>
    </row>
    <row r="11" spans="1:7" ht="25.5">
      <c r="A11" s="151" t="s">
        <v>930</v>
      </c>
      <c r="B11" s="160" t="s">
        <v>931</v>
      </c>
      <c r="C11" s="209"/>
      <c r="D11" s="16"/>
      <c r="E11" s="150" t="s">
        <v>932</v>
      </c>
      <c r="F11" s="150"/>
    </row>
    <row r="12" spans="1:7" ht="25.5">
      <c r="A12" s="151" t="s">
        <v>933</v>
      </c>
      <c r="B12" s="160" t="s">
        <v>934</v>
      </c>
      <c r="C12" s="209"/>
      <c r="D12" s="16"/>
      <c r="E12" s="150" t="s">
        <v>935</v>
      </c>
      <c r="F12" s="150"/>
    </row>
    <row r="13" spans="1:7" ht="18.75">
      <c r="A13" s="148"/>
      <c r="B13" s="157" t="s">
        <v>360</v>
      </c>
      <c r="C13" s="149"/>
      <c r="D13" s="149"/>
      <c r="E13" s="219"/>
      <c r="F13" s="219"/>
    </row>
    <row r="14" spans="1:7" ht="38.25">
      <c r="A14" s="151" t="s">
        <v>361</v>
      </c>
      <c r="B14" s="160" t="s">
        <v>362</v>
      </c>
      <c r="C14" s="209"/>
      <c r="D14" s="16"/>
      <c r="E14" s="150"/>
      <c r="F14" s="150"/>
    </row>
    <row r="15" spans="1:7" ht="25.5">
      <c r="A15" s="151" t="s">
        <v>363</v>
      </c>
      <c r="B15" s="160" t="s">
        <v>364</v>
      </c>
      <c r="C15" s="209"/>
      <c r="D15" s="16"/>
      <c r="E15" s="150"/>
      <c r="F15" s="150"/>
    </row>
    <row r="16" spans="1:7" ht="38.25">
      <c r="A16" s="151" t="s">
        <v>365</v>
      </c>
      <c r="B16" s="160" t="s">
        <v>366</v>
      </c>
      <c r="C16" s="209"/>
      <c r="D16" s="16"/>
      <c r="E16" s="150"/>
      <c r="F16" s="150"/>
    </row>
    <row r="17" spans="1:6" ht="38.25">
      <c r="A17" s="151" t="s">
        <v>367</v>
      </c>
      <c r="B17" s="160" t="s">
        <v>368</v>
      </c>
      <c r="C17" s="209"/>
      <c r="D17" s="16"/>
      <c r="E17" s="150"/>
      <c r="F17" s="150"/>
    </row>
    <row r="18" spans="1:6" ht="18.75">
      <c r="A18" s="148"/>
      <c r="B18" s="157" t="s">
        <v>369</v>
      </c>
      <c r="C18" s="149"/>
      <c r="D18" s="149"/>
      <c r="E18" s="219"/>
      <c r="F18" s="219"/>
    </row>
    <row r="19" spans="1:6" ht="38.25">
      <c r="A19" s="151" t="s">
        <v>370</v>
      </c>
      <c r="B19" s="160" t="s">
        <v>371</v>
      </c>
      <c r="C19" s="209"/>
      <c r="D19" s="16"/>
      <c r="E19" s="150"/>
      <c r="F19" s="150"/>
    </row>
    <row r="20" spans="1:6" ht="38.25">
      <c r="A20" s="151" t="s">
        <v>372</v>
      </c>
      <c r="B20" s="160" t="s">
        <v>373</v>
      </c>
      <c r="C20" s="209"/>
      <c r="D20" s="16"/>
      <c r="E20" s="150"/>
      <c r="F20" s="150"/>
    </row>
    <row r="21" spans="1:6" ht="18.75">
      <c r="A21" s="148"/>
      <c r="B21" s="157" t="s">
        <v>374</v>
      </c>
      <c r="C21" s="149"/>
      <c r="D21" s="149"/>
      <c r="E21" s="219"/>
      <c r="F21" s="219"/>
    </row>
    <row r="22" spans="1:6" ht="51">
      <c r="A22" s="151" t="s">
        <v>375</v>
      </c>
      <c r="B22" s="160" t="s">
        <v>376</v>
      </c>
      <c r="C22" s="209"/>
      <c r="D22" s="16"/>
      <c r="E22" s="150"/>
      <c r="F22" s="150"/>
    </row>
    <row r="23" spans="1:6" ht="18">
      <c r="A23" s="211"/>
      <c r="B23" s="212" t="s">
        <v>377</v>
      </c>
      <c r="C23" s="211"/>
      <c r="D23" s="211"/>
      <c r="E23" s="211"/>
      <c r="F23" s="211"/>
    </row>
    <row r="24" spans="1:6">
      <c r="A24" s="151"/>
      <c r="B24" s="160"/>
    </row>
    <row r="25" spans="1:6" ht="15">
      <c r="A25" s="213"/>
      <c r="B25" s="220" t="s">
        <v>378</v>
      </c>
      <c r="C25" s="213"/>
      <c r="D25" s="213"/>
      <c r="E25" s="213"/>
      <c r="F25" s="213"/>
    </row>
  </sheetData>
  <mergeCells count="1">
    <mergeCell ref="E2:F2"/>
  </mergeCells>
  <conditionalFormatting sqref="C6">
    <cfRule type="cellIs" dxfId="80" priority="369" operator="equal">
      <formula>"No"</formula>
    </cfRule>
    <cfRule type="cellIs" dxfId="79" priority="370" operator="equal">
      <formula>"NA"</formula>
    </cfRule>
    <cfRule type="cellIs" dxfId="78" priority="371" operator="equal">
      <formula>"Yes"</formula>
    </cfRule>
  </conditionalFormatting>
  <conditionalFormatting sqref="C7">
    <cfRule type="cellIs" dxfId="77" priority="337" operator="equal">
      <formula>"No"</formula>
    </cfRule>
    <cfRule type="cellIs" dxfId="76" priority="338" operator="equal">
      <formula>"NA"</formula>
    </cfRule>
    <cfRule type="cellIs" dxfId="75" priority="339" operator="equal">
      <formula>"Yes"</formula>
    </cfRule>
  </conditionalFormatting>
  <conditionalFormatting sqref="C8">
    <cfRule type="cellIs" dxfId="74" priority="305" operator="equal">
      <formula>"No"</formula>
    </cfRule>
    <cfRule type="cellIs" dxfId="73" priority="306" operator="equal">
      <formula>"NA"</formula>
    </cfRule>
    <cfRule type="cellIs" dxfId="72" priority="307" operator="equal">
      <formula>"Yes"</formula>
    </cfRule>
  </conditionalFormatting>
  <conditionalFormatting sqref="C9">
    <cfRule type="cellIs" dxfId="71" priority="273" operator="equal">
      <formula>"No"</formula>
    </cfRule>
    <cfRule type="cellIs" dxfId="70" priority="274" operator="equal">
      <formula>"NA"</formula>
    </cfRule>
    <cfRule type="cellIs" dxfId="69" priority="275" operator="equal">
      <formula>"Yes"</formula>
    </cfRule>
  </conditionalFormatting>
  <conditionalFormatting sqref="C10">
    <cfRule type="cellIs" dxfId="68" priority="241" operator="equal">
      <formula>"No"</formula>
    </cfRule>
    <cfRule type="cellIs" dxfId="67" priority="242" operator="equal">
      <formula>"NA"</formula>
    </cfRule>
    <cfRule type="cellIs" dxfId="66" priority="243" operator="equal">
      <formula>"Yes"</formula>
    </cfRule>
  </conditionalFormatting>
  <conditionalFormatting sqref="C11">
    <cfRule type="cellIs" dxfId="65" priority="209" operator="equal">
      <formula>"No"</formula>
    </cfRule>
    <cfRule type="cellIs" dxfId="64" priority="210" operator="equal">
      <formula>"NA"</formula>
    </cfRule>
    <cfRule type="cellIs" dxfId="63" priority="211" operator="equal">
      <formula>"Yes"</formula>
    </cfRule>
  </conditionalFormatting>
  <conditionalFormatting sqref="C12">
    <cfRule type="cellIs" dxfId="62" priority="177" operator="equal">
      <formula>"No"</formula>
    </cfRule>
    <cfRule type="cellIs" dxfId="61" priority="178" operator="equal">
      <formula>"NA"</formula>
    </cfRule>
    <cfRule type="cellIs" dxfId="60" priority="179" operator="equal">
      <formula>"Yes"</formula>
    </cfRule>
  </conditionalFormatting>
  <conditionalFormatting sqref="C14">
    <cfRule type="cellIs" dxfId="59" priority="145" operator="equal">
      <formula>"No"</formula>
    </cfRule>
    <cfRule type="cellIs" dxfId="58" priority="146" operator="equal">
      <formula>"NA"</formula>
    </cfRule>
    <cfRule type="cellIs" dxfId="57" priority="147" operator="equal">
      <formula>"Yes"</formula>
    </cfRule>
  </conditionalFormatting>
  <conditionalFormatting sqref="C15">
    <cfRule type="cellIs" dxfId="56" priority="124" operator="equal">
      <formula>"No"</formula>
    </cfRule>
    <cfRule type="cellIs" dxfId="55" priority="125" operator="equal">
      <formula>"NA"</formula>
    </cfRule>
    <cfRule type="cellIs" dxfId="54" priority="126" operator="equal">
      <formula>"Yes"</formula>
    </cfRule>
  </conditionalFormatting>
  <conditionalFormatting sqref="C16">
    <cfRule type="cellIs" dxfId="53" priority="103" operator="equal">
      <formula>"No"</formula>
    </cfRule>
    <cfRule type="cellIs" dxfId="52" priority="104" operator="equal">
      <formula>"NA"</formula>
    </cfRule>
    <cfRule type="cellIs" dxfId="51" priority="105" operator="equal">
      <formula>"Yes"</formula>
    </cfRule>
  </conditionalFormatting>
  <conditionalFormatting sqref="C17">
    <cfRule type="cellIs" dxfId="50" priority="82" operator="equal">
      <formula>"No"</formula>
    </cfRule>
    <cfRule type="cellIs" dxfId="49" priority="83" operator="equal">
      <formula>"NA"</formula>
    </cfRule>
    <cfRule type="cellIs" dxfId="48" priority="84" operator="equal">
      <formula>"Yes"</formula>
    </cfRule>
  </conditionalFormatting>
  <conditionalFormatting sqref="C19">
    <cfRule type="cellIs" dxfId="47" priority="61" operator="equal">
      <formula>"No"</formula>
    </cfRule>
    <cfRule type="cellIs" dxfId="46" priority="62" operator="equal">
      <formula>"NA"</formula>
    </cfRule>
    <cfRule type="cellIs" dxfId="45" priority="63" operator="equal">
      <formula>"Yes"</formula>
    </cfRule>
  </conditionalFormatting>
  <conditionalFormatting sqref="C20">
    <cfRule type="cellIs" dxfId="44" priority="40" operator="equal">
      <formula>"No"</formula>
    </cfRule>
    <cfRule type="cellIs" dxfId="43" priority="41" operator="equal">
      <formula>"NA"</formula>
    </cfRule>
    <cfRule type="cellIs" dxfId="42" priority="42" operator="equal">
      <formula>"Yes"</formula>
    </cfRule>
  </conditionalFormatting>
  <conditionalFormatting sqref="C22">
    <cfRule type="cellIs" dxfId="41" priority="19" operator="equal">
      <formula>"No"</formula>
    </cfRule>
    <cfRule type="cellIs" dxfId="40" priority="20" operator="equal">
      <formula>"NA"</formula>
    </cfRule>
    <cfRule type="cellIs" dxfId="39" priority="21" operator="equal">
      <formula>"Yes"</formula>
    </cfRule>
  </conditionalFormatting>
  <dataValidations count="1">
    <dataValidation type="list" allowBlank="1" showInputMessage="1" showErrorMessage="1" sqref="C6:C12 C14:C17 C19:C20 C22" xr:uid="{7E274518-9CAC-42BA-87BD-39A9826FEF4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180F7-7F5C-4772-9C18-CE0A1B1782B5}">
  <sheetPr codeName="Feuil49">
    <tabColor theme="7"/>
    <outlinePr summaryBelow="0" summaryRight="0"/>
    <pageSetUpPr fitToPage="1"/>
  </sheetPr>
  <dimension ref="A2:G2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936</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c r="A6" s="151" t="s">
        <v>937</v>
      </c>
      <c r="B6" s="160" t="s">
        <v>938</v>
      </c>
      <c r="C6" s="209"/>
      <c r="D6" s="16"/>
      <c r="E6" s="150"/>
      <c r="F6" s="150"/>
    </row>
    <row r="7" spans="1:7" ht="25.5">
      <c r="A7" s="151" t="s">
        <v>939</v>
      </c>
      <c r="B7" s="160" t="s">
        <v>940</v>
      </c>
      <c r="C7" s="209"/>
      <c r="D7" s="16"/>
      <c r="E7" s="150"/>
      <c r="F7" s="150"/>
    </row>
    <row r="8" spans="1:7" ht="25.5">
      <c r="A8" s="151" t="s">
        <v>941</v>
      </c>
      <c r="B8" s="160" t="s">
        <v>942</v>
      </c>
      <c r="C8" s="209"/>
      <c r="D8" s="16"/>
      <c r="E8" s="150"/>
      <c r="F8" s="150"/>
    </row>
    <row r="9" spans="1:7">
      <c r="A9" s="151" t="s">
        <v>943</v>
      </c>
      <c r="B9" s="160" t="s">
        <v>944</v>
      </c>
      <c r="C9" s="209"/>
      <c r="D9" s="16"/>
      <c r="E9" s="150"/>
      <c r="F9" s="150"/>
    </row>
    <row r="10" spans="1:7" ht="25.5">
      <c r="A10" s="151" t="s">
        <v>945</v>
      </c>
      <c r="B10" s="160" t="s">
        <v>946</v>
      </c>
      <c r="C10" s="209"/>
      <c r="D10" s="16"/>
      <c r="E10" s="150"/>
      <c r="F10" s="150"/>
    </row>
    <row r="11" spans="1:7" ht="25.5">
      <c r="A11" s="151" t="s">
        <v>947</v>
      </c>
      <c r="B11" s="160" t="s">
        <v>948</v>
      </c>
      <c r="C11" s="209"/>
      <c r="D11" s="16"/>
      <c r="E11" s="150"/>
      <c r="F11" s="150"/>
    </row>
    <row r="12" spans="1:7" ht="18.75">
      <c r="A12" s="148"/>
      <c r="B12" s="157" t="s">
        <v>360</v>
      </c>
      <c r="C12" s="149"/>
      <c r="D12" s="149"/>
      <c r="E12" s="219"/>
      <c r="F12" s="219"/>
    </row>
    <row r="13" spans="1:7" ht="38.25">
      <c r="A13" s="151" t="s">
        <v>361</v>
      </c>
      <c r="B13" s="160" t="s">
        <v>362</v>
      </c>
      <c r="C13" s="209"/>
      <c r="D13" s="16"/>
      <c r="E13" s="150"/>
      <c r="F13" s="150"/>
    </row>
    <row r="14" spans="1:7" ht="25.5">
      <c r="A14" s="151" t="s">
        <v>363</v>
      </c>
      <c r="B14" s="160" t="s">
        <v>364</v>
      </c>
      <c r="C14" s="209"/>
      <c r="D14" s="16"/>
      <c r="E14" s="150"/>
      <c r="F14" s="150"/>
    </row>
    <row r="15" spans="1:7" ht="38.25">
      <c r="A15" s="151" t="s">
        <v>365</v>
      </c>
      <c r="B15" s="160" t="s">
        <v>366</v>
      </c>
      <c r="C15" s="209"/>
      <c r="D15" s="16"/>
      <c r="E15" s="150"/>
      <c r="F15" s="150"/>
    </row>
    <row r="16" spans="1:7" ht="38.25">
      <c r="A16" s="151" t="s">
        <v>367</v>
      </c>
      <c r="B16" s="160" t="s">
        <v>368</v>
      </c>
      <c r="C16" s="209"/>
      <c r="D16" s="16"/>
      <c r="E16" s="150"/>
      <c r="F16" s="150"/>
    </row>
    <row r="17" spans="1:6" ht="18.75">
      <c r="A17" s="148"/>
      <c r="B17" s="157" t="s">
        <v>369</v>
      </c>
      <c r="C17" s="149"/>
      <c r="D17" s="149"/>
      <c r="E17" s="219"/>
      <c r="F17" s="219"/>
    </row>
    <row r="18" spans="1:6" ht="38.25">
      <c r="A18" s="151" t="s">
        <v>370</v>
      </c>
      <c r="B18" s="160" t="s">
        <v>371</v>
      </c>
      <c r="C18" s="209"/>
      <c r="D18" s="16"/>
      <c r="E18" s="150"/>
      <c r="F18" s="150"/>
    </row>
    <row r="19" spans="1:6" ht="38.25">
      <c r="A19" s="151" t="s">
        <v>372</v>
      </c>
      <c r="B19" s="160" t="s">
        <v>373</v>
      </c>
      <c r="C19" s="209"/>
      <c r="D19" s="16"/>
      <c r="E19" s="150"/>
      <c r="F19" s="150"/>
    </row>
    <row r="20" spans="1:6" ht="18.75">
      <c r="A20" s="148"/>
      <c r="B20" s="157" t="s">
        <v>374</v>
      </c>
      <c r="C20" s="149"/>
      <c r="D20" s="149"/>
      <c r="E20" s="219"/>
      <c r="F20" s="219"/>
    </row>
    <row r="21" spans="1:6" ht="51">
      <c r="A21" s="151" t="s">
        <v>375</v>
      </c>
      <c r="B21" s="160" t="s">
        <v>376</v>
      </c>
      <c r="C21" s="209"/>
      <c r="D21" s="16"/>
      <c r="E21" s="150"/>
      <c r="F21" s="150"/>
    </row>
    <row r="22" spans="1:6" ht="18">
      <c r="A22" s="211"/>
      <c r="B22" s="212" t="s">
        <v>377</v>
      </c>
      <c r="C22" s="211"/>
      <c r="D22" s="211"/>
      <c r="E22" s="211"/>
      <c r="F22" s="211"/>
    </row>
    <row r="23" spans="1:6">
      <c r="A23" s="151"/>
      <c r="B23" s="160"/>
    </row>
    <row r="24" spans="1:6" ht="15">
      <c r="A24" s="213"/>
      <c r="B24" s="220" t="s">
        <v>378</v>
      </c>
      <c r="C24" s="213"/>
      <c r="D24" s="213"/>
      <c r="E24" s="213"/>
      <c r="F24" s="213"/>
    </row>
  </sheetData>
  <mergeCells count="1">
    <mergeCell ref="E2:F2"/>
  </mergeCells>
  <conditionalFormatting sqref="C6">
    <cfRule type="cellIs" dxfId="38" priority="337" operator="equal">
      <formula>"No"</formula>
    </cfRule>
    <cfRule type="cellIs" dxfId="37" priority="338" operator="equal">
      <formula>"NA"</formula>
    </cfRule>
    <cfRule type="cellIs" dxfId="36" priority="339" operator="equal">
      <formula>"Yes"</formula>
    </cfRule>
  </conditionalFormatting>
  <conditionalFormatting sqref="C7">
    <cfRule type="cellIs" dxfId="35" priority="305" operator="equal">
      <formula>"No"</formula>
    </cfRule>
    <cfRule type="cellIs" dxfId="34" priority="306" operator="equal">
      <formula>"NA"</formula>
    </cfRule>
    <cfRule type="cellIs" dxfId="33" priority="307" operator="equal">
      <formula>"Yes"</formula>
    </cfRule>
  </conditionalFormatting>
  <conditionalFormatting sqref="C8">
    <cfRule type="cellIs" dxfId="32" priority="273" operator="equal">
      <formula>"No"</formula>
    </cfRule>
    <cfRule type="cellIs" dxfId="31" priority="274" operator="equal">
      <formula>"NA"</formula>
    </cfRule>
    <cfRule type="cellIs" dxfId="30" priority="275" operator="equal">
      <formula>"Yes"</formula>
    </cfRule>
  </conditionalFormatting>
  <conditionalFormatting sqref="C9">
    <cfRule type="cellIs" dxfId="29" priority="241" operator="equal">
      <formula>"No"</formula>
    </cfRule>
    <cfRule type="cellIs" dxfId="28" priority="242" operator="equal">
      <formula>"NA"</formula>
    </cfRule>
    <cfRule type="cellIs" dxfId="27" priority="243" operator="equal">
      <formula>"Yes"</formula>
    </cfRule>
  </conditionalFormatting>
  <conditionalFormatting sqref="C10">
    <cfRule type="cellIs" dxfId="26" priority="209" operator="equal">
      <formula>"No"</formula>
    </cfRule>
    <cfRule type="cellIs" dxfId="25" priority="210" operator="equal">
      <formula>"NA"</formula>
    </cfRule>
    <cfRule type="cellIs" dxfId="24" priority="211" operator="equal">
      <formula>"Yes"</formula>
    </cfRule>
  </conditionalFormatting>
  <conditionalFormatting sqref="C11">
    <cfRule type="cellIs" dxfId="23" priority="177" operator="equal">
      <formula>"No"</formula>
    </cfRule>
    <cfRule type="cellIs" dxfId="22" priority="178" operator="equal">
      <formula>"NA"</formula>
    </cfRule>
    <cfRule type="cellIs" dxfId="21" priority="179" operator="equal">
      <formula>"Yes"</formula>
    </cfRule>
  </conditionalFormatting>
  <conditionalFormatting sqref="C13">
    <cfRule type="cellIs" dxfId="20" priority="145" operator="equal">
      <formula>"No"</formula>
    </cfRule>
    <cfRule type="cellIs" dxfId="19" priority="146" operator="equal">
      <formula>"NA"</formula>
    </cfRule>
    <cfRule type="cellIs" dxfId="18" priority="147" operator="equal">
      <formula>"Yes"</formula>
    </cfRule>
  </conditionalFormatting>
  <conditionalFormatting sqref="C14">
    <cfRule type="cellIs" dxfId="17" priority="124" operator="equal">
      <formula>"No"</formula>
    </cfRule>
    <cfRule type="cellIs" dxfId="16" priority="125" operator="equal">
      <formula>"NA"</formula>
    </cfRule>
    <cfRule type="cellIs" dxfId="15" priority="126" operator="equal">
      <formula>"Yes"</formula>
    </cfRule>
  </conditionalFormatting>
  <conditionalFormatting sqref="C15">
    <cfRule type="cellIs" dxfId="14" priority="103" operator="equal">
      <formula>"No"</formula>
    </cfRule>
    <cfRule type="cellIs" dxfId="13" priority="104" operator="equal">
      <formula>"NA"</formula>
    </cfRule>
    <cfRule type="cellIs" dxfId="12" priority="105" operator="equal">
      <formula>"Yes"</formula>
    </cfRule>
  </conditionalFormatting>
  <conditionalFormatting sqref="C16">
    <cfRule type="cellIs" dxfId="11" priority="82" operator="equal">
      <formula>"No"</formula>
    </cfRule>
    <cfRule type="cellIs" dxfId="10" priority="83" operator="equal">
      <formula>"NA"</formula>
    </cfRule>
    <cfRule type="cellIs" dxfId="9" priority="84" operator="equal">
      <formula>"Yes"</formula>
    </cfRule>
  </conditionalFormatting>
  <conditionalFormatting sqref="C18">
    <cfRule type="cellIs" dxfId="8" priority="61" operator="equal">
      <formula>"No"</formula>
    </cfRule>
    <cfRule type="cellIs" dxfId="7" priority="62" operator="equal">
      <formula>"NA"</formula>
    </cfRule>
    <cfRule type="cellIs" dxfId="6" priority="63" operator="equal">
      <formula>"Yes"</formula>
    </cfRule>
  </conditionalFormatting>
  <conditionalFormatting sqref="C19">
    <cfRule type="cellIs" dxfId="5" priority="40" operator="equal">
      <formula>"No"</formula>
    </cfRule>
    <cfRule type="cellIs" dxfId="4" priority="41" operator="equal">
      <formula>"NA"</formula>
    </cfRule>
    <cfRule type="cellIs" dxfId="3" priority="42" operator="equal">
      <formula>"Yes"</formula>
    </cfRule>
  </conditionalFormatting>
  <conditionalFormatting sqref="C21">
    <cfRule type="cellIs" dxfId="2" priority="19" operator="equal">
      <formula>"No"</formula>
    </cfRule>
    <cfRule type="cellIs" dxfId="1" priority="20" operator="equal">
      <formula>"NA"</formula>
    </cfRule>
    <cfRule type="cellIs" dxfId="0" priority="21" operator="equal">
      <formula>"Yes"</formula>
    </cfRule>
  </conditionalFormatting>
  <dataValidations count="1">
    <dataValidation type="list" allowBlank="1" showInputMessage="1" showErrorMessage="1" sqref="C6:C11 C13:C16 C18:C19 C21" xr:uid="{879209C7-2803-49F2-B5B0-3F02B6A563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LongProperties xmlns="http://schemas.microsoft.com/office/2006/metadata/longProperties"/>
</file>

<file path=customXml/item2.xml><?xml version="1.0" encoding="utf-8"?>
<?mso-contentType ?>
<FormUrls xmlns="http://schemas.microsoft.com/sharepoint/v3/contenttype/forms/url">
  <Display>/sites/SP_GlobalPpsElectronicsProcess/CrowCanyonAppsLib/AdvForms/RenderForm.aspx?FormType=4&amp;CCSListFormUrl=/Documents/Forms/ccs_DispForm.aspx</Display>
  <Edit>/sites/SP_GlobalPpsElectronicsProcess/CrowCanyonAppsLib/AdvForms/RenderForm.aspx?FormType=6&amp;CCSListFormUrl=/Documents/Forms/ccs_EditForm.aspx</Edit>
  <DisplayFormTarget>NewWindow</DisplayFormTarget>
  <EditFormTarget>NewWindow</EditFormTarget>
  <NewFormTarget>NewWindow</NewFormTarget>
</FormUrl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39fc08f4-e377-426c-bf51-09394c342d2d">YSTUAYFPSYQC-1610908312-827</_dlc_DocId>
    <_dlc_DocIdUrl xmlns="39fc08f4-e377-426c-bf51-09394c342d2d">
      <Url>https://autoliv.sharepoint.com/sites/SP_GlobalPpsElectronicsProcess/_layouts/15/DocIdRedir.aspx?ID=YSTUAYFPSYQC-1610908312-827</Url>
      <Description>YSTUAYFPSYQC-1610908312-827</Description>
    </_dlc_DocIdUrl>
    <year xmlns="74ecd23b-8464-46a3-a3af-f21528e1dc50" xsi:nil="true"/>
    <lcf76f155ced4ddcb4097134ff3c332f xmlns="74ecd23b-8464-46a3-a3af-f21528e1dc50">
      <Terms xmlns="http://schemas.microsoft.com/office/infopath/2007/PartnerControls"/>
    </lcf76f155ced4ddcb4097134ff3c332f>
    <TaxCatchAll xmlns="39fc08f4-e377-426c-bf51-09394c342d2d" xsi:nil="true"/>
    <ApprovalStatus xmlns="74ecd23b-8464-46a3-a3af-f21528e1dc50" xsi:nil="true"/>
    <CCSFormData xmlns="74ecd23b-8464-46a3-a3af-f21528e1dc50" xsi:nil="true"/>
    <CCSPortalFormKey xmlns="74ecd23b-8464-46a3-a3af-f21528e1dc50" xsi:nil="true"/>
    <CCSUniqueGuid xmlns="74ecd23b-8464-46a3-a3af-f21528e1dc50" xsi:nil="true"/>
    <Assign_x0020_To xmlns="74ecd23b-8464-46a3-a3af-f21528e1dc50">
      <UserInfo>
        <DisplayName/>
        <AccountId xsi:nil="true"/>
        <AccountType/>
      </UserInfo>
    </Assign_x0020_To>
    <RelateItem xmlns="74ecd23b-8464-46a3-a3af-f21528e1dc50" xsi:nil="true"/>
    <ApprovalStatusLvl1 xmlns="74ecd23b-8464-46a3-a3af-f21528e1dc50">Pending</ApprovalStatusLvl1>
    <ApprovalStatusLvl2 xmlns="74ecd23b-8464-46a3-a3af-f21528e1dc50">Pending</ApprovalStatusLvl2>
    <AssignTo2 xmlns="74ecd23b-8464-46a3-a3af-f21528e1dc50">
      <UserInfo>
        <DisplayName/>
        <AccountId xsi:nil="true"/>
        <AccountType/>
      </UserInfo>
    </AssignTo2>
    <AssignTo3 xmlns="74ecd23b-8464-46a3-a3af-f21528e1dc50">
      <UserInfo>
        <DisplayName/>
        <AccountId xsi:nil="true"/>
        <AccountType/>
      </UserInfo>
    </AssignTo3>
    <ApprovalStatusLvl3 xmlns="74ecd23b-8464-46a3-a3af-f21528e1dc50">Pending</ApprovalStatusLvl3>
    <Status xmlns="74ecd23b-8464-46a3-a3af-f21528e1dc50">New</Status>
  </documentManagement>
</p:properties>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6.xml><?xml version="1.0" encoding="utf-8"?>
<ct:contentTypeSchema xmlns:ct="http://schemas.microsoft.com/office/2006/metadata/contentType" xmlns:ma="http://schemas.microsoft.com/office/2006/metadata/properties/metaAttributes" ct:_="" ma:_="" ma:contentTypeName="Document" ma:contentTypeID="0x010100439E5B66DBFC0043AA8A61022FDAB9DF" ma:contentTypeVersion="111" ma:contentTypeDescription="Create a new document." ma:contentTypeScope="" ma:versionID="4486f7854db3febebb6ab7198fbfd0ba">
  <xsd:schema xmlns:xsd="http://www.w3.org/2001/XMLSchema" xmlns:xs="http://www.w3.org/2001/XMLSchema" xmlns:p="http://schemas.microsoft.com/office/2006/metadata/properties" xmlns:ns2="39fc08f4-e377-426c-bf51-09394c342d2d" xmlns:ns3="74ecd23b-8464-46a3-a3af-f21528e1dc50" targetNamespace="http://schemas.microsoft.com/office/2006/metadata/properties" ma:root="true" ma:fieldsID="ca0f325788ba0e2b67b63e639597cba8" ns2:_="" ns3:_="">
    <xsd:import namespace="39fc08f4-e377-426c-bf51-09394c342d2d"/>
    <xsd:import namespace="74ecd23b-8464-46a3-a3af-f21528e1dc50"/>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3:year"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Assign_x0020_To" minOccurs="0"/>
                <xsd:element ref="ns3:CCSPortalFormKey" minOccurs="0"/>
                <xsd:element ref="ns3:CCSUniqueGuid" minOccurs="0"/>
                <xsd:element ref="ns3:CCSFormData" minOccurs="0"/>
                <xsd:element ref="ns3:ApprovalStatus" minOccurs="0"/>
                <xsd:element ref="ns3:RelateItem" minOccurs="0"/>
                <xsd:element ref="ns3:AssignTo2" minOccurs="0"/>
                <xsd:element ref="ns3:ApprovalStatusLvl2" minOccurs="0"/>
                <xsd:element ref="ns3:AssignTo3" minOccurs="0"/>
                <xsd:element ref="ns3:ApprovalStatusLvl3" minOccurs="0"/>
                <xsd:element ref="ns3:ApprovalStatusLvl1" minOccurs="0"/>
                <xsd:element ref="ns3: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fc08f4-e377-426c-bf51-09394c342d2d" elementFormDefault="qualified">
    <xsd:import namespace="http://schemas.microsoft.com/office/2006/documentManagement/types"/>
    <xsd:import namespace="http://schemas.microsoft.com/office/infopath/2007/PartnerControls"/>
    <xsd:element name="_dlc_DocId" ma:index="4" nillable="true" ma:displayName="Document ID Value" ma:description="The value of the document ID assigned to this item." ma:indexed="true" ma:internalName="_dlc_DocId" ma:readOnly="true">
      <xsd:simpleType>
        <xsd:restriction base="dms:Text"/>
      </xsd:simpleType>
    </xsd:element>
    <xsd:element name="_dlc_DocIdUrl" ma:index="5" nillable="true" ma:displayName="Document ID" ma:description="Permanent link to this document." ma:format="Hyperlink"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6" nillable="true" ma:displayName="Persist ID" ma:description="Keep ID on add." ma:hidden="true" ma:internalName="_dlc_DocIdPersistId" ma:readOnly="true">
      <xsd:simpleType>
        <xsd:restriction base="dms:Boolean"/>
      </xsd:simpleType>
    </xsd:element>
    <xsd:element name="SharedWithUsers" ma:index="7" nillable="true" ma:displayName="Shared With" ma:list="UserInfo" ma:SearchPeopleOnly="fals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0146f998-d3bd-4b10-9a42-fb7eefa9b9af}" ma:internalName="TaxCatchAll" ma:showField="CatchAllData" ma:web="39fc08f4-e377-426c-bf51-09394c342d2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4ecd23b-8464-46a3-a3af-f21528e1dc50" elementFormDefault="qualified">
    <xsd:import namespace="http://schemas.microsoft.com/office/2006/documentManagement/types"/>
    <xsd:import namespace="http://schemas.microsoft.com/office/infopath/2007/PartnerControls"/>
    <xsd:element name="year" ma:index="8" nillable="true" ma:displayName="year" ma:default="2019" ma:format="Dropdown" ma:internalName="year" ma:readOnly="false">
      <xsd:simpleType>
        <xsd:restriction base="dms:Choice">
          <xsd:enumeration value="2019"/>
          <xsd:enumeration value="2020"/>
          <xsd:enumeration value="2021"/>
          <xsd:enumeration value="2022"/>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341beaa-fa1d-433d-b326-35c073b025b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GenerationTime" ma:index="24" nillable="true" ma:displayName="MediaServiceGenerationTime" ma:hidden="true" ma:internalName="MediaServiceGenerationTime"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Assign_x0020_To" ma:index="26" nillable="true" ma:displayName="Assign To" ma:description="Add Approve Name" ma:list="UserInfo" ma:SharePointGroup="0" ma:internalName="Assign_x0020_To"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CSPortalFormKey" ma:index="27" nillable="true" ma:displayName="CCSPortalFormKey" ma:hidden="true" ma:indexed="true" ma:internalName="CCSPortalFormKey">
      <xsd:simpleType>
        <xsd:restriction base="dms:Text"/>
      </xsd:simpleType>
    </xsd:element>
    <xsd:element name="CCSUniqueGuid" ma:index="28" nillable="true" ma:displayName="CCSUniqueGuid" ma:hidden="true" ma:indexed="true" ma:internalName="CCSUniqueGuid">
      <xsd:simpleType>
        <xsd:restriction base="dms:Text"/>
      </xsd:simpleType>
    </xsd:element>
    <xsd:element name="CCSFormData" ma:index="29" nillable="true" ma:displayName="CCSFormData" ma:hidden="true" ma:internalName="CCSFormData">
      <xsd:simpleType>
        <xsd:restriction base="dms:Note"/>
      </xsd:simpleType>
    </xsd:element>
    <xsd:element name="ApprovalStatus" ma:index="30" nillable="true" ma:displayName="ApprovalStatus" ma:default="New" ma:format="Dropdown" ma:internalName="ApprovalStatus">
      <xsd:simpleType>
        <xsd:restriction base="dms:Choice">
          <xsd:enumeration value="New"/>
          <xsd:enumeration value="Approval Ongoing"/>
          <xsd:enumeration value="Approved"/>
          <xsd:enumeration value="Rejected"/>
        </xsd:restriction>
      </xsd:simpleType>
    </xsd:element>
    <xsd:element name="RelateItem" ma:index="31" nillable="true" ma:displayName="Relate Item" ma:description="Relate Task" ma:format="Dropdown" ma:list="9f2b6b05-cf7b-475d-b4e0-65a61b72d655" ma:internalName="RelateItem" ma:showField="Title">
      <xsd:simpleType>
        <xsd:restriction base="dms:Lookup"/>
      </xsd:simpleType>
    </xsd:element>
    <xsd:element name="AssignTo2" ma:index="32" nillable="true" ma:displayName="Assign To 2" ma:list="UserInfo" ma:SharePointGroup="0" ma:internalName="AssignTo2"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2" ma:index="33" nillable="true" ma:displayName="Approval Status Level 2" ma:format="Dropdown" ma:internalName="ApprovalStatusLvl2">
      <xsd:simpleType>
        <xsd:restriction base="dms:Choice">
          <xsd:enumeration value="Approval Ongoing"/>
          <xsd:enumeration value="Approve"/>
          <xsd:enumeration value="Reject"/>
        </xsd:restriction>
      </xsd:simpleType>
    </xsd:element>
    <xsd:element name="AssignTo3" ma:index="34" nillable="true" ma:displayName="Assign To 3" ma:list="UserInfo" ma:SharePointGroup="0" ma:internalName="AssignTo3"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3" ma:index="35" nillable="true" ma:displayName="Approval Status Level 3" ma:format="Dropdown" ma:internalName="ApprovalStatusLvl3">
      <xsd:simpleType>
        <xsd:restriction base="dms:Choice">
          <xsd:enumeration value="Approval Ongoing"/>
          <xsd:enumeration value="Approve"/>
          <xsd:enumeration value="Reject"/>
        </xsd:restriction>
      </xsd:simpleType>
    </xsd:element>
    <xsd:element name="ApprovalStatusLvl1" ma:index="36" nillable="true" ma:displayName="Approval Status Level 1" ma:format="Dropdown" ma:internalName="ApprovalStatusLvl1">
      <xsd:simpleType>
        <xsd:restriction base="dms:Choice">
          <xsd:enumeration value="Approval Ongoing"/>
          <xsd:enumeration value="Approve"/>
          <xsd:enumeration value="Reject"/>
        </xsd:restriction>
      </xsd:simpleType>
    </xsd:element>
    <xsd:element name="Status" ma:index="37" nillable="true" ma:displayName="Status" ma:default="New" ma:internalName="Status">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D8C8863F-213A-45D9-8B70-ACB11E809557}">
  <ds:schemaRefs>
    <ds:schemaRef ds:uri="http://schemas.microsoft.com/sharepoint/v3/contenttype/forms/url"/>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E2965021-A51C-4AA2-B873-44DEF42FF54E}">
  <ds:schemaRefs>
    <ds:schemaRef ds:uri="39fc08f4-e377-426c-bf51-09394c342d2d"/>
    <ds:schemaRef ds:uri="http://purl.org/dc/elements/1.1/"/>
    <ds:schemaRef ds:uri="http://www.w3.org/XML/1998/namespace"/>
    <ds:schemaRef ds:uri="http://purl.org/dc/terms/"/>
    <ds:schemaRef ds:uri="http://schemas.microsoft.com/office/2006/documentManagement/types"/>
    <ds:schemaRef ds:uri="74ecd23b-8464-46a3-a3af-f21528e1dc50"/>
    <ds:schemaRef ds:uri="http://schemas.microsoft.com/office/2006/metadata/properties"/>
    <ds:schemaRef ds:uri="http://purl.org/dc/dcmitype/"/>
    <ds:schemaRef ds:uri="http://schemas.openxmlformats.org/package/2006/metadata/core-properties"/>
    <ds:schemaRef ds:uri="http://schemas.microsoft.com/office/infopath/2007/PartnerControls"/>
  </ds:schemaRefs>
</ds:datastoreItem>
</file>

<file path=customXml/itemProps5.xml><?xml version="1.0" encoding="utf-8"?>
<ds:datastoreItem xmlns:ds="http://schemas.openxmlformats.org/officeDocument/2006/customXml" ds:itemID="{44FE8C22-B5E2-4D8A-AF93-3D5C5951158A}">
  <ds:schemaRefs>
    <ds:schemaRef ds:uri="http://schemas.microsoft.com/sharepoint/events"/>
  </ds:schemaRefs>
</ds:datastoreItem>
</file>

<file path=customXml/itemProps6.xml><?xml version="1.0" encoding="utf-8"?>
<ds:datastoreItem xmlns:ds="http://schemas.openxmlformats.org/officeDocument/2006/customXml" ds:itemID="{B16B70F0-C8FE-42DC-BCC0-5FED23DD49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fc08f4-e377-426c-bf51-09394c342d2d"/>
    <ds:schemaRef ds:uri="74ecd23b-8464-46a3-a3af-f21528e1dc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353</vt:i4>
      </vt:variant>
    </vt:vector>
  </HeadingPairs>
  <TitlesOfParts>
    <vt:vector size="388" baseType="lpstr">
      <vt:lpstr>FrontPage</vt:lpstr>
      <vt:lpstr>General info</vt:lpstr>
      <vt:lpstr>Help</vt:lpstr>
      <vt:lpstr>Metrics</vt:lpstr>
      <vt:lpstr>Overview</vt:lpstr>
      <vt:lpstr>Review</vt:lpstr>
      <vt:lpstr>QT First level review</vt:lpstr>
      <vt:lpstr>QT Second level review</vt:lpstr>
      <vt:lpstr>IT First level review</vt:lpstr>
      <vt:lpstr>IT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Backlog checklist</vt:lpstr>
      <vt:lpstr>TARA checklist</vt:lpstr>
      <vt:lpstr>CIA checklist</vt:lpstr>
      <vt:lpstr>CSItemDef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'Backlog checklist'!Review.QuestionIds</vt:lpstr>
      <vt:lpstr>'CIA checklist'!Review.QuestionIds</vt:lpstr>
      <vt:lpstr>'CMP checklist'!Review.QuestionIds</vt:lpstr>
      <vt:lpstr>'CODE checklist'!Review.QuestionIds</vt:lpstr>
      <vt:lpstr>'CSItemDef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'TARA checklist'!Review.QuestionIds</vt:lpstr>
      <vt:lpstr>'UTSR checklist'!Review.QuestionIds</vt:lpstr>
      <vt:lpstr>'Backlog checklist'!Review.ratings</vt:lpstr>
      <vt:lpstr>'CIA checklist'!Review.ratings</vt:lpstr>
      <vt:lpstr>'CMP checklist'!Review.ratings</vt:lpstr>
      <vt:lpstr>'CODE checklist'!Review.ratings</vt:lpstr>
      <vt:lpstr>'CSItemDef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'TARA checklist'!Review.ratings</vt:lpstr>
      <vt:lpstr>'UTSR checklist'!Review.ratings</vt:lpstr>
      <vt:lpstr>ReviewerStatus</vt:lpstr>
      <vt:lpstr>'Backlog checklist'!Sheet.ReviewTempate</vt:lpstr>
      <vt:lpstr>'CIA checklist'!Sheet.ReviewTempate</vt:lpstr>
      <vt:lpstr>'CMP checklist'!Sheet.ReviewTempate</vt:lpstr>
      <vt:lpstr>'CODE checklist'!Sheet.ReviewTempate</vt:lpstr>
      <vt:lpstr>'CSItemDef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'TARA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'Backlog checklist'!Template.Name</vt:lpstr>
      <vt:lpstr>'CIA checklist'!Template.Name</vt:lpstr>
      <vt:lpstr>'CMP checklist'!Template.Name</vt:lpstr>
      <vt:lpstr>'CODE checklist'!Template.Name</vt:lpstr>
      <vt:lpstr>'CSItemDef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'TARA checklist'!Template.Name</vt:lpstr>
      <vt:lpstr>'UTSR checklist'!Template.Name</vt:lpstr>
      <vt:lpstr>TemplateColumn</vt:lpstr>
      <vt:lpstr>TemplateRef</vt:lpstr>
      <vt:lpstr>Text_AllChecklists</vt:lpstr>
      <vt:lpstr>'Backlog checklist'!Title.Checklist.Actions.Description</vt:lpstr>
      <vt:lpstr>'CIA checklist'!Title.Checklist.Actions.Description</vt:lpstr>
      <vt:lpstr>'CMP checklist'!Title.Checklist.Actions.Description</vt:lpstr>
      <vt:lpstr>'CODE checklist'!Title.Checklist.Actions.Description</vt:lpstr>
      <vt:lpstr>'CSItemDef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'TARA checklist'!Title.Checklist.Actions.Description</vt:lpstr>
      <vt:lpstr>'UTSR checklist'!Title.Checklist.Actions.Description</vt:lpstr>
      <vt:lpstr>'Backlog checklist'!Title.Checklist.Guide.HowToRate</vt:lpstr>
      <vt:lpstr>'CIA checklist'!Title.Checklist.Guide.HowToRate</vt:lpstr>
      <vt:lpstr>'CMP checklist'!Title.Checklist.Guide.HowToRate</vt:lpstr>
      <vt:lpstr>'CODE checklist'!Title.Checklist.Guide.HowToRate</vt:lpstr>
      <vt:lpstr>'CSItemDef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'TARA checklist'!Title.Checklist.Guide.HowToRate</vt:lpstr>
      <vt:lpstr>'UTSR checklist'!Title.Checklist.Guide.HowToRate</vt:lpstr>
      <vt:lpstr>'Backlog checklist'!Title.Checklist.Guide.WhatToCheck</vt:lpstr>
      <vt:lpstr>'CIA checklist'!Title.Checklist.Guide.WhatToCheck</vt:lpstr>
      <vt:lpstr>'CMP checklist'!Title.Checklist.Guide.WhatToCheck</vt:lpstr>
      <vt:lpstr>'CODE checklist'!Title.Checklist.Guide.WhatToCheck</vt:lpstr>
      <vt:lpstr>'CSItemDef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'TARA checklist'!Title.Checklist.Guide.WhatToCheck</vt:lpstr>
      <vt:lpstr>'UTSR checklist'!Title.Checklist.Guide.WhatToCheck</vt:lpstr>
      <vt:lpstr>'Backlog checklist'!Title.Checklist.ManualQuestion</vt:lpstr>
      <vt:lpstr>'CIA checklist'!Title.Checklist.ManualQuestion</vt:lpstr>
      <vt:lpstr>'CMP checklist'!Title.Checklist.ManualQuestion</vt:lpstr>
      <vt:lpstr>'CODE checklist'!Title.Checklist.ManualQuestion</vt:lpstr>
      <vt:lpstr>'CSItemDef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'TARA checklist'!Title.Checklist.ManualQuestion</vt:lpstr>
      <vt:lpstr>'UTSR checklist'!Title.Checklist.ManualQuestion</vt:lpstr>
      <vt:lpstr>'Backlog checklist'!Title.Checklist.NoteForAuditor</vt:lpstr>
      <vt:lpstr>'CIA checklist'!Title.Checklist.NoteForAuditor</vt:lpstr>
      <vt:lpstr>'CMP checklist'!Title.Checklist.NoteForAuditor</vt:lpstr>
      <vt:lpstr>'CODE checklist'!Title.Checklist.NoteForAuditor</vt:lpstr>
      <vt:lpstr>'CSItemDef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'TARA checklist'!Title.Checklist.NoteForAuditor</vt:lpstr>
      <vt:lpstr>'UTSR checklist'!Title.Checklist.NoteForAuditor</vt:lpstr>
      <vt:lpstr>'Backlog checklist'!Title.Checklist.Question</vt:lpstr>
      <vt:lpstr>'CIA checklist'!Title.Checklist.Question</vt:lpstr>
      <vt:lpstr>'CMP checklist'!Title.Checklist.Question</vt:lpstr>
      <vt:lpstr>'CODE checklist'!Title.Checklist.Question</vt:lpstr>
      <vt:lpstr>'CSItemDef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'TARA checklist'!Title.Checklist.Question</vt:lpstr>
      <vt:lpstr>'UTSR checklist'!Title.Checklist.Question</vt:lpstr>
      <vt:lpstr>'Backlog checklist'!Title.Checklist.QuestionReference</vt:lpstr>
      <vt:lpstr>'CIA checklist'!Title.Checklist.QuestionReference</vt:lpstr>
      <vt:lpstr>'CMP checklist'!Title.Checklist.QuestionReference</vt:lpstr>
      <vt:lpstr>'CODE checklist'!Title.Checklist.QuestionReference</vt:lpstr>
      <vt:lpstr>'CSItemDef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'TARA checklist'!Title.Checklist.QuestionReference</vt:lpstr>
      <vt:lpstr>'UTSR checklist'!Title.Checklist.QuestionReference</vt:lpstr>
      <vt:lpstr>'Backlog checklist'!Title.Checklist.Rate</vt:lpstr>
      <vt:lpstr>'CIA checklist'!Title.Checklist.Rate</vt:lpstr>
      <vt:lpstr>'CMP checklist'!Title.Checklist.Rate</vt:lpstr>
      <vt:lpstr>'CODE checklist'!Title.Checklist.Rate</vt:lpstr>
      <vt:lpstr>'CSItemDef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'TARA checklist'!Title.Checklist.Rate</vt:lpstr>
      <vt:lpstr>'UTSR checklist'!Title.Checklist.Rate</vt:lpstr>
      <vt:lpstr>'Backlog checklist'!TitleRow</vt:lpstr>
      <vt:lpstr>'CIA checklist'!TitleRow</vt:lpstr>
      <vt:lpstr>'CMP checklist'!TitleRow</vt:lpstr>
      <vt:lpstr>'CODE checklist'!TitleRow</vt:lpstr>
      <vt:lpstr>'CSItemDef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'TARA checklist'!TitleRow</vt:lpstr>
      <vt:lpstr>'UTSR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Vlad Chioveanu</cp:lastModifiedBy>
  <cp:revision/>
  <dcterms:created xsi:type="dcterms:W3CDTF">1996-10-21T11:03:58Z</dcterms:created>
  <dcterms:modified xsi:type="dcterms:W3CDTF">2023-04-05T12:36:12Z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760c55ce-96be-43e5-99bc-07c6dac490f1</vt:lpwstr>
  </property>
  <property fmtid="{D5CDD505-2E9C-101B-9397-08002B2CF9AE}" pid="45" name="ContentTypeId">
    <vt:lpwstr>0x010100439E5B66DBFC0043AA8A61022FDAB9DF</vt:lpwstr>
  </property>
  <property fmtid="{D5CDD505-2E9C-101B-9397-08002B2CF9AE}" pid="46" name="MediaServiceImageTags">
    <vt:lpwstr/>
  </property>
  <property fmtid="{D5CDD505-2E9C-101B-9397-08002B2CF9AE}" pid="47" name="MXDocTemplate_Name">
    <vt:lpwstr>TEM107</vt:lpwstr>
  </property>
</Properties>
</file>