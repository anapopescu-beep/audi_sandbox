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2C54C36D-FEA5-4A66-8E30-C3CBA3E2B3B9}"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258" l="1"/>
  <c r="D4" i="258"/>
  <c r="D5" i="258"/>
  <c r="D6" i="258"/>
  <c r="D7" i="258"/>
  <c r="D8" i="258"/>
  <c r="D9" i="258"/>
  <c r="D10" i="258"/>
  <c r="D11" i="258"/>
  <c r="D12" i="258"/>
  <c r="D13" i="258"/>
  <c r="D14" i="258"/>
  <c r="D15" i="258"/>
  <c r="D16" i="258"/>
  <c r="D17" i="258"/>
  <c r="D18" i="258"/>
  <c r="B3" i="258"/>
  <c r="B4" i="258"/>
  <c r="B5" i="258"/>
  <c r="B6" i="258"/>
  <c r="B7" i="258"/>
  <c r="B8" i="258"/>
  <c r="B9" i="258"/>
  <c r="B10" i="258"/>
  <c r="B11" i="258"/>
  <c r="B12" i="258"/>
  <c r="B13" i="258"/>
  <c r="B14" i="258"/>
  <c r="B15" i="258"/>
  <c r="B16" i="258"/>
  <c r="B17" i="258"/>
  <c r="B18" i="258"/>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A7" i="38"/>
  <c r="F10" i="38"/>
  <c r="A5" i="38"/>
  <c r="AE7" i="38"/>
  <c r="AB7" i="38"/>
  <c r="AB5" i="38"/>
  <c r="W7" i="38"/>
  <c r="W5"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<sst xmlns="http://schemas.openxmlformats.org/spreadsheetml/2006/main" count="1997" uniqueCount="977">
  <si>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</si>
  <si>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</si>
  <si>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</si>
  <si>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</si>
  <si>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</si>
  <si>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</si>
  <si>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</si>
  <si>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</si>
  <si>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</si>
  <si>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</si>
  <si>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</si>
  <si>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</si>
  <si>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</si>
  <si>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</si>
  <si>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</si>
  <si>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</si>
  <si>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</si>
  <si>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</si>
  <si>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</si>
  <si>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</si>
  <si>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</si>
  <si>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</si>
  <si>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</si>
  <si>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</si>
  <si>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</si>
  <si>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</si>
  <si>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</si>
  <si>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</si>
  <si>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</si>
  <si>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</si>
  <si>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</si>
  <si>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</si>
  <si>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</si>
  <si>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</si>
  <si>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</si>
  <si>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</si>
  <si>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</si>
  <si>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</si>
  <si>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</si>
  <si>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</si>
  <si>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</si>
  <si>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</si>
  <si>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</si>
  <si>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</si>
  <si>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</si>
  <si>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</si>
  <si>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</si>
  <si>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</si>
  <si>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</si>
  <si>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</si>
  <si>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</si>
  <si>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</si>
  <si>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</si>
  <si>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</si>
  <si>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</si>
  <si>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</si>
  <si>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</si>
  <si>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</si>
  <si>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</si>
  <si>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</si>
  <si>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</si>
  <si>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</si>
  <si>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</si>
  <si>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</si>
  <si>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</si>
  <si>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</si>
  <si>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</si>
  <si>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</si>
  <si>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</si>
  <si>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</si>
  <si>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</si>
  <si>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</si>
  <si>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</si>
  <si>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</si>
  <si>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</si>
  <si>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</si>
  <si>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</si>
  <si>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</si>
  <si>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</si>
  <si>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</si>
  <si>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</si>
  <si>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</si>
  <si>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</si>
  <si>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</si>
  <si>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</si>
  <si>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</si>
  <si>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</si>
  <si>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</si>
  <si>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</si>
  <si>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</si>
  <si>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</si>
  <si>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</si>
  <si>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</si>
  <si>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</si>
  <si>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</si>
  <si>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</si>
  <si>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</si>
  <si>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</si>
  <si>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</si>
  <si>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</si>
  <si>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</si>
  <si>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</si>
  <si>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</si>
  <si>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</si>
  <si>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</si>
  <si>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</si>
  <si>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</si>
  <si>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</si>
  <si>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</si>
  <si>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</si>
  <si>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</si>
  <si>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</si>
  <si>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</si>
  <si>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</si>
  <si>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</si>
  <si>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</si>
  <si>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</si>
  <si>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</si>
  <si>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</si>
  <si>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</si>
  <si>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</si>
  <si>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</si>
  <si>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</si>
  <si>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</si>
  <si>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</si>
  <si>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</si>
  <si>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</si>
  <si>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</si>
  <si>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</si>
  <si>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</si>
  <si>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</si>
  <si>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</si>
  <si>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</si>
  <si>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</si>
  <si>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</si>
  <si>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</si>
  <si>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</si>
  <si>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</si>
  <si>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</si>
  <si>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</si>
  <si>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</si>
  <si>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</si>
  <si>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</si>
  <si>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</si>
  <si>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</si>
  <si>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</si>
  <si>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</si>
  <si>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</si>
  <si>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</si>
  <si>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</si>
  <si>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</si>
  <si>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</si>
  <si>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</si>
  <si>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</si>
  <si>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</si>
  <si>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</si>
  <si>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</si>
  <si>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</si>
  <si>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</si>
  <si>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</si>
  <si>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</si>
  <si>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</si>
  <si>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</si>
  <si>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</si>
  <si>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</si>
  <si>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</si>
  <si>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</si>
  <si>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</si>
  <si>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</si>
  <si>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</si>
  <si>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</si>
  <si>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</si>
  <si>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</si>
  <si>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</si>
  <si>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</si>
  <si>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</si>
  <si>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</si>
  <si>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</si>
  <si>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</si>
  <si>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</si>
  <si>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</si>
  <si>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</si>
  <si>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</si>
  <si>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</si>
  <si>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</si>
  <si>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</si>
  <si>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</si>
  <si>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</si>
  <si>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</si>
  <si>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</si>
  <si>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</si>
  <si>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</si>
  <si>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</si>
  <si>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</si>
  <si>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</si>
  <si>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</si>
  <si>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</si>
  <si>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</si>
  <si>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</si>
  <si>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</si>
  <si>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</si>
  <si>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</si>
  <si>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</si>
  <si>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</si>
  <si>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</si>
  <si>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</si>
  <si>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</si>
  <si>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</si>
  <si>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</si>
  <si>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</si>
  <si>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</si>
  <si>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</si>
  <si>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</si>
  <si>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</si>
  <si>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</si>
  <si>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</si>
  <si>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</si>
  <si>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</si>
  <si>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</si>
  <si>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</si>
  <si>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</si>
  <si>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</si>
  <si>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</si>
  <si>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</si>
  <si>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</si>
  <si>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</si>
  <si>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</si>
  <si>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</si>
  <si>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</si>
  <si>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</si>
  <si>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</si>
  <si>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</si>
  <si>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</si>
  <si>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</si>
  <si>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</si>
  <si>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</si>
  <si>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</si>
  <si>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</si>
  <si>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</si>
  <si>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</si>
  <si>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</si>
  <si>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</si>
  <si>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</si>
  <si>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</si>
  <si>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</si>
  <si>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</si>
  <si>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</si>
  <si>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</si>
  <si>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</si>
  <si>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</si>
  <si>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</si>
  <si>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</si>
  <si>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</si>
  <si>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</si>
  <si>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</si>
  <si>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</si>
  <si>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</si>
  <si>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</si>
  <si>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</si>
  <si>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</si>
  <si>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</si>
  <si>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</si>
  <si>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</si>
  <si>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</si>
  <si>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</si>
  <si>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</si>
  <si>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</si>
  <si>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</si>
  <si>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</si>
  <si>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</si>
  <si>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</si>
  <si>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</si>
  <si>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</si>
  <si>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</si>
  <si>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</si>
  <si>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</si>
  <si>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</si>
  <si>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</si>
  <si>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</si>
  <si>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</si>
  <si>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</si>
  <si>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</si>
  <si>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</si>
  <si>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</si>
  <si>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</si>
  <si>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</si>
  <si>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</si>
  <si>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</si>
  <si>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</si>
  <si>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</si>
  <si>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</si>
  <si>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</si>
  <si>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</si>
  <si>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</si>
  <si>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</si>
  <si>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</si>
  <si>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</si>
  <si>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</si>
  <si>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</si>
  <si>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</si>
  <si>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</si>
  <si>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</si>
  <si>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</si>
  <si>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</si>
  <si>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</si>
  <si>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</si>
  <si>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</si>
  <si>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</si>
  <si>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</si>
  <si>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</si>
  <si>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</si>
  <si>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</si>
  <si>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</si>
  <si>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</si>
  <si>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</si>
  <si>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</si>
  <si>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</si>
  <si>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</si>
  <si>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</si>
  <si>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</si>
  <si>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</si>
  <si>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</si>
  <si>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</si>
  <si>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</si>
  <si>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</si>
  <si>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</si>
  <si>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</si>
  <si>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</si>
  <si>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</si>
  <si>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</si>
  <si>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</si>
  <si>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</si>
  <si>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</si>
  <si>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</si>
  <si>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</si>
  <si>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</si>
  <si>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</si>
  <si>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</si>
  <si>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</si>
  <si>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</si>
  <si>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</si>
  <si>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</si>
  <si>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</si>
  <si>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</si>
  <si>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</si>
  <si>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</si>
  <si>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</si>
  <si>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</si>
  <si>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</si>
  <si>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</si>
  <si>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</si>
  <si>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</si>
  <si>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</si>
  <si>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</si>
  <si>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</si>
  <si>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</si>
  <si>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</si>
  <si>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</si>
  <si>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</si>
  <si>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</si>
  <si>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</si>
  <si>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</si>
  <si>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</si>
  <si>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</si>
  <si>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</si>
  <si>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</si>
  <si>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</si>
  <si>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</si>
  <si>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</si>
  <si>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</si>
  <si>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</si>
  <si>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</si>
  <si>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</si>
  <si>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</si>
  <si>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</si>
  <si>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</si>
  <si>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</si>
  <si>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</si>
  <si>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</si>
  <si>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</si>
  <si>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</si>
  <si>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</si>
  <si>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</si>
  <si>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</si>
  <si>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</si>
  <si>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</si>
  <si>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</si>
  <si>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</si>
  <si>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</si>
  <si>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</si>
  <si>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</si>
  <si>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</si>
  <si>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</si>
  <si>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</si>
  <si>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</si>
  <si>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</si>
  <si>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</si>
  <si>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</si>
  <si>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</si>
  <si>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</si>
  <si>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</si>
  <si>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</si>
  <si>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</si>
  <si>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</si>
  <si>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</si>
  <si>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</si>
  <si>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</si>
  <si>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</si>
  <si>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</si>
  <si>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</si>
  <si>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</si>
  <si>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</si>
  <si>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</si>
  <si>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</si>
  <si>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</si>
  <si>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</si>
  <si>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</si>
  <si>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</si>
  <si>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</si>
  <si>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</si>
  <si>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</si>
  <si>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</si>
  <si>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</si>
  <si>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</si>
  <si>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</si>
  <si>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</si>
  <si>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</si>
  <si>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</si>
  <si>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</si>
  <si>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</si>
  <si>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</si>
  <si>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</si>
  <si>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</si>
  <si>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</si>
  <si>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</si>
  <si>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</si>
  <si>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</si>
  <si>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</si>
  <si>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</si>
  <si>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</si>
  <si>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</si>
  <si>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</si>
  <si>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</si>
  <si>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</si>
  <si>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</si>
  <si>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</si>
  <si>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</si>
  <si>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</si>
  <si>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</si>
  <si>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</si>
  <si>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</si>
  <si>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</si>
  <si>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</si>
  <si>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</si>
  <si>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</si>
  <si>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</si>
  <si>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</si>
  <si>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</si>
  <si>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</si>
  <si>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</si>
  <si>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</si>
  <si>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</si>
  <si>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</si>
  <si>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</si>
  <si>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</si>
  <si>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</si>
  <si>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</si>
  <si>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</si>
  <si>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</si>
  <si>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</si>
  <si>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</si>
  <si>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</si>
  <si>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</si>
  <si>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</si>
  <si>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</si>
  <si>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</si>
  <si>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</si>
  <si>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</si>
  <si>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</si>
  <si>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</si>
  <si>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</si>
  <si>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</si>
  <si>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</si>
  <si>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</si>
  <si>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</si>
  <si>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</si>
  <si>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</si>
  <si>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</si>
  <si>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</si>
  <si>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</si>
  <si>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</si>
  <si>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</si>
  <si>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</si>
  <si>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</si>
  <si>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</si>
  <si>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</si>
  <si>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</si>
  <si>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</si>
  <si>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</si>
  <si>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</si>
  <si>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</si>
  <si>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</si>
  <si>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</si>
  <si>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</si>
  <si>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</si>
  <si>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</si>
  <si>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</si>
  <si>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</si>
  <si>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</si>
  <si>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</si>
  <si>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</si>
  <si>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</si>
  <si>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</si>
  <si>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</si>
  <si>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</si>
  <si>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</si>
  <si>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</si>
  <si>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</si>
  <si>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</si>
  <si>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</si>
  <si>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</si>
  <si>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</si>
  <si>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</si>
  <si>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</si>
  <si>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</si>
  <si>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</si>
  <si>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</si>
  <si>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</si>
  <si>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</si>
  <si>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</si>
  <si>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</si>
  <si>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</si>
  <si>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</si>
  <si>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</si>
  <si>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</si>
  <si>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</si>
  <si>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</si>
  <si>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</si>
  <si>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</si>
  <si>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</si>
  <si>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</si>
  <si>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</si>
  <si>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</si>
  <si>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</si>
  <si>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</si>
  <si>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</si>
  <si>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</si>
  <si>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</si>
  <si>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</si>
  <si>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</si>
  <si>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</si>
  <si>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</si>
  <si>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</si>
  <si>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</si>
  <si>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</si>
  <si>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</si>
  <si>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</si>
  <si>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</si>
  <si>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</si>
  <si>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</si>
  <si>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</si>
  <si>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</si>
  <si>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</si>
  <si>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</si>
  <si>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</si>
  <si>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</si>
  <si>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</si>
  <si>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</si>
  <si>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</si>
  <si>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</si>
  <si>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</si>
  <si>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</si>
  <si>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</si>
  <si>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</si>
  <si>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</si>
  <si>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</si>
  <si>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</si>
  <si>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</si>
  <si>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</si>
  <si>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</si>
  <si>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</si>
  <si>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</si>
  <si>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</si>
  <si>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</si>
  <si>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</si>
  <si>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</si>
  <si>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</si>
  <si>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</si>
  <si>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</si>
  <si>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</si>
  <si>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</si>
  <si>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</si>
  <si>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</si>
  <si>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</si>
  <si>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</si>
  <si>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</si>
  <si>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</si>
  <si>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</si>
  <si>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</si>
  <si>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</si>
  <si>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</si>
  <si>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</si>
  <si>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</si>
  <si>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</si>
  <si>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</si>
  <si>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</si>
  <si>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</si>
  <si>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</si>
  <si>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</si>
  <si>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</si>
  <si>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</si>
  <si>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</si>
  <si>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</si>
  <si>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</si>
  <si>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</si>
  <si>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</si>
  <si>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</si>
  <si>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</si>
  <si>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</si>
  <si>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</si>
  <si>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</si>
  <si>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</si>
  <si>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</si>
  <si>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</si>
  <si>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</si>
  <si>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</si>
  <si>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</si>
  <si>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</si>
  <si>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</si>
  <si>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</si>
  <si>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</si>
  <si>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</si>
  <si>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</si>
  <si>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</si>
  <si>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</si>
  <si>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</si>
  <si>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</si>
  <si>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</si>
  <si>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</si>
  <si>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</si>
  <si>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</si>
  <si>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</si>
  <si>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</si>
  <si>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</si>
  <si>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</si>
  <si>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</si>
  <si>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</si>
  <si>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</si>
  <si>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</si>
  <si>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</si>
  <si>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</si>
  <si>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</si>
  <si>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</si>
  <si>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</si>
  <si>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</si>
  <si>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</si>
  <si>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</si>
  <si>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</si>
  <si>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</si>
  <si>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</si>
  <si>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</si>
  <si>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</si>
  <si>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</si>
  <si>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</si>
  <si>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</si>
  <si>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</si>
  <si>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</si>
  <si>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</si>
  <si>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</si>
  <si>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</si>
  <si>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</si>
  <si>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</si>
  <si>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</si>
  <si>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</si>
  <si>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</si>
  <si>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</si>
  <si>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</si>
  <si>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</si>
  <si>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</si>
  <si>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</si>
  <si>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</si>
  <si>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</si>
  <si>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</si>
  <si>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</si>
  <si>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</si>
  <si>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</si>
  <si>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</si>
  <si>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</si>
  <si>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</si>
  <si>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</si>
  <si>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</si>
  <si>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</si>
  <si>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</si>
  <si>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</si>
  <si>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</si>
  <si>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</si>
  <si>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</si>
  <si>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</si>
  <si>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</si>
  <si>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</si>
  <si>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</si>
  <si>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</si>
  <si>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</si>
  <si>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</si>
  <si>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</si>
  <si>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</si>
  <si>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</si>
  <si>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</si>
  <si>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</si>
  <si>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</si>
  <si>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</si>
  <si>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</si>
  <si>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</si>
  <si>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</si>
  <si>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</si>
  <si>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</si>
  <si>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</si>
  <si>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</si>
  <si>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</si>
  <si>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</si>
  <si>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</si>
  <si>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</si>
  <si>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</si>
  <si>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</si>
  <si>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</si>
  <si>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</si>
  <si>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</si>
  <si>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</si>
  <si>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</si>
  <si>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</si>
  <si>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</si>
  <si>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</si>
  <si>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</si>
  <si>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</si>
  <si>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</si>
  <si>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</si>
  <si>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</si>
  <si>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</si>
  <si>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</si>
  <si>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</si>
  <si>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</si>
  <si>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</si>
  <si>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</si>
  <si>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</si>
  <si>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</si>
  <si>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</si>
  <si>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</si>
  <si>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</si>
  <si>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</si>
  <si>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</si>
  <si>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</si>
  <si>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</si>
  <si>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</si>
  <si>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</si>
  <si>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</si>
  <si>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</si>
  <si>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</si>
  <si>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</si>
  <si>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</si>
  <si>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</si>
  <si>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</si>
  <si>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</si>
  <si>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</si>
  <si>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</si>
  <si>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</si>
  <si>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</si>
  <si>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</si>
  <si>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</si>
  <si>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</si>
  <si>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</si>
  <si>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</si>
  <si>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</si>
  <si>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</si>
  <si>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</si>
  <si>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</si>
  <si>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</si>
  <si>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</si>
  <si>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</si>
  <si>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</si>
  <si>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</si>
  <si>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</si>
  <si>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</si>
  <si>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</si>
  <si>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</si>
  <si>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</si>
  <si>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</si>
  <si>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</si>
  <si>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</si>
  <si>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</si>
  <si>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</si>
  <si>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</si>
  <si>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</si>
  <si>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</si>
  <si>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</si>
  <si>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</si>
  <si>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</si>
  <si>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</si>
  <si>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</si>
  <si>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</si>
  <si>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</si>
  <si>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</si>
  <si>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</si>
  <si>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</si>
  <si>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</si>
  <si>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</si>
  <si>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</si>
  <si>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</si>
  <si>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</si>
  <si>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</si>
  <si>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</si>
  <si>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</si>
  <si>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</si>
  <si>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</si>
  <si>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</si>
  <si>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</si>
  <si>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</si>
  <si>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</si>
  <si>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</si>
  <si>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</si>
  <si>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</si>
  <si>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</si>
  <si>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</si>
  <si>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</si>
  <si>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</si>
  <si>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</si>
  <si>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</si>
  <si>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</si>
  <si>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</si>
  <si>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</si>
  <si>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</si>
  <si>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</si>
  <si>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</si>
  <si>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</si>
  <si>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</si>
  <si>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</si>
  <si>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</si>
  <si>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</si>
  <si>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</si>
  <si>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</si>
  <si>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</si>
  <si>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</si>
  <si>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</si>
  <si>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</si>
  <si>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</si>
  <si>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</si>
  <si>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</si>
  <si>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</si>
  <si>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</si>
  <si>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</si>
  <si>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</si>
  <si>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</si>
  <si>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</si>
  <si>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</si>
  <si>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</si>
  <si>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</si>
  <si>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</si>
  <si>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</si>
  <si>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</si>
  <si>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</si>
  <si>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</si>
  <si>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</si>
  <si>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</si>
  <si>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</si>
  <si>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</si>
  <si>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</si>
  <si>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</si>
  <si>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</si>
  <si>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</si>
  <si>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</si>
  <si>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</si>
  <si>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</si>
  <si>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</si>
  <si>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</si>
  <si>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</si>
  <si>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</si>
  <si>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</si>
  <si>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</si>
  <si>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</si>
  <si>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</si>
  <si>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</si>
  <si>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</si>
  <si>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</si>
  <si>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</si>
  <si>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</si>
  <si>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</si>
  <si>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</si>
  <si>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</si>
  <si>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</si>
  <si>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</si>
  <si>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</si>
  <si>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</si>
  <si>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</si>
  <si>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</si>
  <si>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</si>
  <si>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</si>
  <si>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</si>
  <si>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</si>
  <si>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</si>
  <si>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</si>
  <si>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</si>
  <si>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</si>
  <si>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</si>
  <si>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</si>
  <si>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</si>
  <si>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</si>
  <si>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</si>
  <si>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</si>
  <si>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</si>
  <si>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</si>
  <si>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</si>
  <si>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</si>
  <si>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</si>
  <si>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</si>
  <si>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</si>
  <si>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</si>
  <si>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</si>
  <si>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</si>
  <si>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</si>
  <si>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</si>
  <si>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</si>
  <si>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</si>
  <si>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</si>
  <si>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</si>
  <si>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</si>
  <si>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</si>
  <si>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</si>
  <si>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</si>
  <si>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</si>
  <si>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</si>
  <si>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</si>
  <si>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</si>
  <si>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</si>
  <si>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</si>
  <si>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</si>
  <si>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</si>
  <si>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</si>
  <si>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</si>
  <si>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</si>
  <si>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</si>
  <si>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</si>
  <si>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</si>
  <si>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</si>
  <si>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</si>
  <si>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</si>
  <si>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</si>
  <si>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</si>
  <si>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</si>
  <si>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</si>
  <si>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</si>
  <si>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</si>
  <si>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</si>
  <si>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</si>
  <si>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</si>
  <si>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</si>
  <si>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</si>
  <si>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</si>
  <si>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</si>
  <si>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</si>
  <si>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</si>
  <si>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</si>
  <si>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</si>
  <si>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</si>
  <si>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</si>
  <si>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</si>
  <si>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</si>
  <si>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</si>
  <si>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</si>
  <si>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</si>
  <si>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</si>
  <si>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</si>
  <si>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</si>
  <si>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</si>
  <si>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</si>
  <si>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RCM Test Specification- Peer Review Workbook (PRWB).xlsm</t>
  </si>
  <si>
    <t>Sw_Int_RCM_ptrpRcmServicesBswMIf_01.txt</t>
  </si>
  <si>
    <t>Cornel Albu</t>
  </si>
  <si>
    <t>05.04.2023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</si>
</sst>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0" fontId="79" fillId="20" borderId="1" xfId="3" applyFont="1" applyFill="1" applyBorder="1" applyAlignment="1">
      <alignment horizontal="center" vertical="center" wrapText="1"/>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7" fillId="0" borderId="1" xfId="3" applyNumberFormat="1" applyFont="1" applyBorder="1" applyAlignment="1" applyProtection="1">
      <alignment horizontal="center" vertical="center" wrapText="1"/>
      <protection locked="0"/>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E7" sqref="E7:V7"/>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IFERROR(IF([1]!alvDocProperty("MXTitle")="","RCM Test Specification - Peer Review Workbook (PRWB)",[1]!alvDocProperty("MXTitle")),"RCM Test Specification - Peer Review Workbook (PRWB)")</f>
        <v>RCM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RCM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RCM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G17" sqref="G17"/>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B3" s="129" t="s">
        <v>150</v>
      </c>
      <c r="C3" s="329" t="s">
        <v>976</v>
      </c>
      <c r="D3" s="329" t="s">
        <v>976</v>
      </c>
      <c r="E3" s="221">
        <f>SUM(F3:O3)</f>
        <v>30</v>
      </c>
      <c r="F3" s="129">
        <v>15</v>
      </c>
      <c r="G3" s="129">
        <v>15</v>
      </c>
    </row>
    <row r="4" spans="1:15">
      <c r="A4"/>
      <c r="B4" s="222"/>
      <c r="C4" s="222"/>
      <c r="D4" s="222"/>
      <c r="E4" s="138">
        <f t="shared" ref="E4:E19" si="0">SUM(F4:O4)</f>
        <v>0</v>
      </c>
      <c r="H4" s="222"/>
      <c r="I4" s="222"/>
      <c r="J4" s="222"/>
      <c r="K4" s="222"/>
      <c r="L4" s="222"/>
      <c r="M4" s="222"/>
      <c r="N4" s="222"/>
      <c r="O4" s="222"/>
    </row>
    <row r="5" spans="1:15">
      <c r="A5"/>
      <c r="B5" s="222"/>
      <c r="C5" s="222"/>
      <c r="D5" s="222"/>
      <c r="E5" s="138">
        <f t="shared" si="0"/>
        <v>0</v>
      </c>
      <c r="H5" s="222"/>
      <c r="I5" s="222"/>
      <c r="J5" s="222"/>
      <c r="K5" s="222"/>
      <c r="L5" s="222"/>
      <c r="M5" s="222"/>
      <c r="N5" s="222"/>
      <c r="O5" s="222"/>
    </row>
    <row r="6" spans="1:15">
      <c r="A6"/>
      <c r="B6" s="222"/>
      <c r="C6" s="222"/>
      <c r="D6" s="222"/>
      <c r="E6" s="138">
        <f t="shared" si="0"/>
        <v>0</v>
      </c>
      <c r="H6" s="222"/>
      <c r="I6" s="222"/>
      <c r="J6" s="222"/>
      <c r="K6" s="222"/>
      <c r="L6" s="222"/>
      <c r="M6" s="222"/>
      <c r="N6" s="222"/>
      <c r="O6" s="222"/>
    </row>
    <row r="7" spans="1:15">
      <c r="A7"/>
      <c r="B7" s="222"/>
      <c r="C7" s="222"/>
      <c r="D7" s="222"/>
      <c r="E7" s="138">
        <f t="shared" si="0"/>
        <v>0</v>
      </c>
      <c r="H7" s="222"/>
      <c r="I7" s="222"/>
      <c r="J7" s="222"/>
      <c r="K7" s="222"/>
      <c r="L7" s="222"/>
      <c r="M7" s="222"/>
      <c r="N7" s="222"/>
      <c r="O7" s="222"/>
    </row>
    <row r="8" spans="1:15">
      <c r="A8"/>
      <c r="B8" s="222"/>
      <c r="C8" s="222"/>
      <c r="D8" s="222"/>
      <c r="E8" s="138">
        <f t="shared" si="0"/>
        <v>0</v>
      </c>
      <c r="H8" s="222"/>
      <c r="I8" s="222"/>
      <c r="J8" s="222"/>
      <c r="K8" s="222"/>
      <c r="L8" s="222"/>
      <c r="M8" s="222"/>
      <c r="N8" s="222"/>
      <c r="O8" s="222"/>
    </row>
    <row r="9" spans="1:15">
      <c r="A9"/>
      <c r="B9" s="222"/>
      <c r="C9" s="222"/>
      <c r="D9" s="222"/>
      <c r="E9" s="138">
        <f t="shared" si="0"/>
        <v>0</v>
      </c>
      <c r="H9" s="222"/>
      <c r="I9" s="222"/>
      <c r="J9" s="222"/>
      <c r="K9" s="222"/>
      <c r="L9" s="222"/>
      <c r="M9" s="222"/>
      <c r="N9" s="222"/>
      <c r="O9" s="222"/>
    </row>
    <row r="10" spans="1:15">
      <c r="A10"/>
      <c r="B10" s="222"/>
      <c r="C10" s="222"/>
      <c r="D10" s="222"/>
      <c r="E10" s="138">
        <f t="shared" si="0"/>
        <v>0</v>
      </c>
      <c r="H10" s="222"/>
      <c r="I10" s="222"/>
      <c r="J10" s="222"/>
      <c r="K10" s="222"/>
      <c r="L10" s="222"/>
      <c r="M10" s="222"/>
      <c r="N10" s="222"/>
      <c r="O10" s="222"/>
    </row>
    <row r="11" spans="1:15">
      <c r="A11"/>
      <c r="B11" s="222"/>
      <c r="C11" s="222"/>
      <c r="D11" s="222"/>
      <c r="E11" s="138">
        <f t="shared" si="0"/>
        <v>0</v>
      </c>
      <c r="H11" s="222"/>
      <c r="I11" s="222"/>
      <c r="J11" s="222"/>
      <c r="K11" s="222"/>
      <c r="L11" s="222"/>
      <c r="M11" s="222"/>
      <c r="N11" s="222"/>
      <c r="O11" s="222"/>
    </row>
    <row r="12" spans="1:15">
      <c r="A12"/>
      <c r="B12" s="222"/>
      <c r="C12" s="222"/>
      <c r="D12" s="222"/>
      <c r="E12" s="138">
        <f t="shared" si="0"/>
        <v>0</v>
      </c>
      <c r="H12" s="222"/>
      <c r="I12" s="222"/>
      <c r="J12" s="222"/>
      <c r="K12" s="222"/>
      <c r="L12" s="222"/>
      <c r="M12" s="222"/>
      <c r="N12" s="222"/>
      <c r="O12" s="222"/>
    </row>
    <row r="13" spans="1:15">
      <c r="A13"/>
      <c r="B13" s="222"/>
      <c r="C13" s="222"/>
      <c r="D13" s="222"/>
      <c r="E13" s="138">
        <f t="shared" si="0"/>
        <v>0</v>
      </c>
      <c r="H13" s="222"/>
      <c r="I13" s="222"/>
      <c r="J13" s="222"/>
      <c r="K13" s="222"/>
      <c r="L13" s="222"/>
      <c r="M13" s="222"/>
      <c r="N13" s="222"/>
      <c r="O13" s="222"/>
    </row>
    <row r="14" spans="1:15">
      <c r="A14"/>
      <c r="B14" s="222"/>
      <c r="C14" s="222"/>
      <c r="D14" s="222"/>
      <c r="E14" s="138">
        <f t="shared" si="0"/>
        <v>0</v>
      </c>
      <c r="H14" s="222"/>
      <c r="I14" s="222"/>
      <c r="J14" s="222"/>
      <c r="K14" s="222"/>
      <c r="L14" s="222"/>
      <c r="M14" s="222"/>
      <c r="N14" s="222"/>
      <c r="O14" s="222"/>
    </row>
    <row r="15" spans="1:15">
      <c r="A15"/>
      <c r="B15" s="222"/>
      <c r="C15" s="222"/>
      <c r="D15" s="222"/>
      <c r="E15" s="138">
        <f t="shared" si="0"/>
        <v>0</v>
      </c>
      <c r="H15" s="222"/>
      <c r="I15" s="222"/>
      <c r="J15" s="222"/>
      <c r="K15" s="222"/>
      <c r="L15" s="222"/>
      <c r="M15" s="222"/>
      <c r="N15" s="222"/>
      <c r="O15" s="222"/>
    </row>
    <row r="16" spans="1:15">
      <c r="A16"/>
      <c r="B16" s="222"/>
      <c r="C16" s="222"/>
      <c r="D16" s="222"/>
      <c r="E16" s="138">
        <f t="shared" si="0"/>
        <v>0</v>
      </c>
      <c r="H16" s="222"/>
      <c r="I16" s="222"/>
      <c r="J16" s="222"/>
      <c r="K16" s="222"/>
      <c r="L16" s="222"/>
      <c r="M16" s="222"/>
      <c r="N16" s="222"/>
      <c r="O16" s="222"/>
    </row>
    <row r="17" spans="1:15">
      <c r="A17"/>
      <c r="B17" s="222"/>
      <c r="C17" s="222"/>
      <c r="D17" s="222"/>
      <c r="E17" s="138">
        <f t="shared" si="0"/>
        <v>0</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zoomScaleNormal="100" workbookViewId="0">
      <selection activeCell="P3" sqref="P3"/>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1</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975</v>
      </c>
    </row>
    <row r="3" spans="1:17">
      <c r="A3"/>
      <c r="B3" s="172"/>
      <c r="C3" s="172"/>
      <c r="D3" s="172"/>
      <c r="E3" s="172"/>
      <c r="F3" s="172"/>
      <c r="H3" s="172"/>
      <c r="I3" s="172"/>
      <c r="J3" s="172"/>
      <c r="K3" s="172"/>
      <c r="L3" s="172"/>
      <c r="N3" s="172"/>
    </row>
    <row r="4" spans="1:17">
      <c r="A4"/>
      <c r="B4" s="172"/>
      <c r="C4" s="172"/>
      <c r="D4" s="172"/>
      <c r="E4" s="172"/>
      <c r="F4" s="172"/>
      <c r="H4" s="172"/>
      <c r="I4" s="172"/>
      <c r="J4" s="172"/>
      <c r="K4" s="172"/>
      <c r="L4" s="172"/>
      <c r="N4" s="172"/>
    </row>
    <row r="5" spans="1:17">
      <c r="A5"/>
      <c r="B5" s="172"/>
      <c r="C5" s="172"/>
      <c r="D5" s="172"/>
      <c r="E5" s="172"/>
      <c r="F5" s="172"/>
      <c r="H5" s="172"/>
      <c r="I5" s="172"/>
      <c r="J5" s="172"/>
      <c r="K5" s="172"/>
      <c r="L5" s="172"/>
      <c r="N5" s="172"/>
    </row>
    <row r="6" spans="1:17">
      <c r="A6"/>
      <c r="B6" s="172"/>
      <c r="C6" s="172"/>
      <c r="D6" s="172"/>
      <c r="E6" s="172"/>
      <c r="F6" s="172"/>
      <c r="H6" s="172"/>
      <c r="I6" s="172"/>
      <c r="J6" s="172"/>
      <c r="K6" s="172"/>
      <c r="L6" s="172"/>
      <c r="N6" s="172"/>
    </row>
    <row r="7" spans="1:17">
      <c r="A7"/>
      <c r="B7" s="172"/>
      <c r="C7" s="172"/>
      <c r="D7" s="172"/>
      <c r="E7" s="172"/>
      <c r="F7" s="172"/>
      <c r="H7" s="172"/>
      <c r="I7" s="172"/>
      <c r="J7" s="172"/>
      <c r="K7" s="172"/>
      <c r="L7" s="172"/>
      <c r="N7" s="172"/>
    </row>
    <row r="8" spans="1:17">
      <c r="A8"/>
      <c r="B8" s="172"/>
      <c r="C8" s="172"/>
      <c r="D8" s="172"/>
      <c r="E8" s="172"/>
      <c r="F8" s="172"/>
      <c r="H8" s="172"/>
      <c r="I8" s="172"/>
      <c r="J8" s="172"/>
      <c r="K8" s="172"/>
      <c r="L8" s="172"/>
      <c r="N8" s="172"/>
    </row>
    <row r="9" spans="1:17">
      <c r="A9"/>
      <c r="B9" s="172"/>
      <c r="C9" s="172"/>
      <c r="D9" s="172"/>
      <c r="E9" s="172"/>
      <c r="F9" s="172"/>
      <c r="H9" s="172"/>
      <c r="I9" s="172"/>
      <c r="J9" s="172"/>
      <c r="K9" s="172"/>
      <c r="L9" s="172"/>
      <c r="N9" s="172"/>
    </row>
    <row r="10" spans="1:17">
      <c r="A10"/>
      <c r="B10" s="172"/>
      <c r="C10" s="172"/>
      <c r="D10" s="172"/>
      <c r="E10" s="172"/>
      <c r="F10" s="172"/>
      <c r="H10" s="172"/>
      <c r="I10" s="172"/>
      <c r="J10" s="172"/>
      <c r="K10" s="172"/>
      <c r="L10" s="172"/>
      <c r="N10" s="172"/>
    </row>
    <row r="11" spans="1:17">
      <c r="A11"/>
      <c r="B11" s="172"/>
      <c r="C11" s="172"/>
      <c r="D11" s="172"/>
      <c r="E11" s="172"/>
      <c r="F11" s="172"/>
      <c r="H11" s="172"/>
      <c r="I11" s="172"/>
      <c r="J11" s="172"/>
      <c r="K11" s="172"/>
      <c r="L11" s="172"/>
      <c r="N11" s="172"/>
    </row>
    <row r="12" spans="1:17">
      <c r="A12"/>
      <c r="B12" s="172"/>
      <c r="C12" s="172"/>
      <c r="D12" s="172"/>
      <c r="E12" s="172"/>
      <c r="F12" s="172"/>
      <c r="H12" s="172"/>
      <c r="I12" s="172"/>
      <c r="J12" s="172"/>
      <c r="K12" s="172"/>
      <c r="L12" s="172"/>
      <c r="N12" s="172"/>
    </row>
    <row r="13" spans="1:17">
      <c r="A13"/>
      <c r="B13" s="172"/>
      <c r="C13" s="172"/>
      <c r="D13" s="172"/>
      <c r="E13" s="172"/>
      <c r="F13" s="172"/>
      <c r="H13" s="172"/>
      <c r="I13" s="172"/>
      <c r="J13" s="172"/>
      <c r="K13" s="172"/>
      <c r="L13" s="172"/>
      <c r="N13" s="172"/>
    </row>
    <row r="14" spans="1:17">
      <c r="A14"/>
      <c r="B14" s="172"/>
      <c r="C14" s="172"/>
      <c r="D14" s="172"/>
      <c r="E14" s="172"/>
      <c r="F14" s="172"/>
      <c r="H14" s="172"/>
      <c r="I14" s="172"/>
      <c r="J14" s="172"/>
      <c r="K14" s="172"/>
      <c r="L14" s="172"/>
      <c r="N14" s="172"/>
    </row>
    <row r="15" spans="1:17">
      <c r="A15"/>
      <c r="B15" s="172"/>
      <c r="C15" s="172"/>
      <c r="D15" s="172"/>
      <c r="E15" s="172"/>
      <c r="F15" s="172"/>
      <c r="H15" s="172"/>
      <c r="I15" s="172"/>
      <c r="J15" s="172"/>
      <c r="K15" s="172"/>
      <c r="L15" s="172"/>
      <c r="N15" s="172"/>
    </row>
    <row r="16" spans="1:17">
      <c r="A16"/>
      <c r="B16" s="172"/>
      <c r="C16" s="172"/>
      <c r="D16" s="172"/>
      <c r="E16" s="172"/>
      <c r="F16" s="172"/>
      <c r="H16" s="172"/>
      <c r="I16" s="172"/>
      <c r="J16" s="172"/>
      <c r="K16" s="172"/>
      <c r="L16" s="172"/>
      <c r="N16" s="172"/>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M3" sqref="M3"/>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t="s">
        <v>974</v>
      </c>
      <c r="D2" s="163">
        <v>1.1000000000000001</v>
      </c>
      <c r="E2" s="163" t="s">
        <v>967</v>
      </c>
      <c r="F2" s="163" t="s">
        <v>968</v>
      </c>
      <c r="G2" s="165" t="s">
        <v>109</v>
      </c>
      <c r="H2" s="165" t="s">
        <v>109</v>
      </c>
      <c r="I2" s="165" t="s">
        <v>109</v>
      </c>
      <c r="J2" s="165" t="s">
        <v>109</v>
      </c>
      <c r="K2" s="165" t="s">
        <v>109</v>
      </c>
      <c r="L2" s="166" t="s">
        <v>969</v>
      </c>
      <c r="M2" s="163" t="s">
        <v>975</v>
      </c>
      <c r="N2" s="167"/>
      <c r="O2" s="165"/>
      <c r="P2" s="163"/>
      <c r="Q2" s="163">
        <v>1</v>
      </c>
    </row>
    <row r="3" spans="1:17">
      <c r="A3" s="163">
        <v>2</v>
      </c>
      <c r="B3" s="163" t="str">
        <f t="shared" ref="B3:B18" si="0">IF(ISNA(D3),"NotApplicable","Applicable")</f>
        <v>NotApplicable</v>
      </c>
      <c r="C3" s="223"/>
      <c r="D3" s="163" t="e">
        <f>VLOOKUP(C:C,'QT Import for PTC'!B:D,3,0)</f>
        <v>#N/A</v>
      </c>
      <c r="E3" s="163"/>
      <c r="F3" s="163"/>
      <c r="G3" s="165"/>
      <c r="H3" s="165"/>
      <c r="I3" s="165"/>
      <c r="J3" s="165"/>
      <c r="K3" s="165"/>
      <c r="L3" s="166"/>
      <c r="M3" s="163"/>
      <c r="N3" s="167"/>
      <c r="O3" s="165"/>
      <c r="P3" s="163"/>
      <c r="Q3" s="163">
        <v>2</v>
      </c>
    </row>
    <row r="4" spans="1:17">
      <c r="A4" s="163">
        <v>3</v>
      </c>
      <c r="B4" s="163" t="str">
        <f t="shared" si="0"/>
        <v>NotApplicable</v>
      </c>
      <c r="C4" s="223"/>
      <c r="D4" s="163" t="e">
        <f>VLOOKUP(C:C,'QT Import for PTC'!B:D,3,0)</f>
        <v>#N/A</v>
      </c>
      <c r="E4" s="163"/>
      <c r="F4" s="163"/>
      <c r="G4" s="165"/>
      <c r="H4" s="165"/>
      <c r="I4" s="165"/>
      <c r="J4" s="165"/>
      <c r="K4" s="165"/>
      <c r="L4" s="166"/>
      <c r="M4" s="163"/>
      <c r="N4" s="167"/>
      <c r="O4" s="165"/>
      <c r="P4" s="163"/>
      <c r="Q4" s="163">
        <v>3</v>
      </c>
    </row>
    <row r="5" spans="1:17">
      <c r="A5" s="163">
        <v>4</v>
      </c>
      <c r="B5" s="163" t="str">
        <f t="shared" si="0"/>
        <v>NotApplicable</v>
      </c>
      <c r="C5" s="223"/>
      <c r="D5" s="163" t="e">
        <f>VLOOKUP(C:C,'QT Import for PTC'!B:D,3,0)</f>
        <v>#N/A</v>
      </c>
      <c r="E5" s="163"/>
      <c r="F5" s="163"/>
      <c r="G5" s="165"/>
      <c r="H5" s="165"/>
      <c r="I5" s="165"/>
      <c r="J5" s="165"/>
      <c r="K5" s="165"/>
      <c r="L5" s="166"/>
      <c r="M5" s="163"/>
      <c r="N5" s="167"/>
      <c r="O5" s="165"/>
      <c r="P5" s="163"/>
      <c r="Q5" s="163">
        <v>4</v>
      </c>
    </row>
    <row r="6" spans="1:17">
      <c r="A6" s="163">
        <v>5</v>
      </c>
      <c r="B6" s="163" t="str">
        <f t="shared" si="0"/>
        <v>NotApplicable</v>
      </c>
      <c r="C6" s="223"/>
      <c r="D6" s="163" t="e">
        <f>VLOOKUP(C:C,'QT Import for PTC'!B:D,3,0)</f>
        <v>#N/A</v>
      </c>
      <c r="E6" s="163"/>
      <c r="F6" s="163"/>
      <c r="G6" s="165"/>
      <c r="H6" s="165"/>
      <c r="I6" s="165"/>
      <c r="J6" s="165"/>
      <c r="K6" s="165"/>
      <c r="L6" s="166"/>
      <c r="M6" s="163"/>
      <c r="N6" s="167"/>
      <c r="O6" s="165"/>
      <c r="P6" s="163"/>
      <c r="Q6" s="163">
        <v>5</v>
      </c>
    </row>
    <row r="7" spans="1:17">
      <c r="A7" s="163">
        <v>6</v>
      </c>
      <c r="B7" s="163" t="str">
        <f t="shared" si="0"/>
        <v>NotApplicable</v>
      </c>
      <c r="C7" s="223"/>
      <c r="D7" s="163" t="e">
        <f>VLOOKUP(C:C,'QT Import for PTC'!B:D,3,0)</f>
        <v>#N/A</v>
      </c>
      <c r="E7" s="163"/>
      <c r="F7" s="163"/>
      <c r="G7" s="165"/>
      <c r="H7" s="165"/>
      <c r="I7" s="165"/>
      <c r="J7" s="165"/>
      <c r="K7" s="165"/>
      <c r="L7" s="166"/>
      <c r="M7" s="163"/>
      <c r="N7" s="167"/>
      <c r="O7" s="165"/>
      <c r="P7" s="163"/>
      <c r="Q7" s="163">
        <v>6</v>
      </c>
    </row>
    <row r="8" spans="1:17">
      <c r="A8" s="163">
        <v>7</v>
      </c>
      <c r="B8" s="163" t="str">
        <f t="shared" si="0"/>
        <v>NotApplicable</v>
      </c>
      <c r="C8" s="223"/>
      <c r="D8" s="163" t="e">
        <f>VLOOKUP(C:C,'QT Import for PTC'!B:D,3,0)</f>
        <v>#N/A</v>
      </c>
      <c r="E8" s="163"/>
      <c r="F8" s="163"/>
      <c r="G8" s="165"/>
      <c r="H8" s="165"/>
      <c r="I8" s="165"/>
      <c r="J8" s="165"/>
      <c r="K8" s="165"/>
      <c r="L8" s="166"/>
      <c r="M8" s="163"/>
      <c r="N8" s="167"/>
      <c r="O8" s="165"/>
      <c r="P8" s="163"/>
      <c r="Q8" s="163">
        <v>7</v>
      </c>
    </row>
    <row r="9" spans="1:17">
      <c r="A9" s="163">
        <v>8</v>
      </c>
      <c r="B9" s="163" t="str">
        <f t="shared" si="0"/>
        <v>NotApplicable</v>
      </c>
      <c r="C9" s="223"/>
      <c r="D9" s="163" t="e">
        <f>VLOOKUP(C:C,'QT Import for PTC'!B:D,3,0)</f>
        <v>#N/A</v>
      </c>
      <c r="E9" s="163"/>
      <c r="F9" s="163"/>
      <c r="G9" s="165"/>
      <c r="H9" s="165"/>
      <c r="I9" s="165"/>
      <c r="J9" s="165"/>
      <c r="K9" s="165"/>
      <c r="L9" s="166"/>
      <c r="M9" s="163"/>
      <c r="N9" s="167"/>
      <c r="O9" s="165"/>
      <c r="P9" s="163"/>
      <c r="Q9" s="163">
        <v>8</v>
      </c>
    </row>
    <row r="10" spans="1:17">
      <c r="A10" s="163">
        <v>9</v>
      </c>
      <c r="B10" s="163" t="str">
        <f t="shared" si="0"/>
        <v>NotApplicable</v>
      </c>
      <c r="C10" s="223"/>
      <c r="D10" s="163" t="e">
        <f>VLOOKUP(C:C,'QT Import for PTC'!B:D,3,0)</f>
        <v>#N/A</v>
      </c>
      <c r="E10" s="163"/>
      <c r="F10" s="163"/>
      <c r="G10" s="165"/>
      <c r="H10" s="165"/>
      <c r="I10" s="165"/>
      <c r="J10" s="165"/>
      <c r="K10" s="165"/>
      <c r="L10" s="166"/>
      <c r="M10" s="163"/>
      <c r="N10" s="167"/>
      <c r="O10" s="165"/>
      <c r="P10" s="163"/>
      <c r="Q10" s="163">
        <v>9</v>
      </c>
    </row>
    <row r="11" spans="1:17">
      <c r="A11" s="163">
        <v>10</v>
      </c>
      <c r="B11" s="163" t="str">
        <f t="shared" si="0"/>
        <v>NotApplicable</v>
      </c>
      <c r="C11" s="223"/>
      <c r="D11" s="163" t="e">
        <f>VLOOKUP(C:C,'QT Import for PTC'!B:D,3,0)</f>
        <v>#N/A</v>
      </c>
      <c r="E11" s="163"/>
      <c r="F11" s="163"/>
      <c r="G11" s="165"/>
      <c r="H11" s="165"/>
      <c r="I11" s="165"/>
      <c r="J11" s="165"/>
      <c r="K11" s="165"/>
      <c r="L11" s="166"/>
      <c r="M11" s="163"/>
      <c r="N11" s="167"/>
      <c r="O11" s="165"/>
      <c r="P11" s="163"/>
      <c r="Q11" s="163">
        <v>10</v>
      </c>
    </row>
    <row r="12" spans="1:17">
      <c r="A12" s="163">
        <v>11</v>
      </c>
      <c r="B12" s="163" t="str">
        <f t="shared" si="0"/>
        <v>NotApplicable</v>
      </c>
      <c r="C12" s="223"/>
      <c r="D12" s="163" t="e">
        <f>VLOOKUP(C:C,'QT Import for PTC'!B:D,3,0)</f>
        <v>#N/A</v>
      </c>
      <c r="E12" s="163"/>
      <c r="F12" s="163"/>
      <c r="G12" s="165"/>
      <c r="H12" s="165"/>
      <c r="I12" s="165"/>
      <c r="J12" s="165"/>
      <c r="K12" s="165"/>
      <c r="L12" s="166"/>
      <c r="M12" s="163"/>
      <c r="N12" s="167"/>
      <c r="O12" s="165"/>
      <c r="P12" s="163"/>
      <c r="Q12" s="163">
        <v>11</v>
      </c>
    </row>
    <row r="13" spans="1:17">
      <c r="A13" s="163">
        <v>12</v>
      </c>
      <c r="B13" s="163" t="str">
        <f t="shared" si="0"/>
        <v>NotApplicable</v>
      </c>
      <c r="C13" s="223"/>
      <c r="D13" s="163" t="e">
        <f>VLOOKUP(C:C,'QT Import for PTC'!B:D,3,0)</f>
        <v>#N/A</v>
      </c>
      <c r="E13" s="163"/>
      <c r="F13" s="163"/>
      <c r="G13" s="165"/>
      <c r="H13" s="165"/>
      <c r="I13" s="165"/>
      <c r="J13" s="165"/>
      <c r="K13" s="165"/>
      <c r="L13" s="166"/>
      <c r="M13" s="163"/>
      <c r="N13" s="167"/>
      <c r="O13" s="165"/>
      <c r="P13" s="163"/>
      <c r="Q13" s="163">
        <v>12</v>
      </c>
    </row>
    <row r="14" spans="1:17">
      <c r="A14" s="163">
        <v>13</v>
      </c>
      <c r="B14" s="163" t="str">
        <f t="shared" si="0"/>
        <v>NotApplicable</v>
      </c>
      <c r="C14" s="223"/>
      <c r="D14" s="163" t="e">
        <f>VLOOKUP(C:C,'QT Import for PTC'!B:D,3,0)</f>
        <v>#N/A</v>
      </c>
      <c r="E14" s="163"/>
      <c r="F14" s="163"/>
      <c r="G14" s="165"/>
      <c r="H14" s="165"/>
      <c r="I14" s="165"/>
      <c r="J14" s="165"/>
      <c r="K14" s="165"/>
      <c r="L14" s="166"/>
      <c r="M14" s="163"/>
      <c r="N14" s="167"/>
      <c r="O14" s="165"/>
      <c r="P14" s="163"/>
      <c r="Q14" s="163">
        <v>13</v>
      </c>
    </row>
    <row r="15" spans="1:17">
      <c r="A15" s="163">
        <v>14</v>
      </c>
      <c r="B15" s="163" t="str">
        <f t="shared" si="0"/>
        <v>NotApplicable</v>
      </c>
      <c r="C15" s="223"/>
      <c r="D15" s="163" t="e">
        <f>VLOOKUP(C:C,'QT Import for PTC'!B:D,3,0)</f>
        <v>#N/A</v>
      </c>
      <c r="E15" s="163"/>
      <c r="F15" s="163"/>
      <c r="G15" s="165"/>
      <c r="H15" s="165"/>
      <c r="I15" s="165"/>
      <c r="J15" s="165"/>
      <c r="K15" s="165"/>
      <c r="L15" s="166"/>
      <c r="M15" s="163"/>
      <c r="N15" s="167"/>
      <c r="O15" s="165"/>
      <c r="P15" s="163"/>
      <c r="Q15" s="163">
        <v>14</v>
      </c>
    </row>
    <row r="16" spans="1:17">
      <c r="A16" s="163">
        <v>15</v>
      </c>
      <c r="B16" s="163" t="str">
        <f t="shared" si="0"/>
        <v>NotApplicable</v>
      </c>
      <c r="C16" s="223"/>
      <c r="D16" s="163" t="e">
        <f>VLOOKUP(C:C,'QT Import for PTC'!B:D,3,0)</f>
        <v>#N/A</v>
      </c>
      <c r="E16" s="163"/>
      <c r="F16" s="163"/>
      <c r="G16" s="165"/>
      <c r="H16" s="165"/>
      <c r="I16" s="165"/>
      <c r="J16" s="165"/>
      <c r="K16" s="165"/>
      <c r="L16" s="166"/>
      <c r="M16" s="163"/>
      <c r="N16" s="167"/>
      <c r="O16" s="165"/>
      <c r="P16" s="163"/>
      <c r="Q16" s="163">
        <v>15</v>
      </c>
    </row>
    <row r="17" spans="1:17">
      <c r="A17" s="163">
        <v>16</v>
      </c>
      <c r="B17" s="163" t="str">
        <f t="shared" si="0"/>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ref="B19:B66" si="1">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1"/>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1"/>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1"/>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1"/>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1"/>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1"/>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1"/>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1"/>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1"/>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1"/>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1"/>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1"/>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1"/>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1"/>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1"/>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1"/>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1"/>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1"/>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1"/>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1"/>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1"/>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1"/>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1"/>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1"/>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1"/>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1"/>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1"/>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1"/>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1"/>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1"/>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1"/>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1"/>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1"/>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1"/>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1"/>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1"/>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1"/>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1"/>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1"/>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1"/>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1"/>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1"/>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1"/>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1"/>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1"/>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1"/>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1"/>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2">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2"/>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2"/>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2"/>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2"/>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2"/>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2"/>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2"/>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2"/>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2"/>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2"/>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2"/>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2"/>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2"/>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2"/>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2"/>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2"/>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2"/>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2"/>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2"/>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2"/>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2"/>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2"/>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2"/>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2"/>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2"/>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2"/>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2"/>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2"/>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2"/>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2"/>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2"/>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2"/>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2"/>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2"/>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2"/>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2"/>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2"/>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2"/>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2"/>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2"/>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2"/>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2"/>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2"/>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2"/>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2"/>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2"/>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2"/>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2"/>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2"/>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2"/>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2"/>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2"/>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2"/>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2"/>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2"/>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2"/>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2"/>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2"/>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2"/>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2"/>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2"/>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2"/>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2"/>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3">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3"/>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3"/>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3"/>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3"/>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3"/>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3"/>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3"/>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3"/>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3"/>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3"/>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3"/>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3"/>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3"/>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3"/>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3"/>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3"/>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3"/>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3"/>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3"/>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3"/>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3"/>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3"/>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3"/>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3"/>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3"/>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3"/>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3"/>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3"/>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3"/>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3"/>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3"/>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3"/>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3"/>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3"/>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3"/>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3"/>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3"/>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3"/>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3"/>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3"/>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3"/>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3"/>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3"/>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3"/>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3"/>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3"/>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3"/>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3"/>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3"/>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3"/>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3"/>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3"/>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3"/>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3"/>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3"/>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3"/>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3"/>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3"/>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3"/>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3"/>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3"/>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3"/>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3"/>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4">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4"/>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4"/>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4"/>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4"/>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4"/>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4"/>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4"/>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4"/>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4"/>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4"/>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4"/>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4"/>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4"/>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4"/>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4"/>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4"/>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4"/>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4"/>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4"/>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4"/>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4"/>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4"/>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4"/>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4"/>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4"/>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4"/>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4"/>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4"/>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4"/>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4"/>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4"/>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4"/>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4"/>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4"/>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4"/>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4"/>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4"/>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4"/>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4"/>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4"/>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4"/>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4"/>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4"/>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4"/>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4"/>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4"/>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4"/>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4"/>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4"/>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4"/>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4"/>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4"/>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4"/>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4"/>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4"/>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4"/>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4"/>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4"/>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4"/>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4"/>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4"/>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4"/>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4"/>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5">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5"/>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5"/>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5"/>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5"/>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5"/>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5"/>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5"/>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5"/>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5"/>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5"/>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5"/>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5"/>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5"/>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5"/>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5"/>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5"/>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5"/>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5"/>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5"/>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5"/>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5"/>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5"/>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5"/>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5"/>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5"/>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5"/>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5"/>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5"/>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5"/>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5"/>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5"/>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5"/>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5"/>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5"/>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5"/>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5"/>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5"/>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5"/>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5"/>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5"/>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5"/>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5"/>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5"/>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5"/>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5"/>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5"/>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5"/>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5"/>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5"/>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5"/>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5"/>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5"/>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5"/>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5"/>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5"/>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5"/>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5"/>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5"/>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5"/>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5"/>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5"/>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5"/>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5"/>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6">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6"/>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6"/>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6"/>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6"/>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6"/>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6"/>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6"/>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6"/>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6"/>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6"/>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6"/>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6"/>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6"/>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6"/>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6"/>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6"/>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6"/>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6"/>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6"/>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6"/>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6"/>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2023-04-05T12:42:11Z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